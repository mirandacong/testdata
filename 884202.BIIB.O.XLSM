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0" yWindow="1035" windowWidth="11310" windowHeight="6180" tabRatio="793"/>
  </bookViews>
  <sheets>
    <sheet name="ImportantDisclosures" sheetId="63" r:id="rId1"/>
    <sheet name="DCF" sheetId="22" r:id="rId2"/>
    <sheet name="IS" sheetId="5" r:id="rId3"/>
    <sheet name="REVS" sheetId="1" r:id="rId4"/>
    <sheet name="MW-Cache" sheetId="26" state="veryHidden" r:id="rId5"/>
    <sheet name="Zinbryta Collaboration" sheetId="43" r:id="rId6"/>
    <sheet name="BS" sheetId="13" r:id="rId7"/>
    <sheet name="CF" sheetId="14" r:id="rId8"/>
    <sheet name="DEBT" sheetId="15" r:id="rId9"/>
    <sheet name="US MS Market Model" sheetId="6" r:id="rId10"/>
    <sheet name="ROW MS Market Model" sheetId="7" r:id="rId11"/>
    <sheet name="BG-12 Milestone and Royalties" sheetId="16" r:id="rId12"/>
    <sheet name="Roche Royalty Model" sheetId="4" r:id="rId13"/>
    <sheet name="aducanumab" sheetId="29" r:id="rId14"/>
    <sheet name="anti-LINGO" sheetId="28" r:id="rId15"/>
    <sheet name="SMA" sheetId="42" r:id="rId16"/>
    <sheet name="IndexInformation" sheetId="64" r:id="rId17"/>
    <sheet name="ModPubIndex" sheetId="65" r:id="rId18"/>
  </sheets>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_a1" hidden="1">{"comp1",#N/A,FALSE,"COMPS";"footnotes",#N/A,FALSE,"COMPS"}</definedName>
    <definedName name="__aa1" hidden="1">{#N/A,#N/A,TRUE,"Pro Forma";#N/A,#N/A,TRUE,"PF_Bal";#N/A,#N/A,TRUE,"PF_INC";#N/A,#N/A,TRUE,"CBE";#N/A,#N/A,TRUE,"SWK"}</definedName>
    <definedName name="__ab1" hidden="1">{"comp1",#N/A,FALSE,"COMPS";"footnotes",#N/A,FALSE,"COMPS"}</definedName>
    <definedName name="__ae1" hidden="1">{#N/A,#N/A,FALSE,"Calc";#N/A,#N/A,FALSE,"Sensitivity";#N/A,#N/A,FALSE,"LT Earn.Dil.";#N/A,#N/A,FALSE,"Dil. AVP"}</definedName>
    <definedName name="__am1" hidden="1">{#N/A,#N/A,TRUE,"Pro Forma";#N/A,#N/A,TRUE,"PF_Bal";#N/A,#N/A,TRUE,"PF_INC";#N/A,#N/A,TRUE,"CBE";#N/A,#N/A,TRUE,"SWK"}</definedName>
    <definedName name="__as1" hidden="1">{"comp1",#N/A,FALSE,"COMPS";"footnotes",#N/A,FALSE,"COMPS"}</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hidden="1">1</definedName>
    <definedName name="__ik1" hidden="1">{"casespecific",#N/A,FALSE,"Assumptions"}</definedName>
    <definedName name="_1__FDSAUDITLINK__" hidden="1">{"fdsup://directions/FAT Viewer?action=UPDATE&amp;creator=factset&amp;DYN_ARGS=TRUE&amp;DOC_NAME=FAT:FQL_AUDITING_CLIENT_TEMPLATE.FAT&amp;display_string=Audit&amp;VAR:KEY=FUDMZMZIRG&amp;VAR:QUERY=RkZfRUJJVERBX0lCKEFOTiwyMDA4KQ==&amp;WINDOW=FIRST_POPUP&amp;HEIGHT=450&amp;WIDTH=450&amp;START_MAXIMI","ZED=FALSE&amp;VAR:CALENDAR=FIVEDAY&amp;VAR:SYMBOL=PFE&amp;VAR:INDEX=0"}</definedName>
    <definedName name="_10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0__FDSAUDITLINK__" hidden="1">{"fdsup://directions/FAT Viewer?action=UPDATE&amp;creator=factset&amp;DYN_ARGS=TRUE&amp;DOC_NAME=FAT:FQL_AUDITING_CLIENT_TEMPLATE.FAT&amp;display_string=Audit&amp;VAR:KEY=PSDGZOPMZI&amp;VAR:QUERY=RkZfREVCVChRVFIsMCk=&amp;WINDOW=FIRST_POPUP&amp;HEIGHT=450&amp;WIDTH=450&amp;START_MAXIMIZED=FALSE&amp;VA","R:CALENDAR=FIVEDAY&amp;VAR:SYMBOL=ALXN&amp;VAR:INDEX=0"}</definedName>
    <definedName name="_101__FDSAUDITLINK__" hidden="1">{"fdsup://Directions/FactSet Auditing Viewer?action=AUDIT_VALUE&amp;DB=129&amp;ID1=03116210&amp;VALUEID=02001&amp;SDATE=201102&amp;PERIODTYPE=QTR_STD&amp;SCFT=3&amp;window=popup_no_bar&amp;width=385&amp;height=120&amp;START_MAXIMIZED=FALSE&amp;creator=factset&amp;display_string=Audit"}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SXYLYBGBQ&amp;VAR:QUERY=RkZfREVCVChRVFIsMCk=&amp;WINDOW=FIRST_POPUP&amp;HEIGHT=450&amp;WIDTH=450&amp;START_MAXIMIZED=FALSE&amp;VA","R:CALENDAR=FIVEDAY&amp;VAR:SYMBOL=AMGN&amp;VAR:INDEX=0"}</definedName>
    <definedName name="_103__FDSAUDITLINK__" hidden="1">{"fdsup://Directions/FactSet Auditing Viewer?action=AUDIT_VALUE&amp;DB=129&amp;ID1=09062X10&amp;VALUEID=02001&amp;SDATE=201102&amp;PERIODTYPE=QTR_STD&amp;SCFT=3&amp;window=popup_no_bar&amp;width=385&amp;height=120&amp;START_MAXIMIZED=FALSE&amp;creator=factset&amp;display_string=Audit"}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MDCDAZUDU&amp;VAR:QUERY=RkZfREVCVChRVFIsMCk=&amp;WINDOW=FIRST_POPUP&amp;HEIGHT=450&amp;WIDTH=450&amp;START_MAXIMIZED=FALSE&amp;VA","R:CALENDAR=FIVEDAY&amp;VAR:SYMBOL=BIIB&amp;VAR:INDEX=0"}</definedName>
    <definedName name="_105__FDSAUDITLINK__" hidden="1">{"fdsup://Directions/FactSet Auditing Viewer?action=AUDIT_VALUE&amp;DB=129&amp;ID1=15102010&amp;VALUEID=02001&amp;SDATE=201102&amp;PERIODTYPE=QTR_STD&amp;SCFT=3&amp;window=popup_no_bar&amp;width=385&amp;height=120&amp;START_MAXIMIZED=FALSE&amp;creator=factset&amp;display_string=Audit"}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PAZYDCHIJW&amp;VAR:QUERY=RkZfREVCVChRVFIsMCk=&amp;WINDOW=FIRST_POPUP&amp;HEIGHT=450&amp;WIDTH=450&amp;START_MAXIMIZED=FALSE&amp;VA","R:CALENDAR=FIVEDAY&amp;VAR:SYMBOL=CELG&amp;VAR:INDEX=0"}</definedName>
    <definedName name="_107__FDSAUDITLINK__" hidden="1">{"fdsup://Directions/FactSet Auditing Viewer?action=AUDIT_VALUE&amp;DB=129&amp;ID1=37555810&amp;VALUEID=02001&amp;SDATE=201102&amp;PERIODTYPE=QTR_STD&amp;SCFT=3&amp;window=popup_no_bar&amp;width=385&amp;height=120&amp;START_MAXIMIZED=FALSE&amp;creator=factset&amp;display_string=Audit"}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JEFCXSDILQ&amp;VAR:QUERY=RkZfREVCVChRVFIsMCk=&amp;WINDOW=FIRST_POPUP&amp;HEIGHT=450&amp;WIDTH=450&amp;START_MAXIMIZED=FALSE&amp;VA","R:CALENDAR=FIVEDAY&amp;VAR:SYMBOL=GILD&amp;VAR:INDEX=0"}</definedName>
    <definedName name="_109__FDSAUDITLINK__" hidden="1">{"fdsup://Directions/FactSet Auditing Viewer?action=AUDIT_VALUE&amp;DB=129&amp;ID1=01849010&amp;VALUEID=02001&amp;SDATE=201102&amp;PERIODTYPE=QTR_STD&amp;SCFT=3&amp;window=popup_no_bar&amp;width=385&amp;height=120&amp;START_MAXIMIZED=FALSE&amp;creator=factset&amp;display_string=Audit"}</definedName>
    <definedName name="_11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0__FDSAUDITLINK__" hidden="1">{"fdsup://directions/FAT Viewer?action=UPDATE&amp;creator=factset&amp;DYN_ARGS=TRUE&amp;DOC_NAME=FAT:FQL_AUDITING_CLIENT_TEMPLATE.FAT&amp;display_string=Audit&amp;VAR:KEY=VUZWFCLEDW&amp;VAR:QUERY=RkZfREVCVChRVFIsMCk=&amp;WINDOW=FIRST_POPUP&amp;HEIGHT=450&amp;WIDTH=450&amp;START_MAXIMIZED=FALSE&amp;VA","R:CALENDAR=FIVEDAY&amp;VAR:SYMBOL=AGN&amp;VAR:INDEX=0"}</definedName>
    <definedName name="_111__FDSAUDITLINK__" hidden="1">{"fdsup://Directions/FactSet Auditing Viewer?action=AUDIT_VALUE&amp;DB=129&amp;ID1=15670810&amp;VALUEID=02001&amp;SDATE=201102&amp;PERIODTYPE=QTR_STD&amp;SCFT=3&amp;window=popup_no_bar&amp;width=385&amp;height=120&amp;START_MAXIMIZED=FALSE&amp;creator=factset&amp;display_string=Audit"}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BCLCTSFIVE&amp;VAR:QUERY=RkZfREVCVChRVFIsMCk=&amp;WINDOW=FIRST_POPUP&amp;HEIGHT=450&amp;WIDTH=450&amp;START_MAXIMIZED=FALSE&amp;VA","R:CALENDAR=FIVEDAY&amp;VAR:SYMBOL=CEPH&amp;VAR:INDEX=0"}</definedName>
    <definedName name="_113__FDSAUDITLINK__" hidden="1">{"fdsup://Directions/FactSet Auditing Viewer?action=AUDIT_VALUE&amp;DB=129&amp;ID1=29264F20&amp;VALUEID=02001&amp;SDATE=201102&amp;PERIODTYPE=QTR_STD&amp;SCFT=3&amp;window=popup_no_bar&amp;width=385&amp;height=120&amp;START_MAXIMIZED=FALSE&amp;creator=factset&amp;display_string=Audit"}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VIDYPCHCVC&amp;VAR:QUERY=RkZfREVCVChRVFIsMCk=&amp;WINDOW=FIRST_POPUP&amp;HEIGHT=450&amp;WIDTH=450&amp;START_MAXIMIZED=FALSE&amp;VA","R:CALENDAR=FIVEDAY&amp;VAR:SYMBOL=ENDP&amp;VAR:INDEX=0"}</definedName>
    <definedName name="_115__FDSAUDITLINK__" hidden="1">{"fdsup://Directions/FactSet Auditing Viewer?action=AUDIT_VALUE&amp;DB=129&amp;ID1=34583810&amp;VALUEID=02001&amp;SDATE=201101&amp;PERIODTYPE=QTR_STD&amp;SCFT=3&amp;window=popup_no_bar&amp;width=385&amp;height=120&amp;START_MAXIMIZED=FALSE&amp;creator=factset&amp;display_string=Audit"}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VSVENCJCNO&amp;VAR:QUERY=RkZfREVCVChRVFIsMCk=&amp;WINDOW=FIRST_POPUP&amp;HEIGHT=450&amp;WIDTH=450&amp;START_MAXIMIZED=FALSE&amp;VA","R:CALENDAR=FIVEDAY&amp;VAR:SYMBOL=FRX&amp;VAR:INDEX=0"}</definedName>
    <definedName name="_117__FDSAUDITLINK__" hidden="1">{"fdsup://Directions/FactSet Auditing Viewer?action=AUDIT_VALUE&amp;DB=129&amp;ID1=47214710&amp;VALUEID=02001&amp;SDATE=201102&amp;PERIODTYPE=QTR_STD&amp;SCFT=3&amp;window=popup_no_bar&amp;width=385&amp;height=120&amp;START_MAXIMIZED=FALSE&amp;creator=factset&amp;display_string=Audit"}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FUTILMFCBM&amp;VAR:QUERY=RkZfREVCVChRVFIsMCk=&amp;WINDOW=FIRST_POPUP&amp;HEIGHT=450&amp;WIDTH=450&amp;START_MAXIMIZED=FALSE&amp;VA","R:CALENDAR=FIVEDAY&amp;VAR:SYMBOL=JAZZ&amp;VAR:INDEX=0"}</definedName>
    <definedName name="_119__FDSAUDITLINK__" hidden="1">{"fdsup://Directions/FactSet Auditing Viewer?action=AUDIT_VALUE&amp;DB=129&amp;ID1=58469030&amp;VALUEID=02001&amp;SDATE=201102&amp;PERIODTYPE=QTR_STD&amp;SCFT=3&amp;window=popup_no_bar&amp;width=385&amp;height=120&amp;START_MAXIMIZED=FALSE&amp;creator=factset&amp;display_string=Audit"}</definedName>
    <definedName name="_12__FDSAUDITLINK__"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0__FDSAUDITLINK__" hidden="1">{"fdsup://directions/FAT Viewer?action=UPDATE&amp;creator=factset&amp;DYN_ARGS=TRUE&amp;DOC_NAME=FAT:FQL_AUDITING_CLIENT_TEMPLATE.FAT&amp;display_string=Audit&amp;VAR:KEY=FGNOVMBIZI&amp;VAR:QUERY=RkZfREVCVChRVFIsMCk=&amp;WINDOW=FIRST_POPUP&amp;HEIGHT=450&amp;WIDTH=450&amp;START_MAXIMIZED=FALSE&amp;VA","R:CALENDAR=FIVEDAY&amp;VAR:SYMBOL=MRX&amp;VAR:INDEX=0"}</definedName>
    <definedName name="_121__FDSAUDITLINK__" hidden="1">{"fdsup://Directions/FactSet Auditing Viewer?action=AUDIT_VALUE&amp;DB=129&amp;ID1=79543510&amp;VALUEID=02001&amp;SDATE=201102&amp;PERIODTYPE=QTR_STD&amp;SCFT=3&amp;window=popup_no_bar&amp;width=385&amp;height=120&amp;START_MAXIMIZED=FALSE&amp;creator=factset&amp;display_string=Audit"}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ZUTEFOPYRO&amp;VAR:QUERY=RkZfREVCVChRVFIsMCk=&amp;WINDOW=FIRST_POPUP&amp;HEIGHT=450&amp;WIDTH=450&amp;START_MAXIMIZED=FALSE&amp;VA","R:CALENDAR=FIVEDAY&amp;VAR:SYMBOL=SLXP&amp;VAR:INDEX=0"}</definedName>
    <definedName name="_123__FDSAUDITLINK__" hidden="1">{"fdsup://directions/FAT Viewer?action=UPDATE&amp;creator=factset&amp;DYN_ARGS=TRUE&amp;DOC_NAME=FAT:FQL_AUDITING_CLIENT_TEMPLATE.FAT&amp;display_string=Audit&amp;VAR:KEY=PYDEHOFGDK&amp;VAR:QUERY=RkZfREVCVChRVFIsMCk=&amp;WINDOW=FIRST_POPUP&amp;HEIGHT=450&amp;WIDTH=450&amp;START_MAXIMIZED=FALSE&amp;VA","R:CALENDAR=FIVEDAY&amp;VAR:SYMBOL=VRX&amp;VAR:INDEX=0"}</definedName>
    <definedName name="_124__FDSAUDITLINK__" hidden="1">{"fdsup://Directions/FactSet Auditing Viewer?action=AUDIT_VALUE&amp;DB=129&amp;ID1=92824110&amp;VALUEID=02001&amp;SDATE=201102&amp;PERIODTYPE=QTR_STD&amp;SCFT=3&amp;window=popup_no_bar&amp;width=385&amp;height=120&amp;START_MAXIMIZED=FALSE&amp;creator=factset&amp;display_string=Audit"}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VYLUTCPEFG&amp;VAR:QUERY=RkZfREVCVChRVFIsMCk=&amp;WINDOW=FIRST_POPUP&amp;HEIGHT=450&amp;WIDTH=450&amp;START_MAXIMIZED=FALSE&amp;VA","R:CALENDAR=FIVEDAY&amp;VAR:SYMBOL=VPHM&amp;VAR:INDEX=0"}</definedName>
    <definedName name="_126__FDSAUDITLINK__" hidden="1">{"fdsup://Directions/FactSet Auditing Viewer?action=AUDIT_VALUE&amp;DB=129&amp;ID1=G9436810&amp;VALUEID=02001&amp;SDATE=201102&amp;PERIODTYPE=QTR_STD&amp;SCFT=3&amp;window=popup_no_bar&amp;width=385&amp;height=120&amp;START_MAXIMIZED=FALSE&amp;creator=factset&amp;display_string=Audit"}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VOFGXWTOLW&amp;VAR:QUERY=RkZfREVCVChRVFIsMCk=&amp;WINDOW=FIRST_POPUP&amp;HEIGHT=450&amp;WIDTH=450&amp;START_MAXIMIZED=FALSE&amp;VA","R:CALENDAR=FIVEDAY&amp;VAR:SYMBOL=WCRX&amp;VAR:INDEX=0"}</definedName>
    <definedName name="_128__FDSAUDITLINK__" hidden="1">{"fdsup://Directions/FactSet Auditing Viewer?action=AUDIT_VALUE&amp;DB=129&amp;ID1=42840B10&amp;VALUEID=02001&amp;SDATE=201004&amp;PERIODTYPE=QTR_STD&amp;SCFT=3&amp;window=popup_no_bar&amp;width=385&amp;height=120&amp;START_MAXIMIZED=FALSE&amp;creator=factset&amp;display_string=Audit"}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HQPMJKLSBE&amp;VAR:QUERY=RkZfREVCVChRVFIsMCk=&amp;WINDOW=FIRST_POPUP&amp;HEIGHT=450&amp;WIDTH=450&amp;START_MAXIMIZED=FALSE&amp;VA","R:CALENDAR=FIVEDAY&amp;VAR:SYMBOL=HITK&amp;VAR:INDEX=0"}</definedName>
    <definedName name="_13__FDSAUDITLINK__"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0__FDSAUDITLINK__" hidden="1">{"fdsup://Directions/FactSet Auditing Viewer?action=AUDIT_VALUE&amp;DB=129&amp;ID1=44106010&amp;VALUEID=02001&amp;SDATE=201102&amp;PERIODTYPE=QTR_STD&amp;SCFT=3&amp;window=popup_no_bar&amp;width=385&amp;height=120&amp;START_MAXIMIZED=FALSE&amp;creator=factset&amp;display_string=Audit"}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JOVQVKXOTE&amp;VAR:QUERY=RkZfREVCVChRVFIsMCk=&amp;WINDOW=FIRST_POPUP&amp;HEIGHT=450&amp;WIDTH=450&amp;START_MAXIMIZED=FALSE&amp;VA","R:CALENDAR=FIVEDAY&amp;VAR:SYMBOL=HSP&amp;VAR:INDEX=0"}</definedName>
    <definedName name="_132__FDSAUDITLINK__" hidden="1">{"fdsup://Directions/FactSet Auditing Viewer?action=AUDIT_VALUE&amp;DB=129&amp;ID1=45256B10&amp;VALUEID=02001&amp;SDATE=201102&amp;PERIODTYPE=QTR_STD&amp;SCFT=3&amp;window=popup_no_bar&amp;width=385&amp;height=120&amp;START_MAXIMIZED=FALSE&amp;creator=factset&amp;display_string=Audit"}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HUNQXUHUPG&amp;VAR:QUERY=RkZfREVCVChRVFIsMCk=&amp;WINDOW=FIRST_POPUP&amp;HEIGHT=450&amp;WIDTH=450&amp;START_MAXIMIZED=FALSE&amp;VA","R:CALENDAR=FIVEDAY&amp;VAR:SYMBOL=IPXL&amp;VAR:INDEX=0"}</definedName>
    <definedName name="_134__FDSAUDITLINK__" hidden="1">{"fdsup://Directions/FactSet Auditing Viewer?action=AUDIT_VALUE&amp;DB=129&amp;ID1=62853010&amp;VALUEID=02001&amp;SDATE=201102&amp;PERIODTYPE=QTR_STD&amp;SCFT=3&amp;window=popup_no_bar&amp;width=385&amp;height=120&amp;START_MAXIMIZED=FALSE&amp;creator=factset&amp;display_string=Audit"}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LGRYPMTCTO&amp;VAR:QUERY=RkZfREVCVChRVFIsMCk=&amp;WINDOW=FIRST_POPUP&amp;HEIGHT=450&amp;WIDTH=450&amp;START_MAXIMIZED=FALSE&amp;VA","R:CALENDAR=FIVEDAY&amp;VAR:SYMBOL=MYL&amp;VAR:INDEX=0"}</definedName>
    <definedName name="_136__FDSAUDITLINK__" hidden="1">{"fdsup://Directions/FactSet Auditing Viewer?action=AUDIT_VALUE&amp;DB=129&amp;ID1=71429010&amp;VALUEID=02001&amp;SDATE=201104&amp;PERIODTYPE=QTR_STD&amp;SCFT=3&amp;window=popup_no_bar&amp;width=385&amp;height=120&amp;START_MAXIMIZED=FALSE&amp;creator=factset&amp;display_string=Audit"}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LMPYFOLSXK&amp;VAR:QUERY=RkZfREVCVChRVFIsMCk=&amp;WINDOW=FIRST_POPUP&amp;HEIGHT=450&amp;WIDTH=450&amp;START_MAXIMIZED=FALSE&amp;VA","R:CALENDAR=FIVEDAY&amp;VAR:SYMBOL=PRGO&amp;VAR:INDEX=0"}</definedName>
    <definedName name="_138__FDSAUDITLINK__" hidden="1">{"fdsup://Directions/FactSet Auditing Viewer?action=AUDIT_VALUE&amp;DB=129&amp;ID1=69888P10&amp;VALUEID=02001&amp;SDATE=201102&amp;PERIODTYPE=QTR_STD&amp;SCFT=3&amp;window=popup_no_bar&amp;width=385&amp;height=120&amp;START_MAXIMIZED=FALSE&amp;creator=factset&amp;display_string=Audit"}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ZSVYTCNSBU&amp;VAR:QUERY=RkZfREVCVChRVFIsMCk=&amp;WINDOW=FIRST_POPUP&amp;HEIGHT=450&amp;WIDTH=450&amp;START_MAXIMIZED=FALSE&amp;VA","R:CALENDAR=FIVEDAY&amp;VAR:SYMBOL=PRX&amp;VAR:INDEX=0"}</definedName>
    <definedName name="_14__FDSAUDITLINK__"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0__FDSAUDITLINK__" hidden="1">{"fdsup://Directions/FactSet Auditing Viewer?action=AUDIT_VALUE&amp;DB=129&amp;ID1=78669210&amp;VALUEID=02001&amp;SDATE=201102&amp;PERIODTYPE=QTR_STD&amp;SCFT=3&amp;window=popup_no_bar&amp;width=385&amp;height=120&amp;START_MAXIMIZED=FALSE&amp;creator=factset&amp;display_string=Audit"}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FGXQXCPORU&amp;VAR:QUERY=RkZfREVCVChRVFIsMCk=&amp;WINDOW=FIRST_POPUP&amp;HEIGHT=450&amp;WIDTH=450&amp;START_MAXIMIZED=FALSE&amp;VA","R:CALENDAR=FIVEDAY&amp;VAR:SYMBOL=SGNT&amp;VAR:INDEX=0"}</definedName>
    <definedName name="_142__FDSAUDITLINK__" hidden="1">{"fdsup://directions/FAT Viewer?action=UPDATE&amp;creator=factset&amp;DYN_ARGS=TRUE&amp;DOC_NAME=FAT:FQL_AUDITING_CLIENT_TEMPLATE.FAT&amp;display_string=Audit&amp;VAR:KEY=POJIJMTWHO&amp;VAR:QUERY=RkZfREVCVChRVFIsMCk=&amp;WINDOW=FIRST_POPUP&amp;HEIGHT=450&amp;WIDTH=450&amp;START_MAXIMIZED=FALSE&amp;VA","R:CALENDAR=FIVEDAY&amp;VAR:SYMBOL=TEVA&amp;VAR:INDEX=0"}</definedName>
    <definedName name="_143__FDSAUDITLINK__" hidden="1">{"fdsup://Directions/FactSet Auditing Viewer?action=AUDIT_VALUE&amp;DB=129&amp;ID1=94268310&amp;VALUEID=02001&amp;SDATE=201102&amp;PERIODTYPE=QTR_STD&amp;SCFT=3&amp;window=popup_no_bar&amp;width=385&amp;height=120&amp;START_MAXIMIZED=FALSE&amp;creator=factset&amp;display_string=Audit"}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IBYFOFQBU&amp;VAR:QUERY=RkZfREVCVChRVFIsMCk=&amp;WINDOW=FIRST_POPUP&amp;HEIGHT=450&amp;WIDTH=450&amp;START_MAXIMIZED=FALSE&amp;VA","R:CALENDAR=FIVEDAY&amp;VAR:SYMBOL=WPI&amp;VAR:INDEX=0"}</definedName>
    <definedName name="_145__FDSAUDITLINK__" hidden="1">{"fdsup://directions/FAT Viewer?action=UPDATE&amp;creator=factset&amp;DYN_ARGS=TRUE&amp;DOC_NAME=FAT:FQL_AUDITING_CLIENT_TEMPLATE.FAT&amp;display_string=Audit&amp;VAR:KEY=ZYZQZMRURU&amp;VAR:QUERY=RkZfREVCVChRVFIsMCk=&amp;WINDOW=FIRST_POPUP&amp;HEIGHT=450&amp;WIDTH=450&amp;START_MAXIMIZED=FALSE&amp;VA","R:CALENDAR=FIVEDAY&amp;VAR:SYMBOL=SP50&amp;VAR:INDEX=0"}</definedName>
    <definedName name="_146__FDSAUDITLINK__" hidden="1">{"fdsup://directions/FAT Viewer?action=UPDATE&amp;creator=factset&amp;DYN_ARGS=TRUE&amp;DOC_NAME=FAT:FQL_AUDITING_CLIENT_TEMPLATE.FAT&amp;display_string=Audit&amp;VAR:KEY=ZWXQZQFWZW&amp;VAR:QUERY=RkZfREVCVChRVFIsMCk=&amp;WINDOW=FIRST_POPUP&amp;HEIGHT=450&amp;WIDTH=450&amp;START_MAXIMIZED=FALSE&amp;VA","R:CALENDAR=FIVEDAY&amp;VAR:SYMBOL=SP565&amp;VAR:INDEX=0"}</definedName>
    <definedName name="_147__FDSAUDITLINK__" hidden="1">{"fdsup://directions/FAT Viewer?action=UPDATE&amp;creator=factset&amp;DYN_ARGS=TRUE&amp;DOC_NAME=FAT:FQL_AUDITING_CLIENT_TEMPLATE.FAT&amp;display_string=Audit&amp;VAR:KEY=DSDATGHMDG&amp;VAR:QUERY=RkZfREVCVChRVFIsMCk=&amp;WINDOW=FIRST_POPUP&amp;HEIGHT=450&amp;WIDTH=450&amp;START_MAXIMIZED=FALSE&amp;VA","R:CALENDAR=FIVEDAY&amp;VAR:SYMBOL=DRG&amp;VAR:INDEX=0"}</definedName>
    <definedName name="_15__FDSAUDITLINK__"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7__FDSAUDITLINK__"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8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__FDSAUDITLINK__" hidden="1">{"fdsup://directions/FAT Viewer?action=UPDATE&amp;creator=factset&amp;DYN_ARGS=TRUE&amp;DOC_NAME=FAT:FQL_AUDITING_CLIENT_TEMPLATE.FAT&amp;display_string=Audit&amp;VAR:KEY=ZMPOLWNEPK&amp;VAR:QUERY=RkZfRUJJVERBX0lCKEFOTiwyMDA3KQ==&amp;WINDOW=FIRST_POPUP&amp;HEIGHT=450&amp;WIDTH=450&amp;START_MAXIMI","ZED=FALSE&amp;VAR:CALENDAR=FIVEDAY&amp;VAR:SYMBOL=PFE&amp;VAR:INDEX=0"}</definedName>
    <definedName name="_20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9__FDSAUDITLINK__" hidden="1">{"fdsup://directions/FAT Viewer?action=UPDATE&amp;creator=factset&amp;DYN_ARGS=TRUE&amp;DOC_NAME=FAT:FQL_AUDITING_CLIENT_TEMPLATE.FAT&amp;display_string=Audit&amp;VAR:KEY=PUPARQXUXG&amp;VAR:QUERY=RkZfUEFZX09VVF9SQVRJTyhBTk4sTk9XKQ==&amp;WINDOW=FIRST_POPUP&amp;HEIGHT=450&amp;WIDTH=450&amp;START_MA","XIMIZED=FALSE&amp;VAR:CALENDAR=FIVEDAY&amp;VAR:SYMBOL=AMGN&amp;VAR:INDEX=0"}</definedName>
    <definedName name="_3__FDSAUDITLINK__" hidden="1">{"fdsup://directions/FAT Viewer?action=UPDATE&amp;creator=factset&amp;DYN_ARGS=TRUE&amp;DOC_NAME=FAT:FQL_AUDITING_CLIENT_TEMPLATE.FAT&amp;display_string=Audit&amp;VAR:KEY=JELGTKDCPC&amp;VAR:QUERY=RkZfRUJJVERBX0lCKEFOTiwyMDA2KQ==&amp;WINDOW=FIRST_POPUP&amp;HEIGHT=450&amp;WIDTH=450&amp;START_MAXIMI","ZED=FALSE&amp;VAR:CALENDAR=FIVEDAY&amp;VAR:SYMBOL=PFE&amp;VAR:INDEX=0"}</definedName>
    <definedName name="_30__FDSAUDITLINK__" hidden="1">{"fdsup://directions/FAT Viewer?action=UPDATE&amp;creator=factset&amp;DYN_ARGS=TRUE&amp;DOC_NAME=FAT:FQL_AUDITING_CLIENT_TEMPLATE.FAT&amp;display_string=Audit&amp;VAR:KEY=NOBIVMNGPE&amp;VAR:QUERY=RkZfUEFZX09VVF9SQVRJTyhBTk4sTk9XKQ==&amp;WINDOW=FIRST_POPUP&amp;HEIGHT=450&amp;WIDTH=450&amp;START_MA","XIMIZED=FALSE&amp;VAR:CALENDAR=FIVEDAY&amp;VAR:SYMBOL=ALXN&amp;VAR:INDEX=0"}</definedName>
    <definedName name="_38__FDSAUDITLINK__" hidden="1">{"fdsup://directions/FAT Viewer?action=UPDATE&amp;creator=factset&amp;DYN_ARGS=TRUE&amp;DOC_NAME=FAT:FQL_AUDITING_CLIENT_TEMPLATE.FAT&amp;display_string=Audit&amp;VAR:KEY=NQHQDUZKFC&amp;VAR:QUERY=RkZfUEFZX09VVF9SQVRJTyhBTk4sTk9XKQ==&amp;WINDOW=FIRST_POPUP&amp;HEIGHT=450&amp;WIDTH=450&amp;START_MA","XIMIZED=FALSE&amp;VAR:CALENDAR=FIVEDAY&amp;VAR:SYMBOL=BAYRY&amp;VAR:INDEX=0"}</definedName>
    <definedName name="_39__FDSAUDITLINK__" hidden="1">{"fdsup://directions/FAT Viewer?action=UPDATE&amp;creator=factset&amp;DYN_ARGS=TRUE&amp;DOC_NAME=FAT:FQL_AUDITING_CLIENT_TEMPLATE.FAT&amp;display_string=Audit&amp;VAR:KEY=LOPGHWHAPU&amp;VAR:QUERY=RkZfUEFZX09VVF9SQVRJTyhBTk4sTk9XKQ==&amp;WINDOW=FIRST_POPUP&amp;HEIGHT=450&amp;WIDTH=450&amp;START_MA","XIMIZED=FALSE&amp;VAR:CALENDAR=FIVEDAY&amp;VAR:SYMBOL=AZN&amp;VAR:INDEX=0"}</definedName>
    <definedName name="_4__FDSAUDITLINK__"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40__FDSAUDITLINK__" hidden="1">{"fdsup://directions/FAT Viewer?action=UPDATE&amp;creator=factset&amp;DYN_ARGS=TRUE&amp;DOC_NAME=FAT:FQL_AUDITING_CLIENT_TEMPLATE.FAT&amp;display_string=Audit&amp;VAR:KEY=ZCLCRSDAPS&amp;VAR:QUERY=RkZfUEFZX09VVF9SQVRJTyhBTk4sTk9XKQ==&amp;WINDOW=FIRST_POPUP&amp;HEIGHT=450&amp;WIDTH=450&amp;START_MA","XIMIZED=FALSE&amp;VAR:CALENDAR=FIVEDAY&amp;VAR:SYMBOL=PFE&amp;VAR:INDEX=0"}</definedName>
    <definedName name="_41__FDSAUDITLINK__" hidden="1">{"fdsup://directions/FAT Viewer?action=UPDATE&amp;creator=factset&amp;DYN_ARGS=TRUE&amp;DOC_NAME=FAT:FQL_AUDITING_CLIENT_TEMPLATE.FAT&amp;display_string=Audit&amp;VAR:KEY=BYLCVWFIZG&amp;VAR:QUERY=RkZfUEFZX09VVF9SQVRJTyhBTk4sTk9XKQ==&amp;WINDOW=FIRST_POPUP&amp;HEIGHT=450&amp;WIDTH=450&amp;START_MA","XIMIZED=FALSE&amp;VAR:CALENDAR=FIVEDAY&amp;VAR:SYMBOL=MRK&amp;VAR:INDEX=0"}</definedName>
    <definedName name="_42__FDSAUDITLINK__" hidden="1">{"fdsup://directions/FAT Viewer?action=UPDATE&amp;creator=factset&amp;DYN_ARGS=TRUE&amp;DOC_NAME=FAT:FQL_AUDITING_CLIENT_TEMPLATE.FAT&amp;display_string=Audit&amp;VAR:KEY=ZIRGRQDQTW&amp;VAR:QUERY=RkZfUEFZX09VVF9SQVRJTyhBTk4sTk9XKQ==&amp;WINDOW=FIRST_POPUP&amp;HEIGHT=450&amp;WIDTH=450&amp;START_MA","XIMIZED=FALSE&amp;VAR:CALENDAR=FIVEDAY&amp;VAR:SYMBOL=LLY&amp;VAR:INDEX=0"}</definedName>
    <definedName name="_43__FDSAUDITLINK__" hidden="1">{"fdsup://directions/FAT Viewer?action=UPDATE&amp;creator=factset&amp;DYN_ARGS=TRUE&amp;DOC_NAME=FAT:FQL_AUDITING_CLIENT_TEMPLATE.FAT&amp;display_string=Audit&amp;VAR:KEY=NEPKPEBABG&amp;VAR:QUERY=RkZfUEFZX09VVF9SQVRJTyhBTk4sTk9XKQ==&amp;WINDOW=FIRST_POPUP&amp;HEIGHT=450&amp;WIDTH=450&amp;START_MA","XIMIZED=FALSE&amp;VAR:CALENDAR=FIVEDAY&amp;VAR:SYMBOL=JNJ&amp;VAR:INDEX=0"}</definedName>
    <definedName name="_44__FDSAUDITLINK__" hidden="1">{"fdsup://directions/FAT Viewer?action=UPDATE&amp;creator=factset&amp;DYN_ARGS=TRUE&amp;DOC_NAME=FAT:FQL_AUDITING_CLIENT_TEMPLATE.FAT&amp;display_string=Audit&amp;VAR:KEY=DCPCRGJOXS&amp;VAR:QUERY=RkZfUEFZX09VVF9SQVRJTyhBTk4sTk9XKQ==&amp;WINDOW=FIRST_POPUP&amp;HEIGHT=450&amp;WIDTH=450&amp;START_MA","XIMIZED=FALSE&amp;VAR:CALENDAR=FIVEDAY&amp;VAR:SYMBOL=BMY&amp;VAR:INDEX=0"}</definedName>
    <definedName name="_45__FDSAUDITLINK__" hidden="1">{"fdsup://directions/FAT Viewer?action=UPDATE&amp;creator=factset&amp;DYN_ARGS=TRUE&amp;DOC_NAME=FAT:FQL_AUDITING_CLIENT_TEMPLATE.FAT&amp;display_string=Audit&amp;VAR:KEY=ZYZAZOHSNG&amp;VAR:QUERY=RkZfUEFZX09VVF9SQVRJTyhBTk4sTk9XKQ==&amp;WINDOW=FIRST_POPUP&amp;HEIGHT=450&amp;WIDTH=450&amp;START_MA","XIMIZED=FALSE&amp;VAR:CALENDAR=FIVEDAY&amp;VAR:SYMBOL=ABT&amp;VAR:INDEX=0"}</definedName>
    <definedName name="_46__FDSAUDITLINK__" hidden="1">{"fdsup://directions/FAT Viewer?action=UPDATE&amp;creator=factset&amp;DYN_ARGS=TRUE&amp;DOC_NAME=FAT:FQL_AUDITING_CLIENT_TEMPLATE.FAT&amp;display_string=Audit&amp;VAR:KEY=BCPWDIXCDW&amp;VAR:QUERY=RkZfSU5WRVNUX0xUKFFUUiwwKQ==&amp;WINDOW=FIRST_POPUP&amp;HEIGHT=450&amp;WIDTH=450&amp;START_MAXIMIZED=","FALSE&amp;VAR:CALENDAR=FIVEDAY&amp;VAR:SYMBOL=DRG&amp;VAR:INDEX=0"}</definedName>
    <definedName name="_47__FDSAUDITLINK__" hidden="1">{"fdsup://directions/FAT Viewer?action=UPDATE&amp;creator=factset&amp;DYN_ARGS=TRUE&amp;DOC_NAME=FAT:FQL_AUDITING_CLIENT_TEMPLATE.FAT&amp;display_string=Audit&amp;VAR:KEY=TEDYJYHWRU&amp;VAR:QUERY=RkZfSU5WRVNUX0xUKFFUUiwwKQ==&amp;WINDOW=FIRST_POPUP&amp;HEIGHT=450&amp;WIDTH=450&amp;START_MAXIMIZED=","FALSE&amp;VAR:CALENDAR=FIVEDAY&amp;VAR:SYMBOL=SP565&amp;VAR:INDEX=0"}</definedName>
    <definedName name="_48__FDSAUDITLINK__" hidden="1">{"fdsup://directions/FAT Viewer?action=UPDATE&amp;creator=factset&amp;DYN_ARGS=TRUE&amp;DOC_NAME=FAT:FQL_AUDITING_CLIENT_TEMPLATE.FAT&amp;display_string=Audit&amp;VAR:KEY=DSLAREBAXY&amp;VAR:QUERY=RkZfSU5WRVNUX0xUKFFUUiwwKQ==&amp;WINDOW=FIRST_POPUP&amp;HEIGHT=450&amp;WIDTH=450&amp;START_MAXIMIZED=","FALSE&amp;VAR:CALENDAR=FIVEDAY&amp;VAR:SYMBOL=SP50&amp;VAR:INDEX=0"}</definedName>
    <definedName name="_49__FDSAUDITLINK__" hidden="1">{"fdsup://directions/FAT Viewer?action=UPDATE&amp;creator=factset&amp;DYN_ARGS=TRUE&amp;DOC_NAME=FAT:FQL_AUDITING_CLIENT_TEMPLATE.FAT&amp;display_string=Audit&amp;VAR:KEY=BCRAPSHKZU&amp;VAR:QUERY=RkZfSU5WRVNUX0xUKFFUUiwwKQ==&amp;WINDOW=FIRST_POPUP&amp;HEIGHT=450&amp;WIDTH=450&amp;START_MAXIMIZED=","FALSE&amp;VAR:CALENDAR=FIVEDAY&amp;VAR:SYMBOL=WPI&amp;VAR:INDEX=0"}</definedName>
    <definedName name="_5__FDSAUDITLINK__"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50__FDSAUDITLINK__" hidden="1">{"fdsup://directions/FAT Viewer?action=UPDATE&amp;creator=factset&amp;DYN_ARGS=TRUE&amp;DOC_NAME=FAT:FQL_AUDITING_CLIENT_TEMPLATE.FAT&amp;display_string=Audit&amp;VAR:KEY=DKBYXGNAJE&amp;VAR:QUERY=RkZfSU5WRVNUX0xUKFFUUiwwKQ==&amp;WINDOW=FIRST_POPUP&amp;HEIGHT=450&amp;WIDTH=450&amp;START_MAXIMIZED=","FALSE&amp;VAR:CALENDAR=FIVEDAY&amp;VAR:SYMBOL=TEVA&amp;VAR:INDEX=0"}</definedName>
    <definedName name="_51__FDSAUDITLINK__" hidden="1">{"fdsup://directions/FAT Viewer?action=UPDATE&amp;creator=factset&amp;DYN_ARGS=TRUE&amp;DOC_NAME=FAT:FQL_AUDITING_CLIENT_TEMPLATE.FAT&amp;display_string=Audit&amp;VAR:KEY=BSRGLGNQFU&amp;VAR:QUERY=RkZfSU5WRVNUX0xUKFFUUiwwKQ==&amp;WINDOW=FIRST_POPUP&amp;HEIGHT=450&amp;WIDTH=450&amp;START_MAXIMIZED=","FALSE&amp;VAR:CALENDAR=FIVEDAY&amp;VAR:SYMBOL=SGNT&amp;VAR:INDEX=0"}</definedName>
    <definedName name="_52__FDSAUDITLINK__" hidden="1">{"fdsup://directions/FAT Viewer?action=UPDATE&amp;creator=factset&amp;DYN_ARGS=TRUE&amp;DOC_NAME=FAT:FQL_AUDITING_CLIENT_TEMPLATE.FAT&amp;display_string=Audit&amp;VAR:KEY=JYNYLSNKZK&amp;VAR:QUERY=RkZfSU5WRVNUX0xUKFFUUiwwKQ==&amp;WINDOW=FIRST_POPUP&amp;HEIGHT=450&amp;WIDTH=450&amp;START_MAXIMIZED=","FALSE&amp;VAR:CALENDAR=FIVEDAY&amp;VAR:SYMBOL=PRX&amp;VAR:INDEX=0"}</definedName>
    <definedName name="_53__FDSAUDITLINK__" hidden="1">{"fdsup://directions/FAT Viewer?action=UPDATE&amp;creator=factset&amp;DYN_ARGS=TRUE&amp;DOC_NAME=FAT:FQL_AUDITING_CLIENT_TEMPLATE.FAT&amp;display_string=Audit&amp;VAR:KEY=VORGDSBSHE&amp;VAR:QUERY=RkZfSU5WRVNUX0xUKFFUUiwwKQ==&amp;WINDOW=FIRST_POPUP&amp;HEIGHT=450&amp;WIDTH=450&amp;START_MAXIMIZED=","FALSE&amp;VAR:CALENDAR=FIVEDAY&amp;VAR:SYMBOL=PRGO&amp;VAR:INDEX=0"}</definedName>
    <definedName name="_54__FDSAUDITLINK__" hidden="1">{"fdsup://directions/FAT Viewer?action=UPDATE&amp;creator=factset&amp;DYN_ARGS=TRUE&amp;DOC_NAME=FAT:FQL_AUDITING_CLIENT_TEMPLATE.FAT&amp;display_string=Audit&amp;VAR:KEY=NWLCFEHKDW&amp;VAR:QUERY=RkZfSU5WRVNUX0xUKFFUUiwwKQ==&amp;WINDOW=FIRST_POPUP&amp;HEIGHT=450&amp;WIDTH=450&amp;START_MAXIMIZED=","FALSE&amp;VAR:CALENDAR=FIVEDAY&amp;VAR:SYMBOL=MYL&amp;VAR:INDEX=0"}</definedName>
    <definedName name="_55__FDSAUDITLINK__" hidden="1">{"fdsup://directions/FAT Viewer?action=UPDATE&amp;creator=factset&amp;DYN_ARGS=TRUE&amp;DOC_NAME=FAT:FQL_AUDITING_CLIENT_TEMPLATE.FAT&amp;display_string=Audit&amp;VAR:KEY=VOTWJIPIRG&amp;VAR:QUERY=RkZfSU5WRVNUX0xUKFFUUiwwKQ==&amp;WINDOW=FIRST_POPUP&amp;HEIGHT=450&amp;WIDTH=450&amp;START_MAXIMIZED=","FALSE&amp;VAR:CALENDAR=FIVEDAY&amp;VAR:SYMBOL=IPXL&amp;VAR:INDEX=0"}</definedName>
    <definedName name="_56__FDSAUDITLINK__" hidden="1">{"fdsup://directions/FAT Viewer?action=UPDATE&amp;creator=factset&amp;DYN_ARGS=TRUE&amp;DOC_NAME=FAT:FQL_AUDITING_CLIENT_TEMPLATE.FAT&amp;display_string=Audit&amp;VAR:KEY=HYXOPWBMVW&amp;VAR:QUERY=RkZfSU5WRVNUX0xUKFFUUiwwKQ==&amp;WINDOW=FIRST_POPUP&amp;HEIGHT=450&amp;WIDTH=450&amp;START_MAXIMIZED=","FALSE&amp;VAR:CALENDAR=FIVEDAY&amp;VAR:SYMBOL=HSP&amp;VAR:INDEX=0"}</definedName>
    <definedName name="_57__FDSAUDITLINK__" hidden="1">{"fdsup://directions/FAT Viewer?action=UPDATE&amp;creator=factset&amp;DYN_ARGS=TRUE&amp;DOC_NAME=FAT:FQL_AUDITING_CLIENT_TEMPLATE.FAT&amp;display_string=Audit&amp;VAR:KEY=JGLIBUVSXS&amp;VAR:QUERY=RkZfSU5WRVNUX0xUKFFUUiwwKQ==&amp;WINDOW=FIRST_POPUP&amp;HEIGHT=450&amp;WIDTH=450&amp;START_MAXIMIZED=","FALSE&amp;VAR:CALENDAR=FIVEDAY&amp;VAR:SYMBOL=HITK&amp;VAR:INDEX=0"}</definedName>
    <definedName name="_58__FDSAUDITLINK__" hidden="1">{"fdsup://directions/FAT Viewer?action=UPDATE&amp;creator=factset&amp;DYN_ARGS=TRUE&amp;DOC_NAME=FAT:FQL_AUDITING_CLIENT_TEMPLATE.FAT&amp;display_string=Audit&amp;VAR:KEY=LIZAJWFUFG&amp;VAR:QUERY=RkZfSU5WRVNUX0xUKFFUUiwwKQ==&amp;WINDOW=FIRST_POPUP&amp;HEIGHT=450&amp;WIDTH=450&amp;START_MAXIMIZED=","FALSE&amp;VAR:CALENDAR=FIVEDAY&amp;VAR:SYMBOL=WCRX&amp;VAR:INDEX=0"}</definedName>
    <definedName name="_59__FDSAUDITLINK__" hidden="1">{"fdsup://directions/FAT Viewer?action=UPDATE&amp;creator=factset&amp;DYN_ARGS=TRUE&amp;DOC_NAME=FAT:FQL_AUDITING_CLIENT_TEMPLATE.FAT&amp;display_string=Audit&amp;VAR:KEY=ZAPCZANCVI&amp;VAR:QUERY=RkZfSU5WRVNUX0xUKFFUUiwwKQ==&amp;WINDOW=FIRST_POPUP&amp;HEIGHT=450&amp;WIDTH=450&amp;START_MAXIMIZED=","FALSE&amp;VAR:CALENDAR=FIVEDAY&amp;VAR:SYMBOL=VPHM&amp;VAR:INDEX=0"}</definedName>
    <definedName name="_6__FDSAUDITLINK__"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60__FDSAUDITLINK__" hidden="1">{"fdsup://directions/FAT Viewer?action=UPDATE&amp;creator=factset&amp;DYN_ARGS=TRUE&amp;DOC_NAME=FAT:FQL_AUDITING_CLIENT_TEMPLATE.FAT&amp;display_string=Audit&amp;VAR:KEY=DMPWPUVYLW&amp;VAR:QUERY=RkZfSU5WRVNUX0xUKFFUUiwwKQ==&amp;WINDOW=FIRST_POPUP&amp;HEIGHT=450&amp;WIDTH=450&amp;START_MAXIMIZED=","FALSE&amp;VAR:CALENDAR=FIVEDAY&amp;VAR:SYMBOL=VRX&amp;VAR:INDEX=0"}</definedName>
    <definedName name="_61__FDSAUDITLINK__" hidden="1">{"fdsup://directions/FAT Viewer?action=UPDATE&amp;creator=factset&amp;DYN_ARGS=TRUE&amp;DOC_NAME=FAT:FQL_AUDITING_CLIENT_TEMPLATE.FAT&amp;display_string=Audit&amp;VAR:KEY=ZWLERMTOXY&amp;VAR:QUERY=RkZfSU5WRVNUX0xUKFFUUiwwKQ==&amp;WINDOW=FIRST_POPUP&amp;HEIGHT=450&amp;WIDTH=450&amp;START_MAXIMIZED=","FALSE&amp;VAR:CALENDAR=FIVEDAY&amp;VAR:SYMBOL=SLXP&amp;VAR:INDEX=0"}</definedName>
    <definedName name="_62__FDSAUDITLINK__" hidden="1">{"fdsup://directions/FAT Viewer?action=UPDATE&amp;creator=factset&amp;DYN_ARGS=TRUE&amp;DOC_NAME=FAT:FQL_AUDITING_CLIENT_TEMPLATE.FAT&amp;display_string=Audit&amp;VAR:KEY=TEVCJYNIRA&amp;VAR:QUERY=RkZfSU5WRVNUX0xUKFFUUiwwKQ==&amp;WINDOW=FIRST_POPUP&amp;HEIGHT=450&amp;WIDTH=450&amp;START_MAXIMIZED=","FALSE&amp;VAR:CALENDAR=FIVEDAY&amp;VAR:SYMBOL=MRX&amp;VAR:INDEX=0"}</definedName>
    <definedName name="_63__FDSAUDITLINK__" hidden="1">{"fdsup://directions/FAT Viewer?action=UPDATE&amp;creator=factset&amp;DYN_ARGS=TRUE&amp;DOC_NAME=FAT:FQL_AUDITING_CLIENT_TEMPLATE.FAT&amp;display_string=Audit&amp;VAR:KEY=PQXQHMJAJK&amp;VAR:QUERY=RkZfSU5WRVNUX0xUKFFUUiwwKQ==&amp;WINDOW=FIRST_POPUP&amp;HEIGHT=450&amp;WIDTH=450&amp;START_MAXIMIZED=","FALSE&amp;VAR:CALENDAR=FIVEDAY&amp;VAR:SYMBOL=JAZZ&amp;VAR:INDEX=0"}</definedName>
    <definedName name="_64__FDSAUDITLINK__" hidden="1">{"fdsup://directions/FAT Viewer?action=UPDATE&amp;creator=factset&amp;DYN_ARGS=TRUE&amp;DOC_NAME=FAT:FQL_AUDITING_CLIENT_TEMPLATE.FAT&amp;display_string=Audit&amp;VAR:KEY=HORKLYBSXK&amp;VAR:QUERY=RkZfSU5WRVNUX0xUKFFUUiwwKQ==&amp;WINDOW=FIRST_POPUP&amp;HEIGHT=450&amp;WIDTH=450&amp;START_MAXIMIZED=","FALSE&amp;VAR:CALENDAR=FIVEDAY&amp;VAR:SYMBOL=FRX&amp;VAR:INDEX=0"}</definedName>
    <definedName name="_65__FDSAUDITLINK__" hidden="1">{"fdsup://directions/FAT Viewer?action=UPDATE&amp;creator=factset&amp;DYN_ARGS=TRUE&amp;DOC_NAME=FAT:FQL_AUDITING_CLIENT_TEMPLATE.FAT&amp;display_string=Audit&amp;VAR:KEY=DITIHIDQBQ&amp;VAR:QUERY=RkZfSU5WRVNUX0xUKFFUUiwwKQ==&amp;WINDOW=FIRST_POPUP&amp;HEIGHT=450&amp;WIDTH=450&amp;START_MAXIMIZED=","FALSE&amp;VAR:CALENDAR=FIVEDAY&amp;VAR:SYMBOL=ENDP&amp;VAR:INDEX=0"}</definedName>
    <definedName name="_66__FDSAUDITLINK__" hidden="1">{"fdsup://directions/FAT Viewer?action=UPDATE&amp;creator=factset&amp;DYN_ARGS=TRUE&amp;DOC_NAME=FAT:FQL_AUDITING_CLIENT_TEMPLATE.FAT&amp;display_string=Audit&amp;VAR:KEY=RKVMRORARM&amp;VAR:QUERY=RkZfSU5WRVNUX0xUKFFUUiwwKQ==&amp;WINDOW=FIRST_POPUP&amp;HEIGHT=450&amp;WIDTH=450&amp;START_MAXIMIZED=","FALSE&amp;VAR:CALENDAR=FIVEDAY&amp;VAR:SYMBOL=CEPH&amp;VAR:INDEX=0"}</definedName>
    <definedName name="_67__FDSAUDITLINK__" hidden="1">{"fdsup://directions/FAT Viewer?action=UPDATE&amp;creator=factset&amp;DYN_ARGS=TRUE&amp;DOC_NAME=FAT:FQL_AUDITING_CLIENT_TEMPLATE.FAT&amp;display_string=Audit&amp;VAR:KEY=XILINMFINW&amp;VAR:QUERY=RkZfSU5WRVNUX0xUKFFUUiwwKQ==&amp;WINDOW=FIRST_POPUP&amp;HEIGHT=450&amp;WIDTH=450&amp;START_MAXIMIZED=","FALSE&amp;VAR:CALENDAR=FIVEDAY&amp;VAR:SYMBOL=AGN&amp;VAR:INDEX=0"}</definedName>
    <definedName name="_68__FDSAUDITLINK__" hidden="1">{"fdsup://directions/FAT Viewer?action=UPDATE&amp;creator=factset&amp;DYN_ARGS=TRUE&amp;DOC_NAME=FAT:FQL_AUDITING_CLIENT_TEMPLATE.FAT&amp;display_string=Audit&amp;VAR:KEY=NAHOLSNWDY&amp;VAR:QUERY=RkZfSU5WRVNUX0xUKFFUUiwwKQ==&amp;WINDOW=FIRST_POPUP&amp;HEIGHT=450&amp;WIDTH=450&amp;START_MAXIMIZED=","FALSE&amp;VAR:CALENDAR=FIVEDAY&amp;VAR:SYMBOL=GILD&amp;VAR:INDEX=0"}</definedName>
    <definedName name="_69__FDSAUDITLINK__" hidden="1">{"fdsup://directions/FAT Viewer?action=UPDATE&amp;creator=factset&amp;DYN_ARGS=TRUE&amp;DOC_NAME=FAT:FQL_AUDITING_CLIENT_TEMPLATE.FAT&amp;display_string=Audit&amp;VAR:KEY=XYVWDOTINK&amp;VAR:QUERY=RkZfSU5WRVNUX0xUKFFUUiwwKQ==&amp;WINDOW=FIRST_POPUP&amp;HEIGHT=450&amp;WIDTH=450&amp;START_MAXIMIZED=","FALSE&amp;VAR:CALENDAR=FIVEDAY&amp;VAR:SYMBOL=CELG&amp;VAR:INDEX=0"}</definedName>
    <definedName name="_7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0__FDSAUDITLINK__" hidden="1">{"fdsup://directions/FAT Viewer?action=UPDATE&amp;creator=factset&amp;DYN_ARGS=TRUE&amp;DOC_NAME=FAT:FQL_AUDITING_CLIENT_TEMPLATE.FAT&amp;display_string=Audit&amp;VAR:KEY=VGXUNQXELC&amp;VAR:QUERY=RkZfSU5WRVNUX0xUKFFUUiwwKQ==&amp;WINDOW=FIRST_POPUP&amp;HEIGHT=450&amp;WIDTH=450&amp;START_MAXIMIZED=","FALSE&amp;VAR:CALENDAR=FIVEDAY&amp;VAR:SYMBOL=BIIB&amp;VAR:INDEX=0"}</definedName>
    <definedName name="_71__FDSAUDITLINK__" hidden="1">{"fdsup://directions/FAT Viewer?action=UPDATE&amp;creator=factset&amp;DYN_ARGS=TRUE&amp;DOC_NAME=FAT:FQL_AUDITING_CLIENT_TEMPLATE.FAT&amp;display_string=Audit&amp;VAR:KEY=ZWDUTWDEPG&amp;VAR:QUERY=RkZfSU5WRVNUX0xUKFFUUiwwKQ==&amp;WINDOW=FIRST_POPUP&amp;HEIGHT=450&amp;WIDTH=450&amp;START_MAXIMIZED=","FALSE&amp;VAR:CALENDAR=FIVEDAY&amp;VAR:SYMBOL=AMGN&amp;VAR:INDEX=0"}</definedName>
    <definedName name="_72__FDSAUDITLINK__" hidden="1">{"fdsup://directions/FAT Viewer?action=UPDATE&amp;creator=factset&amp;DYN_ARGS=TRUE&amp;DOC_NAME=FAT:FQL_AUDITING_CLIENT_TEMPLATE.FAT&amp;display_string=Audit&amp;VAR:KEY=LOPUXAFKXA&amp;VAR:QUERY=RkZfSU5WRVNUX0xUKFFUUiwwKQ==&amp;WINDOW=FIRST_POPUP&amp;HEIGHT=450&amp;WIDTH=450&amp;START_MAXIMIZED=","FALSE&amp;VAR:CALENDAR=FIVEDAY&amp;VAR:SYMBOL=ALXN&amp;VAR:INDEX=0"}</definedName>
    <definedName name="_73__FDSAUDITLINK__" hidden="1">{"fdsup://directions/FAT Viewer?action=UPDATE&amp;creator=factset&amp;DYN_ARGS=TRUE&amp;DOC_NAME=FAT:FQL_AUDITING_CLIENT_TEMPLATE.FAT&amp;display_string=Audit&amp;VAR:KEY=ZSHOZIHUTA&amp;VAR:QUERY=RkZfSU5WRVNUX0xUKFFUUiwwKQ==&amp;WINDOW=FIRST_POPUP&amp;HEIGHT=450&amp;WIDTH=450&amp;START_MAXIMIZED=","FALSE&amp;VAR:CALENDAR=FIVEDAY&amp;VAR:SYMBOL=435209&amp;VAR:INDEX=0"}</definedName>
    <definedName name="_74__FDSAUDITLINK__" hidden="1">{"fdsup://directions/FAT Viewer?action=UPDATE&amp;creator=factset&amp;DYN_ARGS=TRUE&amp;DOC_NAME=FAT:FQL_AUDITING_CLIENT_TEMPLATE.FAT&amp;display_string=Audit&amp;VAR:KEY=VQFEJCHUXU&amp;VAR:QUERY=RkZfREVCVChRVFIsMCk=&amp;WINDOW=FIRST_POPUP&amp;HEIGHT=450&amp;WIDTH=450&amp;START_MAXIMIZED=FALSE&amp;VA","R:CALENDAR=FIVEDAY&amp;VAR:SYMBOL=435209&amp;VAR:INDEX=0"}</definedName>
    <definedName name="_75__FDSAUDITLINK__" hidden="1">{"fdsup://directions/FAT Viewer?action=UPDATE&amp;creator=factset&amp;DYN_ARGS=TRUE&amp;DOC_NAME=FAT:FQL_AUDITING_CLIENT_TEMPLATE.FAT&amp;display_string=Audit&amp;VAR:KEY=LCJMPUTERA&amp;VAR:QUERY=RkZfSU5WRVNUX0xUKFFUUiwwKQ==&amp;WINDOW=FIRST_POPUP&amp;HEIGHT=450&amp;WIDTH=450&amp;START_MAXIMIZED=","FALSE&amp;VAR:CALENDAR=FIVEDAY&amp;VAR:SYMBOL=PFE&amp;VAR:INDEX=0"}</definedName>
    <definedName name="_76__FDSAUDITLINK__" hidden="1">{"fdsup://directions/FAT Viewer?action=UPDATE&amp;creator=factset&amp;DYN_ARGS=TRUE&amp;DOC_NAME=FAT:FQL_AUDITING_CLIENT_TEMPLATE.FAT&amp;display_string=Audit&amp;VAR:KEY=HYLCZGJGBW&amp;VAR:QUERY=RkZfSU5WRVNUX0xUKFFUUiwwKQ==&amp;WINDOW=FIRST_POPUP&amp;HEIGHT=450&amp;WIDTH=450&amp;START_MAXIMIZED=","FALSE&amp;VAR:CALENDAR=FIVEDAY&amp;VAR:SYMBOL=MRK&amp;VAR:INDEX=0"}</definedName>
    <definedName name="_77__FDSAUDITLINK__" hidden="1">{"fdsup://directions/FAT Viewer?action=UPDATE&amp;creator=factset&amp;DYN_ARGS=TRUE&amp;DOC_NAME=FAT:FQL_AUDITING_CLIENT_TEMPLATE.FAT&amp;display_string=Audit&amp;VAR:KEY=DERQHCPOHU&amp;VAR:QUERY=RkZfSU5WRVNUX0xUKFFUUiwwKQ==&amp;WINDOW=FIRST_POPUP&amp;HEIGHT=450&amp;WIDTH=450&amp;START_MAXIMIZED=","FALSE&amp;VAR:CALENDAR=FIVEDAY&amp;VAR:SYMBOL=LLY&amp;VAR:INDEX=0"}</definedName>
    <definedName name="_78__FDSAUDITLINK__" hidden="1">{"fdsup://directions/FAT Viewer?action=UPDATE&amp;creator=factset&amp;DYN_ARGS=TRUE&amp;DOC_NAME=FAT:FQL_AUDITING_CLIENT_TEMPLATE.FAT&amp;display_string=Audit&amp;VAR:KEY=FGNKPMPQZY&amp;VAR:QUERY=RkZfSU5WRVNUX0xUKFFUUiwwKQ==&amp;WINDOW=FIRST_POPUP&amp;HEIGHT=450&amp;WIDTH=450&amp;START_MAXIMIZED=","FALSE&amp;VAR:CALENDAR=FIVEDAY&amp;VAR:SYMBOL=JNJ&amp;VAR:INDEX=0"}</definedName>
    <definedName name="_79__FDSAUDITLINK__" hidden="1">{"fdsup://directions/FAT Viewer?action=UPDATE&amp;creator=factset&amp;DYN_ARGS=TRUE&amp;DOC_NAME=FAT:FQL_AUDITING_CLIENT_TEMPLATE.FAT&amp;display_string=Audit&amp;VAR:KEY=LYXSRCBOHA&amp;VAR:QUERY=RkZfSU5WRVNUX0xUKFFUUiwwKQ==&amp;WINDOW=FIRST_POPUP&amp;HEIGHT=450&amp;WIDTH=450&amp;START_MAXIMIZED=","FALSE&amp;VAR:CALENDAR=FIVEDAY&amp;VAR:SYMBOL=BMY&amp;VAR:INDEX=0"}</definedName>
    <definedName name="_8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0__FDSAUDITLINK__" hidden="1">{"fdsup://directions/FAT Viewer?action=UPDATE&amp;creator=factset&amp;DYN_ARGS=TRUE&amp;DOC_NAME=FAT:FQL_AUDITING_CLIENT_TEMPLATE.FAT&amp;display_string=Audit&amp;VAR:KEY=ZOVAZMHKPC&amp;VAR:QUERY=RkZfSU5WRVNUX0xUKFFUUiwwKQ==&amp;WINDOW=FIRST_POPUP&amp;HEIGHT=450&amp;WIDTH=450&amp;START_MAXIMIZED=","FALSE&amp;VAR:CALENDAR=FIVEDAY&amp;VAR:SYMBOL=ABT&amp;VAR:INDEX=0"}</definedName>
    <definedName name="_81__FDSAUDITLINK__" hidden="1">{"fdsup://directions/FAT Viewer?action=UPDATE&amp;creator=factset&amp;DYN_ARGS=TRUE&amp;DOC_NAME=FAT:FQL_AUDITING_CLIENT_TEMPLATE.FAT&amp;display_string=Audit&amp;VAR:KEY=JSLSBKVYHS&amp;VAR:QUERY=RkZfSU5WRVNUX0xUKFFUUiwwKQ==&amp;WINDOW=FIRST_POPUP&amp;HEIGHT=450&amp;WIDTH=450&amp;START_MAXIMIZED=","FALSE&amp;VAR:CALENDAR=FIVEDAY&amp;VAR:SYMBOL=AZN&amp;VAR:INDEX=0"}</definedName>
    <definedName name="_82__FDSAUDITLINK__" hidden="1">{"fdsup://directions/FAT Viewer?action=UPDATE&amp;creator=factset&amp;DYN_ARGS=TRUE&amp;DOC_NAME=FAT:FQL_AUDITING_CLIENT_TEMPLATE.FAT&amp;display_string=Audit&amp;VAR:KEY=HAHKXMLERQ&amp;VAR:QUERY=RkZfSU5WRVNUX0xUKFFUUiwwKQ==&amp;WINDOW=FIRST_POPUP&amp;HEIGHT=450&amp;WIDTH=450&amp;START_MAXIMIZED=","FALSE&amp;VAR:CALENDAR=FIVEDAY&amp;VAR:SYMBOL=NVS&amp;VAR:INDEX=0"}</definedName>
    <definedName name="_83__FDSAUDITLINK__" hidden="1">{"fdsup://directions/FAT Viewer?action=UPDATE&amp;creator=factset&amp;DYN_ARGS=TRUE&amp;DOC_NAME=FAT:FQL_AUDITING_CLIENT_TEMPLATE.FAT&amp;display_string=Audit&amp;VAR:KEY=ZGBABKVOBO&amp;VAR:QUERY=RkZfSU5WRVNUX0xUKFFUUiwwKQ==&amp;WINDOW=FIRST_POPUP&amp;HEIGHT=450&amp;WIDTH=450&amp;START_MAXIMIZED=","FALSE&amp;VAR:CALENDAR=FIVEDAY&amp;VAR:SYMBOL=SHPGY&amp;VAR:INDEX=0"}</definedName>
    <definedName name="_84__FDSAUDITLINK__" hidden="1">{"fdsup://Directions/FactSet Auditing Viewer?action=AUDIT_VALUE&amp;DB=129&amp;ID1=00282410&amp;VALUEID=02001&amp;SDATE=201102&amp;PERIODTYPE=QTR_STD&amp;SCFT=3&amp;window=popup_no_bar&amp;width=385&amp;height=120&amp;START_MAXIMIZED=FALSE&amp;creator=factset&amp;display_string=Audit"}</definedName>
    <definedName name="_85__FDSAUDITLINK__" hidden="1">{"fdsup://directions/FAT Viewer?action=UPDATE&amp;creator=factset&amp;DYN_ARGS=TRUE&amp;DOC_NAME=FAT:FQL_AUDITING_CLIENT_TEMPLATE.FAT&amp;display_string=Audit&amp;VAR:KEY=FQVITULUDU&amp;VAR:QUERY=RkZfREVCVChRVFIsMCk=&amp;WINDOW=FIRST_POPUP&amp;HEIGHT=450&amp;WIDTH=450&amp;START_MAXIMIZED=FALSE&amp;VA","R:CALENDAR=FIVEDAY&amp;VAR:SYMBOL=ABT&amp;VAR:INDEX=0"}</definedName>
    <definedName name="_86__FDSAUDITLINK__" hidden="1">{"fdsup://Directions/FactSet Auditing Viewer?action=AUDIT_VALUE&amp;DB=129&amp;ID1=11012210&amp;VALUEID=02001&amp;SDATE=201102&amp;PERIODTYPE=QTR_STD&amp;SCFT=3&amp;window=popup_no_bar&amp;width=385&amp;height=120&amp;START_MAXIMIZED=FALSE&amp;creator=factset&amp;display_string=Audit"}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DKTMXEVMHY&amp;VAR:QUERY=RkZfREVCVChRVFIsMCk=&amp;WINDOW=FIRST_POPUP&amp;HEIGHT=450&amp;WIDTH=450&amp;START_MAXIMIZED=FALSE&amp;VA","R:CALENDAR=FIVEDAY&amp;VAR:SYMBOL=BMY&amp;VAR:INDEX=0"}</definedName>
    <definedName name="_88__FDSAUDITLINK__" hidden="1">{"fdsup://Directions/FactSet Auditing Viewer?action=AUDIT_VALUE&amp;DB=129&amp;ID1=47816010&amp;VALUEID=02001&amp;SDATE=201102&amp;PERIODTYPE=QTR_STD&amp;SCFT=3&amp;window=popup_no_bar&amp;width=385&amp;height=120&amp;START_MAXIMIZED=FALSE&amp;creator=factset&amp;display_string=Audit"}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TCZQTEZSZW&amp;VAR:QUERY=RkZfREVCVChRVFIsMCk=&amp;WINDOW=FIRST_POPUP&amp;HEIGHT=450&amp;WIDTH=450&amp;START_MAXIMIZED=FALSE&amp;VA","R:CALENDAR=FIVEDAY&amp;VAR:SYMBOL=JNJ&amp;VAR:INDEX=0"}</definedName>
    <definedName name="_9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0__FDSAUDITLINK__" hidden="1">{"fdsup://Directions/FactSet Auditing Viewer?action=AUDIT_VALUE&amp;DB=129&amp;ID1=53245710&amp;VALUEID=02001&amp;SDATE=201102&amp;PERIODTYPE=QTR_STD&amp;SCFT=3&amp;window=popup_no_bar&amp;width=385&amp;height=120&amp;START_MAXIMIZED=FALSE&amp;creator=factset&amp;display_string=Audit"}</definedName>
    <definedName name="_91__FDSAUDITLINK__" hidden="1">{"fdsup://directions/FAT Viewer?action=UPDATE&amp;creator=factset&amp;DYN_ARGS=TRUE&amp;DOC_NAME=FAT:FQL_AUDITING_CLIENT_TEMPLATE.FAT&amp;display_string=Audit&amp;VAR:KEY=XEBYRMFCTI&amp;VAR:QUERY=RkZfREVCVChRVFIsMCk=&amp;WINDOW=FIRST_POPUP&amp;HEIGHT=450&amp;WIDTH=450&amp;START_MAXIMIZED=FALSE&amp;VA","R:CALENDAR=FIVEDAY&amp;VAR:SYMBOL=LLY&amp;VAR:INDEX=0"}</definedName>
    <definedName name="_92__FDSAUDITLINK__" hidden="1">{"fdsup://Directions/FactSet Auditing Viewer?action=AUDIT_VALUE&amp;DB=129&amp;ID1=58933Y10&amp;VALUEID=02001&amp;SDATE=201102&amp;PERIODTYPE=QTR_STD&amp;SCFT=3&amp;window=popup_no_bar&amp;width=385&amp;height=120&amp;START_MAXIMIZED=FALSE&amp;creator=factset&amp;display_string=Audit"}</definedName>
    <definedName name="_93__FDSAUDITLINK__" hidden="1">{"fdsup://directions/FAT Viewer?action=UPDATE&amp;creator=factset&amp;DYN_ARGS=TRUE&amp;DOC_NAME=FAT:FQL_AUDITING_CLIENT_TEMPLATE.FAT&amp;display_string=Audit&amp;VAR:KEY=VSHAXOFKJC&amp;VAR:QUERY=RkZfREVCVChRVFIsMCk=&amp;WINDOW=FIRST_POPUP&amp;HEIGHT=450&amp;WIDTH=450&amp;START_MAXIMIZED=FALSE&amp;VA","R:CALENDAR=FIVEDAY&amp;VAR:SYMBOL=MRK&amp;VAR:INDEX=0"}</definedName>
    <definedName name="_94__FDSAUDITLINK__" hidden="1">{"fdsup://Directions/FactSet Auditing Viewer?action=AUDIT_VALUE&amp;DB=129&amp;ID1=71708110&amp;VALUEID=02001&amp;SDATE=201102&amp;PERIODTYPE=QTR_STD&amp;SCFT=3&amp;window=popup_no_bar&amp;width=385&amp;height=120&amp;START_MAXIMIZED=FALSE&amp;creator=factset&amp;display_string=Audit"}</definedName>
    <definedName name="_95__FDSAUDITLINK__" hidden="1">{"fdsup://directions/FAT Viewer?action=UPDATE&amp;creator=factset&amp;DYN_ARGS=TRUE&amp;DOC_NAME=FAT:FQL_AUDITING_CLIENT_TEMPLATE.FAT&amp;display_string=Audit&amp;VAR:KEY=DKFMPYNSHQ&amp;VAR:QUERY=RkZfREVCVChRVFIsMCk=&amp;WINDOW=FIRST_POPUP&amp;HEIGHT=450&amp;WIDTH=450&amp;START_MAXIMIZED=FALSE&amp;VA","R:CALENDAR=FIVEDAY&amp;VAR:SYMBOL=PFE&amp;VAR:INDEX=0"}</definedName>
    <definedName name="_96__FDSAUDITLINK__" hidden="1">{"fdsup://directions/FAT Viewer?action=UPDATE&amp;creator=factset&amp;DYN_ARGS=TRUE&amp;DOC_NAME=FAT:FQL_AUDITING_CLIENT_TEMPLATE.FAT&amp;display_string=Audit&amp;VAR:KEY=JWRODKFUNO&amp;VAR:QUERY=RkZfREVCVChRVFIsMCk=&amp;WINDOW=FIRST_POPUP&amp;HEIGHT=450&amp;WIDTH=450&amp;START_MAXIMIZED=FALSE&amp;VA","R:CALENDAR=FIVEDAY&amp;VAR:SYMBOL=AZN&amp;VAR:INDEX=0"}</definedName>
    <definedName name="_97__FDSAUDITLINK__" hidden="1">{"fdsup://directions/FAT Viewer?action=UPDATE&amp;creator=factset&amp;DYN_ARGS=TRUE&amp;DOC_NAME=FAT:FQL_AUDITING_CLIENT_TEMPLATE.FAT&amp;display_string=Audit&amp;VAR:KEY=DIZEHARWFQ&amp;VAR:QUERY=RkZfREVCVChRVFIsMCk=&amp;WINDOW=FIRST_POPUP&amp;HEIGHT=450&amp;WIDTH=450&amp;START_MAXIMIZED=FALSE&amp;VA","R:CALENDAR=FIVEDAY&amp;VAR:SYMBOL=NVS&amp;VAR:INDEX=0"}</definedName>
    <definedName name="_98__FDSAUDITLINK__" hidden="1">{"fdsup://directions/FAT Viewer?action=UPDATE&amp;creator=factset&amp;DYN_ARGS=TRUE&amp;DOC_NAME=FAT:FQL_AUDITING_CLIENT_TEMPLATE.FAT&amp;display_string=Audit&amp;VAR:KEY=VSPITILQPU&amp;VAR:QUERY=RkZfREVCVChRVFIsMCk=&amp;WINDOW=FIRST_POPUP&amp;HEIGHT=450&amp;WIDTH=450&amp;START_MAXIMIZED=FALSE&amp;VA","R:CALENDAR=FIVEDAY&amp;VAR:SYMBOL=SHPGY&amp;VAR:INDEX=0"}</definedName>
    <definedName name="_99__FDSAUDITLINK__" hidden="1">{"fdsup://Directions/FactSet Auditing Viewer?action=AUDIT_VALUE&amp;DB=129&amp;ID1=01535110&amp;VALUEID=02001&amp;SDATE=201102&amp;PERIODTYPE=QTR_STD&amp;SCFT=3&amp;window=popup_no_bar&amp;width=385&amp;height=120&amp;START_MAXIMIZED=FALSE&amp;creator=factset&amp;display_string=Audit"}</definedName>
    <definedName name="_bdm.02E29E7B1053433EA3CCCBE4E5141596.edm" hidden="1">[1]Sheet1!$A:$IV</definedName>
    <definedName name="_bdm.0465D0F8BD2C4E888AB9C11EA0CBE52C.edm" hidden="1">'[2]rev change analysis'!$A:$IV</definedName>
    <definedName name="_bdm.23CAB1676C0C411BB6D812CE5B582BC0.edm" hidden="1">'[2]MWA RR'!$A:$IV</definedName>
    <definedName name="_bdm.2DD2C96D34A94119897BA9F9064DA371.edm" hidden="1">'[3]rev change analysis'!$A:$IV</definedName>
    <definedName name="_bdm.31B38A4456914D13B036C519BB497D92.edm" hidden="1">'[4]rev change analysis'!$A:$IV</definedName>
    <definedName name="_bdm.384BFCED33ED4B149016C877E23F998D.edm" hidden="1">'[4]short IS'!$A:$IV</definedName>
    <definedName name="_bdm.42F67CCC3C1C45638B5EC98256E90947.edm" hidden="1">'[5]Good 12-00 (2)'!$A:$IV</definedName>
    <definedName name="_bdm.46D56600DB7840728F138544F8E425DB.edm" hidden="1">'[5]Good 11-36'!$A:$IV</definedName>
    <definedName name="_bdm.59DAE95C438A45BCAAC5BE8FD0F1D4C4.edm" hidden="1">'[6]US Data Var'!$A:$IV</definedName>
    <definedName name="_bdm.60A1016E4A5045B0B4BE42FB21AAF6D6.edm" hidden="1">'[5]Good 11-50'!$A:$IV</definedName>
    <definedName name="_bdm.7317521E367C4A50896524C70180A68C.edm" hidden="1">'[4]2015 rev change'!$A:$IV</definedName>
    <definedName name="_bdm.731BDA48F9E34C35A30B181461F49F5F.edm" hidden="1">'[7]Retail prices'!$A:$IV</definedName>
    <definedName name="_bdm.76074D17ADD044A287D271B1AAFC4036.edm" hidden="1">'[4]Product Mix 100%'!$A:$IV</definedName>
    <definedName name="_bdm.77192A69936D48368D0A13E908672759.edm" hidden="1">'[4]cost savings'!$A:$IV</definedName>
    <definedName name="_bdm.84F38A9759994A80A6CF34B5BBEB633C.edm" hidden="1">'[8]rev change analysis'!$A:$IV</definedName>
    <definedName name="_bdm.9301DDFC67D846248C16E96B86458D94.edm" hidden="1">'[2]rev contribution analysis'!$A:$IV</definedName>
    <definedName name="_bdm.C7C6FBA36F39444B8BCEC128D5B7F931.edm" hidden="1">'[5]Sheet3 (5)'!$A:$IV</definedName>
    <definedName name="_bdm.E2B991B7B5454C4CBE252B2B73D6513B.edm" hidden="1">[9]margins!$A:$IV</definedName>
    <definedName name="_bdm.F0D73515AC3D4919BC3602806970DE2D.edm" hidden="1">'[4]Per Pharma Traditional &amp; Biolog'!$A:$IV</definedName>
    <definedName name="_bdm.F503F160FFA641EDB1AD757205401861.edm" hidden="1">'[9]rev change analysis'!$A:$IV</definedName>
    <definedName name="_Key1" hidden="1">[10]単独!$U$1</definedName>
    <definedName name="_Order1" hidden="1">255</definedName>
    <definedName name="_Sort" hidden="1">[10]単独!$A$512:$AC$552</definedName>
    <definedName name="a" hidden="1">[10]ｾｸﾞﾒﾝﾄ!$E$165:$I$165</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dditionalInstructions">IndexInformation!$B$42</definedName>
    <definedName name="Address" localSheetId="0">ImportantDisclosures!$A$2:$A$2</definedName>
    <definedName name="ANA" localSheetId="17">ModPubIndex!$A$7</definedName>
    <definedName name="anscount" hidden="1">1</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a" hidden="1">{"fdsup://directions/FAT%20Viewer?VAR:PED=20071231&amp;VAR:PERIOD=FIXED&amp;VAR:V=5.898401&amp;VAR:AUDIT_ID=71692910&amp;VAR:DATE=20100305&amp;action=UPDATE&amp;creator=factset&amp;DOC_NAME=FAT:FMA_audit_DETAIL.fat&amp;DISPLAY_STRING=Display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Authors" localSheetId="0">ImportantDisclosures!$A$7</definedName>
    <definedName name="Authors" localSheetId="16">IndexInformation!$B$18</definedName>
    <definedName name="b" hidden="1">[10]ｾｸﾞﾒﾝﾄ!$E$167:$I$167</definedName>
    <definedName name="BRO" localSheetId="17">ModPubIndex!$A$1</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opyrightStamp">ImportantDisclosures!$A$27</definedName>
    <definedName name="COU" localSheetId="17">ModPubIndex!$A$5</definedName>
    <definedName name="CQEnd" localSheetId="16">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16">IndexInformation!$B$24</definedName>
    <definedName name="CurrentStockPrice" localSheetId="16">IndexInformation!$B$23</definedName>
    <definedName name="CurrQtrEPS" localSheetId="16">IndexInformation!$B$29</definedName>
    <definedName name="CurrYearEPS" localSheetId="16">IndexInformation!$B$11</definedName>
    <definedName name="CurrYearTotalRevenue" localSheetId="16">IndexInformation!$B$10</definedName>
    <definedName name="CurrYearTotalRevenueActual" localSheetId="16">IndexInformation!$B$32</definedName>
    <definedName name="CUSIP" localSheetId="16">IndexInformation!$B$20</definedName>
    <definedName name="CYEnd" localSheetId="16">IndexInformation!$B$30</definedName>
    <definedName name="Date" localSheetId="0">ImportantDisclosures!$A$8</definedName>
    <definedName name="Deleted" localSheetId="16">IndexInformation!$B$27</definedName>
    <definedName name="Description" localSheetId="16">IndexInformation!$B$7</definedName>
    <definedName name="Discipline" localSheetId="16">IndexInformation!$B$3</definedName>
    <definedName name="DISCIPLINE" localSheetId="17">ModPubIndex!$A$12</definedName>
    <definedName name="DisclosuresText">ImportantDisclosures!$A$22</definedName>
    <definedName name="Distribution" localSheetId="16">IndexInformation!$B$26</definedName>
    <definedName name="DistTable" localSheetId="0">ImportantDisclosures!#REF!</definedName>
    <definedName name="DistTablePreamble" localSheetId="0">ImportantDisclosures!#REF!</definedName>
    <definedName name="DOCDAT" localSheetId="17">ModPubIndex!$A$2</definedName>
    <definedName name="DOCTIME" localSheetId="17">ModPubIndex!$A$3</definedName>
    <definedName name="DocType" localSheetId="16">IndexInformation!$B$5</definedName>
    <definedName name="EMAIL_ALERT" localSheetId="17">ModPubIndex!$A$10</definedName>
    <definedName name="EmailAlert" localSheetId="16">IndexInformation!$B$28</definedName>
    <definedName name="ev.Calculation" hidden="1">-4135</definedName>
    <definedName name="ev.Initialized" hidden="1">FALSE</definedName>
    <definedName name="ｆ" hidden="1">"iQShowAnnual"</definedName>
    <definedName name="FiveYearGrowthRate" localSheetId="16">IndexInformation!$B$16</definedName>
    <definedName name="FollowingYearEPS" localSheetId="16">IndexInformation!$B$15</definedName>
    <definedName name="FollowingYearTotalRevenue" localSheetId="16">IndexInformation!$B$14</definedName>
    <definedName name="FollowingYearTotalRevenueActual" localSheetId="16">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HL" localSheetId="17">ModPubIndex!$A$8</definedName>
    <definedName name="hn.ModelVersion" hidden="1">1</definedName>
    <definedName name="hn.NoUpload" hidden="1">0</definedName>
    <definedName name="Img_ML_7g5e5e2b" hidden="1">"IMG_12"</definedName>
    <definedName name="IND" localSheetId="17">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KeepVersions" localSheetId="16">IndexInformation!$B$8</definedName>
    <definedName name="LanguageCode">IndexInformation!$B$38</definedName>
    <definedName name="LastCell" localSheetId="0">ImportantDisclosures!$A$22</definedName>
    <definedName name="limcount" hidden="1">1</definedName>
    <definedName name="Linking_1">IS!$B$1:$CN$107</definedName>
    <definedName name="Linking_10">CF!$B$1:$W$46</definedName>
    <definedName name="Linking_11" localSheetId="5">'Zinbryta Collaboration'!$B$2:$DM$47</definedName>
    <definedName name="Linking_11">REVS!$B$2:$DM$56</definedName>
    <definedName name="Linking_12">IS!$B$1:$DM$107</definedName>
    <definedName name="Linking_13">BS!$B$1:$Y$40</definedName>
    <definedName name="Linking_14">CF!$B$1:$Y$46</definedName>
    <definedName name="Linking_19">IS!$B$1:$DM$46</definedName>
    <definedName name="Linking_2">IS!$B$1:$EL$107</definedName>
    <definedName name="Linking_20">DCF!$U$27:$X$36</definedName>
    <definedName name="Linking_21">DCF!$B$5:$T$9</definedName>
    <definedName name="Linking_22">SMA!$B$2:$X$245</definedName>
    <definedName name="Linking_24">CF!$B$1:$AD$47</definedName>
    <definedName name="Linking_25">IS!$B$2:$EL$48</definedName>
    <definedName name="Linking_26">IS!$B$2:$EL$107</definedName>
    <definedName name="Linking_27">IS!$B$1:$DM$108</definedName>
    <definedName name="Linking_28">CF!$B$1:$Y$47</definedName>
    <definedName name="Linking_3" localSheetId="5">'Zinbryta Collaboration'!$B$2:$EL$47</definedName>
    <definedName name="Linking_3">REVS!$B$2:$EL$56</definedName>
    <definedName name="Linking_4">BS!$B$1:$AD$40</definedName>
    <definedName name="Linking_5">CF!$B$1:$AD$46</definedName>
    <definedName name="Linking_6">IS!$B$1:$DC$107</definedName>
    <definedName name="Linking_7" localSheetId="5">'Zinbryta Collaboration'!$B$2:$DC$47</definedName>
    <definedName name="Linking_7">REVS!$B$2:$DC$56</definedName>
    <definedName name="Linking_8">BS!$B$1:$W$40</definedName>
    <definedName name="Linking_9">CF!$B$1:$W$47</definedName>
    <definedName name="Linking_Range_10" localSheetId="5">'Zinbryta Collaboration'!$B$2:$CN$47</definedName>
    <definedName name="Linking_Range_10">REVS!$B$2:$CN$56</definedName>
    <definedName name="Linking_Range_11">IS!$B$1:$CN$129</definedName>
    <definedName name="Linking_Range_13">IS!$B$1:$CN$132</definedName>
    <definedName name="Linking_Range_14">BS!$B$1:$T$39</definedName>
    <definedName name="Linking_Range_15">IS!$B$1:$DC$46</definedName>
    <definedName name="Linking_Range_2">'ROW MS Market Model'!$B$3:$N$155</definedName>
    <definedName name="Linking_Range_3">'US MS Market Model'!$B$3:$N$152</definedName>
    <definedName name="Linking_Range_4">'anti-LINGO'!$B$2:$N$19</definedName>
    <definedName name="Linking_Range_5">aducanumab!$B$2:$T$21</definedName>
    <definedName name="Linking_Range_7">CF!$B$1:$T$47</definedName>
    <definedName name="Linking_Range_8">CF!$B$1:$T$46</definedName>
    <definedName name="Linking_Range_9">BS!$B$1:$T$40</definedName>
    <definedName name="MacroVersion" localSheetId="16">IndexInformation!$B$1</definedName>
    <definedName name="ModelPrice" localSheetId="0">ImportantDisclosures!$A$14</definedName>
    <definedName name="Multiplier" localSheetId="16">IndexInformation!$B$35</definedName>
    <definedName name="NextYearEPS" localSheetId="16">IndexInformation!$B$13</definedName>
    <definedName name="NextYearTotalRevenue" localSheetId="16">IndexInformation!$B$12</definedName>
    <definedName name="NextYearTotalRevenueActual" localSheetId="16">IndexInformation!$B$33</definedName>
    <definedName name="ObjectType">IndexInformation!$B$37</definedName>
    <definedName name="PANA" localSheetId="17">ModPubIndex!$A$11</definedName>
    <definedName name="PathName" localSheetId="16">IndexInformation!$B$25</definedName>
    <definedName name="PRODUCT" localSheetId="17">ModPubIndex!$A$6</definedName>
    <definedName name="PSYM" localSheetId="17">ModPubIndex!$A$4</definedName>
    <definedName name="PublishDate" localSheetId="16">IndexInformation!$B$2</definedName>
    <definedName name="q" hidden="1">'[11]Qtr Sales'!$EM$2:$FJ$127</definedName>
    <definedName name="Rating" localSheetId="16">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searchTopic" localSheetId="16">IndexInformation!$B$4</definedName>
    <definedName name="RIC" localSheetId="16">IndexInformation!$B$21</definedName>
    <definedName name="SECSettlement" localSheetId="0">ImportantDisclosures!#REF!</definedName>
    <definedName name="SEDOL" localSheetId="16">IndexInformation!$B$22</definedName>
    <definedName name="sencount" hidden="1">2</definedName>
    <definedName name="SourceDefined" localSheetId="0">ImportantDisclosures!$A$19</definedName>
    <definedName name="StockRating" localSheetId="0">ImportantDisclosures!$A$11</definedName>
    <definedName name="SubjectCode" localSheetId="16">IndexInformation!$B$6</definedName>
    <definedName name="SubmitterUserId">IndexInformation!$B$39</definedName>
    <definedName name="SUPPRESSED" localSheetId="17">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6">IndexInformation!$B$19</definedName>
    <definedName name="UpdateReason" localSheetId="16">IndexInformation!$B$17</definedName>
    <definedName name="USRegDisclosures" localSheetId="0">ImportantDisclosures!#REF!</definedName>
    <definedName name="v" hidden="1">[10]ｾｸﾞﾒﾝﾄ!$E$164:$I$164</definedName>
    <definedName name="w" hidden="1">[10]単独!$AR$14:$AR$18</definedName>
    <definedName name="wrn.2._.pagers." hidden="1">{"Cover",#N/A,FALSE,"Cover";"Summary",#N/A,FALSE,"Summarpage"}</definedName>
    <definedName name="wrn.AGN._.MODELS." hidden="1">{"QTRINC1",#N/A,FALSE,"QTRINC";"QTRINC2",#N/A,FALSE,"QTRINC";"QTRSALES",#N/A,FALSE,"QTRSALES";"ANNSALES",#N/A,FALSE,"ANNSALES";"CASHFLOW",#N/A,FALSE,"CASHFLOW"}</definedName>
    <definedName name="wrn.AHP._.MODELS." hidden="1">{"QTRINC",#N/A,FALSE,"QTRINC";"MARGIN",#N/A,FALSE,"MARGIN";"CASHFLOW",#N/A,FALSE,"CASHFLOW"}</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lient._.cfbs." hidden="1">{"client cfbs",#N/A,FALSE,"Client"}</definedName>
    <definedName name="wrn.Client._.is." hidden="1">{"Client is",#N/A,FALSE,"Client"}</definedName>
    <definedName name="wrn.Client._.stats." hidden="1">{"Client stats",#N/A,FALSE,"Client"}</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hidden="1">{"view1",#N/A,FALSE,"EARN (US$)";"view1",#N/A,FALSE,"DASTBS (US$)";"view1",#N/A,FALSE,"DASTCF (US$)"}</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Income._.Stmt." hidden="1">{"Income Stmt",#N/A,FALSE,"Model"}</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hidden="1">{"Internal is",#N/A,FALSE,"Model"}</definedName>
    <definedName name="wrn.Leases.xls." hidden="1">{#N/A,#N/A,FALSE,"Initial Year";#N/A,#N/A,FALSE,"Historical";#N/A,#N/A,FALSE,"balsheet";#N/A,#N/A,FALSE,"incstate";#N/A,#N/A,FALSE,"Fleet"}</definedName>
    <definedName name="wrn.MOBIL." hidden="1">{"quarter",#N/A,FALSE,"MOB"}</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Portrait._.IS." hidden="1">{"Portrait letter is",#N/A,FALSE,"Model"}</definedName>
    <definedName name="wrn.Portrait._.letter._.is." hidden="1">{"Portrait letter is",#N/A,FALSE,"Model"}</definedName>
    <definedName name="wrn.printall." hidden="1">{"printall",#N/A,FALSE,"BAIRNUMB"}</definedName>
    <definedName name="wrn.Pulp." hidden="1">{"Pulp Production",#N/A,FALSE,"Pulp";"Pulp Earnings",#N/A,FALSE,"Pulp"}</definedName>
    <definedName name="wrn.qrt95." hidden="1">{"qrt95",#N/A,FALSE,"BAIRNUMB"}</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erly." hidden="1">{"quarterly",#N/A,FALSE,"BAIRNUMB"}</definedName>
    <definedName name="wrn.Report." hidden="1">{#N/A,#N/A,FALSE,"COVER";#N/A,#N/A,FALSE,"FORECAST";#N/A,#N/A,FALSE,"VALUATION";#N/A,#N/A,FALSE,"FY ANALYSIS ";#N/A,#N/A,FALSE," HY ANALYSIS"}</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Tables." hidden="1">{"view1",#N/A,FALSE,"Tables";"view2",#N/A,FALSE,"Tables";"view3",#N/A,FALSE,"Tables"}</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WLAVARIANCEANALYSIS." hidden="1">{"INCOME STATEMENT",#N/A,FALSE,"IS";"WWSALES",#N/A,FALSE,"WWSALES";"USSALES",#N/A,FALSE,"USSALES";"INTLSALES",#N/A,FALSE,"INTLSALES"}</definedName>
  </definedNames>
  <calcPr calcId="145621"/>
</workbook>
</file>

<file path=xl/calcChain.xml><?xml version="1.0" encoding="utf-8"?>
<calcChain xmlns="http://schemas.openxmlformats.org/spreadsheetml/2006/main">
  <c r="L58" i="42" l="1"/>
  <c r="L58" i="6"/>
  <c r="BZ52" i="1"/>
  <c r="BZ15" i="4" l="1"/>
  <c r="CD23" i="4"/>
  <c r="CD39" i="4"/>
  <c r="BZ19" i="4"/>
  <c r="L47" i="42"/>
  <c r="CI14" i="5"/>
  <c r="CD14" i="5"/>
  <c r="L75" i="7"/>
  <c r="L67" i="7"/>
  <c r="L77" i="6"/>
  <c r="CD18" i="1" l="1"/>
  <c r="BZ24" i="5" l="1"/>
  <c r="BZ65" i="5"/>
  <c r="BZ39" i="5"/>
  <c r="BZ30" i="5"/>
  <c r="BZ23" i="5"/>
  <c r="BZ22" i="5"/>
  <c r="BZ51" i="1"/>
  <c r="BZ18" i="4"/>
  <c r="BZ20" i="4"/>
  <c r="BZ4" i="4"/>
  <c r="BZ16" i="1"/>
  <c r="Q14" i="14" l="1"/>
  <c r="Q9" i="14"/>
  <c r="EL15" i="4" l="1"/>
  <c r="EG15" i="4"/>
  <c r="EB15" i="4"/>
  <c r="DW15" i="4"/>
  <c r="DR15" i="4"/>
  <c r="DM15" i="4"/>
  <c r="DH15" i="4"/>
  <c r="DC15" i="4"/>
  <c r="CX15" i="4"/>
  <c r="CS15" i="4"/>
  <c r="CN15" i="4"/>
  <c r="CI15" i="4"/>
  <c r="CD15" i="4"/>
  <c r="CA40" i="4"/>
  <c r="CB40" i="4"/>
  <c r="BZ40" i="4"/>
  <c r="L89" i="6"/>
  <c r="M100" i="6"/>
  <c r="L100" i="6"/>
  <c r="BX17" i="4"/>
  <c r="BX21" i="4"/>
  <c r="BX15" i="4"/>
  <c r="BX14" i="4"/>
  <c r="BX12" i="4"/>
  <c r="BX11" i="4"/>
  <c r="BW11" i="4"/>
  <c r="BX54" i="1"/>
  <c r="BX53" i="1"/>
  <c r="BY53" i="1"/>
  <c r="BX52" i="1"/>
  <c r="BY52" i="1"/>
  <c r="M224" i="42"/>
  <c r="M214" i="42"/>
  <c r="L204" i="42"/>
  <c r="L206" i="42"/>
  <c r="L205" i="42" s="1"/>
  <c r="L207" i="42"/>
  <c r="L208" i="42" s="1"/>
  <c r="L210" i="42" s="1"/>
  <c r="L209" i="42"/>
  <c r="L214" i="42"/>
  <c r="L215" i="42" s="1"/>
  <c r="L216" i="42"/>
  <c r="L217" i="42"/>
  <c r="L218" i="42" s="1"/>
  <c r="L219" i="42"/>
  <c r="L224" i="42"/>
  <c r="L227" i="42"/>
  <c r="L228" i="42" s="1"/>
  <c r="L229" i="42"/>
  <c r="L226" i="42" s="1"/>
  <c r="N62" i="6"/>
  <c r="O62" i="6" s="1"/>
  <c r="P62" i="6" s="1"/>
  <c r="Q62" i="6" s="1"/>
  <c r="R62" i="6" s="1"/>
  <c r="S62" i="6" s="1"/>
  <c r="T62" i="6" s="1"/>
  <c r="U62" i="6" s="1"/>
  <c r="V62" i="6" s="1"/>
  <c r="W62" i="6" s="1"/>
  <c r="X62" i="6" s="1"/>
  <c r="M96" i="6"/>
  <c r="L96" i="6"/>
  <c r="L230" i="42" l="1"/>
  <c r="L220" i="42"/>
  <c r="L225" i="42"/>
  <c r="Q108" i="13"/>
  <c r="Q76" i="14"/>
  <c r="Q70" i="14"/>
  <c r="Q68" i="14"/>
  <c r="Q159" i="13"/>
  <c r="Q158" i="13"/>
  <c r="Q109" i="13"/>
  <c r="Q105" i="13"/>
  <c r="Q39" i="14" l="1"/>
  <c r="Q30" i="14"/>
  <c r="Q25" i="14"/>
  <c r="Q22" i="14"/>
  <c r="Q20" i="14"/>
  <c r="L63" i="7" l="1"/>
  <c r="O148" i="42"/>
  <c r="M148" i="42"/>
  <c r="N148" i="42"/>
  <c r="L148" i="42"/>
  <c r="L69" i="42"/>
  <c r="BY5" i="4" l="1"/>
  <c r="CD19" i="4"/>
  <c r="BY33" i="4"/>
  <c r="FT60" i="15"/>
  <c r="FS60" i="15"/>
  <c r="FR60" i="15"/>
  <c r="FQ60" i="15"/>
  <c r="FO60" i="15"/>
  <c r="FN60" i="15"/>
  <c r="FM60" i="15"/>
  <c r="FL60" i="15"/>
  <c r="FJ60" i="15"/>
  <c r="FI60" i="15"/>
  <c r="FH60" i="15"/>
  <c r="FG60" i="15"/>
  <c r="FE60" i="15"/>
  <c r="FD60" i="15"/>
  <c r="FC60" i="15"/>
  <c r="FB60" i="15"/>
  <c r="EZ60" i="15"/>
  <c r="EY60" i="15"/>
  <c r="EX60" i="15"/>
  <c r="EW60" i="15"/>
  <c r="EU60" i="15"/>
  <c r="ET60" i="15"/>
  <c r="ES60" i="15"/>
  <c r="ER60" i="15"/>
  <c r="EP60" i="15"/>
  <c r="EO60" i="15"/>
  <c r="EN60" i="15"/>
  <c r="EM60" i="15"/>
  <c r="EK60" i="15"/>
  <c r="EJ60" i="15"/>
  <c r="EI60" i="15"/>
  <c r="EH60" i="15"/>
  <c r="EF60" i="15"/>
  <c r="EE60" i="15"/>
  <c r="ED60" i="15"/>
  <c r="EC60" i="15"/>
  <c r="EA60" i="15"/>
  <c r="DZ60" i="15"/>
  <c r="DY60" i="15"/>
  <c r="DX60" i="15"/>
  <c r="DV60" i="15"/>
  <c r="DU60" i="15"/>
  <c r="DT60" i="15"/>
  <c r="DS60" i="15"/>
  <c r="DQ60" i="15"/>
  <c r="DP60" i="15"/>
  <c r="DO60" i="15"/>
  <c r="DN60" i="15"/>
  <c r="DL60" i="15"/>
  <c r="DK60" i="15"/>
  <c r="DJ60" i="15"/>
  <c r="DI60" i="15"/>
  <c r="DG60" i="15"/>
  <c r="DF60" i="15"/>
  <c r="DE60" i="15"/>
  <c r="DD60" i="15"/>
  <c r="CZ60" i="15"/>
  <c r="DA60" i="15"/>
  <c r="DB60" i="15"/>
  <c r="CY60" i="15"/>
  <c r="BV55" i="15"/>
  <c r="BU55" i="15"/>
  <c r="CD78" i="15"/>
  <c r="CC78" i="15"/>
  <c r="CB78" i="15"/>
  <c r="CA78" i="15"/>
  <c r="BZ78" i="15"/>
  <c r="BX78" i="15"/>
  <c r="BW78" i="15"/>
  <c r="BT78" i="15"/>
  <c r="BS78" i="15"/>
  <c r="BR78" i="15"/>
  <c r="BQ78" i="15"/>
  <c r="BP78" i="15"/>
  <c r="BO78" i="15"/>
  <c r="BN78" i="15"/>
  <c r="BM78" i="15"/>
  <c r="BL78" i="15"/>
  <c r="BK78" i="15"/>
  <c r="BG50" i="15"/>
  <c r="BF50" i="15"/>
  <c r="BI76" i="15"/>
  <c r="BH76" i="15"/>
  <c r="BG76" i="15"/>
  <c r="BF76" i="15"/>
  <c r="BE76" i="15"/>
  <c r="BD76" i="15"/>
  <c r="BC76" i="15"/>
  <c r="BB76" i="15"/>
  <c r="BA76" i="15"/>
  <c r="AZ76" i="15"/>
  <c r="AW76" i="15"/>
  <c r="AX76" i="15"/>
  <c r="AY76" i="15"/>
  <c r="AV76" i="15"/>
  <c r="AU76" i="15"/>
  <c r="AR76" i="15"/>
  <c r="AS76" i="15"/>
  <c r="AT76" i="15"/>
  <c r="AQ76" i="15"/>
  <c r="AP76" i="15"/>
  <c r="AM76" i="15"/>
  <c r="AN76" i="15"/>
  <c r="AO76" i="15"/>
  <c r="AL76" i="15"/>
  <c r="CD106" i="1"/>
  <c r="BJ76" i="15" l="1"/>
  <c r="BY67" i="5"/>
  <c r="BY64" i="5"/>
  <c r="BY63" i="5"/>
  <c r="BY62" i="5"/>
  <c r="BY60" i="5"/>
  <c r="BY59" i="5"/>
  <c r="BY43" i="5"/>
  <c r="BX65" i="5"/>
  <c r="BX43" i="5"/>
  <c r="BX122" i="1"/>
  <c r="BX121" i="1" s="1"/>
  <c r="BY65" i="5"/>
  <c r="BY106" i="5"/>
  <c r="BY105" i="5"/>
  <c r="BX67" i="5"/>
  <c r="BX39" i="5"/>
  <c r="BX30" i="5"/>
  <c r="BX24" i="5"/>
  <c r="BX22" i="5"/>
  <c r="BY49" i="1"/>
  <c r="BX51" i="1"/>
  <c r="BY33" i="1"/>
  <c r="BY26" i="1"/>
  <c r="BY22" i="1"/>
  <c r="BY21" i="1"/>
  <c r="BY18" i="1"/>
  <c r="BY14" i="1"/>
  <c r="BY13" i="1"/>
  <c r="BY10" i="1"/>
  <c r="BY9" i="1"/>
  <c r="BY6" i="1"/>
  <c r="BY5" i="1"/>
  <c r="BX33" i="1"/>
  <c r="K90" i="7" l="1"/>
  <c r="L138" i="42"/>
  <c r="L128" i="42"/>
  <c r="CA18" i="4"/>
  <c r="CB18" i="4" s="1"/>
  <c r="CC18" i="4" s="1"/>
  <c r="CA17" i="4"/>
  <c r="BZ14" i="4"/>
  <c r="CA14" i="4" s="1"/>
  <c r="CB14" i="4" s="1"/>
  <c r="CC14" i="4" s="1"/>
  <c r="BY36" i="5"/>
  <c r="BY35" i="5"/>
  <c r="BY37" i="5"/>
  <c r="BW37" i="5"/>
  <c r="BV37" i="5"/>
  <c r="CB15" i="4" l="1"/>
  <c r="CC37" i="5"/>
  <c r="CB17" i="4" l="1"/>
  <c r="CC15" i="4"/>
  <c r="CB6" i="5"/>
  <c r="CA6" i="5"/>
  <c r="BZ6" i="5"/>
  <c r="CC111" i="1"/>
  <c r="CB111" i="1"/>
  <c r="CA111" i="1"/>
  <c r="CC26" i="43"/>
  <c r="CB26" i="43"/>
  <c r="CA26" i="43"/>
  <c r="BZ26" i="43"/>
  <c r="CC17" i="43"/>
  <c r="CB17" i="43"/>
  <c r="CA17" i="43"/>
  <c r="BZ17" i="43"/>
  <c r="CC12" i="43" l="1"/>
  <c r="CB12" i="43"/>
  <c r="CA12" i="43"/>
  <c r="BZ12" i="43"/>
  <c r="CC36" i="4"/>
  <c r="CB36" i="4"/>
  <c r="CA36" i="4"/>
  <c r="BZ36" i="4"/>
  <c r="EW2" i="5"/>
  <c r="CD48" i="5"/>
  <c r="CI48" i="5"/>
  <c r="CA48" i="5"/>
  <c r="CB9" i="5"/>
  <c r="CB48" i="5"/>
  <c r="CI9" i="5"/>
  <c r="CC9" i="5"/>
  <c r="CD9" i="5"/>
  <c r="CN9" i="5"/>
  <c r="BZ9" i="5"/>
  <c r="BZ48" i="5"/>
  <c r="CA9" i="5"/>
  <c r="CC48" i="5"/>
  <c r="CN48" i="5"/>
  <c r="CE28" i="5" l="1"/>
  <c r="CF28" i="5"/>
  <c r="CG28" i="5"/>
  <c r="CH28" i="5"/>
  <c r="CI28" i="5"/>
  <c r="CJ28" i="5"/>
  <c r="CK28" i="5"/>
  <c r="CL28" i="5"/>
  <c r="CM28" i="5"/>
  <c r="CN28" i="5"/>
  <c r="CO28" i="5"/>
  <c r="CP28" i="5"/>
  <c r="CQ28" i="5"/>
  <c r="CR28" i="5"/>
  <c r="CS28" i="5"/>
  <c r="CT28" i="5"/>
  <c r="CU28" i="5"/>
  <c r="CV28" i="5"/>
  <c r="CW28" i="5"/>
  <c r="CX28" i="5"/>
  <c r="CY28" i="5"/>
  <c r="CZ28" i="5"/>
  <c r="DA28" i="5"/>
  <c r="DB28" i="5"/>
  <c r="DC28" i="5"/>
  <c r="DD28" i="5"/>
  <c r="DE28" i="5"/>
  <c r="DF28" i="5"/>
  <c r="DG28" i="5"/>
  <c r="DH28" i="5"/>
  <c r="DI28" i="5"/>
  <c r="DJ28" i="5"/>
  <c r="DK28" i="5"/>
  <c r="DL28" i="5"/>
  <c r="DM28" i="5"/>
  <c r="DN28" i="5"/>
  <c r="DO28" i="5"/>
  <c r="DP28" i="5"/>
  <c r="DQ28" i="5"/>
  <c r="DR28" i="5"/>
  <c r="DS28" i="5"/>
  <c r="DT28" i="5"/>
  <c r="DU28" i="5"/>
  <c r="DV28" i="5"/>
  <c r="DW28" i="5"/>
  <c r="DX28" i="5"/>
  <c r="DY28" i="5"/>
  <c r="DZ28" i="5"/>
  <c r="EA28" i="5"/>
  <c r="EB28" i="5"/>
  <c r="EC28" i="5"/>
  <c r="ED28" i="5"/>
  <c r="EE28" i="5"/>
  <c r="EF28" i="5"/>
  <c r="EG28" i="5"/>
  <c r="EH28" i="5"/>
  <c r="EI28" i="5"/>
  <c r="EJ28" i="5"/>
  <c r="EK28" i="5"/>
  <c r="EL28" i="5"/>
  <c r="CD28" i="5"/>
  <c r="BW54" i="1"/>
  <c r="BW28" i="43"/>
  <c r="BU26" i="43"/>
  <c r="BW19" i="43"/>
  <c r="BU5" i="4"/>
  <c r="BW15" i="4"/>
  <c r="BW14" i="4"/>
  <c r="BY25" i="5" l="1"/>
  <c r="L70" i="6"/>
  <c r="BW122" i="1"/>
  <c r="BW51" i="1"/>
  <c r="BY24" i="1"/>
  <c r="I181" i="7"/>
  <c r="BW22" i="5" l="1"/>
  <c r="BW30" i="5"/>
  <c r="BW39" i="5"/>
  <c r="BW33" i="1"/>
  <c r="EL25" i="5" l="1"/>
  <c r="EG25" i="5"/>
  <c r="EB25" i="5"/>
  <c r="DW25" i="5"/>
  <c r="DR25" i="5"/>
  <c r="DM25" i="5"/>
  <c r="DH25" i="5"/>
  <c r="DC25" i="5"/>
  <c r="CX25" i="5"/>
  <c r="CS25" i="5"/>
  <c r="CN25" i="5"/>
  <c r="CI25" i="5"/>
  <c r="CD25" i="5"/>
  <c r="CB25" i="5" l="1"/>
  <c r="CA25" i="5"/>
  <c r="M54" i="42"/>
  <c r="N54" i="42" s="1"/>
  <c r="O54" i="42" s="1"/>
  <c r="P54" i="42" s="1"/>
  <c r="Q54" i="42" s="1"/>
  <c r="P43" i="42"/>
  <c r="Q43" i="42" s="1"/>
  <c r="R43" i="42" s="1"/>
  <c r="S43" i="42" s="1"/>
  <c r="T43" i="42" s="1"/>
  <c r="U43" i="42" s="1"/>
  <c r="V43" i="42" s="1"/>
  <c r="W43" i="42" s="1"/>
  <c r="X43" i="42" s="1"/>
  <c r="CC25" i="5" l="1"/>
  <c r="C28" i="29"/>
  <c r="K77" i="6" l="1"/>
  <c r="L158" i="6"/>
  <c r="K158" i="6"/>
  <c r="P109" i="6"/>
  <c r="Q109" i="6" s="1"/>
  <c r="R109" i="6" s="1"/>
  <c r="O109" i="6"/>
  <c r="BV36" i="4"/>
  <c r="BW36" i="4" s="1"/>
  <c r="BX34" i="4"/>
  <c r="BW37" i="4" l="1"/>
  <c r="BW20" i="4" s="1"/>
  <c r="BW19" i="4" s="1"/>
  <c r="BX36" i="4"/>
  <c r="BV122" i="1"/>
  <c r="BV19" i="43"/>
  <c r="BV20" i="43"/>
  <c r="BV28" i="43"/>
  <c r="BV54" i="1"/>
  <c r="BV51" i="1" s="1"/>
  <c r="BV5" i="5" l="1"/>
  <c r="BT5" i="5"/>
  <c r="M65" i="42"/>
  <c r="BV124" i="5"/>
  <c r="P85" i="14" l="1"/>
  <c r="O85" i="14"/>
  <c r="N85" i="14"/>
  <c r="O70" i="14"/>
  <c r="N65" i="14"/>
  <c r="M65" i="14"/>
  <c r="L65" i="14"/>
  <c r="P63" i="14"/>
  <c r="P70" i="14" s="1"/>
  <c r="BV39" i="5"/>
  <c r="BV30" i="5"/>
  <c r="BV23" i="5"/>
  <c r="BY23" i="5" s="1"/>
  <c r="BV33" i="1"/>
  <c r="P68" i="14" l="1"/>
  <c r="O65" i="14"/>
  <c r="P65" i="14" s="1"/>
  <c r="L257" i="42"/>
  <c r="M257" i="42" s="1"/>
  <c r="N257" i="42" s="1"/>
  <c r="O257" i="42" s="1"/>
  <c r="P257" i="42" s="1"/>
  <c r="Q257" i="42" s="1"/>
  <c r="R257" i="42" s="1"/>
  <c r="S257" i="42" s="1"/>
  <c r="T257" i="42" s="1"/>
  <c r="U257" i="42" s="1"/>
  <c r="V257" i="42" s="1"/>
  <c r="W257" i="42" s="1"/>
  <c r="X257" i="42" s="1"/>
  <c r="N255" i="42"/>
  <c r="O255" i="42" s="1"/>
  <c r="P255" i="42" s="1"/>
  <c r="Q255" i="42" s="1"/>
  <c r="R255" i="42" s="1"/>
  <c r="S255" i="42" s="1"/>
  <c r="T255" i="42" s="1"/>
  <c r="U255" i="42" s="1"/>
  <c r="V255" i="42" s="1"/>
  <c r="W255" i="42" s="1"/>
  <c r="X255" i="42" s="1"/>
  <c r="M248" i="42"/>
  <c r="Q248" i="42"/>
  <c r="R248" i="42" s="1"/>
  <c r="S248" i="42" s="1"/>
  <c r="T248" i="42" s="1"/>
  <c r="U248" i="42" s="1"/>
  <c r="V248" i="42" s="1"/>
  <c r="W248" i="42" s="1"/>
  <c r="X248" i="42" s="1"/>
  <c r="O248" i="42"/>
  <c r="P248" i="42" s="1"/>
  <c r="L237" i="42"/>
  <c r="M237" i="42" s="1"/>
  <c r="N237" i="42" s="1"/>
  <c r="O237" i="42" s="1"/>
  <c r="P237" i="42" s="1"/>
  <c r="Q237" i="42" s="1"/>
  <c r="R237" i="42" s="1"/>
  <c r="S237" i="42" s="1"/>
  <c r="T237" i="42" s="1"/>
  <c r="U237" i="42" s="1"/>
  <c r="V237" i="42" s="1"/>
  <c r="W237" i="42" s="1"/>
  <c r="X237" i="42" s="1"/>
  <c r="L236" i="42"/>
  <c r="K236" i="42"/>
  <c r="K238" i="42" s="1"/>
  <c r="L233" i="42"/>
  <c r="M233" i="42" s="1"/>
  <c r="N233" i="42" s="1"/>
  <c r="O233" i="42" s="1"/>
  <c r="P233" i="42" s="1"/>
  <c r="Q233" i="42" s="1"/>
  <c r="R233" i="42" s="1"/>
  <c r="S233" i="42" s="1"/>
  <c r="T233" i="42" s="1"/>
  <c r="U233" i="42" s="1"/>
  <c r="V233" i="42" s="1"/>
  <c r="W233" i="42" s="1"/>
  <c r="X233" i="42" s="1"/>
  <c r="L232" i="42"/>
  <c r="L234" i="42" s="1"/>
  <c r="K232" i="42"/>
  <c r="K234" i="42" s="1"/>
  <c r="M204" i="42"/>
  <c r="J176" i="42"/>
  <c r="K195" i="42" s="1"/>
  <c r="J175" i="42"/>
  <c r="K189" i="42" s="1"/>
  <c r="J174" i="42"/>
  <c r="K183" i="42" s="1"/>
  <c r="H169" i="42"/>
  <c r="H172" i="42" s="1"/>
  <c r="G169" i="42"/>
  <c r="G172" i="42" s="1"/>
  <c r="F169" i="42"/>
  <c r="F172" i="42" s="1"/>
  <c r="E169" i="42"/>
  <c r="E172" i="42" s="1"/>
  <c r="D169" i="42"/>
  <c r="D172" i="42" s="1"/>
  <c r="C169" i="42"/>
  <c r="C172" i="42" s="1"/>
  <c r="J168" i="42"/>
  <c r="H168" i="42"/>
  <c r="G168" i="42"/>
  <c r="F168" i="42"/>
  <c r="E168" i="42"/>
  <c r="D168" i="42"/>
  <c r="C168" i="42"/>
  <c r="I167" i="42"/>
  <c r="I169" i="42" s="1"/>
  <c r="I166" i="42"/>
  <c r="J166" i="42" s="1"/>
  <c r="H166" i="42"/>
  <c r="G166" i="42"/>
  <c r="F166" i="42"/>
  <c r="E166" i="42"/>
  <c r="D166" i="42"/>
  <c r="K179" i="42"/>
  <c r="L179" i="42" s="1"/>
  <c r="M179" i="42" s="1"/>
  <c r="N179" i="42" s="1"/>
  <c r="O179" i="42" s="1"/>
  <c r="P179" i="42" s="1"/>
  <c r="Q179" i="42" s="1"/>
  <c r="R179" i="42" s="1"/>
  <c r="S179" i="42" s="1"/>
  <c r="T179" i="42" s="1"/>
  <c r="U179" i="42" s="1"/>
  <c r="V179" i="42" s="1"/>
  <c r="W179" i="42" s="1"/>
  <c r="X179" i="42" s="1"/>
  <c r="K178" i="42"/>
  <c r="L178" i="42" s="1"/>
  <c r="M178" i="42" s="1"/>
  <c r="N178" i="42" s="1"/>
  <c r="O178" i="42" s="1"/>
  <c r="P178" i="42" s="1"/>
  <c r="Q178" i="42" s="1"/>
  <c r="R178" i="42" s="1"/>
  <c r="S178" i="42" s="1"/>
  <c r="T178" i="42" s="1"/>
  <c r="U178" i="42" s="1"/>
  <c r="V178" i="42" s="1"/>
  <c r="W178" i="42" s="1"/>
  <c r="X178" i="42" s="1"/>
  <c r="K177" i="42"/>
  <c r="L177" i="42" s="1"/>
  <c r="M177" i="42" s="1"/>
  <c r="N177" i="42" s="1"/>
  <c r="O177" i="42" s="1"/>
  <c r="P177" i="42" s="1"/>
  <c r="Q177" i="42" s="1"/>
  <c r="R177" i="42" s="1"/>
  <c r="S177" i="42" s="1"/>
  <c r="T177" i="42" s="1"/>
  <c r="U177" i="42" s="1"/>
  <c r="V177" i="42" s="1"/>
  <c r="W177" i="42" s="1"/>
  <c r="X177" i="42" s="1"/>
  <c r="K168" i="42"/>
  <c r="L168" i="42" s="1"/>
  <c r="M168" i="42" s="1"/>
  <c r="N168" i="42" s="1"/>
  <c r="O168" i="42" s="1"/>
  <c r="P168" i="42" s="1"/>
  <c r="Q168" i="42" s="1"/>
  <c r="R168" i="42" s="1"/>
  <c r="S168" i="42" s="1"/>
  <c r="T168" i="42" s="1"/>
  <c r="U168" i="42" s="1"/>
  <c r="V168" i="42" s="1"/>
  <c r="W168" i="42" s="1"/>
  <c r="X168" i="42" s="1"/>
  <c r="L159" i="42"/>
  <c r="M159" i="42" s="1"/>
  <c r="N159" i="42" s="1"/>
  <c r="O159" i="42" s="1"/>
  <c r="P159" i="42" s="1"/>
  <c r="Q159" i="42" s="1"/>
  <c r="R159" i="42" s="1"/>
  <c r="S159" i="42" s="1"/>
  <c r="T159" i="42" s="1"/>
  <c r="U159" i="42" s="1"/>
  <c r="V159" i="42" s="1"/>
  <c r="W159" i="42" s="1"/>
  <c r="X159" i="42" s="1"/>
  <c r="K158" i="42"/>
  <c r="K160" i="42" s="1"/>
  <c r="K156" i="42"/>
  <c r="K162" i="42" s="1"/>
  <c r="K243" i="42" s="1"/>
  <c r="L155" i="42"/>
  <c r="M155" i="42" s="1"/>
  <c r="N155" i="42" s="1"/>
  <c r="O155" i="42" s="1"/>
  <c r="P155" i="42" s="1"/>
  <c r="Q155" i="42" s="1"/>
  <c r="R155" i="42" s="1"/>
  <c r="S155" i="42" s="1"/>
  <c r="T155" i="42" s="1"/>
  <c r="U155" i="42" s="1"/>
  <c r="V155" i="42" s="1"/>
  <c r="W155" i="42" s="1"/>
  <c r="X155" i="42" s="1"/>
  <c r="K154" i="42"/>
  <c r="L145" i="42"/>
  <c r="M144" i="42"/>
  <c r="N144" i="42" s="1"/>
  <c r="O144" i="42" s="1"/>
  <c r="P144" i="42" s="1"/>
  <c r="Q144" i="42" s="1"/>
  <c r="R144" i="42" s="1"/>
  <c r="S144" i="42" s="1"/>
  <c r="T144" i="42" s="1"/>
  <c r="U144" i="42" s="1"/>
  <c r="V144" i="42" s="1"/>
  <c r="W144" i="42" s="1"/>
  <c r="X144" i="42" s="1"/>
  <c r="L135" i="42"/>
  <c r="N134" i="42"/>
  <c r="O134" i="42" s="1"/>
  <c r="P134" i="42" s="1"/>
  <c r="Q134" i="42" s="1"/>
  <c r="R134" i="42" s="1"/>
  <c r="S134" i="42" s="1"/>
  <c r="T134" i="42" s="1"/>
  <c r="U134" i="42" s="1"/>
  <c r="V134" i="42" s="1"/>
  <c r="W134" i="42" s="1"/>
  <c r="X134" i="42" s="1"/>
  <c r="L125" i="42"/>
  <c r="L158" i="42" s="1"/>
  <c r="L160" i="42" s="1"/>
  <c r="J97" i="42"/>
  <c r="K116" i="42" s="1"/>
  <c r="J96" i="42"/>
  <c r="K110" i="42" s="1"/>
  <c r="J95" i="42"/>
  <c r="K104" i="42" s="1"/>
  <c r="I90" i="42"/>
  <c r="H90" i="42"/>
  <c r="H93" i="42" s="1"/>
  <c r="G90" i="42"/>
  <c r="F90" i="42"/>
  <c r="F93" i="42" s="1"/>
  <c r="E90" i="42"/>
  <c r="D90" i="42"/>
  <c r="D93" i="42" s="1"/>
  <c r="C90" i="42"/>
  <c r="D89" i="42"/>
  <c r="K100" i="42"/>
  <c r="L100" i="42" s="1"/>
  <c r="M100" i="42" s="1"/>
  <c r="N100" i="42" s="1"/>
  <c r="O100" i="42" s="1"/>
  <c r="P100" i="42" s="1"/>
  <c r="Q100" i="42" s="1"/>
  <c r="R100" i="42" s="1"/>
  <c r="S100" i="42" s="1"/>
  <c r="T100" i="42" s="1"/>
  <c r="U100" i="42" s="1"/>
  <c r="V100" i="42" s="1"/>
  <c r="W100" i="42" s="1"/>
  <c r="X100" i="42" s="1"/>
  <c r="K99" i="42"/>
  <c r="L99" i="42" s="1"/>
  <c r="M99" i="42" s="1"/>
  <c r="N99" i="42" s="1"/>
  <c r="O99" i="42" s="1"/>
  <c r="P99" i="42" s="1"/>
  <c r="Q99" i="42" s="1"/>
  <c r="R99" i="42" s="1"/>
  <c r="S99" i="42" s="1"/>
  <c r="T99" i="42" s="1"/>
  <c r="U99" i="42" s="1"/>
  <c r="V99" i="42" s="1"/>
  <c r="W99" i="42" s="1"/>
  <c r="X99" i="42" s="1"/>
  <c r="K98" i="42"/>
  <c r="L98" i="42" s="1"/>
  <c r="M98" i="42" s="1"/>
  <c r="N98" i="42" s="1"/>
  <c r="O98" i="42" s="1"/>
  <c r="P98" i="42" s="1"/>
  <c r="Q98" i="42" s="1"/>
  <c r="R98" i="42" s="1"/>
  <c r="S98" i="42" s="1"/>
  <c r="T98" i="42" s="1"/>
  <c r="U98" i="42" s="1"/>
  <c r="V98" i="42" s="1"/>
  <c r="W98" i="42" s="1"/>
  <c r="X98" i="42" s="1"/>
  <c r="K89" i="42"/>
  <c r="L89" i="42" s="1"/>
  <c r="M89" i="42" s="1"/>
  <c r="N89" i="42" s="1"/>
  <c r="O89" i="42" s="1"/>
  <c r="P89" i="42" s="1"/>
  <c r="Q89" i="42" s="1"/>
  <c r="R89" i="42" s="1"/>
  <c r="S89" i="42" s="1"/>
  <c r="T89" i="42" s="1"/>
  <c r="U89" i="42" s="1"/>
  <c r="V89" i="42" s="1"/>
  <c r="W89" i="42" s="1"/>
  <c r="X89" i="42" s="1"/>
  <c r="E87" i="42"/>
  <c r="F87" i="42" s="1"/>
  <c r="G87" i="42" s="1"/>
  <c r="H87" i="42" s="1"/>
  <c r="I87" i="42" s="1"/>
  <c r="J87" i="42" s="1"/>
  <c r="K87" i="42" s="1"/>
  <c r="C86" i="42"/>
  <c r="C89" i="42" s="1"/>
  <c r="L80" i="42"/>
  <c r="M80" i="42" s="1"/>
  <c r="N80" i="42" s="1"/>
  <c r="O80" i="42" s="1"/>
  <c r="P80" i="42" s="1"/>
  <c r="Q80" i="42" s="1"/>
  <c r="R80" i="42" s="1"/>
  <c r="S80" i="42" s="1"/>
  <c r="T80" i="42" s="1"/>
  <c r="U80" i="42" s="1"/>
  <c r="V80" i="42" s="1"/>
  <c r="W80" i="42" s="1"/>
  <c r="X80" i="42" s="1"/>
  <c r="L76" i="42"/>
  <c r="M76" i="42" s="1"/>
  <c r="N76" i="42" s="1"/>
  <c r="O76" i="42" s="1"/>
  <c r="P76" i="42" s="1"/>
  <c r="Q76" i="42" s="1"/>
  <c r="R76" i="42" s="1"/>
  <c r="S76" i="42" s="1"/>
  <c r="T76" i="42" s="1"/>
  <c r="U76" i="42" s="1"/>
  <c r="V76" i="42" s="1"/>
  <c r="W76" i="42" s="1"/>
  <c r="X76" i="42" s="1"/>
  <c r="K66" i="42"/>
  <c r="N65" i="42"/>
  <c r="O65" i="42" s="1"/>
  <c r="K55" i="42"/>
  <c r="R54" i="42"/>
  <c r="S54" i="42" s="1"/>
  <c r="T54" i="42" s="1"/>
  <c r="U54" i="42" s="1"/>
  <c r="V54" i="42" s="1"/>
  <c r="W54" i="42" s="1"/>
  <c r="X54" i="42" s="1"/>
  <c r="K44" i="42"/>
  <c r="K79" i="42" s="1"/>
  <c r="K81" i="42" s="1"/>
  <c r="J16" i="42"/>
  <c r="K35" i="42" s="1"/>
  <c r="J15" i="42"/>
  <c r="K29" i="42" s="1"/>
  <c r="J14" i="42"/>
  <c r="K23" i="42" s="1"/>
  <c r="I9" i="42"/>
  <c r="I12" i="42" s="1"/>
  <c r="H9" i="42"/>
  <c r="H12" i="42" s="1"/>
  <c r="G9" i="42"/>
  <c r="G12" i="42" s="1"/>
  <c r="F9" i="42"/>
  <c r="F12" i="42" s="1"/>
  <c r="E9" i="42"/>
  <c r="E12" i="42" s="1"/>
  <c r="D9" i="42"/>
  <c r="D12" i="42" s="1"/>
  <c r="C9" i="42"/>
  <c r="C12" i="42" s="1"/>
  <c r="F8" i="42"/>
  <c r="E8" i="42"/>
  <c r="D8" i="42"/>
  <c r="C8" i="42"/>
  <c r="F6" i="42"/>
  <c r="G6" i="42" s="1"/>
  <c r="E6" i="42"/>
  <c r="D6" i="42"/>
  <c r="K19" i="42"/>
  <c r="L19" i="42" s="1"/>
  <c r="M19" i="42" s="1"/>
  <c r="N19" i="42" s="1"/>
  <c r="O19" i="42" s="1"/>
  <c r="P19" i="42" s="1"/>
  <c r="Q19" i="42" s="1"/>
  <c r="R19" i="42" s="1"/>
  <c r="S19" i="42" s="1"/>
  <c r="T19" i="42" s="1"/>
  <c r="U19" i="42" s="1"/>
  <c r="V19" i="42" s="1"/>
  <c r="W19" i="42" s="1"/>
  <c r="X19" i="42" s="1"/>
  <c r="K18" i="42"/>
  <c r="L18" i="42" s="1"/>
  <c r="M18" i="42" s="1"/>
  <c r="N18" i="42" s="1"/>
  <c r="O18" i="42" s="1"/>
  <c r="P18" i="42" s="1"/>
  <c r="Q18" i="42" s="1"/>
  <c r="R18" i="42" s="1"/>
  <c r="S18" i="42" s="1"/>
  <c r="T18" i="42" s="1"/>
  <c r="U18" i="42" s="1"/>
  <c r="V18" i="42" s="1"/>
  <c r="W18" i="42" s="1"/>
  <c r="X18" i="42" s="1"/>
  <c r="K17" i="42"/>
  <c r="L17" i="42" s="1"/>
  <c r="M17" i="42" s="1"/>
  <c r="N17" i="42" s="1"/>
  <c r="O17" i="42" s="1"/>
  <c r="P17" i="42" s="1"/>
  <c r="Q17" i="42" s="1"/>
  <c r="R17" i="42" s="1"/>
  <c r="S17" i="42" s="1"/>
  <c r="T17" i="42" s="1"/>
  <c r="U17" i="42" s="1"/>
  <c r="V17" i="42" s="1"/>
  <c r="W17" i="42" s="1"/>
  <c r="X17" i="42" s="1"/>
  <c r="K8" i="42"/>
  <c r="L8" i="42" s="1"/>
  <c r="M8" i="42" s="1"/>
  <c r="N8" i="42" s="1"/>
  <c r="O8" i="42" s="1"/>
  <c r="P8" i="42" s="1"/>
  <c r="Q8" i="42" s="1"/>
  <c r="R8" i="42" s="1"/>
  <c r="S8" i="42" s="1"/>
  <c r="T8" i="42" s="1"/>
  <c r="U8" i="42" s="1"/>
  <c r="V8" i="42" s="1"/>
  <c r="W8" i="42" s="1"/>
  <c r="X8" i="42" s="1"/>
  <c r="D2" i="42"/>
  <c r="E2" i="42" s="1"/>
  <c r="F2" i="42" s="1"/>
  <c r="G2" i="42" s="1"/>
  <c r="H2" i="42" s="1"/>
  <c r="I2" i="42" s="1"/>
  <c r="J2" i="42" s="1"/>
  <c r="K2" i="42" s="1"/>
  <c r="L2" i="42" s="1"/>
  <c r="M2" i="42" s="1"/>
  <c r="N2" i="42" s="1"/>
  <c r="O2" i="42" s="1"/>
  <c r="P2" i="42" s="1"/>
  <c r="Q2" i="42" s="1"/>
  <c r="R2" i="42" s="1"/>
  <c r="S2" i="42" s="1"/>
  <c r="T2" i="42" s="1"/>
  <c r="U2" i="42" s="1"/>
  <c r="V2" i="42" s="1"/>
  <c r="W2" i="42" s="1"/>
  <c r="X2" i="42" s="1"/>
  <c r="D39" i="28"/>
  <c r="D38" i="28"/>
  <c r="D21" i="28"/>
  <c r="F17" i="28"/>
  <c r="G17" i="28" s="1"/>
  <c r="H17" i="28" s="1"/>
  <c r="I17" i="28" s="1"/>
  <c r="J17" i="28" s="1"/>
  <c r="K17" i="28" s="1"/>
  <c r="L17" i="28" s="1"/>
  <c r="M17" i="28" s="1"/>
  <c r="N17" i="28" s="1"/>
  <c r="E17" i="28"/>
  <c r="E15" i="28"/>
  <c r="F15" i="28" s="1"/>
  <c r="G15" i="28" s="1"/>
  <c r="H15" i="28" s="1"/>
  <c r="I15" i="28" s="1"/>
  <c r="J15" i="28" s="1"/>
  <c r="K15" i="28" s="1"/>
  <c r="L15" i="28" s="1"/>
  <c r="M15" i="28" s="1"/>
  <c r="N15" i="28" s="1"/>
  <c r="F13" i="28"/>
  <c r="G13" i="28" s="1"/>
  <c r="H13" i="28" s="1"/>
  <c r="I13" i="28" s="1"/>
  <c r="E13" i="28"/>
  <c r="L8" i="28"/>
  <c r="K8" i="28"/>
  <c r="J8" i="28"/>
  <c r="I8" i="28"/>
  <c r="H8" i="28"/>
  <c r="G8" i="28"/>
  <c r="F8" i="28"/>
  <c r="F10" i="28" s="1"/>
  <c r="E8" i="28"/>
  <c r="D8" i="28"/>
  <c r="D10" i="28" s="1"/>
  <c r="D12" i="28" s="1"/>
  <c r="E7" i="28"/>
  <c r="F7" i="28" s="1"/>
  <c r="G7" i="28" s="1"/>
  <c r="H7" i="28" s="1"/>
  <c r="I7" i="28" s="1"/>
  <c r="J7" i="28" s="1"/>
  <c r="K7" i="28" s="1"/>
  <c r="L7" i="28" s="1"/>
  <c r="M7" i="28" s="1"/>
  <c r="N7" i="28" s="1"/>
  <c r="K4" i="28"/>
  <c r="I4" i="28"/>
  <c r="G4" i="28"/>
  <c r="E4" i="28"/>
  <c r="E3" i="28"/>
  <c r="E2" i="28"/>
  <c r="L6" i="28"/>
  <c r="M6" i="28" s="1"/>
  <c r="L5" i="28"/>
  <c r="M5" i="28" s="1"/>
  <c r="N5" i="28" s="1"/>
  <c r="L4" i="28"/>
  <c r="M4" i="28" s="1"/>
  <c r="N4" i="28" s="1"/>
  <c r="F3" i="28"/>
  <c r="G3" i="28" s="1"/>
  <c r="H3" i="28" s="1"/>
  <c r="I3" i="28" s="1"/>
  <c r="J3" i="28" s="1"/>
  <c r="K3" i="28" s="1"/>
  <c r="F2" i="28"/>
  <c r="F38" i="28" s="1"/>
  <c r="L19" i="29"/>
  <c r="M19" i="29" s="1"/>
  <c r="N19" i="29" s="1"/>
  <c r="O19" i="29" s="1"/>
  <c r="P19" i="29" s="1"/>
  <c r="Q19" i="29" s="1"/>
  <c r="R19" i="29" s="1"/>
  <c r="S19" i="29" s="1"/>
  <c r="T19" i="29" s="1"/>
  <c r="U19" i="29" s="1"/>
  <c r="V19" i="29" s="1"/>
  <c r="W19" i="29" s="1"/>
  <c r="X19" i="29" s="1"/>
  <c r="Y19" i="29" s="1"/>
  <c r="K19" i="29"/>
  <c r="K17" i="29"/>
  <c r="L17" i="29" s="1"/>
  <c r="M17" i="29" s="1"/>
  <c r="N17" i="29" s="1"/>
  <c r="O17" i="29" s="1"/>
  <c r="P17" i="29" s="1"/>
  <c r="Q17" i="29" s="1"/>
  <c r="R17" i="29" s="1"/>
  <c r="S17" i="29" s="1"/>
  <c r="T17" i="29" s="1"/>
  <c r="U17" i="29" s="1"/>
  <c r="V17" i="29" s="1"/>
  <c r="W17" i="29" s="1"/>
  <c r="X17" i="29" s="1"/>
  <c r="Y17" i="29" s="1"/>
  <c r="K15" i="29"/>
  <c r="L15" i="29" s="1"/>
  <c r="I9" i="29"/>
  <c r="J11" i="29"/>
  <c r="L9" i="29"/>
  <c r="K9" i="29"/>
  <c r="J9" i="29"/>
  <c r="L8" i="29"/>
  <c r="M8" i="29" s="1"/>
  <c r="N8" i="29" s="1"/>
  <c r="O8" i="29" s="1"/>
  <c r="P8" i="29" s="1"/>
  <c r="Q8" i="29" s="1"/>
  <c r="R8" i="29" s="1"/>
  <c r="S8" i="29" s="1"/>
  <c r="T8" i="29" s="1"/>
  <c r="U8" i="29" s="1"/>
  <c r="V8" i="29" s="1"/>
  <c r="W8" i="29" s="1"/>
  <c r="X8" i="29" s="1"/>
  <c r="Y8" i="29" s="1"/>
  <c r="K8" i="29"/>
  <c r="C4" i="29"/>
  <c r="M7" i="29"/>
  <c r="M9" i="29" s="1"/>
  <c r="L6" i="29"/>
  <c r="K6" i="29"/>
  <c r="J6" i="29"/>
  <c r="I6" i="29"/>
  <c r="E5" i="29"/>
  <c r="F5" i="29" s="1"/>
  <c r="G5" i="29" s="1"/>
  <c r="H5" i="29" s="1"/>
  <c r="I5" i="29" s="1"/>
  <c r="J5" i="29" s="1"/>
  <c r="K5" i="29" s="1"/>
  <c r="L5" i="29" s="1"/>
  <c r="M5" i="29" s="1"/>
  <c r="N5" i="29" s="1"/>
  <c r="O5" i="29" s="1"/>
  <c r="P5" i="29" s="1"/>
  <c r="Q5" i="29" s="1"/>
  <c r="R5" i="29" s="1"/>
  <c r="S5" i="29" s="1"/>
  <c r="T5" i="29" s="1"/>
  <c r="U5" i="29" s="1"/>
  <c r="V5" i="29" s="1"/>
  <c r="W5" i="29" s="1"/>
  <c r="X5" i="29" s="1"/>
  <c r="Y5" i="29" s="1"/>
  <c r="D5" i="29"/>
  <c r="D4" i="29"/>
  <c r="D3" i="29"/>
  <c r="E3" i="29" s="1"/>
  <c r="E4" i="29" s="1"/>
  <c r="D2" i="29"/>
  <c r="E2" i="29" s="1"/>
  <c r="F2" i="29" s="1"/>
  <c r="G2" i="29" s="1"/>
  <c r="H2" i="29" s="1"/>
  <c r="I2" i="29" s="1"/>
  <c r="L43" i="4"/>
  <c r="L44" i="4" s="1"/>
  <c r="L45" i="4" s="1"/>
  <c r="EA39" i="4"/>
  <c r="EF39" i="4" s="1"/>
  <c r="EK39" i="4" s="1"/>
  <c r="DZ39" i="4"/>
  <c r="EE39" i="4" s="1"/>
  <c r="EJ39" i="4" s="1"/>
  <c r="DY39" i="4"/>
  <c r="ED39" i="4" s="1"/>
  <c r="EI39" i="4" s="1"/>
  <c r="DX39" i="4"/>
  <c r="EC39" i="4" s="1"/>
  <c r="EH39" i="4" s="1"/>
  <c r="CI39" i="4"/>
  <c r="CN39" i="4" s="1"/>
  <c r="CS39" i="4" s="1"/>
  <c r="CX39" i="4" s="1"/>
  <c r="DC39" i="4" s="1"/>
  <c r="DH39" i="4" s="1"/>
  <c r="DM39" i="4" s="1"/>
  <c r="DR39" i="4" s="1"/>
  <c r="DW39" i="4" s="1"/>
  <c r="EB39" i="4" s="1"/>
  <c r="EG39" i="4" s="1"/>
  <c r="EL39" i="4" s="1"/>
  <c r="BD37" i="4"/>
  <c r="BD38" i="4" s="1"/>
  <c r="CB37" i="4"/>
  <c r="CB20" i="4" s="1"/>
  <c r="CH36" i="4"/>
  <c r="CH37" i="4" s="1"/>
  <c r="CH20" i="4" s="1"/>
  <c r="CG36" i="4"/>
  <c r="CG37" i="4" s="1"/>
  <c r="CG20" i="4" s="1"/>
  <c r="CF36" i="4"/>
  <c r="CF37" i="4" s="1"/>
  <c r="CF20" i="4" s="1"/>
  <c r="CE36" i="4"/>
  <c r="CE37" i="4" s="1"/>
  <c r="CE20" i="4" s="1"/>
  <c r="CD36" i="4"/>
  <c r="CI36" i="4" s="1"/>
  <c r="CN36" i="4" s="1"/>
  <c r="CS36" i="4" s="1"/>
  <c r="CX36" i="4" s="1"/>
  <c r="DC36" i="4" s="1"/>
  <c r="DH36" i="4" s="1"/>
  <c r="DM36" i="4" s="1"/>
  <c r="DR36" i="4" s="1"/>
  <c r="DW36" i="4" s="1"/>
  <c r="EB36" i="4" s="1"/>
  <c r="EG36" i="4" s="1"/>
  <c r="EL36" i="4" s="1"/>
  <c r="CN34" i="4"/>
  <c r="CI34" i="4"/>
  <c r="BY34" i="4"/>
  <c r="BY26" i="4"/>
  <c r="BY27" i="4" s="1"/>
  <c r="BX26" i="4"/>
  <c r="BX27" i="4" s="1"/>
  <c r="BW26" i="4"/>
  <c r="BW27" i="4" s="1"/>
  <c r="BV26" i="4"/>
  <c r="BV27" i="4" s="1"/>
  <c r="BU26" i="4"/>
  <c r="BU27" i="4" s="1"/>
  <c r="CH25" i="4"/>
  <c r="CD25" i="4"/>
  <c r="CC25" i="4"/>
  <c r="CB25" i="4"/>
  <c r="CG25" i="4" s="1"/>
  <c r="CA25" i="4"/>
  <c r="CF25" i="4" s="1"/>
  <c r="BZ25" i="4"/>
  <c r="CE25" i="4" s="1"/>
  <c r="CD24" i="4"/>
  <c r="CI24" i="4" s="1"/>
  <c r="CN24" i="4" s="1"/>
  <c r="CS24" i="4" s="1"/>
  <c r="CX24" i="4" s="1"/>
  <c r="DC24" i="4" s="1"/>
  <c r="DH24" i="4" s="1"/>
  <c r="DM24" i="4" s="1"/>
  <c r="DR24" i="4" s="1"/>
  <c r="DW24" i="4" s="1"/>
  <c r="EB24" i="4" s="1"/>
  <c r="EG24" i="4" s="1"/>
  <c r="EL24" i="4" s="1"/>
  <c r="DG24" i="4"/>
  <c r="DL24" i="4" s="1"/>
  <c r="DQ24" i="4" s="1"/>
  <c r="DV24" i="4" s="1"/>
  <c r="EA24" i="4" s="1"/>
  <c r="EF24" i="4" s="1"/>
  <c r="EK24" i="4" s="1"/>
  <c r="CW24" i="4"/>
  <c r="DB24" i="4" s="1"/>
  <c r="CV24" i="4"/>
  <c r="DA24" i="4" s="1"/>
  <c r="DF24" i="4" s="1"/>
  <c r="DK24" i="4" s="1"/>
  <c r="DP24" i="4" s="1"/>
  <c r="DU24" i="4" s="1"/>
  <c r="DZ24" i="4" s="1"/>
  <c r="EE24" i="4" s="1"/>
  <c r="EJ24" i="4" s="1"/>
  <c r="CU24" i="4"/>
  <c r="CZ24" i="4" s="1"/>
  <c r="DE24" i="4" s="1"/>
  <c r="DJ24" i="4" s="1"/>
  <c r="DO24" i="4" s="1"/>
  <c r="DT24" i="4" s="1"/>
  <c r="DY24" i="4" s="1"/>
  <c r="ED24" i="4" s="1"/>
  <c r="EI24" i="4" s="1"/>
  <c r="CT24" i="4"/>
  <c r="CY24" i="4" s="1"/>
  <c r="DD24" i="4" s="1"/>
  <c r="DI24" i="4" s="1"/>
  <c r="DN24" i="4" s="1"/>
  <c r="DS24" i="4" s="1"/>
  <c r="DX24" i="4" s="1"/>
  <c r="EC24" i="4" s="1"/>
  <c r="EH24" i="4" s="1"/>
  <c r="CC23" i="4"/>
  <c r="CC26" i="4" s="1"/>
  <c r="CC27" i="4" s="1"/>
  <c r="CB23" i="4"/>
  <c r="CB26" i="4" s="1"/>
  <c r="CB27" i="4" s="1"/>
  <c r="CA23" i="4"/>
  <c r="CA26" i="4" s="1"/>
  <c r="CA27" i="4" s="1"/>
  <c r="BZ23" i="4"/>
  <c r="BU19" i="4"/>
  <c r="BU21" i="4" s="1"/>
  <c r="BT19" i="4"/>
  <c r="BM19" i="4"/>
  <c r="BL19" i="4"/>
  <c r="BK19" i="4"/>
  <c r="BI19" i="4"/>
  <c r="BI4" i="4" s="1"/>
  <c r="BI18" i="4"/>
  <c r="BT18" i="4"/>
  <c r="BO18" i="4"/>
  <c r="F19" i="4"/>
  <c r="G19" i="4" s="1"/>
  <c r="F18" i="4"/>
  <c r="G18" i="4" s="1"/>
  <c r="BY18" i="4"/>
  <c r="BU18" i="4" s="1"/>
  <c r="BV18" i="4" s="1"/>
  <c r="BW18" i="4" s="1"/>
  <c r="BX18" i="4" s="1"/>
  <c r="BT17" i="4"/>
  <c r="BN17" i="4"/>
  <c r="BD19" i="4"/>
  <c r="BE19" i="4" s="1"/>
  <c r="BD18" i="4"/>
  <c r="BE18" i="4" s="1"/>
  <c r="BD17" i="4"/>
  <c r="BE17" i="4" s="1"/>
  <c r="AY19" i="4"/>
  <c r="AZ19" i="4" s="1"/>
  <c r="AY18" i="4"/>
  <c r="AZ18" i="4" s="1"/>
  <c r="AY17" i="4"/>
  <c r="AZ17" i="4" s="1"/>
  <c r="AT19" i="4"/>
  <c r="AU19" i="4" s="1"/>
  <c r="AT18" i="4"/>
  <c r="AU18" i="4" s="1"/>
  <c r="AT17" i="4"/>
  <c r="AU17" i="4" s="1"/>
  <c r="AO19" i="4"/>
  <c r="AP19" i="4" s="1"/>
  <c r="AO18" i="4"/>
  <c r="AP18" i="4" s="1"/>
  <c r="AO17" i="4"/>
  <c r="AP17" i="4" s="1"/>
  <c r="AJ19" i="4"/>
  <c r="AK19" i="4" s="1"/>
  <c r="AJ18" i="4"/>
  <c r="AK18" i="4" s="1"/>
  <c r="AJ17" i="4"/>
  <c r="AK17" i="4" s="1"/>
  <c r="AE19" i="4"/>
  <c r="AF19" i="4" s="1"/>
  <c r="AE18" i="4"/>
  <c r="AF18" i="4" s="1"/>
  <c r="AE17" i="4"/>
  <c r="AF17" i="4" s="1"/>
  <c r="Z19" i="4"/>
  <c r="AA19" i="4" s="1"/>
  <c r="Z18" i="4"/>
  <c r="AA18" i="4" s="1"/>
  <c r="Z17" i="4"/>
  <c r="AA17" i="4" s="1"/>
  <c r="U19" i="4"/>
  <c r="V19" i="4" s="1"/>
  <c r="U18" i="4"/>
  <c r="V18" i="4" s="1"/>
  <c r="U17" i="4"/>
  <c r="V17" i="4" s="1"/>
  <c r="P19" i="4"/>
  <c r="Q19" i="4" s="1"/>
  <c r="P18" i="4"/>
  <c r="Q18" i="4" s="1"/>
  <c r="P17" i="4"/>
  <c r="Q17" i="4" s="1"/>
  <c r="K19" i="4"/>
  <c r="L19" i="4" s="1"/>
  <c r="K18" i="4"/>
  <c r="L18" i="4" s="1"/>
  <c r="K17" i="4"/>
  <c r="L17" i="4" s="1"/>
  <c r="BY15" i="4"/>
  <c r="BU15" i="4"/>
  <c r="BU14" i="4"/>
  <c r="BM14" i="4"/>
  <c r="BA14" i="4"/>
  <c r="AM14" i="4"/>
  <c r="BR12" i="4"/>
  <c r="BR15" i="4" s="1"/>
  <c r="BQ12" i="4"/>
  <c r="BQ15" i="4" s="1"/>
  <c r="BP12" i="4"/>
  <c r="BP15" i="4" s="1"/>
  <c r="BO12" i="4"/>
  <c r="BM12" i="4"/>
  <c r="BM15" i="4" s="1"/>
  <c r="BL12" i="4"/>
  <c r="BL15" i="4" s="1"/>
  <c r="BK12" i="4"/>
  <c r="BK15" i="4" s="1"/>
  <c r="BH12" i="4"/>
  <c r="BH15" i="4" s="1"/>
  <c r="BG12" i="4"/>
  <c r="BG15" i="4" s="1"/>
  <c r="BF12" i="4"/>
  <c r="BF15" i="4" s="1"/>
  <c r="BC12" i="4"/>
  <c r="BC15" i="4" s="1"/>
  <c r="BB12" i="4"/>
  <c r="BB15" i="4" s="1"/>
  <c r="BA12" i="4"/>
  <c r="AX12" i="4"/>
  <c r="AX15" i="4" s="1"/>
  <c r="AW12" i="4"/>
  <c r="AW15" i="4" s="1"/>
  <c r="AV12" i="4"/>
  <c r="AV15" i="4" s="1"/>
  <c r="AS12" i="4"/>
  <c r="AS15" i="4" s="1"/>
  <c r="AR12" i="4"/>
  <c r="AR15" i="4" s="1"/>
  <c r="AQ12" i="4"/>
  <c r="AQ14" i="4" s="1"/>
  <c r="AN12" i="4"/>
  <c r="AN15" i="4" s="1"/>
  <c r="AM12" i="4"/>
  <c r="AM15" i="4" s="1"/>
  <c r="AL12" i="4"/>
  <c r="AL15" i="4" s="1"/>
  <c r="AI12" i="4"/>
  <c r="AI15" i="4" s="1"/>
  <c r="AH12" i="4"/>
  <c r="AH15" i="4" s="1"/>
  <c r="AG12" i="4"/>
  <c r="AG15" i="4" s="1"/>
  <c r="AD12" i="4"/>
  <c r="AC12" i="4"/>
  <c r="AB12" i="4"/>
  <c r="Y12" i="4"/>
  <c r="X12" i="4"/>
  <c r="W12" i="4"/>
  <c r="T12" i="4"/>
  <c r="S12" i="4"/>
  <c r="R12" i="4"/>
  <c r="O12" i="4"/>
  <c r="N12" i="4"/>
  <c r="M12" i="4"/>
  <c r="J12" i="4"/>
  <c r="I12" i="4"/>
  <c r="H12" i="4"/>
  <c r="G12" i="4"/>
  <c r="BU11" i="4"/>
  <c r="BS11" i="4"/>
  <c r="BS12" i="4" s="1"/>
  <c r="BN11" i="4"/>
  <c r="BI11" i="4"/>
  <c r="BE11" i="4"/>
  <c r="BD11" i="4"/>
  <c r="BD12" i="4" s="1"/>
  <c r="AZ11" i="4"/>
  <c r="AY11" i="4"/>
  <c r="AY12" i="4" s="1"/>
  <c r="AU11" i="4"/>
  <c r="AT11" i="4"/>
  <c r="AT12" i="4" s="1"/>
  <c r="AO11" i="4"/>
  <c r="AP11" i="4" s="1"/>
  <c r="AK11" i="4"/>
  <c r="AJ11" i="4"/>
  <c r="AF11" i="4"/>
  <c r="AE11" i="4"/>
  <c r="AA11" i="4"/>
  <c r="Z11" i="4"/>
  <c r="V11" i="4"/>
  <c r="U11" i="4"/>
  <c r="Q11" i="4"/>
  <c r="P11" i="4"/>
  <c r="L11" i="4"/>
  <c r="K11" i="4"/>
  <c r="AK9" i="4"/>
  <c r="AK12" i="4" s="1"/>
  <c r="AJ9" i="4"/>
  <c r="AJ12" i="4" s="1"/>
  <c r="AF9" i="4"/>
  <c r="AF12" i="4" s="1"/>
  <c r="AF14" i="4" s="1"/>
  <c r="AF15" i="4" s="1"/>
  <c r="AE9" i="4"/>
  <c r="AE12" i="4" s="1"/>
  <c r="AA9" i="4"/>
  <c r="AA12" i="4" s="1"/>
  <c r="Z9" i="4"/>
  <c r="Z12" i="4" s="1"/>
  <c r="V9" i="4"/>
  <c r="V12" i="4" s="1"/>
  <c r="U9" i="4"/>
  <c r="U12" i="4" s="1"/>
  <c r="Q9" i="4"/>
  <c r="Q12" i="4" s="1"/>
  <c r="P9" i="4"/>
  <c r="P12" i="4" s="1"/>
  <c r="L9" i="4"/>
  <c r="L12" i="4" s="1"/>
  <c r="K9" i="4"/>
  <c r="K12" i="4" s="1"/>
  <c r="AI8" i="4"/>
  <c r="AH8" i="4"/>
  <c r="AE8" i="4"/>
  <c r="AE7" i="4"/>
  <c r="Z8" i="4"/>
  <c r="Z7" i="4"/>
  <c r="U8" i="4"/>
  <c r="P8" i="4"/>
  <c r="K8" i="4"/>
  <c r="F8" i="4"/>
  <c r="AJ7" i="4"/>
  <c r="AJ5" i="4"/>
  <c r="AJ4" i="4"/>
  <c r="BV6" i="4"/>
  <c r="BU6" i="4"/>
  <c r="BR6" i="4"/>
  <c r="BQ6" i="4"/>
  <c r="BP6" i="4"/>
  <c r="BO6" i="4"/>
  <c r="BM6" i="4"/>
  <c r="BL6" i="4"/>
  <c r="BK6" i="4"/>
  <c r="BH6" i="4"/>
  <c r="BG6" i="4"/>
  <c r="BF6" i="4"/>
  <c r="BD6" i="4"/>
  <c r="BC6" i="4"/>
  <c r="BB6" i="4"/>
  <c r="BA6" i="4"/>
  <c r="AY6" i="4"/>
  <c r="AX6" i="4"/>
  <c r="AW6" i="4"/>
  <c r="AV6" i="4"/>
  <c r="AS6" i="4"/>
  <c r="AR6" i="4"/>
  <c r="AQ6" i="4"/>
  <c r="AP6" i="4"/>
  <c r="AN6" i="4"/>
  <c r="AM6" i="4"/>
  <c r="AL6" i="4"/>
  <c r="AK6" i="4"/>
  <c r="AI6" i="4"/>
  <c r="AH6" i="4"/>
  <c r="AG6" i="4"/>
  <c r="AF6" i="4"/>
  <c r="BT5" i="4"/>
  <c r="BT6" i="4" s="1"/>
  <c r="BN5" i="4"/>
  <c r="BN12" i="4" s="1"/>
  <c r="BI5" i="4"/>
  <c r="BI12" i="4" s="1"/>
  <c r="BE5" i="4"/>
  <c r="AZ5" i="4"/>
  <c r="AZ6" i="4" s="1"/>
  <c r="AU5" i="4"/>
  <c r="AU6" i="4" s="1"/>
  <c r="AO5" i="4"/>
  <c r="AO12" i="4" s="1"/>
  <c r="AO4" i="4"/>
  <c r="AE5" i="4"/>
  <c r="AJ6" i="4" s="1"/>
  <c r="AE4" i="4"/>
  <c r="Z5" i="4"/>
  <c r="Z4" i="4"/>
  <c r="U5" i="4"/>
  <c r="U4" i="4"/>
  <c r="P5" i="4"/>
  <c r="P4" i="4"/>
  <c r="K5" i="4"/>
  <c r="K4" i="4"/>
  <c r="F5" i="4"/>
  <c r="F4" i="4"/>
  <c r="BU4" i="4"/>
  <c r="BS4" i="4"/>
  <c r="BR4" i="4"/>
  <c r="BO4" i="4"/>
  <c r="BJ4" i="4"/>
  <c r="BH4" i="4"/>
  <c r="BG4" i="4"/>
  <c r="BD4" i="4"/>
  <c r="AY4" i="4"/>
  <c r="AT4" i="4"/>
  <c r="C15" i="16"/>
  <c r="C11" i="16"/>
  <c r="C9" i="16"/>
  <c r="C6" i="16"/>
  <c r="C8" i="16" s="1"/>
  <c r="C4" i="16"/>
  <c r="C14" i="16" s="1"/>
  <c r="C17" i="16" s="1"/>
  <c r="D3" i="16"/>
  <c r="C3" i="16"/>
  <c r="D1" i="16"/>
  <c r="E1" i="16" s="1"/>
  <c r="F180" i="7"/>
  <c r="F179" i="7"/>
  <c r="G179" i="7" s="1"/>
  <c r="H179" i="7" s="1"/>
  <c r="I179" i="7" s="1"/>
  <c r="F178" i="7"/>
  <c r="F175" i="7"/>
  <c r="G175" i="7" s="1"/>
  <c r="H175" i="7" s="1"/>
  <c r="F173" i="7"/>
  <c r="G173" i="7" s="1"/>
  <c r="H173" i="7" s="1"/>
  <c r="I173" i="7" s="1"/>
  <c r="J173" i="7" s="1"/>
  <c r="K173" i="7" s="1"/>
  <c r="L173" i="7" s="1"/>
  <c r="M173" i="7" s="1"/>
  <c r="N173" i="7" s="1"/>
  <c r="O173" i="7" s="1"/>
  <c r="P173" i="7" s="1"/>
  <c r="Q173" i="7" s="1"/>
  <c r="R173" i="7" s="1"/>
  <c r="S173" i="7" s="1"/>
  <c r="T173" i="7" s="1"/>
  <c r="U173" i="7" s="1"/>
  <c r="V173" i="7" s="1"/>
  <c r="W173" i="7" s="1"/>
  <c r="X173" i="7" s="1"/>
  <c r="E179" i="7"/>
  <c r="E178" i="7"/>
  <c r="J178" i="7"/>
  <c r="J175" i="7"/>
  <c r="K175" i="7" s="1"/>
  <c r="L175" i="7" s="1"/>
  <c r="M175" i="7" s="1"/>
  <c r="N175" i="7" s="1"/>
  <c r="O175" i="7" s="1"/>
  <c r="P175" i="7" s="1"/>
  <c r="Q175" i="7" s="1"/>
  <c r="R175" i="7" s="1"/>
  <c r="S175" i="7" s="1"/>
  <c r="T175" i="7" s="1"/>
  <c r="U175" i="7" s="1"/>
  <c r="V175" i="7" s="1"/>
  <c r="W175" i="7" s="1"/>
  <c r="X175" i="7" s="1"/>
  <c r="I175" i="7"/>
  <c r="P180" i="7"/>
  <c r="Q180" i="7" s="1"/>
  <c r="R180" i="7" s="1"/>
  <c r="S180" i="7" s="1"/>
  <c r="T180" i="7" s="1"/>
  <c r="U180" i="7" s="1"/>
  <c r="V180" i="7" s="1"/>
  <c r="W180" i="7" s="1"/>
  <c r="X180" i="7" s="1"/>
  <c r="L180" i="7"/>
  <c r="M180" i="7" s="1"/>
  <c r="N180" i="7" s="1"/>
  <c r="O180" i="7" s="1"/>
  <c r="K180" i="7"/>
  <c r="K178" i="7"/>
  <c r="L178" i="7" s="1"/>
  <c r="M178" i="7" s="1"/>
  <c r="N178" i="7" s="1"/>
  <c r="O178" i="7" s="1"/>
  <c r="P178" i="7" s="1"/>
  <c r="Q178" i="7" s="1"/>
  <c r="R178" i="7" s="1"/>
  <c r="S178" i="7" s="1"/>
  <c r="T178" i="7" s="1"/>
  <c r="U178" i="7" s="1"/>
  <c r="V178" i="7" s="1"/>
  <c r="W178" i="7" s="1"/>
  <c r="X178" i="7" s="1"/>
  <c r="F166" i="7"/>
  <c r="G166" i="7" s="1"/>
  <c r="H166" i="7" s="1"/>
  <c r="I166" i="7" s="1"/>
  <c r="J166" i="7" s="1"/>
  <c r="K166" i="7" s="1"/>
  <c r="L166" i="7" s="1"/>
  <c r="M166" i="7" s="1"/>
  <c r="N166" i="7" s="1"/>
  <c r="O166" i="7" s="1"/>
  <c r="P166" i="7" s="1"/>
  <c r="Q166" i="7" s="1"/>
  <c r="R166" i="7" s="1"/>
  <c r="S166" i="7" s="1"/>
  <c r="T166" i="7" s="1"/>
  <c r="U166" i="7" s="1"/>
  <c r="V166" i="7" s="1"/>
  <c r="W166" i="7" s="1"/>
  <c r="X166" i="7" s="1"/>
  <c r="D166" i="7"/>
  <c r="E166" i="7" s="1"/>
  <c r="O161" i="7"/>
  <c r="P161" i="7" s="1"/>
  <c r="Q161" i="7" s="1"/>
  <c r="R161" i="7" s="1"/>
  <c r="S161" i="7" s="1"/>
  <c r="T161" i="7" s="1"/>
  <c r="U161" i="7" s="1"/>
  <c r="V161" i="7" s="1"/>
  <c r="W161" i="7" s="1"/>
  <c r="X161" i="7" s="1"/>
  <c r="M161" i="7"/>
  <c r="N161" i="7" s="1"/>
  <c r="L160" i="7"/>
  <c r="M160" i="7" s="1"/>
  <c r="J160" i="7"/>
  <c r="M147" i="7"/>
  <c r="N147" i="7" s="1"/>
  <c r="O147" i="7" s="1"/>
  <c r="P147" i="7" s="1"/>
  <c r="Q147" i="7" s="1"/>
  <c r="R147" i="7" s="1"/>
  <c r="S147" i="7" s="1"/>
  <c r="T147" i="7" s="1"/>
  <c r="U147" i="7" s="1"/>
  <c r="V147" i="7" s="1"/>
  <c r="W147" i="7" s="1"/>
  <c r="X147" i="7" s="1"/>
  <c r="J146" i="7"/>
  <c r="I146" i="7"/>
  <c r="G146" i="7"/>
  <c r="M140" i="7"/>
  <c r="N140" i="7" s="1"/>
  <c r="O140" i="7" s="1"/>
  <c r="P140" i="7" s="1"/>
  <c r="Q140" i="7" s="1"/>
  <c r="R140" i="7" s="1"/>
  <c r="S140" i="7" s="1"/>
  <c r="T140" i="7" s="1"/>
  <c r="U140" i="7" s="1"/>
  <c r="V140" i="7" s="1"/>
  <c r="W140" i="7" s="1"/>
  <c r="X140" i="7" s="1"/>
  <c r="L133" i="7"/>
  <c r="H133" i="7"/>
  <c r="O133" i="7"/>
  <c r="P133" i="7" s="1"/>
  <c r="Q133" i="7" s="1"/>
  <c r="R133" i="7" s="1"/>
  <c r="S133" i="7" s="1"/>
  <c r="T133" i="7" s="1"/>
  <c r="U133" i="7" s="1"/>
  <c r="V133" i="7" s="1"/>
  <c r="W133" i="7" s="1"/>
  <c r="X133" i="7" s="1"/>
  <c r="N133" i="7"/>
  <c r="X127" i="7"/>
  <c r="W127" i="7"/>
  <c r="V127" i="7"/>
  <c r="U127" i="7"/>
  <c r="T127" i="7"/>
  <c r="S127" i="7"/>
  <c r="R127" i="7"/>
  <c r="Q127" i="7"/>
  <c r="P127" i="7"/>
  <c r="O127" i="7"/>
  <c r="G127" i="7"/>
  <c r="F127" i="7"/>
  <c r="E127" i="7"/>
  <c r="D127" i="7"/>
  <c r="C127" i="7"/>
  <c r="J124" i="7"/>
  <c r="I124" i="7"/>
  <c r="H124" i="7"/>
  <c r="G124" i="7"/>
  <c r="N121" i="7"/>
  <c r="M121" i="7"/>
  <c r="L121" i="7"/>
  <c r="K121" i="7"/>
  <c r="P122" i="7"/>
  <c r="Q122" i="7" s="1"/>
  <c r="R122" i="7" s="1"/>
  <c r="S122" i="7" s="1"/>
  <c r="T122" i="7" s="1"/>
  <c r="U122" i="7" s="1"/>
  <c r="V122" i="7" s="1"/>
  <c r="W122" i="7" s="1"/>
  <c r="X122" i="7" s="1"/>
  <c r="L120" i="7"/>
  <c r="M120" i="7" s="1"/>
  <c r="N120" i="7" s="1"/>
  <c r="O120" i="7" s="1"/>
  <c r="P120" i="7" s="1"/>
  <c r="Q120" i="7" s="1"/>
  <c r="R120" i="7" s="1"/>
  <c r="S120" i="7" s="1"/>
  <c r="T120" i="7" s="1"/>
  <c r="U120" i="7" s="1"/>
  <c r="V120" i="7" s="1"/>
  <c r="W120" i="7" s="1"/>
  <c r="X120" i="7" s="1"/>
  <c r="K115" i="7"/>
  <c r="K113" i="7"/>
  <c r="P115" i="7"/>
  <c r="O113" i="7"/>
  <c r="N115" i="7"/>
  <c r="L115" i="7"/>
  <c r="N113" i="7"/>
  <c r="J108" i="7"/>
  <c r="I108" i="7"/>
  <c r="M104" i="7"/>
  <c r="N104" i="7" s="1"/>
  <c r="O104" i="7" s="1"/>
  <c r="P104" i="7" s="1"/>
  <c r="Q104" i="7" s="1"/>
  <c r="R104" i="7" s="1"/>
  <c r="S104" i="7" s="1"/>
  <c r="T104" i="7" s="1"/>
  <c r="U104" i="7" s="1"/>
  <c r="V104" i="7" s="1"/>
  <c r="W104" i="7" s="1"/>
  <c r="X104" i="7" s="1"/>
  <c r="L104" i="7"/>
  <c r="C99" i="7"/>
  <c r="K95" i="7"/>
  <c r="J91" i="7"/>
  <c r="K91" i="7"/>
  <c r="J89" i="7"/>
  <c r="P93" i="7"/>
  <c r="Q93" i="7" s="1"/>
  <c r="R93" i="7" s="1"/>
  <c r="S93" i="7" s="1"/>
  <c r="T93" i="7" s="1"/>
  <c r="U93" i="7" s="1"/>
  <c r="V93" i="7" s="1"/>
  <c r="W93" i="7" s="1"/>
  <c r="X93" i="7" s="1"/>
  <c r="L93" i="7"/>
  <c r="M93" i="7" s="1"/>
  <c r="N93" i="7" s="1"/>
  <c r="O93" i="7" s="1"/>
  <c r="H87" i="7"/>
  <c r="I87" i="7" s="1"/>
  <c r="J87" i="7" s="1"/>
  <c r="K87" i="7" s="1"/>
  <c r="L87" i="7" s="1"/>
  <c r="M87" i="7" s="1"/>
  <c r="N87" i="7" s="1"/>
  <c r="O87" i="7" s="1"/>
  <c r="P87" i="7" s="1"/>
  <c r="Q87" i="7" s="1"/>
  <c r="R87" i="7" s="1"/>
  <c r="S87" i="7" s="1"/>
  <c r="T87" i="7" s="1"/>
  <c r="U87" i="7" s="1"/>
  <c r="V87" i="7" s="1"/>
  <c r="W87" i="7" s="1"/>
  <c r="X87" i="7" s="1"/>
  <c r="H86" i="7"/>
  <c r="H85" i="7"/>
  <c r="C84" i="7"/>
  <c r="C97" i="7" s="1"/>
  <c r="L85" i="7"/>
  <c r="K85" i="7"/>
  <c r="J85" i="7"/>
  <c r="I85" i="7"/>
  <c r="J83" i="7"/>
  <c r="K83" i="7" s="1"/>
  <c r="L83" i="7" s="1"/>
  <c r="M83" i="7" s="1"/>
  <c r="N83" i="7" s="1"/>
  <c r="O83" i="7" s="1"/>
  <c r="P83" i="7" s="1"/>
  <c r="Q83" i="7" s="1"/>
  <c r="R83" i="7" s="1"/>
  <c r="S83" i="7" s="1"/>
  <c r="T83" i="7" s="1"/>
  <c r="U83" i="7" s="1"/>
  <c r="V83" i="7" s="1"/>
  <c r="W83" i="7" s="1"/>
  <c r="X83" i="7" s="1"/>
  <c r="I83" i="7"/>
  <c r="M86" i="7"/>
  <c r="N86" i="7" s="1"/>
  <c r="O86" i="7" s="1"/>
  <c r="O85" i="7" s="1"/>
  <c r="M85" i="7"/>
  <c r="J82" i="7"/>
  <c r="K82" i="7" s="1"/>
  <c r="L82" i="7" s="1"/>
  <c r="M82" i="7" s="1"/>
  <c r="N82" i="7" s="1"/>
  <c r="O82" i="7" s="1"/>
  <c r="P82" i="7" s="1"/>
  <c r="Q82" i="7" s="1"/>
  <c r="R82" i="7" s="1"/>
  <c r="S82" i="7" s="1"/>
  <c r="T82" i="7" s="1"/>
  <c r="U82" i="7" s="1"/>
  <c r="V82" i="7" s="1"/>
  <c r="W82" i="7" s="1"/>
  <c r="X82" i="7" s="1"/>
  <c r="K81" i="7"/>
  <c r="L81" i="7" s="1"/>
  <c r="M81" i="7" s="1"/>
  <c r="N81" i="7" s="1"/>
  <c r="O81" i="7" s="1"/>
  <c r="P81" i="7" s="1"/>
  <c r="Q81" i="7" s="1"/>
  <c r="R81" i="7" s="1"/>
  <c r="S81" i="7" s="1"/>
  <c r="T81" i="7" s="1"/>
  <c r="U81" i="7" s="1"/>
  <c r="V81" i="7" s="1"/>
  <c r="W81" i="7" s="1"/>
  <c r="X81" i="7" s="1"/>
  <c r="J81" i="7"/>
  <c r="D80" i="7"/>
  <c r="D84" i="7" s="1"/>
  <c r="N76" i="7"/>
  <c r="O76" i="7" s="1"/>
  <c r="M75" i="7"/>
  <c r="I74" i="7"/>
  <c r="J74" i="7" s="1"/>
  <c r="K74" i="7" s="1"/>
  <c r="L74" i="7" s="1"/>
  <c r="M74" i="7" s="1"/>
  <c r="N70" i="7"/>
  <c r="O70" i="7" s="1"/>
  <c r="M70" i="7"/>
  <c r="X68" i="7"/>
  <c r="W68" i="7"/>
  <c r="V68" i="7"/>
  <c r="U68" i="7"/>
  <c r="T68" i="7"/>
  <c r="S68" i="7"/>
  <c r="R68" i="7"/>
  <c r="Q68" i="7"/>
  <c r="P68" i="7"/>
  <c r="O68" i="7"/>
  <c r="N68" i="7"/>
  <c r="M68" i="7"/>
  <c r="L68" i="7"/>
  <c r="K68" i="7"/>
  <c r="J68" i="7"/>
  <c r="I68" i="7"/>
  <c r="X66" i="7"/>
  <c r="W66" i="7"/>
  <c r="V66" i="7"/>
  <c r="U66" i="7"/>
  <c r="T66" i="7"/>
  <c r="S66" i="7"/>
  <c r="R66" i="7"/>
  <c r="Q66" i="7"/>
  <c r="P66" i="7"/>
  <c r="O66" i="7"/>
  <c r="N66" i="7"/>
  <c r="M66" i="7"/>
  <c r="L66" i="7"/>
  <c r="K66" i="7"/>
  <c r="J66" i="7"/>
  <c r="I66" i="7"/>
  <c r="L64" i="7"/>
  <c r="J64" i="7"/>
  <c r="I64" i="7"/>
  <c r="M63" i="7"/>
  <c r="M64" i="7" s="1"/>
  <c r="M62" i="7"/>
  <c r="L62" i="7"/>
  <c r="J62" i="7"/>
  <c r="I62" i="7"/>
  <c r="H57" i="7"/>
  <c r="H55" i="7"/>
  <c r="C54" i="7"/>
  <c r="D53" i="7"/>
  <c r="E53" i="7" s="1"/>
  <c r="F53" i="7" s="1"/>
  <c r="G53" i="7" s="1"/>
  <c r="H53" i="7" s="1"/>
  <c r="I53" i="7" s="1"/>
  <c r="G48" i="7"/>
  <c r="C44" i="7"/>
  <c r="G41" i="7"/>
  <c r="C39" i="7"/>
  <c r="H42" i="7"/>
  <c r="D38" i="7"/>
  <c r="D54" i="7" s="1"/>
  <c r="L53" i="7"/>
  <c r="M53" i="7" s="1"/>
  <c r="N53" i="7" s="1"/>
  <c r="O53" i="7" s="1"/>
  <c r="P53" i="7" s="1"/>
  <c r="Q53" i="7" s="1"/>
  <c r="R53" i="7" s="1"/>
  <c r="S53" i="7" s="1"/>
  <c r="T53" i="7" s="1"/>
  <c r="U53" i="7" s="1"/>
  <c r="V53" i="7" s="1"/>
  <c r="W53" i="7" s="1"/>
  <c r="X53" i="7" s="1"/>
  <c r="C27" i="7"/>
  <c r="J28" i="7"/>
  <c r="K28" i="7" s="1"/>
  <c r="E26" i="7"/>
  <c r="D26" i="7"/>
  <c r="I21" i="7"/>
  <c r="T20" i="7"/>
  <c r="U20" i="7" s="1"/>
  <c r="V20" i="7" s="1"/>
  <c r="W20" i="7" s="1"/>
  <c r="X20" i="7" s="1"/>
  <c r="S20" i="7"/>
  <c r="D11" i="7"/>
  <c r="E11" i="7" s="1"/>
  <c r="F11" i="7" s="1"/>
  <c r="G11" i="7" s="1"/>
  <c r="H11" i="7" s="1"/>
  <c r="I11" i="7" s="1"/>
  <c r="J11" i="7" s="1"/>
  <c r="K11" i="7" s="1"/>
  <c r="L11" i="7" s="1"/>
  <c r="M11" i="7" s="1"/>
  <c r="N11" i="7" s="1"/>
  <c r="O11" i="7" s="1"/>
  <c r="P11" i="7" s="1"/>
  <c r="Q11" i="7" s="1"/>
  <c r="R11" i="7" s="1"/>
  <c r="S11" i="7" s="1"/>
  <c r="T11" i="7" s="1"/>
  <c r="U11" i="7" s="1"/>
  <c r="V11" i="7" s="1"/>
  <c r="W11" i="7" s="1"/>
  <c r="X11" i="7" s="1"/>
  <c r="F10" i="7"/>
  <c r="F9" i="7"/>
  <c r="E9" i="7" s="1"/>
  <c r="D9" i="7" s="1"/>
  <c r="C9" i="7" s="1"/>
  <c r="C7" i="7"/>
  <c r="D7" i="7" s="1"/>
  <c r="D8" i="7" s="1"/>
  <c r="H10" i="7"/>
  <c r="I9" i="7"/>
  <c r="J9" i="7" s="1"/>
  <c r="K9" i="7" s="1"/>
  <c r="L9" i="7" s="1"/>
  <c r="M9" i="7" s="1"/>
  <c r="N9" i="7" s="1"/>
  <c r="O9" i="7" s="1"/>
  <c r="P9" i="7" s="1"/>
  <c r="Q9" i="7" s="1"/>
  <c r="R9" i="7" s="1"/>
  <c r="S9" i="7" s="1"/>
  <c r="T9" i="7" s="1"/>
  <c r="U9" i="7" s="1"/>
  <c r="V9" i="7" s="1"/>
  <c r="W9" i="7" s="1"/>
  <c r="X9" i="7" s="1"/>
  <c r="H9" i="7"/>
  <c r="E6" i="7"/>
  <c r="F6" i="7" s="1"/>
  <c r="G6" i="7" s="1"/>
  <c r="H6" i="7" s="1"/>
  <c r="I6" i="7" s="1"/>
  <c r="J6" i="7" s="1"/>
  <c r="K6" i="7" s="1"/>
  <c r="L6" i="7" s="1"/>
  <c r="M6" i="7" s="1"/>
  <c r="N6" i="7" s="1"/>
  <c r="O6" i="7" s="1"/>
  <c r="P6" i="7" s="1"/>
  <c r="Q6" i="7" s="1"/>
  <c r="R6" i="7" s="1"/>
  <c r="S6" i="7" s="1"/>
  <c r="T6" i="7" s="1"/>
  <c r="U6" i="7" s="1"/>
  <c r="V6" i="7" s="1"/>
  <c r="W6" i="7" s="1"/>
  <c r="X6" i="7" s="1"/>
  <c r="C5" i="7"/>
  <c r="C8" i="7" s="1"/>
  <c r="I3" i="7"/>
  <c r="I127" i="7" s="1"/>
  <c r="H3" i="7"/>
  <c r="H127" i="7" s="1"/>
  <c r="E1" i="7"/>
  <c r="L159" i="6"/>
  <c r="M159" i="6" s="1"/>
  <c r="L157" i="6"/>
  <c r="M157" i="6" s="1"/>
  <c r="M161" i="6"/>
  <c r="J152" i="6"/>
  <c r="I152" i="6"/>
  <c r="H152" i="6"/>
  <c r="G152" i="6"/>
  <c r="L151" i="6"/>
  <c r="M151" i="6" s="1"/>
  <c r="O151" i="6"/>
  <c r="P151" i="6" s="1"/>
  <c r="Q151" i="6" s="1"/>
  <c r="R151" i="6" s="1"/>
  <c r="S151" i="6" s="1"/>
  <c r="T151" i="6" s="1"/>
  <c r="U151" i="6" s="1"/>
  <c r="V151" i="6" s="1"/>
  <c r="W151" i="6" s="1"/>
  <c r="X151" i="6" s="1"/>
  <c r="K150" i="6"/>
  <c r="N143" i="6"/>
  <c r="O143" i="6" s="1"/>
  <c r="P143" i="6" s="1"/>
  <c r="Q143" i="6" s="1"/>
  <c r="R143" i="6" s="1"/>
  <c r="S143" i="6" s="1"/>
  <c r="T143" i="6" s="1"/>
  <c r="U143" i="6" s="1"/>
  <c r="V143" i="6" s="1"/>
  <c r="W143" i="6" s="1"/>
  <c r="X143" i="6" s="1"/>
  <c r="O142" i="6"/>
  <c r="O141" i="6" s="1"/>
  <c r="M142" i="6"/>
  <c r="M141" i="6" s="1"/>
  <c r="P141" i="6"/>
  <c r="N141" i="6"/>
  <c r="L141" i="6"/>
  <c r="R142" i="6"/>
  <c r="Q142" i="6"/>
  <c r="Q141" i="6" s="1"/>
  <c r="N134" i="6"/>
  <c r="O134" i="6" s="1"/>
  <c r="P134" i="6" s="1"/>
  <c r="Q134" i="6" s="1"/>
  <c r="R134" i="6" s="1"/>
  <c r="S134" i="6" s="1"/>
  <c r="T134" i="6" s="1"/>
  <c r="U134" i="6" s="1"/>
  <c r="V134" i="6" s="1"/>
  <c r="W134" i="6" s="1"/>
  <c r="X134" i="6" s="1"/>
  <c r="P127" i="6"/>
  <c r="N127" i="6"/>
  <c r="R127" i="6"/>
  <c r="S127" i="6" s="1"/>
  <c r="T127" i="6" s="1"/>
  <c r="U127" i="6" s="1"/>
  <c r="V127" i="6" s="1"/>
  <c r="W127" i="6" s="1"/>
  <c r="X127" i="6" s="1"/>
  <c r="J119" i="6"/>
  <c r="I119" i="6"/>
  <c r="H119" i="6"/>
  <c r="G119" i="6"/>
  <c r="O117" i="6"/>
  <c r="P117" i="6" s="1"/>
  <c r="Q117" i="6" s="1"/>
  <c r="R117" i="6" s="1"/>
  <c r="S117" i="6" s="1"/>
  <c r="T117" i="6" s="1"/>
  <c r="U117" i="6" s="1"/>
  <c r="V117" i="6" s="1"/>
  <c r="W117" i="6" s="1"/>
  <c r="X117" i="6" s="1"/>
  <c r="P116" i="6"/>
  <c r="O115" i="6"/>
  <c r="P115" i="6" s="1"/>
  <c r="Q115" i="6" s="1"/>
  <c r="R115" i="6" s="1"/>
  <c r="S115" i="6" s="1"/>
  <c r="T115" i="6" s="1"/>
  <c r="U115" i="6" s="1"/>
  <c r="V115" i="6" s="1"/>
  <c r="W115" i="6" s="1"/>
  <c r="X115" i="6" s="1"/>
  <c r="P110" i="6"/>
  <c r="O110" i="6"/>
  <c r="N110" i="6"/>
  <c r="M110" i="6"/>
  <c r="L110" i="6"/>
  <c r="K110" i="6"/>
  <c r="Q110" i="6"/>
  <c r="P108" i="6"/>
  <c r="O108" i="6"/>
  <c r="N108" i="6"/>
  <c r="M108" i="6"/>
  <c r="L108" i="6"/>
  <c r="K108" i="6"/>
  <c r="H103" i="6"/>
  <c r="I103" i="6" s="1"/>
  <c r="J103" i="6" s="1"/>
  <c r="K103" i="6" s="1"/>
  <c r="L99" i="6"/>
  <c r="M99" i="6" s="1"/>
  <c r="N99" i="6" s="1"/>
  <c r="O99" i="6" s="1"/>
  <c r="P99" i="6" s="1"/>
  <c r="Q99" i="6" s="1"/>
  <c r="R99" i="6" s="1"/>
  <c r="S99" i="6" s="1"/>
  <c r="T99" i="6" s="1"/>
  <c r="U99" i="6" s="1"/>
  <c r="V99" i="6" s="1"/>
  <c r="W99" i="6" s="1"/>
  <c r="X99" i="6" s="1"/>
  <c r="C94" i="6"/>
  <c r="K90" i="6"/>
  <c r="K85" i="6"/>
  <c r="K86" i="6" s="1"/>
  <c r="M86" i="6" s="1"/>
  <c r="N86" i="6" s="1"/>
  <c r="O86" i="6" s="1"/>
  <c r="P86" i="6" s="1"/>
  <c r="Q86" i="6" s="1"/>
  <c r="R86" i="6" s="1"/>
  <c r="S86" i="6" s="1"/>
  <c r="T86" i="6" s="1"/>
  <c r="U86" i="6" s="1"/>
  <c r="V86" i="6" s="1"/>
  <c r="W86" i="6" s="1"/>
  <c r="X86" i="6" s="1"/>
  <c r="K84" i="6"/>
  <c r="K81" i="6"/>
  <c r="K82" i="6" s="1"/>
  <c r="L82" i="6" s="1"/>
  <c r="M82" i="6" s="1"/>
  <c r="N82" i="6" s="1"/>
  <c r="O82" i="6" s="1"/>
  <c r="P82" i="6" s="1"/>
  <c r="Q82" i="6" s="1"/>
  <c r="R82" i="6" s="1"/>
  <c r="S82" i="6" s="1"/>
  <c r="T82" i="6" s="1"/>
  <c r="U82" i="6" s="1"/>
  <c r="V82" i="6" s="1"/>
  <c r="W82" i="6" s="1"/>
  <c r="K80" i="6"/>
  <c r="K78" i="6"/>
  <c r="L78" i="6" s="1"/>
  <c r="M78" i="6" s="1"/>
  <c r="K76" i="6"/>
  <c r="L76" i="6" s="1"/>
  <c r="M76" i="6" s="1"/>
  <c r="P88" i="6"/>
  <c r="Q88" i="6" s="1"/>
  <c r="R88" i="6" s="1"/>
  <c r="S88" i="6" s="1"/>
  <c r="T88" i="6" s="1"/>
  <c r="U88" i="6" s="1"/>
  <c r="V88" i="6" s="1"/>
  <c r="W88" i="6" s="1"/>
  <c r="X88" i="6" s="1"/>
  <c r="L88" i="6"/>
  <c r="M88" i="6" s="1"/>
  <c r="N88" i="6" s="1"/>
  <c r="O88" i="6" s="1"/>
  <c r="L81" i="6"/>
  <c r="M81" i="6" s="1"/>
  <c r="N81" i="6" s="1"/>
  <c r="O81" i="6" s="1"/>
  <c r="P81" i="6" s="1"/>
  <c r="Q81" i="6" s="1"/>
  <c r="R81" i="6" s="1"/>
  <c r="S81" i="6" s="1"/>
  <c r="T81" i="6" s="1"/>
  <c r="L80" i="6"/>
  <c r="M80" i="6" s="1"/>
  <c r="N80" i="6" s="1"/>
  <c r="O80" i="6" s="1"/>
  <c r="P80" i="6" s="1"/>
  <c r="Q80" i="6" s="1"/>
  <c r="R80" i="6" s="1"/>
  <c r="S80" i="6" s="1"/>
  <c r="T80" i="6" s="1"/>
  <c r="U80" i="6" s="1"/>
  <c r="V80" i="6" s="1"/>
  <c r="W80" i="6" s="1"/>
  <c r="H79" i="6"/>
  <c r="C79" i="6"/>
  <c r="C92" i="6" s="1"/>
  <c r="N78" i="6"/>
  <c r="O78" i="6" s="1"/>
  <c r="P78" i="6" s="1"/>
  <c r="Q78" i="6" s="1"/>
  <c r="R78" i="6" s="1"/>
  <c r="S78" i="6" s="1"/>
  <c r="T78" i="6" s="1"/>
  <c r="U78" i="6" s="1"/>
  <c r="V78" i="6" s="1"/>
  <c r="W78" i="6" s="1"/>
  <c r="X78" i="6" s="1"/>
  <c r="M77" i="6"/>
  <c r="N77" i="6" s="1"/>
  <c r="O77" i="6" s="1"/>
  <c r="P77" i="6" s="1"/>
  <c r="Q77" i="6" s="1"/>
  <c r="R77" i="6" s="1"/>
  <c r="S77" i="6" s="1"/>
  <c r="T77" i="6" s="1"/>
  <c r="U77" i="6" s="1"/>
  <c r="V77" i="6" s="1"/>
  <c r="W77" i="6" s="1"/>
  <c r="X77" i="6" s="1"/>
  <c r="N76" i="6"/>
  <c r="O76" i="6" s="1"/>
  <c r="P76" i="6" s="1"/>
  <c r="Q76" i="6" s="1"/>
  <c r="R76" i="6" s="1"/>
  <c r="S76" i="6" s="1"/>
  <c r="T76" i="6" s="1"/>
  <c r="U76" i="6" s="1"/>
  <c r="V76" i="6" s="1"/>
  <c r="W76" i="6" s="1"/>
  <c r="X76" i="6" s="1"/>
  <c r="D75" i="6"/>
  <c r="K71" i="6"/>
  <c r="L71" i="6"/>
  <c r="L69" i="6"/>
  <c r="M69" i="6" s="1"/>
  <c r="N69" i="6" s="1"/>
  <c r="O69" i="6" s="1"/>
  <c r="P69" i="6" s="1"/>
  <c r="Q69" i="6" s="1"/>
  <c r="R69" i="6" s="1"/>
  <c r="S69" i="6" s="1"/>
  <c r="T69" i="6" s="1"/>
  <c r="U69" i="6" s="1"/>
  <c r="V69" i="6" s="1"/>
  <c r="W69" i="6" s="1"/>
  <c r="L65" i="6"/>
  <c r="M65" i="6" s="1"/>
  <c r="N65" i="6" s="1"/>
  <c r="O65" i="6" s="1"/>
  <c r="X63" i="6"/>
  <c r="W63" i="6"/>
  <c r="V63" i="6"/>
  <c r="U63" i="6"/>
  <c r="T63" i="6"/>
  <c r="S63" i="6"/>
  <c r="R63" i="6"/>
  <c r="Q63" i="6"/>
  <c r="P63" i="6"/>
  <c r="O63" i="6"/>
  <c r="N63" i="6"/>
  <c r="M63" i="6"/>
  <c r="L63" i="6"/>
  <c r="K63" i="6"/>
  <c r="J63" i="6"/>
  <c r="I63" i="6"/>
  <c r="X61" i="6"/>
  <c r="W61" i="6"/>
  <c r="V61" i="6"/>
  <c r="U61" i="6"/>
  <c r="T61" i="6"/>
  <c r="S61" i="6"/>
  <c r="R61" i="6"/>
  <c r="Q61" i="6"/>
  <c r="P61" i="6"/>
  <c r="O61" i="6"/>
  <c r="N61" i="6"/>
  <c r="M61" i="6"/>
  <c r="L61" i="6"/>
  <c r="K61" i="6"/>
  <c r="J61" i="6"/>
  <c r="I61" i="6"/>
  <c r="J59" i="6"/>
  <c r="I59" i="6"/>
  <c r="V58" i="6"/>
  <c r="V59" i="6" s="1"/>
  <c r="J57" i="6"/>
  <c r="I57" i="6"/>
  <c r="J49" i="6"/>
  <c r="J54" i="6" s="1"/>
  <c r="I49" i="6"/>
  <c r="I54" i="6" s="1"/>
  <c r="C49" i="6"/>
  <c r="J40" i="6"/>
  <c r="I40" i="6"/>
  <c r="C40" i="6"/>
  <c r="J35" i="6"/>
  <c r="I35" i="6"/>
  <c r="C35" i="6"/>
  <c r="D34" i="6"/>
  <c r="L32" i="6"/>
  <c r="M32" i="6" s="1"/>
  <c r="M31" i="6" s="1"/>
  <c r="K32" i="6"/>
  <c r="K33" i="6" s="1"/>
  <c r="L33" i="6" s="1"/>
  <c r="M33" i="6" s="1"/>
  <c r="N33" i="6" s="1"/>
  <c r="O33" i="6" s="1"/>
  <c r="P33" i="6" s="1"/>
  <c r="Q33" i="6" s="1"/>
  <c r="R33" i="6" s="1"/>
  <c r="S33" i="6" s="1"/>
  <c r="T33" i="6" s="1"/>
  <c r="U33" i="6" s="1"/>
  <c r="V33" i="6" s="1"/>
  <c r="W33" i="6" s="1"/>
  <c r="X33" i="6" s="1"/>
  <c r="K31" i="6"/>
  <c r="C23" i="6"/>
  <c r="H24" i="6"/>
  <c r="I24" i="6" s="1"/>
  <c r="E22" i="6"/>
  <c r="D22" i="6"/>
  <c r="L18" i="6"/>
  <c r="M18" i="6" s="1"/>
  <c r="N18" i="6" s="1"/>
  <c r="O18" i="6" s="1"/>
  <c r="P18" i="6" s="1"/>
  <c r="Q18" i="6" s="1"/>
  <c r="R18" i="6" s="1"/>
  <c r="S18" i="6" s="1"/>
  <c r="T18" i="6" s="1"/>
  <c r="U18" i="6" s="1"/>
  <c r="V18" i="6" s="1"/>
  <c r="W18" i="6" s="1"/>
  <c r="X18" i="6" s="1"/>
  <c r="C7" i="6"/>
  <c r="C8" i="6" s="1"/>
  <c r="F6" i="6"/>
  <c r="G6" i="6" s="1"/>
  <c r="E6" i="6"/>
  <c r="D6" i="6"/>
  <c r="I3" i="6"/>
  <c r="E1" i="6"/>
  <c r="L118" i="6" s="1"/>
  <c r="Q90" i="15"/>
  <c r="L90" i="15"/>
  <c r="L89" i="15"/>
  <c r="L88" i="15"/>
  <c r="L87" i="15"/>
  <c r="L86" i="15"/>
  <c r="L85" i="15"/>
  <c r="BE81" i="15"/>
  <c r="BE87" i="15" s="1"/>
  <c r="AZ88" i="15"/>
  <c r="AZ87" i="15"/>
  <c r="AZ86" i="15"/>
  <c r="AZ85" i="15"/>
  <c r="AZ84" i="15"/>
  <c r="AU88" i="15"/>
  <c r="AU87" i="15"/>
  <c r="AU86" i="15"/>
  <c r="AU84" i="15"/>
  <c r="AP88" i="15"/>
  <c r="AP87" i="15"/>
  <c r="AP86" i="15"/>
  <c r="AP85" i="15"/>
  <c r="AK88" i="15"/>
  <c r="AK87" i="15"/>
  <c r="AK86" i="15"/>
  <c r="AK85" i="15"/>
  <c r="V89" i="15"/>
  <c r="V88" i="15"/>
  <c r="V87" i="15"/>
  <c r="V86" i="15"/>
  <c r="V85" i="15"/>
  <c r="Q89" i="15"/>
  <c r="Q88" i="15"/>
  <c r="Q87" i="15"/>
  <c r="Q86" i="15"/>
  <c r="Q85" i="15"/>
  <c r="B84" i="15"/>
  <c r="B83" i="15"/>
  <c r="B82" i="15"/>
  <c r="A83" i="15"/>
  <c r="V83" i="15" s="1"/>
  <c r="A82" i="15"/>
  <c r="L82" i="15" s="1"/>
  <c r="AF89" i="15"/>
  <c r="AB89" i="15"/>
  <c r="AA89" i="15"/>
  <c r="AF88" i="15"/>
  <c r="AE88" i="15"/>
  <c r="AD88" i="15"/>
  <c r="AC88" i="15"/>
  <c r="AB88" i="15"/>
  <c r="AA88" i="15"/>
  <c r="AF87" i="15"/>
  <c r="AE87" i="15"/>
  <c r="AD87" i="15"/>
  <c r="AC87" i="15"/>
  <c r="AB87" i="15"/>
  <c r="AA87" i="15"/>
  <c r="AF86" i="15"/>
  <c r="AE86" i="15"/>
  <c r="AD86" i="15"/>
  <c r="AC86" i="15"/>
  <c r="AB86" i="15"/>
  <c r="AA86" i="15"/>
  <c r="AF85" i="15"/>
  <c r="AE85" i="15"/>
  <c r="AD85" i="15"/>
  <c r="AC85" i="15"/>
  <c r="AB85" i="15"/>
  <c r="AA85" i="15"/>
  <c r="AF83" i="15"/>
  <c r="AE83" i="15"/>
  <c r="AD83" i="15"/>
  <c r="AC83" i="15"/>
  <c r="AB83" i="15"/>
  <c r="AA83" i="15"/>
  <c r="AF82" i="15"/>
  <c r="AK82" i="15" s="1"/>
  <c r="AE82" i="15"/>
  <c r="AD82" i="15"/>
  <c r="AC82" i="15"/>
  <c r="AB82" i="15"/>
  <c r="AB84" i="15" s="1"/>
  <c r="AA82" i="15"/>
  <c r="AA84" i="15" s="1"/>
  <c r="M79" i="15"/>
  <c r="F79" i="15"/>
  <c r="E79" i="15"/>
  <c r="D79" i="15"/>
  <c r="CW75" i="15"/>
  <c r="CV75" i="15"/>
  <c r="CU75" i="15"/>
  <c r="CT75" i="15"/>
  <c r="CR75" i="15"/>
  <c r="CQ75" i="15"/>
  <c r="CP75" i="15"/>
  <c r="CO75" i="15"/>
  <c r="CM75" i="15"/>
  <c r="CL75" i="15"/>
  <c r="CK75" i="15"/>
  <c r="CJ75" i="15"/>
  <c r="CH75" i="15"/>
  <c r="CG75" i="15"/>
  <c r="CF75" i="15"/>
  <c r="CE75" i="15"/>
  <c r="CC75" i="15"/>
  <c r="CB75" i="15"/>
  <c r="CA75" i="15"/>
  <c r="BZ75" i="15"/>
  <c r="BX75" i="15"/>
  <c r="BW75" i="15"/>
  <c r="BV75" i="15"/>
  <c r="BU75" i="15"/>
  <c r="BS75" i="15"/>
  <c r="BR75" i="15"/>
  <c r="BQ75" i="15"/>
  <c r="BP75" i="15"/>
  <c r="BN75" i="15"/>
  <c r="BM75" i="15"/>
  <c r="BL75" i="15"/>
  <c r="BK75" i="15"/>
  <c r="BI75" i="15"/>
  <c r="BH75" i="15"/>
  <c r="BG75" i="15"/>
  <c r="BF75" i="15"/>
  <c r="BD75" i="15"/>
  <c r="BC75" i="15"/>
  <c r="BB75" i="15"/>
  <c r="BA75" i="15"/>
  <c r="AY75" i="15"/>
  <c r="AX75" i="15"/>
  <c r="AW75" i="15"/>
  <c r="AV75" i="15"/>
  <c r="AT75" i="15"/>
  <c r="AS75" i="15"/>
  <c r="AR75" i="15"/>
  <c r="AQ75" i="15"/>
  <c r="AD75" i="15"/>
  <c r="AC75" i="15"/>
  <c r="AB75" i="15"/>
  <c r="AA75" i="15"/>
  <c r="Y75" i="15"/>
  <c r="X75" i="15"/>
  <c r="W75" i="15"/>
  <c r="V75" i="15"/>
  <c r="T75" i="15"/>
  <c r="S75" i="15"/>
  <c r="R75" i="15"/>
  <c r="Q75" i="15"/>
  <c r="O75" i="15"/>
  <c r="N75" i="15"/>
  <c r="M75" i="15"/>
  <c r="CX73" i="15"/>
  <c r="CS73" i="15"/>
  <c r="CN73" i="15"/>
  <c r="CI73" i="15"/>
  <c r="AA37" i="14" s="1"/>
  <c r="CD73" i="15"/>
  <c r="BT73" i="15"/>
  <c r="BO73" i="15"/>
  <c r="BE73" i="15"/>
  <c r="U37" i="14" s="1"/>
  <c r="AU73" i="15"/>
  <c r="Q71" i="15"/>
  <c r="AF70" i="15"/>
  <c r="AF79" i="15" s="1"/>
  <c r="AA70" i="15"/>
  <c r="AB70" i="15" s="1"/>
  <c r="AC70" i="15" s="1"/>
  <c r="AD70" i="15" s="1"/>
  <c r="AE70" i="15" s="1"/>
  <c r="S70" i="15"/>
  <c r="S79" i="15" s="1"/>
  <c r="S90" i="15" s="1"/>
  <c r="J68" i="15"/>
  <c r="K66" i="15"/>
  <c r="H66" i="15"/>
  <c r="G66" i="15"/>
  <c r="I65" i="15"/>
  <c r="H65" i="15"/>
  <c r="G65" i="15"/>
  <c r="I63" i="15"/>
  <c r="J66" i="15" s="1"/>
  <c r="Z59" i="15"/>
  <c r="Z60" i="15" s="1"/>
  <c r="Y60" i="15" s="1"/>
  <c r="AA60" i="15" s="1"/>
  <c r="AG58" i="15"/>
  <c r="AB58" i="15"/>
  <c r="Z58" i="15"/>
  <c r="AA54" i="15"/>
  <c r="AB54" i="15" s="1"/>
  <c r="Z54" i="15"/>
  <c r="Z55" i="15" s="1"/>
  <c r="Y55" i="15" s="1"/>
  <c r="AA55" i="15" s="1"/>
  <c r="AG53" i="15"/>
  <c r="AH53" i="15" s="1"/>
  <c r="AB53" i="15"/>
  <c r="AC53" i="15" s="1"/>
  <c r="Z53" i="15"/>
  <c r="BH49" i="15"/>
  <c r="AG50" i="15"/>
  <c r="AB50" i="15"/>
  <c r="Z50" i="15"/>
  <c r="Y50" i="15" s="1"/>
  <c r="AA50" i="15" s="1"/>
  <c r="AH48" i="15"/>
  <c r="AI50" i="15" s="1"/>
  <c r="AG48" i="15"/>
  <c r="AH50" i="15" s="1"/>
  <c r="AC48" i="15"/>
  <c r="AD50" i="15" s="1"/>
  <c r="AB48" i="15"/>
  <c r="AC50" i="15" s="1"/>
  <c r="Z48" i="15"/>
  <c r="AX44" i="15"/>
  <c r="AG45" i="15"/>
  <c r="AB45" i="15"/>
  <c r="Z45" i="15"/>
  <c r="Y45" i="15"/>
  <c r="AA45" i="15" s="1"/>
  <c r="AG43" i="15"/>
  <c r="AH45" i="15" s="1"/>
  <c r="AB43" i="15"/>
  <c r="AC43" i="15" s="1"/>
  <c r="AD45" i="15" s="1"/>
  <c r="Z43" i="15"/>
  <c r="W41" i="15"/>
  <c r="AB41" i="15" s="1"/>
  <c r="AG41" i="15" s="1"/>
  <c r="AL41" i="15" s="1"/>
  <c r="U41" i="15"/>
  <c r="Z41" i="15" s="1"/>
  <c r="AE41" i="15" s="1"/>
  <c r="AJ41" i="15" s="1"/>
  <c r="T41" i="15"/>
  <c r="Y41" i="15" s="1"/>
  <c r="AD41" i="15" s="1"/>
  <c r="AI41" i="15" s="1"/>
  <c r="S41" i="15"/>
  <c r="AO40" i="15"/>
  <c r="AN40" i="15"/>
  <c r="P38" i="15"/>
  <c r="O38" i="15"/>
  <c r="N38" i="15"/>
  <c r="G38" i="15"/>
  <c r="G40" i="15" s="1"/>
  <c r="V37" i="15"/>
  <c r="AA37" i="15" s="1"/>
  <c r="AF37" i="15" s="1"/>
  <c r="AK37" i="15" s="1"/>
  <c r="AP37" i="15" s="1"/>
  <c r="U37" i="15"/>
  <c r="U38" i="15" s="1"/>
  <c r="T37" i="15"/>
  <c r="T38" i="15" s="1"/>
  <c r="S37" i="15"/>
  <c r="S38" i="15" s="1"/>
  <c r="R37" i="15"/>
  <c r="R38" i="15" s="1"/>
  <c r="Q37" i="15"/>
  <c r="AA36" i="15"/>
  <c r="AA79" i="15" s="1"/>
  <c r="AA90" i="15" s="1"/>
  <c r="V36" i="15"/>
  <c r="Q36" i="15"/>
  <c r="K36" i="15"/>
  <c r="J36" i="15"/>
  <c r="J79" i="15" s="1"/>
  <c r="I36" i="15"/>
  <c r="H36" i="15"/>
  <c r="H79" i="15" s="1"/>
  <c r="G36" i="15"/>
  <c r="G79" i="15" s="1"/>
  <c r="AD34" i="15"/>
  <c r="AI34" i="15" s="1"/>
  <c r="Y34" i="15"/>
  <c r="X34" i="15"/>
  <c r="AC34" i="15" s="1"/>
  <c r="W34" i="15"/>
  <c r="U34" i="15"/>
  <c r="Z34" i="15" s="1"/>
  <c r="T34" i="15"/>
  <c r="O34" i="15"/>
  <c r="P34" i="15" s="1"/>
  <c r="N34" i="15"/>
  <c r="M34" i="15"/>
  <c r="L34" i="15"/>
  <c r="K34" i="15"/>
  <c r="J34" i="15"/>
  <c r="I34" i="15"/>
  <c r="P33" i="15"/>
  <c r="O33" i="15"/>
  <c r="N33" i="15"/>
  <c r="M33" i="15"/>
  <c r="L33" i="15"/>
  <c r="K33" i="15"/>
  <c r="J33" i="15"/>
  <c r="I33" i="15"/>
  <c r="Z32" i="15"/>
  <c r="Z33" i="15" s="1"/>
  <c r="V32" i="15"/>
  <c r="AA32" i="15" s="1"/>
  <c r="AF32" i="15" s="1"/>
  <c r="AK32" i="15" s="1"/>
  <c r="AP32" i="15" s="1"/>
  <c r="U32" i="15"/>
  <c r="U33" i="15" s="1"/>
  <c r="T32" i="15"/>
  <c r="T33" i="15" s="1"/>
  <c r="S32" i="15"/>
  <c r="X32" i="15" s="1"/>
  <c r="X33" i="15" s="1"/>
  <c r="R32" i="15"/>
  <c r="Q32" i="15"/>
  <c r="Q29" i="15"/>
  <c r="L29" i="15"/>
  <c r="K29" i="15"/>
  <c r="J29" i="15"/>
  <c r="L28" i="15"/>
  <c r="K28" i="15"/>
  <c r="J28" i="15"/>
  <c r="I28" i="15"/>
  <c r="Q26" i="15"/>
  <c r="N26" i="15"/>
  <c r="N79" i="15" s="1"/>
  <c r="H24" i="15"/>
  <c r="H23" i="15"/>
  <c r="G23" i="15"/>
  <c r="G76" i="15" s="1"/>
  <c r="G19" i="15"/>
  <c r="F19" i="15"/>
  <c r="E19" i="15"/>
  <c r="D19" i="15"/>
  <c r="F16" i="15"/>
  <c r="F18" i="15" s="1"/>
  <c r="E16" i="15"/>
  <c r="E18" i="15" s="1"/>
  <c r="D16" i="15"/>
  <c r="D18" i="15" s="1"/>
  <c r="G10" i="15"/>
  <c r="F10" i="15"/>
  <c r="E10" i="15"/>
  <c r="D10" i="15"/>
  <c r="F7" i="15"/>
  <c r="F76" i="15" s="1"/>
  <c r="E7" i="15"/>
  <c r="D7" i="15"/>
  <c r="D76" i="15" s="1"/>
  <c r="O98" i="14"/>
  <c r="O97" i="14"/>
  <c r="P97" i="14" s="1"/>
  <c r="Q97" i="14" s="1"/>
  <c r="R97" i="14" s="1"/>
  <c r="N97" i="14"/>
  <c r="M97" i="14"/>
  <c r="L97" i="14"/>
  <c r="H97" i="14"/>
  <c r="G97" i="14"/>
  <c r="F97" i="14"/>
  <c r="E97" i="14"/>
  <c r="D97" i="14"/>
  <c r="C96" i="14"/>
  <c r="C97" i="14" s="1"/>
  <c r="O95" i="14"/>
  <c r="P95" i="14" s="1"/>
  <c r="Q95" i="14" s="1"/>
  <c r="R95" i="14" s="1"/>
  <c r="N95" i="14"/>
  <c r="M95" i="14"/>
  <c r="L95" i="14"/>
  <c r="H95" i="14"/>
  <c r="K92" i="14"/>
  <c r="O93" i="14"/>
  <c r="N93" i="14"/>
  <c r="M93" i="14"/>
  <c r="L93" i="14"/>
  <c r="H93" i="14"/>
  <c r="G93" i="14"/>
  <c r="F93" i="14"/>
  <c r="E93" i="14"/>
  <c r="D93" i="14"/>
  <c r="C93" i="14"/>
  <c r="Q92" i="14"/>
  <c r="P92" i="14"/>
  <c r="P91" i="14"/>
  <c r="I91" i="14"/>
  <c r="I97" i="14" s="1"/>
  <c r="P88" i="14"/>
  <c r="O88" i="14"/>
  <c r="N88" i="14"/>
  <c r="L88" i="14"/>
  <c r="K88" i="14"/>
  <c r="J88" i="14"/>
  <c r="I88" i="14"/>
  <c r="H88" i="14"/>
  <c r="G88" i="14"/>
  <c r="F88" i="14"/>
  <c r="E88" i="14"/>
  <c r="D88" i="14"/>
  <c r="P87" i="14"/>
  <c r="O87" i="14"/>
  <c r="N87" i="14"/>
  <c r="L87" i="14"/>
  <c r="K87" i="14"/>
  <c r="J87" i="14"/>
  <c r="I87" i="14"/>
  <c r="H87" i="14"/>
  <c r="G87" i="14"/>
  <c r="F87" i="14"/>
  <c r="E87" i="14"/>
  <c r="D87" i="14"/>
  <c r="M85" i="14"/>
  <c r="N84" i="14" s="1"/>
  <c r="O84" i="14" s="1"/>
  <c r="P84" i="14" s="1"/>
  <c r="L85" i="14"/>
  <c r="M84" i="14" s="1"/>
  <c r="K85" i="14"/>
  <c r="J85" i="14"/>
  <c r="K84" i="14" s="1"/>
  <c r="I85" i="14"/>
  <c r="J84" i="14" s="1"/>
  <c r="H85" i="14"/>
  <c r="I84" i="14" s="1"/>
  <c r="G85" i="14"/>
  <c r="F85" i="14"/>
  <c r="G84" i="14" s="1"/>
  <c r="E85" i="14"/>
  <c r="F84" i="14" s="1"/>
  <c r="D85" i="14"/>
  <c r="E84" i="14" s="1"/>
  <c r="C85" i="14"/>
  <c r="L84" i="14"/>
  <c r="H84" i="14"/>
  <c r="D84" i="14"/>
  <c r="C84" i="14"/>
  <c r="L83" i="14"/>
  <c r="J83" i="14"/>
  <c r="I83" i="14"/>
  <c r="F83" i="14"/>
  <c r="AD82" i="14"/>
  <c r="AC82" i="14"/>
  <c r="AB82" i="14"/>
  <c r="AA82" i="14"/>
  <c r="Z82" i="14"/>
  <c r="Y82" i="14"/>
  <c r="X82" i="14"/>
  <c r="W82" i="14"/>
  <c r="V82" i="14"/>
  <c r="U82" i="14"/>
  <c r="P82" i="14"/>
  <c r="O82" i="14"/>
  <c r="N82" i="14"/>
  <c r="M82" i="14"/>
  <c r="G82" i="14"/>
  <c r="K81" i="14"/>
  <c r="K80" i="14"/>
  <c r="P81" i="14"/>
  <c r="G80" i="14"/>
  <c r="O78" i="14"/>
  <c r="O83" i="14" s="1"/>
  <c r="N78" i="14"/>
  <c r="N83" i="14" s="1"/>
  <c r="M78" i="14"/>
  <c r="M83" i="14" s="1"/>
  <c r="K78" i="14"/>
  <c r="L77" i="14"/>
  <c r="L76" i="14"/>
  <c r="M76" i="14" s="1"/>
  <c r="N76" i="14" s="1"/>
  <c r="H78" i="14"/>
  <c r="H83" i="14" s="1"/>
  <c r="G78" i="14"/>
  <c r="G83" i="14" s="1"/>
  <c r="H77" i="14"/>
  <c r="G77" i="14"/>
  <c r="E78" i="14"/>
  <c r="E83" i="14" s="1"/>
  <c r="D78" i="14"/>
  <c r="D83" i="14" s="1"/>
  <c r="C78" i="14"/>
  <c r="C83" i="14" s="1"/>
  <c r="E77" i="14"/>
  <c r="D77" i="14"/>
  <c r="C77" i="14"/>
  <c r="J76" i="14"/>
  <c r="I76" i="14"/>
  <c r="H76" i="14"/>
  <c r="G76" i="14"/>
  <c r="F76" i="14"/>
  <c r="E76" i="14"/>
  <c r="D76" i="14"/>
  <c r="C75" i="14"/>
  <c r="C76" i="14" s="1"/>
  <c r="N70" i="14"/>
  <c r="M70" i="14"/>
  <c r="L70" i="14"/>
  <c r="J70" i="14"/>
  <c r="I70" i="14"/>
  <c r="H70" i="14"/>
  <c r="G70" i="14"/>
  <c r="F70" i="14"/>
  <c r="E70" i="14"/>
  <c r="D70" i="14"/>
  <c r="C70" i="14"/>
  <c r="O68" i="14"/>
  <c r="N68" i="14"/>
  <c r="M68" i="14"/>
  <c r="L68" i="14"/>
  <c r="J68" i="14"/>
  <c r="I68" i="14"/>
  <c r="H68" i="14"/>
  <c r="G68" i="14"/>
  <c r="F68" i="14"/>
  <c r="E68" i="14"/>
  <c r="D68" i="14"/>
  <c r="C68" i="14"/>
  <c r="Q65" i="14"/>
  <c r="R65" i="14" s="1"/>
  <c r="S65" i="14" s="1"/>
  <c r="T65" i="14" s="1"/>
  <c r="U65" i="14" s="1"/>
  <c r="V65" i="14" s="1"/>
  <c r="W65" i="14" s="1"/>
  <c r="X65" i="14" s="1"/>
  <c r="Y65" i="14" s="1"/>
  <c r="Z65" i="14" s="1"/>
  <c r="AA65" i="14" s="1"/>
  <c r="AB65" i="14" s="1"/>
  <c r="AC65" i="14" s="1"/>
  <c r="AD65" i="14" s="1"/>
  <c r="I65" i="14"/>
  <c r="H65" i="14"/>
  <c r="G65" i="14"/>
  <c r="F65" i="14"/>
  <c r="E65" i="14"/>
  <c r="D65" i="14"/>
  <c r="K63" i="14"/>
  <c r="J65" i="14" s="1"/>
  <c r="C64" i="14"/>
  <c r="C65" i="14" s="1"/>
  <c r="Q71" i="14"/>
  <c r="R71" i="14" s="1"/>
  <c r="S71" i="14" s="1"/>
  <c r="T71" i="14" s="1"/>
  <c r="U71" i="14" s="1"/>
  <c r="V71" i="14" s="1"/>
  <c r="W71" i="14" s="1"/>
  <c r="X71" i="14" s="1"/>
  <c r="Y71" i="14" s="1"/>
  <c r="Z71" i="14" s="1"/>
  <c r="AA71" i="14" s="1"/>
  <c r="AB71" i="14" s="1"/>
  <c r="AC71" i="14" s="1"/>
  <c r="AD71" i="14" s="1"/>
  <c r="Q66" i="14"/>
  <c r="R66" i="14" s="1"/>
  <c r="S66" i="14" s="1"/>
  <c r="T66" i="14" s="1"/>
  <c r="U66" i="14" s="1"/>
  <c r="V66" i="14" s="1"/>
  <c r="W66" i="14" s="1"/>
  <c r="X66" i="14" s="1"/>
  <c r="Y66" i="14" s="1"/>
  <c r="Z66" i="14" s="1"/>
  <c r="AA66" i="14" s="1"/>
  <c r="AB66" i="14" s="1"/>
  <c r="AC66" i="14" s="1"/>
  <c r="AD66" i="14" s="1"/>
  <c r="O57" i="14"/>
  <c r="P57" i="14" s="1"/>
  <c r="Q57" i="14" s="1"/>
  <c r="R57" i="14" s="1"/>
  <c r="S57" i="14" s="1"/>
  <c r="T57" i="14" s="1"/>
  <c r="U57" i="14" s="1"/>
  <c r="V57" i="14" s="1"/>
  <c r="W57" i="14" s="1"/>
  <c r="X57" i="14" s="1"/>
  <c r="Y57" i="14" s="1"/>
  <c r="Z57" i="14" s="1"/>
  <c r="AA57" i="14" s="1"/>
  <c r="AB57" i="14" s="1"/>
  <c r="AC57" i="14" s="1"/>
  <c r="AD57" i="14" s="1"/>
  <c r="P56" i="14"/>
  <c r="O56" i="14"/>
  <c r="P54" i="14"/>
  <c r="O54" i="14"/>
  <c r="P53" i="14"/>
  <c r="O53" i="14"/>
  <c r="N56" i="14"/>
  <c r="N58" i="14" s="1"/>
  <c r="L56" i="14"/>
  <c r="L58" i="14" s="1"/>
  <c r="K56" i="14"/>
  <c r="K58" i="14" s="1"/>
  <c r="J56" i="14"/>
  <c r="J58" i="14" s="1"/>
  <c r="I56" i="14"/>
  <c r="I58" i="14" s="1"/>
  <c r="H56" i="14"/>
  <c r="H58" i="14" s="1"/>
  <c r="G56" i="14"/>
  <c r="G58" i="14" s="1"/>
  <c r="F56" i="14"/>
  <c r="F58" i="14" s="1"/>
  <c r="E56" i="14"/>
  <c r="E58" i="14" s="1"/>
  <c r="D56" i="14"/>
  <c r="D58" i="14" s="1"/>
  <c r="N54" i="14"/>
  <c r="M54" i="14"/>
  <c r="L54" i="14"/>
  <c r="K54" i="14"/>
  <c r="I54" i="14"/>
  <c r="H54" i="14"/>
  <c r="G54" i="14"/>
  <c r="F54" i="14"/>
  <c r="E54" i="14"/>
  <c r="D54" i="14"/>
  <c r="C54" i="14"/>
  <c r="N53" i="14"/>
  <c r="M53" i="14"/>
  <c r="L53" i="14"/>
  <c r="J53" i="14"/>
  <c r="I53" i="14"/>
  <c r="H53" i="14"/>
  <c r="E53" i="14"/>
  <c r="D53" i="14"/>
  <c r="C53" i="14"/>
  <c r="P47" i="14"/>
  <c r="O47" i="14"/>
  <c r="N47" i="14"/>
  <c r="M47" i="14"/>
  <c r="L47" i="14"/>
  <c r="K47" i="14"/>
  <c r="J47" i="14"/>
  <c r="I47" i="14"/>
  <c r="H47" i="14"/>
  <c r="G47" i="14"/>
  <c r="F47" i="14"/>
  <c r="E47" i="14"/>
  <c r="D47" i="14"/>
  <c r="C47" i="14"/>
  <c r="O40" i="14"/>
  <c r="M40" i="14"/>
  <c r="F40" i="14"/>
  <c r="C40" i="14"/>
  <c r="P39" i="14"/>
  <c r="P40" i="14" s="1"/>
  <c r="L39" i="14"/>
  <c r="L40" i="14" s="1"/>
  <c r="K39" i="14"/>
  <c r="K40" i="14" s="1"/>
  <c r="J39" i="14"/>
  <c r="I39" i="14"/>
  <c r="I40" i="14" s="1"/>
  <c r="H39" i="14"/>
  <c r="H40" i="14" s="1"/>
  <c r="G39" i="14"/>
  <c r="E39" i="14"/>
  <c r="E40" i="14" s="1"/>
  <c r="J38" i="14"/>
  <c r="J37" i="14"/>
  <c r="J36" i="14"/>
  <c r="J35" i="14"/>
  <c r="J54" i="14" s="1"/>
  <c r="J34" i="14"/>
  <c r="J33" i="14"/>
  <c r="G37" i="14"/>
  <c r="G40" i="14" s="1"/>
  <c r="D34" i="14"/>
  <c r="D40" i="14" s="1"/>
  <c r="AD37" i="14"/>
  <c r="AC37" i="14"/>
  <c r="AB37" i="14"/>
  <c r="Z37" i="14"/>
  <c r="X37" i="14"/>
  <c r="W37" i="14"/>
  <c r="S37" i="14"/>
  <c r="AD36" i="14"/>
  <c r="AC36" i="14"/>
  <c r="AB36" i="14"/>
  <c r="Z36" i="14"/>
  <c r="X36" i="14"/>
  <c r="W36" i="14"/>
  <c r="S36" i="14"/>
  <c r="C31" i="14"/>
  <c r="O29" i="14"/>
  <c r="P29" i="14" s="1"/>
  <c r="R29" i="14" s="1"/>
  <c r="S29" i="14" s="1"/>
  <c r="T29" i="14" s="1"/>
  <c r="U29" i="14" s="1"/>
  <c r="V29" i="14" s="1"/>
  <c r="W29" i="14" s="1"/>
  <c r="X29" i="14" s="1"/>
  <c r="Y29" i="14" s="1"/>
  <c r="Z29" i="14" s="1"/>
  <c r="AA29" i="14" s="1"/>
  <c r="AB29" i="14" s="1"/>
  <c r="AC29" i="14" s="1"/>
  <c r="AD29" i="14" s="1"/>
  <c r="AD28" i="14"/>
  <c r="AC28" i="14"/>
  <c r="AB28" i="14"/>
  <c r="AA28" i="14"/>
  <c r="Z28" i="14"/>
  <c r="Y28" i="14"/>
  <c r="X28" i="14"/>
  <c r="W28" i="14"/>
  <c r="V28" i="14"/>
  <c r="U28" i="14"/>
  <c r="T28" i="14"/>
  <c r="S28" i="14"/>
  <c r="R28" i="14"/>
  <c r="Q82" i="14"/>
  <c r="O28" i="14"/>
  <c r="M28" i="14"/>
  <c r="L28" i="14"/>
  <c r="K28" i="14"/>
  <c r="J28" i="14"/>
  <c r="I28" i="14"/>
  <c r="H28" i="14"/>
  <c r="G28" i="14"/>
  <c r="F28" i="14"/>
  <c r="D28" i="14"/>
  <c r="C28" i="14"/>
  <c r="T27" i="14"/>
  <c r="T82" i="14" s="1"/>
  <c r="S27" i="14"/>
  <c r="S82" i="14" s="1"/>
  <c r="R27" i="14"/>
  <c r="R82" i="14" s="1"/>
  <c r="K26" i="14"/>
  <c r="K53" i="14" s="1"/>
  <c r="K25" i="14"/>
  <c r="K31" i="14" s="1"/>
  <c r="G26" i="14"/>
  <c r="G53" i="14" s="1"/>
  <c r="F26" i="14"/>
  <c r="F53" i="14" s="1"/>
  <c r="P25" i="14"/>
  <c r="O25" i="14"/>
  <c r="O31" i="14" s="1"/>
  <c r="N25" i="14"/>
  <c r="N31" i="14" s="1"/>
  <c r="M25" i="14"/>
  <c r="M31" i="14" s="1"/>
  <c r="L25" i="14"/>
  <c r="L31" i="14" s="1"/>
  <c r="J25" i="14"/>
  <c r="J31" i="14" s="1"/>
  <c r="I25" i="14"/>
  <c r="I31" i="14" s="1"/>
  <c r="H25" i="14"/>
  <c r="H31" i="14" s="1"/>
  <c r="G25" i="14"/>
  <c r="F25" i="14"/>
  <c r="E25" i="14"/>
  <c r="E31" i="14" s="1"/>
  <c r="D25" i="14"/>
  <c r="D31" i="14" s="1"/>
  <c r="C25" i="14"/>
  <c r="P22" i="14"/>
  <c r="O22" i="14"/>
  <c r="O23" i="14" s="1"/>
  <c r="N22" i="14"/>
  <c r="N23" i="14" s="1"/>
  <c r="M22" i="14"/>
  <c r="M23" i="14" s="1"/>
  <c r="D22" i="14"/>
  <c r="C22" i="14"/>
  <c r="P20" i="14"/>
  <c r="P23" i="14" s="1"/>
  <c r="P52" i="14" s="1"/>
  <c r="P55" i="14" s="1"/>
  <c r="L20" i="14"/>
  <c r="K20" i="14"/>
  <c r="J20" i="14"/>
  <c r="I20" i="14"/>
  <c r="H20" i="14"/>
  <c r="G20" i="14"/>
  <c r="F20" i="14"/>
  <c r="E20" i="14"/>
  <c r="D20" i="14"/>
  <c r="C20" i="14"/>
  <c r="O19" i="14"/>
  <c r="N19" i="14"/>
  <c r="M18" i="14"/>
  <c r="M19" i="14" s="1"/>
  <c r="P10" i="14"/>
  <c r="O10" i="14"/>
  <c r="N10" i="14"/>
  <c r="M10" i="14"/>
  <c r="L9" i="14"/>
  <c r="L14" i="14" s="1"/>
  <c r="K9" i="14"/>
  <c r="K14" i="14" s="1"/>
  <c r="K23" i="14" s="1"/>
  <c r="J9" i="14"/>
  <c r="J14" i="14" s="1"/>
  <c r="I9" i="14"/>
  <c r="I14" i="14" s="1"/>
  <c r="H9" i="14"/>
  <c r="H14" i="14" s="1"/>
  <c r="G9" i="14"/>
  <c r="G14" i="14" s="1"/>
  <c r="G23" i="14" s="1"/>
  <c r="F9" i="14"/>
  <c r="F14" i="14" s="1"/>
  <c r="E9" i="14"/>
  <c r="E14" i="14" s="1"/>
  <c r="D9" i="14"/>
  <c r="D14" i="14" s="1"/>
  <c r="C9" i="14"/>
  <c r="C14" i="14" s="1"/>
  <c r="P6" i="14"/>
  <c r="P5" i="14" s="1"/>
  <c r="P107" i="13" s="1"/>
  <c r="L6" i="14"/>
  <c r="K6" i="14"/>
  <c r="J6" i="14"/>
  <c r="I6" i="14"/>
  <c r="H6" i="14"/>
  <c r="G6" i="14"/>
  <c r="F6" i="14"/>
  <c r="E6" i="14"/>
  <c r="D6" i="14"/>
  <c r="O5" i="14"/>
  <c r="N5" i="14"/>
  <c r="M5" i="14"/>
  <c r="M107" i="13" s="1"/>
  <c r="C5" i="14"/>
  <c r="AD8" i="14"/>
  <c r="AC8" i="14"/>
  <c r="AB8" i="14"/>
  <c r="AA8" i="14"/>
  <c r="Z8" i="14"/>
  <c r="Y8" i="14"/>
  <c r="X8" i="14"/>
  <c r="W8" i="14"/>
  <c r="V8" i="14"/>
  <c r="U8" i="14"/>
  <c r="T8" i="14"/>
  <c r="S8" i="14"/>
  <c r="R8" i="14"/>
  <c r="Q8" i="14"/>
  <c r="AD7" i="14"/>
  <c r="AD81" i="14" s="1"/>
  <c r="AC7" i="14"/>
  <c r="AC81" i="14" s="1"/>
  <c r="AB7" i="14"/>
  <c r="AB81" i="14" s="1"/>
  <c r="R6" i="14"/>
  <c r="Q6" i="14"/>
  <c r="Q5" i="14" s="1"/>
  <c r="Q107" i="13" s="1"/>
  <c r="C179" i="13"/>
  <c r="C178" i="13"/>
  <c r="C177" i="13"/>
  <c r="C175" i="13"/>
  <c r="C174" i="13"/>
  <c r="C173" i="13"/>
  <c r="C172" i="13"/>
  <c r="C171" i="13"/>
  <c r="C170" i="13"/>
  <c r="P179" i="13"/>
  <c r="O179" i="13"/>
  <c r="N179" i="13"/>
  <c r="M179" i="13"/>
  <c r="L179" i="13"/>
  <c r="K179" i="13"/>
  <c r="J179" i="13"/>
  <c r="I179" i="13"/>
  <c r="H179" i="13"/>
  <c r="G179" i="13"/>
  <c r="F179" i="13"/>
  <c r="E179" i="13"/>
  <c r="D179" i="13"/>
  <c r="P178" i="13"/>
  <c r="P180" i="13" s="1"/>
  <c r="O178" i="13"/>
  <c r="N178" i="13"/>
  <c r="M178" i="13"/>
  <c r="L178" i="13"/>
  <c r="L180" i="13" s="1"/>
  <c r="K178" i="13"/>
  <c r="J178" i="13"/>
  <c r="I178" i="13"/>
  <c r="F178" i="13"/>
  <c r="F180" i="13" s="1"/>
  <c r="E178" i="13"/>
  <c r="D178" i="13"/>
  <c r="P177" i="13"/>
  <c r="O177" i="13"/>
  <c r="N177" i="13"/>
  <c r="M177" i="13"/>
  <c r="L177" i="13"/>
  <c r="K177" i="13"/>
  <c r="J177" i="13"/>
  <c r="I177" i="13"/>
  <c r="H177" i="13"/>
  <c r="G177" i="13"/>
  <c r="F177" i="13"/>
  <c r="E177" i="13"/>
  <c r="D177" i="13"/>
  <c r="P175" i="13"/>
  <c r="O175" i="13"/>
  <c r="N175" i="13"/>
  <c r="M175" i="13"/>
  <c r="L175" i="13"/>
  <c r="K175" i="13"/>
  <c r="J175" i="13"/>
  <c r="I175" i="13"/>
  <c r="H175" i="13"/>
  <c r="G175" i="13"/>
  <c r="F175" i="13"/>
  <c r="E175" i="13"/>
  <c r="D175" i="13"/>
  <c r="P174" i="13"/>
  <c r="O174" i="13"/>
  <c r="N174" i="13"/>
  <c r="M174" i="13"/>
  <c r="L174" i="13"/>
  <c r="K174" i="13"/>
  <c r="J174" i="13"/>
  <c r="I174" i="13"/>
  <c r="H174" i="13"/>
  <c r="G174" i="13"/>
  <c r="F174" i="13"/>
  <c r="E174" i="13"/>
  <c r="D174" i="13"/>
  <c r="P173" i="13"/>
  <c r="O173" i="13"/>
  <c r="N173" i="13"/>
  <c r="M173" i="13"/>
  <c r="L173" i="13"/>
  <c r="K173" i="13"/>
  <c r="J173" i="13"/>
  <c r="I173" i="13"/>
  <c r="H173" i="13"/>
  <c r="G173" i="13"/>
  <c r="F173" i="13"/>
  <c r="E173" i="13"/>
  <c r="D173" i="13"/>
  <c r="P172" i="13"/>
  <c r="O172" i="13"/>
  <c r="N172" i="13"/>
  <c r="M172" i="13"/>
  <c r="L172" i="13"/>
  <c r="K172" i="13"/>
  <c r="D172" i="13"/>
  <c r="P171" i="13"/>
  <c r="O171" i="13"/>
  <c r="N171" i="13"/>
  <c r="M171" i="13"/>
  <c r="L171" i="13"/>
  <c r="K171" i="13"/>
  <c r="J171" i="13"/>
  <c r="I171" i="13"/>
  <c r="H171" i="13"/>
  <c r="G171" i="13"/>
  <c r="F171" i="13"/>
  <c r="E171" i="13"/>
  <c r="D171" i="13"/>
  <c r="P170" i="13"/>
  <c r="O170" i="13"/>
  <c r="N170" i="13"/>
  <c r="M170" i="13"/>
  <c r="L170" i="13"/>
  <c r="K170" i="13"/>
  <c r="J170" i="13"/>
  <c r="I170" i="13"/>
  <c r="H170" i="13"/>
  <c r="G170" i="13"/>
  <c r="F170" i="13"/>
  <c r="E170" i="13"/>
  <c r="D170" i="13"/>
  <c r="P161" i="13"/>
  <c r="S160" i="13"/>
  <c r="T160" i="13" s="1"/>
  <c r="T6" i="14" s="1"/>
  <c r="P159" i="13"/>
  <c r="O159" i="13"/>
  <c r="N159" i="13"/>
  <c r="M159" i="13"/>
  <c r="M161" i="13" s="1"/>
  <c r="L159" i="13"/>
  <c r="K159" i="13"/>
  <c r="J159" i="13"/>
  <c r="I159" i="13"/>
  <c r="I161" i="13" s="1"/>
  <c r="H159" i="13"/>
  <c r="G159" i="13"/>
  <c r="F159" i="13"/>
  <c r="E159" i="13"/>
  <c r="E161" i="13" s="1"/>
  <c r="D159" i="13"/>
  <c r="D161" i="13" s="1"/>
  <c r="C159" i="13"/>
  <c r="P158" i="13"/>
  <c r="O158" i="13"/>
  <c r="N158" i="13"/>
  <c r="M158" i="13"/>
  <c r="L158" i="13"/>
  <c r="K158" i="13"/>
  <c r="J158" i="13"/>
  <c r="I158" i="13"/>
  <c r="H158" i="13"/>
  <c r="G158" i="13"/>
  <c r="F158" i="13"/>
  <c r="E158" i="13"/>
  <c r="D158" i="13"/>
  <c r="C158" i="13"/>
  <c r="AD155" i="13"/>
  <c r="AC155" i="13"/>
  <c r="AB155" i="13"/>
  <c r="AA155" i="13"/>
  <c r="Z155" i="13"/>
  <c r="Y155" i="13"/>
  <c r="X155" i="13"/>
  <c r="W155" i="13"/>
  <c r="V155" i="13"/>
  <c r="U155" i="13"/>
  <c r="T155" i="13"/>
  <c r="S155" i="13"/>
  <c r="R155" i="13"/>
  <c r="Q155" i="13"/>
  <c r="P155" i="13"/>
  <c r="O155" i="13"/>
  <c r="N155" i="13"/>
  <c r="M155" i="13"/>
  <c r="AD152" i="13"/>
  <c r="AC152" i="13"/>
  <c r="AB152" i="13"/>
  <c r="AA152" i="13"/>
  <c r="Z152" i="13"/>
  <c r="Y152" i="13"/>
  <c r="X152" i="13"/>
  <c r="W152" i="13"/>
  <c r="V152" i="13"/>
  <c r="U152" i="13"/>
  <c r="T152" i="13"/>
  <c r="S152" i="13"/>
  <c r="R152" i="13"/>
  <c r="Q152" i="13"/>
  <c r="P152" i="13"/>
  <c r="O152" i="13"/>
  <c r="N152" i="13"/>
  <c r="M152" i="13"/>
  <c r="AD150" i="13"/>
  <c r="AC150" i="13"/>
  <c r="AC149" i="13" s="1"/>
  <c r="AB150" i="13"/>
  <c r="AB149" i="13" s="1"/>
  <c r="AA150" i="13"/>
  <c r="AA149" i="13" s="1"/>
  <c r="Z150" i="13"/>
  <c r="Y150" i="13"/>
  <c r="X150" i="13"/>
  <c r="X149" i="13" s="1"/>
  <c r="W150" i="13"/>
  <c r="W149" i="13" s="1"/>
  <c r="V150" i="13"/>
  <c r="U150" i="13"/>
  <c r="U149" i="13" s="1"/>
  <c r="T150" i="13"/>
  <c r="T149" i="13" s="1"/>
  <c r="S150" i="13"/>
  <c r="S149" i="13" s="1"/>
  <c r="R150" i="13"/>
  <c r="R149" i="13" s="1"/>
  <c r="Q150" i="13"/>
  <c r="P150" i="13"/>
  <c r="P149" i="13" s="1"/>
  <c r="O150" i="13"/>
  <c r="O149" i="13" s="1"/>
  <c r="N150" i="13"/>
  <c r="M150" i="13"/>
  <c r="M149" i="13" s="1"/>
  <c r="AD149" i="13"/>
  <c r="Z149" i="13"/>
  <c r="Y149" i="13"/>
  <c r="V149" i="13"/>
  <c r="Q149" i="13"/>
  <c r="N149" i="13"/>
  <c r="L141" i="13"/>
  <c r="K141" i="13"/>
  <c r="J141" i="13"/>
  <c r="I141" i="13"/>
  <c r="H141" i="13"/>
  <c r="G141" i="13"/>
  <c r="F141" i="13"/>
  <c r="E141" i="13"/>
  <c r="E142" i="13" s="1"/>
  <c r="D141" i="13"/>
  <c r="C141" i="13"/>
  <c r="P109" i="13"/>
  <c r="Q104" i="13" s="1"/>
  <c r="O109" i="13"/>
  <c r="P104" i="13" s="1"/>
  <c r="N109" i="13"/>
  <c r="O104" i="13" s="1"/>
  <c r="M109" i="13"/>
  <c r="N104" i="13" s="1"/>
  <c r="L109" i="13"/>
  <c r="M104" i="13" s="1"/>
  <c r="K109" i="13"/>
  <c r="L104" i="13" s="1"/>
  <c r="J109" i="13"/>
  <c r="I109" i="13"/>
  <c r="J104" i="13" s="1"/>
  <c r="H109" i="13"/>
  <c r="I104" i="13" s="1"/>
  <c r="G109" i="13"/>
  <c r="H104" i="13" s="1"/>
  <c r="F109" i="13"/>
  <c r="G104" i="13" s="1"/>
  <c r="E109" i="13"/>
  <c r="F104" i="13" s="1"/>
  <c r="D109" i="13"/>
  <c r="E104" i="13" s="1"/>
  <c r="C109" i="13"/>
  <c r="D104" i="13" s="1"/>
  <c r="O107" i="13"/>
  <c r="N107" i="13"/>
  <c r="L107" i="13"/>
  <c r="K107" i="13"/>
  <c r="J107" i="13"/>
  <c r="I107" i="13"/>
  <c r="H107" i="13"/>
  <c r="G107" i="13"/>
  <c r="F107" i="13"/>
  <c r="E107" i="13"/>
  <c r="D107" i="13"/>
  <c r="C107" i="13"/>
  <c r="P105" i="13"/>
  <c r="P125" i="13" s="1"/>
  <c r="Q125" i="13" s="1"/>
  <c r="R125" i="13" s="1"/>
  <c r="S125" i="13" s="1"/>
  <c r="T125" i="13" s="1"/>
  <c r="U125" i="13" s="1"/>
  <c r="V125" i="13" s="1"/>
  <c r="W125" i="13" s="1"/>
  <c r="X125" i="13" s="1"/>
  <c r="Y125" i="13" s="1"/>
  <c r="Z125" i="13" s="1"/>
  <c r="AA125" i="13" s="1"/>
  <c r="AB125" i="13" s="1"/>
  <c r="AC125" i="13" s="1"/>
  <c r="AD125" i="13" s="1"/>
  <c r="O105" i="13"/>
  <c r="O124" i="13" s="1"/>
  <c r="P124" i="13" s="1"/>
  <c r="Q124" i="13" s="1"/>
  <c r="R124" i="13" s="1"/>
  <c r="S124" i="13" s="1"/>
  <c r="T124" i="13" s="1"/>
  <c r="U124" i="13" s="1"/>
  <c r="V124" i="13" s="1"/>
  <c r="W124" i="13" s="1"/>
  <c r="X124" i="13" s="1"/>
  <c r="Y124" i="13" s="1"/>
  <c r="Z124" i="13" s="1"/>
  <c r="AA124" i="13" s="1"/>
  <c r="AB124" i="13" s="1"/>
  <c r="AC124" i="13" s="1"/>
  <c r="AD124" i="13" s="1"/>
  <c r="N105" i="13"/>
  <c r="N123" i="13" s="1"/>
  <c r="O123" i="13" s="1"/>
  <c r="P123" i="13" s="1"/>
  <c r="Q123" i="13" s="1"/>
  <c r="R123" i="13" s="1"/>
  <c r="S123" i="13" s="1"/>
  <c r="T123" i="13" s="1"/>
  <c r="U123" i="13" s="1"/>
  <c r="V123" i="13" s="1"/>
  <c r="W123" i="13" s="1"/>
  <c r="X123" i="13" s="1"/>
  <c r="Y123" i="13" s="1"/>
  <c r="Z123" i="13" s="1"/>
  <c r="AA123" i="13" s="1"/>
  <c r="AB123" i="13" s="1"/>
  <c r="AC123" i="13" s="1"/>
  <c r="AD123" i="13" s="1"/>
  <c r="M105" i="13"/>
  <c r="M51" i="13" s="1"/>
  <c r="L105" i="13"/>
  <c r="K105" i="13"/>
  <c r="J105" i="13"/>
  <c r="I105" i="13"/>
  <c r="I51" i="13" s="1"/>
  <c r="H105" i="13"/>
  <c r="G105" i="13"/>
  <c r="E105" i="13"/>
  <c r="E51" i="13" s="1"/>
  <c r="D105" i="13"/>
  <c r="C105" i="13"/>
  <c r="K104" i="13"/>
  <c r="P100" i="13"/>
  <c r="O100" i="13"/>
  <c r="N100" i="13"/>
  <c r="L100" i="13"/>
  <c r="K100" i="13"/>
  <c r="J100" i="13"/>
  <c r="I100" i="13"/>
  <c r="H100" i="13"/>
  <c r="G100" i="13"/>
  <c r="F100" i="13"/>
  <c r="E100" i="13"/>
  <c r="D100" i="13"/>
  <c r="P99" i="13"/>
  <c r="O99" i="13"/>
  <c r="N99" i="13"/>
  <c r="L99" i="13"/>
  <c r="K99" i="13"/>
  <c r="J99" i="13"/>
  <c r="I99" i="13"/>
  <c r="H99" i="13"/>
  <c r="G99" i="13"/>
  <c r="F99" i="13"/>
  <c r="E99" i="13"/>
  <c r="D99" i="13"/>
  <c r="P98" i="13"/>
  <c r="N98" i="13"/>
  <c r="M98" i="13"/>
  <c r="L98" i="13"/>
  <c r="K98" i="13"/>
  <c r="J98" i="13"/>
  <c r="I98" i="13"/>
  <c r="H98" i="13"/>
  <c r="G98" i="13"/>
  <c r="F98" i="13"/>
  <c r="E98" i="13"/>
  <c r="D98" i="13"/>
  <c r="C98" i="13"/>
  <c r="P97" i="13"/>
  <c r="N97" i="13"/>
  <c r="M97" i="13"/>
  <c r="L97" i="13"/>
  <c r="K97" i="13"/>
  <c r="J97" i="13"/>
  <c r="I97" i="13"/>
  <c r="H97" i="13"/>
  <c r="G97" i="13"/>
  <c r="F97" i="13"/>
  <c r="E97" i="13"/>
  <c r="D97" i="13"/>
  <c r="C97" i="13"/>
  <c r="P76" i="13"/>
  <c r="O76" i="13"/>
  <c r="N76" i="13"/>
  <c r="M76" i="13"/>
  <c r="L76" i="13"/>
  <c r="K76" i="13"/>
  <c r="J76" i="13"/>
  <c r="I76" i="13"/>
  <c r="H76" i="13"/>
  <c r="G76" i="13"/>
  <c r="F76" i="13"/>
  <c r="E76" i="13"/>
  <c r="D76" i="13"/>
  <c r="C76" i="13"/>
  <c r="P73" i="13"/>
  <c r="O73" i="13"/>
  <c r="N73" i="13"/>
  <c r="M73" i="13"/>
  <c r="L73" i="13"/>
  <c r="K73" i="13"/>
  <c r="J73" i="13"/>
  <c r="I73" i="13"/>
  <c r="F73" i="13"/>
  <c r="E73" i="13"/>
  <c r="D73" i="13"/>
  <c r="C73" i="13"/>
  <c r="P71" i="13"/>
  <c r="O71" i="13"/>
  <c r="N71" i="13"/>
  <c r="M71" i="13"/>
  <c r="L71" i="13"/>
  <c r="K71" i="13"/>
  <c r="J71" i="13"/>
  <c r="I71" i="13"/>
  <c r="H71" i="13"/>
  <c r="G71" i="13"/>
  <c r="F71" i="13"/>
  <c r="E71" i="13"/>
  <c r="D71" i="13"/>
  <c r="C71" i="13"/>
  <c r="Q68" i="13"/>
  <c r="R68" i="13" s="1"/>
  <c r="P68" i="13"/>
  <c r="O68" i="13"/>
  <c r="N68" i="13"/>
  <c r="M68" i="13"/>
  <c r="L68" i="13"/>
  <c r="K68" i="13"/>
  <c r="J68" i="13"/>
  <c r="I68" i="13"/>
  <c r="H68" i="13"/>
  <c r="G68" i="13"/>
  <c r="F68" i="13"/>
  <c r="E68" i="13"/>
  <c r="D68" i="13"/>
  <c r="C68" i="13"/>
  <c r="P65" i="13"/>
  <c r="O65" i="13"/>
  <c r="N65" i="13"/>
  <c r="M65" i="13"/>
  <c r="L65" i="13"/>
  <c r="K65" i="13"/>
  <c r="D65" i="13"/>
  <c r="C65" i="13"/>
  <c r="P63" i="13"/>
  <c r="O63" i="13"/>
  <c r="N63" i="13"/>
  <c r="M63" i="13"/>
  <c r="L63" i="13"/>
  <c r="K63" i="13"/>
  <c r="J63" i="13"/>
  <c r="I63" i="13"/>
  <c r="H63" i="13"/>
  <c r="G63" i="13"/>
  <c r="F63" i="13"/>
  <c r="E63" i="13"/>
  <c r="D63" i="13"/>
  <c r="C63" i="13"/>
  <c r="P61" i="13"/>
  <c r="O61" i="13"/>
  <c r="N61" i="13"/>
  <c r="M61" i="13"/>
  <c r="L61" i="13"/>
  <c r="K61" i="13"/>
  <c r="J61" i="13"/>
  <c r="I61" i="13"/>
  <c r="H61" i="13"/>
  <c r="G61" i="13"/>
  <c r="F61" i="13"/>
  <c r="E61" i="13"/>
  <c r="D61" i="13"/>
  <c r="C61" i="13"/>
  <c r="P51" i="13"/>
  <c r="O51" i="13"/>
  <c r="N51" i="13"/>
  <c r="L51" i="13"/>
  <c r="K51" i="13"/>
  <c r="J51" i="13"/>
  <c r="H51" i="13"/>
  <c r="G51" i="13"/>
  <c r="D51" i="13"/>
  <c r="C51" i="13"/>
  <c r="C48" i="13"/>
  <c r="C47" i="13"/>
  <c r="C145" i="13" s="1"/>
  <c r="J46" i="13"/>
  <c r="I46" i="13"/>
  <c r="H46" i="13"/>
  <c r="C46" i="13"/>
  <c r="C60" i="13" s="1"/>
  <c r="P39" i="13"/>
  <c r="P93" i="13" s="1"/>
  <c r="O39" i="13"/>
  <c r="N39" i="13"/>
  <c r="N93" i="13" s="1"/>
  <c r="M39" i="13"/>
  <c r="M93" i="13" s="1"/>
  <c r="L39" i="13"/>
  <c r="L93" i="13" s="1"/>
  <c r="K39" i="13"/>
  <c r="K93" i="13" s="1"/>
  <c r="J39" i="13"/>
  <c r="J93" i="13" s="1"/>
  <c r="I39" i="13"/>
  <c r="I93" i="13" s="1"/>
  <c r="H39" i="13"/>
  <c r="H93" i="13" s="1"/>
  <c r="G39" i="13"/>
  <c r="G93" i="13" s="1"/>
  <c r="F39" i="13"/>
  <c r="F93" i="13" s="1"/>
  <c r="P36" i="13"/>
  <c r="O36" i="13"/>
  <c r="N36" i="13"/>
  <c r="M36" i="13"/>
  <c r="L36" i="13"/>
  <c r="K36" i="13"/>
  <c r="J36" i="13"/>
  <c r="I36" i="13"/>
  <c r="H36" i="13"/>
  <c r="G36" i="13"/>
  <c r="F36" i="13"/>
  <c r="D36" i="13"/>
  <c r="E34" i="13"/>
  <c r="E39" i="13" s="1"/>
  <c r="D34" i="13"/>
  <c r="D39" i="13" s="1"/>
  <c r="D93" i="13" s="1"/>
  <c r="C34" i="13"/>
  <c r="C39" i="13" s="1"/>
  <c r="R35" i="13"/>
  <c r="S35" i="13" s="1"/>
  <c r="T35" i="13" s="1"/>
  <c r="U35" i="13" s="1"/>
  <c r="V35" i="13" s="1"/>
  <c r="W35" i="13" s="1"/>
  <c r="X35" i="13" s="1"/>
  <c r="Y35" i="13" s="1"/>
  <c r="Z35" i="13" s="1"/>
  <c r="AA35" i="13" s="1"/>
  <c r="AB35" i="13" s="1"/>
  <c r="AC35" i="13" s="1"/>
  <c r="AD35" i="13" s="1"/>
  <c r="R33" i="13"/>
  <c r="S33" i="13" s="1"/>
  <c r="T33" i="13" s="1"/>
  <c r="U33" i="13" s="1"/>
  <c r="V33" i="13" s="1"/>
  <c r="W33" i="13" s="1"/>
  <c r="X33" i="13" s="1"/>
  <c r="Y33" i="13" s="1"/>
  <c r="Z33" i="13" s="1"/>
  <c r="AA33" i="13" s="1"/>
  <c r="AB33" i="13" s="1"/>
  <c r="AC33" i="13" s="1"/>
  <c r="AD33" i="13" s="1"/>
  <c r="R27" i="13"/>
  <c r="S27" i="13" s="1"/>
  <c r="T27" i="13" s="1"/>
  <c r="U27" i="13" s="1"/>
  <c r="V27" i="13" s="1"/>
  <c r="W27" i="13" s="1"/>
  <c r="X27" i="13" s="1"/>
  <c r="Y27" i="13" s="1"/>
  <c r="Z27" i="13" s="1"/>
  <c r="AA27" i="13" s="1"/>
  <c r="AB27" i="13" s="1"/>
  <c r="AC27" i="13" s="1"/>
  <c r="AD27" i="13" s="1"/>
  <c r="AD39" i="14" s="1"/>
  <c r="P24" i="13"/>
  <c r="P82" i="13" s="1"/>
  <c r="O24" i="13"/>
  <c r="O82" i="13" s="1"/>
  <c r="N24" i="13"/>
  <c r="N82" i="13" s="1"/>
  <c r="M24" i="13"/>
  <c r="M82" i="13" s="1"/>
  <c r="L24" i="13"/>
  <c r="L82" i="13" s="1"/>
  <c r="K24" i="13"/>
  <c r="K82" i="13" s="1"/>
  <c r="J24" i="13"/>
  <c r="J82" i="13" s="1"/>
  <c r="I24" i="13"/>
  <c r="I82" i="13" s="1"/>
  <c r="F24" i="13"/>
  <c r="F82" i="13" s="1"/>
  <c r="E24" i="13"/>
  <c r="E82" i="13" s="1"/>
  <c r="D24" i="13"/>
  <c r="D82" i="13" s="1"/>
  <c r="C24" i="13"/>
  <c r="C82" i="13" s="1"/>
  <c r="H23" i="13"/>
  <c r="G23" i="13"/>
  <c r="G178" i="13" s="1"/>
  <c r="R20" i="13"/>
  <c r="S20" i="13" s="1"/>
  <c r="T20" i="13" s="1"/>
  <c r="U20" i="13" s="1"/>
  <c r="V20" i="13" s="1"/>
  <c r="W20" i="13" s="1"/>
  <c r="X20" i="13" s="1"/>
  <c r="Y20" i="13" s="1"/>
  <c r="Z20" i="13" s="1"/>
  <c r="AA20" i="13" s="1"/>
  <c r="AB20" i="13" s="1"/>
  <c r="AC20" i="13" s="1"/>
  <c r="AD20" i="13" s="1"/>
  <c r="P10" i="13"/>
  <c r="O10" i="13"/>
  <c r="N10" i="13"/>
  <c r="N81" i="13" s="1"/>
  <c r="M10" i="13"/>
  <c r="L10" i="13"/>
  <c r="K10" i="13"/>
  <c r="D10" i="13"/>
  <c r="D81" i="13" s="1"/>
  <c r="C10" i="13"/>
  <c r="J9" i="13"/>
  <c r="I9" i="13"/>
  <c r="I172" i="13" s="1"/>
  <c r="H9" i="13"/>
  <c r="G9" i="13"/>
  <c r="G172" i="13" s="1"/>
  <c r="F9" i="13"/>
  <c r="E9" i="13"/>
  <c r="E172" i="13" s="1"/>
  <c r="EK47" i="43"/>
  <c r="EK4" i="43" s="1"/>
  <c r="EJ47" i="43"/>
  <c r="EJ4" i="43" s="1"/>
  <c r="EI47" i="43"/>
  <c r="EI4" i="43" s="1"/>
  <c r="EH47" i="43"/>
  <c r="EH4" i="43" s="1"/>
  <c r="EF47" i="43"/>
  <c r="EF4" i="43" s="1"/>
  <c r="EE47" i="43"/>
  <c r="EE4" i="43" s="1"/>
  <c r="ED47" i="43"/>
  <c r="EC47" i="43"/>
  <c r="EC4" i="43" s="1"/>
  <c r="EA47" i="43"/>
  <c r="EA4" i="43" s="1"/>
  <c r="DZ47" i="43"/>
  <c r="DZ4" i="43" s="1"/>
  <c r="DY47" i="43"/>
  <c r="DY4" i="43" s="1"/>
  <c r="DX47" i="43"/>
  <c r="DX4" i="43" s="1"/>
  <c r="DV47" i="43"/>
  <c r="DV4" i="43" s="1"/>
  <c r="DU47" i="43"/>
  <c r="DU4" i="43" s="1"/>
  <c r="DT47" i="43"/>
  <c r="DS47" i="43"/>
  <c r="DS4" i="43" s="1"/>
  <c r="DQ47" i="43"/>
  <c r="DQ4" i="43" s="1"/>
  <c r="DP47" i="43"/>
  <c r="DP4" i="43" s="1"/>
  <c r="DO47" i="43"/>
  <c r="DO4" i="43" s="1"/>
  <c r="DN47" i="43"/>
  <c r="DN4" i="43" s="1"/>
  <c r="DL47" i="43"/>
  <c r="DL4" i="43" s="1"/>
  <c r="DK47" i="43"/>
  <c r="DK4" i="43" s="1"/>
  <c r="DJ47" i="43"/>
  <c r="DI47" i="43"/>
  <c r="DI4" i="43" s="1"/>
  <c r="DG47" i="43"/>
  <c r="DG4" i="43" s="1"/>
  <c r="DF47" i="43"/>
  <c r="DF4" i="43" s="1"/>
  <c r="DE47" i="43"/>
  <c r="DE4" i="43" s="1"/>
  <c r="DD47" i="43"/>
  <c r="DD4" i="43" s="1"/>
  <c r="DB47" i="43"/>
  <c r="DB4" i="43" s="1"/>
  <c r="DA47" i="43"/>
  <c r="DA4" i="43" s="1"/>
  <c r="CZ47" i="43"/>
  <c r="CY47" i="43"/>
  <c r="CY4" i="43" s="1"/>
  <c r="CW47" i="43"/>
  <c r="CW4" i="43" s="1"/>
  <c r="CV47" i="43"/>
  <c r="CV4" i="43" s="1"/>
  <c r="CU47" i="43"/>
  <c r="CU4" i="43" s="1"/>
  <c r="CT47" i="43"/>
  <c r="CT4" i="43" s="1"/>
  <c r="CR47" i="43"/>
  <c r="CR4" i="43" s="1"/>
  <c r="CQ47" i="43"/>
  <c r="CQ4" i="43" s="1"/>
  <c r="CP47" i="43"/>
  <c r="CO47" i="43"/>
  <c r="CO4" i="43" s="1"/>
  <c r="CM47" i="43"/>
  <c r="CM4" i="43" s="1"/>
  <c r="CL47" i="43"/>
  <c r="CL4" i="43" s="1"/>
  <c r="CK47" i="43"/>
  <c r="CK4" i="43" s="1"/>
  <c r="CJ47" i="43"/>
  <c r="CJ4" i="43" s="1"/>
  <c r="CH47" i="43"/>
  <c r="CH4" i="43" s="1"/>
  <c r="CG47" i="43"/>
  <c r="CG4" i="43" s="1"/>
  <c r="CF47" i="43"/>
  <c r="CE47" i="43"/>
  <c r="CE4" i="43" s="1"/>
  <c r="CB47" i="43"/>
  <c r="CA47" i="43"/>
  <c r="BZ47" i="43"/>
  <c r="BW47" i="43"/>
  <c r="BW4" i="43" s="1"/>
  <c r="BV47" i="43"/>
  <c r="BV6" i="43" s="1"/>
  <c r="BV24" i="43" s="1"/>
  <c r="BU47" i="43"/>
  <c r="BS47" i="43"/>
  <c r="BR47" i="43"/>
  <c r="BR4" i="43" s="1"/>
  <c r="BS29" i="43"/>
  <c r="BS28" i="43" s="1"/>
  <c r="BR28" i="43"/>
  <c r="EK24" i="43"/>
  <c r="EJ24" i="43"/>
  <c r="EI24" i="43"/>
  <c r="EH24" i="43"/>
  <c r="EF24" i="43"/>
  <c r="EE24" i="43"/>
  <c r="ED24" i="43"/>
  <c r="EC24" i="43"/>
  <c r="EA24" i="43"/>
  <c r="DZ24" i="43"/>
  <c r="DY24" i="43"/>
  <c r="DX24" i="43"/>
  <c r="DV24" i="43"/>
  <c r="DU24" i="43"/>
  <c r="DT24" i="43"/>
  <c r="DS24" i="43"/>
  <c r="DQ24" i="43"/>
  <c r="DP24" i="43"/>
  <c r="DO24" i="43"/>
  <c r="DN24" i="43"/>
  <c r="DL24" i="43"/>
  <c r="DK24" i="43"/>
  <c r="DJ24" i="43"/>
  <c r="DI24" i="43"/>
  <c r="DG24" i="43"/>
  <c r="DF24" i="43"/>
  <c r="DE24" i="43"/>
  <c r="DD24" i="43"/>
  <c r="DB24" i="43"/>
  <c r="DA24" i="43"/>
  <c r="CZ24" i="43"/>
  <c r="CY24" i="43"/>
  <c r="CW24" i="43"/>
  <c r="CV24" i="43"/>
  <c r="CU24" i="43"/>
  <c r="CT24" i="43"/>
  <c r="CR24" i="43"/>
  <c r="CQ24" i="43"/>
  <c r="CP24" i="43"/>
  <c r="CO24" i="43"/>
  <c r="CM24" i="43"/>
  <c r="CL24" i="43"/>
  <c r="CK24" i="43"/>
  <c r="CJ24" i="43"/>
  <c r="CH24" i="43"/>
  <c r="CG24" i="43"/>
  <c r="CF24" i="43"/>
  <c r="CE24" i="43"/>
  <c r="BQ24" i="43"/>
  <c r="BP24" i="43"/>
  <c r="BP25" i="43" s="1"/>
  <c r="BS20" i="43"/>
  <c r="BS19" i="43" s="1"/>
  <c r="BR20" i="43"/>
  <c r="BU19" i="43"/>
  <c r="BR19" i="43"/>
  <c r="BQ19" i="43"/>
  <c r="BP19" i="43"/>
  <c r="CD17" i="43"/>
  <c r="CI17" i="43" s="1"/>
  <c r="CN17" i="43" s="1"/>
  <c r="CS17" i="43" s="1"/>
  <c r="CX17" i="43" s="1"/>
  <c r="DC17" i="43" s="1"/>
  <c r="DH17" i="43" s="1"/>
  <c r="DM17" i="43" s="1"/>
  <c r="DR17" i="43" s="1"/>
  <c r="DW17" i="43" s="1"/>
  <c r="EB17" i="43" s="1"/>
  <c r="EG17" i="43" s="1"/>
  <c r="EL17" i="43" s="1"/>
  <c r="EK15" i="43"/>
  <c r="EJ15" i="43"/>
  <c r="EI15" i="43"/>
  <c r="EH15" i="43"/>
  <c r="EF15" i="43"/>
  <c r="EE15" i="43"/>
  <c r="ED15" i="43"/>
  <c r="EC15" i="43"/>
  <c r="EA15" i="43"/>
  <c r="DZ15" i="43"/>
  <c r="DY15" i="43"/>
  <c r="DX15" i="43"/>
  <c r="DV15" i="43"/>
  <c r="DU15" i="43"/>
  <c r="DT15" i="43"/>
  <c r="DS15" i="43"/>
  <c r="DQ15" i="43"/>
  <c r="DP15" i="43"/>
  <c r="DO15" i="43"/>
  <c r="DN15" i="43"/>
  <c r="DL15" i="43"/>
  <c r="DK15" i="43"/>
  <c r="DJ15" i="43"/>
  <c r="DI15" i="43"/>
  <c r="DG15" i="43"/>
  <c r="DF15" i="43"/>
  <c r="DE15" i="43"/>
  <c r="DD15" i="43"/>
  <c r="DB15" i="43"/>
  <c r="DA15" i="43"/>
  <c r="CZ15" i="43"/>
  <c r="CY15" i="43"/>
  <c r="CW15" i="43"/>
  <c r="CV15" i="43"/>
  <c r="CU15" i="43"/>
  <c r="CT15" i="43"/>
  <c r="CR15" i="43"/>
  <c r="CQ15" i="43"/>
  <c r="CP15" i="43"/>
  <c r="CO15" i="43"/>
  <c r="CM15" i="43"/>
  <c r="CL15" i="43"/>
  <c r="CK15" i="43"/>
  <c r="CJ15" i="43"/>
  <c r="CH15" i="43"/>
  <c r="CG15" i="43"/>
  <c r="CF15" i="43"/>
  <c r="CE15" i="43"/>
  <c r="BW15" i="43"/>
  <c r="BV15" i="43"/>
  <c r="BT15" i="43"/>
  <c r="BR15" i="43"/>
  <c r="BP15" i="43"/>
  <c r="BP16" i="43" s="1"/>
  <c r="CN12" i="43"/>
  <c r="CS12" i="43" s="1"/>
  <c r="CX12" i="43" s="1"/>
  <c r="DC12" i="43" s="1"/>
  <c r="DH12" i="43" s="1"/>
  <c r="DM12" i="43" s="1"/>
  <c r="DR12" i="43" s="1"/>
  <c r="DW12" i="43" s="1"/>
  <c r="EB12" i="43" s="1"/>
  <c r="EG12" i="43" s="1"/>
  <c r="EL12" i="43" s="1"/>
  <c r="BY12" i="43"/>
  <c r="BU12" i="43" s="1"/>
  <c r="BV12" i="43" s="1"/>
  <c r="BW12" i="43" s="1"/>
  <c r="BQ9" i="43"/>
  <c r="BQ25" i="43" s="1"/>
  <c r="BW6" i="43"/>
  <c r="BW24" i="43" s="1"/>
  <c r="BU6" i="43"/>
  <c r="BS6" i="43"/>
  <c r="BS24" i="43" s="1"/>
  <c r="BS5" i="43"/>
  <c r="BS4" i="43" s="1"/>
  <c r="ED4" i="43"/>
  <c r="DT4" i="43"/>
  <c r="DJ4" i="43"/>
  <c r="CZ4" i="43"/>
  <c r="CP4" i="43"/>
  <c r="CF4" i="43"/>
  <c r="BQ4" i="43"/>
  <c r="BQ15" i="43" s="1"/>
  <c r="BQ16" i="43" s="1"/>
  <c r="AP130" i="1"/>
  <c r="AK130" i="1"/>
  <c r="AF130" i="1"/>
  <c r="AA130" i="1"/>
  <c r="EK122" i="1"/>
  <c r="EJ122" i="1"/>
  <c r="EI122" i="1"/>
  <c r="EH122" i="1"/>
  <c r="EF122" i="1"/>
  <c r="EE122" i="1"/>
  <c r="ED122" i="1"/>
  <c r="EC122" i="1"/>
  <c r="EA122" i="1"/>
  <c r="DZ122" i="1"/>
  <c r="DY122" i="1"/>
  <c r="DX122" i="1"/>
  <c r="DV122" i="1"/>
  <c r="DU122" i="1"/>
  <c r="DT122" i="1"/>
  <c r="DS122" i="1"/>
  <c r="DQ122" i="1"/>
  <c r="DP122" i="1"/>
  <c r="DO122" i="1"/>
  <c r="DN122" i="1"/>
  <c r="DL122" i="1"/>
  <c r="DK122" i="1"/>
  <c r="DJ122" i="1"/>
  <c r="DI122" i="1"/>
  <c r="DG122" i="1"/>
  <c r="DF122" i="1"/>
  <c r="DE122" i="1"/>
  <c r="DD122" i="1"/>
  <c r="DB122" i="1"/>
  <c r="DA122" i="1"/>
  <c r="CZ122" i="1"/>
  <c r="CY122" i="1"/>
  <c r="CW122" i="1"/>
  <c r="CV122" i="1"/>
  <c r="CU122" i="1"/>
  <c r="CT122" i="1"/>
  <c r="CR122" i="1"/>
  <c r="CQ122" i="1"/>
  <c r="CP122" i="1"/>
  <c r="CO122" i="1"/>
  <c r="CM122" i="1"/>
  <c r="CL122" i="1"/>
  <c r="CK122" i="1"/>
  <c r="CJ122" i="1"/>
  <c r="CH122" i="1"/>
  <c r="CG122" i="1"/>
  <c r="CF122" i="1"/>
  <c r="CE122" i="1"/>
  <c r="BU122" i="1"/>
  <c r="BS122" i="1"/>
  <c r="BR122" i="1"/>
  <c r="BQ122" i="1"/>
  <c r="BQ126" i="1" s="1"/>
  <c r="BP122" i="1"/>
  <c r="BP126" i="1" s="1"/>
  <c r="BN122" i="1"/>
  <c r="BM122" i="1"/>
  <c r="BL122" i="1"/>
  <c r="BL126" i="1" s="1"/>
  <c r="BK122" i="1"/>
  <c r="BK126" i="1" s="1"/>
  <c r="BI122" i="1"/>
  <c r="BH122" i="1"/>
  <c r="BG122" i="1"/>
  <c r="BF122" i="1"/>
  <c r="BD122" i="1"/>
  <c r="BC122" i="1"/>
  <c r="BB122" i="1"/>
  <c r="BA122" i="1"/>
  <c r="AY122" i="1"/>
  <c r="AX122" i="1"/>
  <c r="AW122" i="1"/>
  <c r="AV122" i="1"/>
  <c r="AT122" i="1"/>
  <c r="AS122" i="1"/>
  <c r="AR122" i="1"/>
  <c r="AQ122" i="1"/>
  <c r="AP122" i="1"/>
  <c r="AN122" i="1"/>
  <c r="AM122" i="1"/>
  <c r="AL122" i="1"/>
  <c r="AK122" i="1"/>
  <c r="AI122" i="1"/>
  <c r="AH122" i="1"/>
  <c r="AG122" i="1"/>
  <c r="AF122" i="1"/>
  <c r="AD122" i="1"/>
  <c r="AC122" i="1"/>
  <c r="AB122" i="1"/>
  <c r="Y122" i="1"/>
  <c r="G122" i="1"/>
  <c r="BO119" i="1"/>
  <c r="BB116" i="1"/>
  <c r="BW110" i="1"/>
  <c r="BV109" i="1"/>
  <c r="BW109" i="1"/>
  <c r="BX109" i="1" s="1"/>
  <c r="BT109" i="1"/>
  <c r="BP109" i="1" s="1"/>
  <c r="BP119" i="1" s="1"/>
  <c r="BH106" i="1"/>
  <c r="BI106" i="1" s="1"/>
  <c r="BV107" i="1"/>
  <c r="BW107" i="1" s="1"/>
  <c r="BV106" i="1"/>
  <c r="BW106" i="1" s="1"/>
  <c r="BX106" i="1" s="1"/>
  <c r="BV105" i="1"/>
  <c r="BW105" i="1" s="1"/>
  <c r="BQ105" i="1"/>
  <c r="BR105" i="1" s="1"/>
  <c r="BC107" i="1"/>
  <c r="BD107" i="1" s="1"/>
  <c r="BF107" i="1" s="1"/>
  <c r="BC106" i="1"/>
  <c r="BC116" i="1" s="1"/>
  <c r="BC105" i="1"/>
  <c r="BD105" i="1" s="1"/>
  <c r="BF105" i="1" s="1"/>
  <c r="BJ101" i="1"/>
  <c r="BE101" i="1"/>
  <c r="AZ101" i="1"/>
  <c r="AU101" i="1"/>
  <c r="AP101" i="1"/>
  <c r="AK101" i="1"/>
  <c r="AF101" i="1"/>
  <c r="AA101" i="1"/>
  <c r="V101" i="1"/>
  <c r="Q101" i="1"/>
  <c r="L101" i="1"/>
  <c r="BJ94" i="1"/>
  <c r="BE94" i="1"/>
  <c r="AZ94" i="1"/>
  <c r="AU94" i="1"/>
  <c r="AP94" i="1"/>
  <c r="AK94" i="1"/>
  <c r="AF94" i="1"/>
  <c r="AA94" i="1"/>
  <c r="V94" i="1"/>
  <c r="Q94" i="1"/>
  <c r="L94" i="1"/>
  <c r="BJ87" i="1"/>
  <c r="BE87" i="1"/>
  <c r="AZ87" i="1"/>
  <c r="AU87" i="1"/>
  <c r="AP87" i="1"/>
  <c r="AK87" i="1"/>
  <c r="AF87" i="1"/>
  <c r="AA87" i="1"/>
  <c r="V87" i="1"/>
  <c r="Q87" i="1"/>
  <c r="L87" i="1"/>
  <c r="BU54" i="1"/>
  <c r="BY54" i="1" s="1"/>
  <c r="CD54" i="1" s="1"/>
  <c r="BR54" i="1"/>
  <c r="BQ54" i="1"/>
  <c r="BP54" i="1"/>
  <c r="BM54" i="1"/>
  <c r="BL54" i="1"/>
  <c r="BK54" i="1"/>
  <c r="BJ54" i="1"/>
  <c r="BE54" i="1"/>
  <c r="AZ54" i="1"/>
  <c r="AU54" i="1"/>
  <c r="AO54" i="1"/>
  <c r="AJ54" i="1"/>
  <c r="AE54" i="1"/>
  <c r="Z54" i="1"/>
  <c r="U54" i="1"/>
  <c r="P54" i="1"/>
  <c r="K54" i="1"/>
  <c r="BS53" i="1"/>
  <c r="BS51" i="1"/>
  <c r="BT52" i="1"/>
  <c r="BS52" i="1" s="1"/>
  <c r="BO53" i="1"/>
  <c r="BN53" i="1"/>
  <c r="BO51" i="1"/>
  <c r="BO52" i="1" s="1"/>
  <c r="BN52" i="1" s="1"/>
  <c r="BJ51" i="1"/>
  <c r="BC51" i="1"/>
  <c r="BE51" i="1" s="1"/>
  <c r="AY51" i="1"/>
  <c r="AX51" i="1"/>
  <c r="AU51" i="1"/>
  <c r="AO51" i="1"/>
  <c r="AJ51" i="1"/>
  <c r="AE51" i="1"/>
  <c r="Z51" i="1"/>
  <c r="U51" i="1"/>
  <c r="P51" i="1"/>
  <c r="K51" i="1"/>
  <c r="F51" i="1"/>
  <c r="BT49" i="1"/>
  <c r="BO49" i="1"/>
  <c r="BJ49" i="1"/>
  <c r="BD49" i="1"/>
  <c r="BE49" i="1" s="1"/>
  <c r="BA47" i="1"/>
  <c r="AY47" i="1"/>
  <c r="AX47" i="1"/>
  <c r="AW47" i="1"/>
  <c r="AV47" i="1"/>
  <c r="AT47" i="1"/>
  <c r="AS47" i="1"/>
  <c r="AR47" i="1"/>
  <c r="AQ47" i="1"/>
  <c r="AP47" i="1"/>
  <c r="AN47" i="1"/>
  <c r="AM47" i="1"/>
  <c r="AL47" i="1"/>
  <c r="AK47" i="1"/>
  <c r="AI47" i="1"/>
  <c r="AH47" i="1"/>
  <c r="AG47" i="1"/>
  <c r="AF47" i="1"/>
  <c r="AD47" i="1"/>
  <c r="AC47" i="1"/>
  <c r="AB47" i="1"/>
  <c r="Y47" i="1"/>
  <c r="X47" i="1"/>
  <c r="W47" i="1"/>
  <c r="V47" i="1"/>
  <c r="T47" i="1"/>
  <c r="S47" i="1"/>
  <c r="R47" i="1"/>
  <c r="Q47" i="1"/>
  <c r="O47" i="1"/>
  <c r="N47" i="1"/>
  <c r="M47" i="1"/>
  <c r="L47" i="1"/>
  <c r="J47" i="1"/>
  <c r="I47" i="1"/>
  <c r="H47" i="1"/>
  <c r="G47" i="1"/>
  <c r="E47" i="1"/>
  <c r="D47" i="1"/>
  <c r="C47" i="1"/>
  <c r="C54" i="1" s="1"/>
  <c r="V45" i="1"/>
  <c r="U45" i="1" s="1"/>
  <c r="Q45" i="1"/>
  <c r="P45" i="1" s="1"/>
  <c r="Z44" i="1"/>
  <c r="U44" i="1"/>
  <c r="U43" i="1"/>
  <c r="P44" i="1"/>
  <c r="P43" i="1"/>
  <c r="K44" i="1"/>
  <c r="K43" i="1"/>
  <c r="AA43" i="1"/>
  <c r="AA47" i="1" s="1"/>
  <c r="F43" i="1"/>
  <c r="Z41" i="1"/>
  <c r="U41" i="1"/>
  <c r="P41" i="1"/>
  <c r="K41" i="1"/>
  <c r="F41" i="1"/>
  <c r="AZ39" i="1"/>
  <c r="AZ38" i="1"/>
  <c r="AZ37" i="1"/>
  <c r="AU38" i="1"/>
  <c r="AU37" i="1"/>
  <c r="AS39" i="1"/>
  <c r="AR39" i="1"/>
  <c r="AQ39" i="1"/>
  <c r="AP39" i="1"/>
  <c r="AN39" i="1"/>
  <c r="AM39" i="1"/>
  <c r="AL39" i="1"/>
  <c r="AK39" i="1"/>
  <c r="AI39" i="1"/>
  <c r="AH39" i="1"/>
  <c r="AG39" i="1"/>
  <c r="AF39" i="1"/>
  <c r="AD39" i="1"/>
  <c r="AC39" i="1"/>
  <c r="AB39" i="1"/>
  <c r="AA39" i="1"/>
  <c r="Y39" i="1"/>
  <c r="X39" i="1"/>
  <c r="W39" i="1"/>
  <c r="V39" i="1"/>
  <c r="T39" i="1"/>
  <c r="S39" i="1"/>
  <c r="R39" i="1"/>
  <c r="Q39" i="1"/>
  <c r="O39" i="1"/>
  <c r="AO38" i="1"/>
  <c r="AO37" i="1"/>
  <c r="AJ38" i="1"/>
  <c r="AJ37" i="1"/>
  <c r="AE38" i="1"/>
  <c r="AE37" i="1"/>
  <c r="Z38" i="1"/>
  <c r="Z37" i="1"/>
  <c r="U38" i="1"/>
  <c r="U37" i="1"/>
  <c r="BB37" i="1"/>
  <c r="P37" i="1"/>
  <c r="K37" i="1"/>
  <c r="BU33" i="1"/>
  <c r="BR33" i="1"/>
  <c r="AZ33" i="1"/>
  <c r="AU33" i="1"/>
  <c r="AO33" i="1"/>
  <c r="AE33" i="1"/>
  <c r="BU31" i="1"/>
  <c r="BS31" i="1"/>
  <c r="BS28" i="1" s="1"/>
  <c r="BR31" i="1"/>
  <c r="BQ31" i="1"/>
  <c r="BP31" i="1"/>
  <c r="BO31" i="1"/>
  <c r="BO28" i="1" s="1"/>
  <c r="BJ31" i="1"/>
  <c r="BJ30" i="1"/>
  <c r="BJ29" i="1"/>
  <c r="BT30" i="1"/>
  <c r="BT29" i="1"/>
  <c r="BN30" i="1"/>
  <c r="BL29" i="1"/>
  <c r="BN29" i="1" s="1"/>
  <c r="BU28" i="1"/>
  <c r="BU118" i="1" s="1"/>
  <c r="BY118" i="1" s="1"/>
  <c r="BR28" i="1"/>
  <c r="BP28" i="1"/>
  <c r="BM28" i="1"/>
  <c r="BK28" i="1"/>
  <c r="BI28" i="1"/>
  <c r="BH28" i="1"/>
  <c r="BG28" i="1"/>
  <c r="BF28" i="1"/>
  <c r="BT26" i="1"/>
  <c r="BJ26" i="1"/>
  <c r="BE26" i="1"/>
  <c r="AZ26" i="1"/>
  <c r="AU26" i="1"/>
  <c r="AO26" i="1"/>
  <c r="AJ26" i="1"/>
  <c r="AE26" i="1"/>
  <c r="Z26" i="1"/>
  <c r="U26" i="1"/>
  <c r="BT24" i="1"/>
  <c r="J181" i="7" s="1"/>
  <c r="BJ24" i="1"/>
  <c r="H181" i="7" s="1"/>
  <c r="BE24" i="1"/>
  <c r="G181" i="7" s="1"/>
  <c r="AZ24" i="1"/>
  <c r="F181" i="7" s="1"/>
  <c r="AU24" i="1"/>
  <c r="E181" i="7" s="1"/>
  <c r="BT22" i="1"/>
  <c r="BT21" i="1"/>
  <c r="EK20" i="1"/>
  <c r="EJ20" i="1"/>
  <c r="EI20" i="1"/>
  <c r="EH20" i="1"/>
  <c r="EF20" i="1"/>
  <c r="EE20" i="1"/>
  <c r="ED20" i="1"/>
  <c r="EC20" i="1"/>
  <c r="EA20" i="1"/>
  <c r="DZ20" i="1"/>
  <c r="DY20" i="1"/>
  <c r="DX20" i="1"/>
  <c r="DV20" i="1"/>
  <c r="DU20" i="1"/>
  <c r="DT20" i="1"/>
  <c r="DS20" i="1"/>
  <c r="DQ20" i="1"/>
  <c r="DP20" i="1"/>
  <c r="DO20" i="1"/>
  <c r="DN20" i="1"/>
  <c r="DL20" i="1"/>
  <c r="DK20" i="1"/>
  <c r="DJ20" i="1"/>
  <c r="DI20" i="1"/>
  <c r="DG20" i="1"/>
  <c r="DF20" i="1"/>
  <c r="DE20" i="1"/>
  <c r="DD20" i="1"/>
  <c r="DB20" i="1"/>
  <c r="DA20" i="1"/>
  <c r="CZ20" i="1"/>
  <c r="CY20" i="1"/>
  <c r="CW20" i="1"/>
  <c r="CV20" i="1"/>
  <c r="CU20" i="1"/>
  <c r="CT20" i="1"/>
  <c r="CR20" i="1"/>
  <c r="CQ20" i="1"/>
  <c r="CP20" i="1"/>
  <c r="CO20" i="1"/>
  <c r="CM20" i="1"/>
  <c r="CL20" i="1"/>
  <c r="CK20" i="1"/>
  <c r="CJ20" i="1"/>
  <c r="CH20" i="1"/>
  <c r="CG20" i="1"/>
  <c r="CF20" i="1"/>
  <c r="CE20" i="1"/>
  <c r="CB20" i="1"/>
  <c r="CA20" i="1"/>
  <c r="BZ20" i="1"/>
  <c r="BW20" i="1"/>
  <c r="BV20" i="1"/>
  <c r="BU20" i="1"/>
  <c r="BU120" i="1" s="1"/>
  <c r="BS20" i="1"/>
  <c r="BT18" i="1"/>
  <c r="BT47" i="43" s="1"/>
  <c r="EK16" i="1"/>
  <c r="EJ16" i="1"/>
  <c r="EI16" i="1"/>
  <c r="EH16" i="1"/>
  <c r="EF16" i="1"/>
  <c r="EE16" i="1"/>
  <c r="ED16" i="1"/>
  <c r="EC16" i="1"/>
  <c r="EA16" i="1"/>
  <c r="DZ16" i="1"/>
  <c r="DY16" i="1"/>
  <c r="DX16" i="1"/>
  <c r="DV16" i="1"/>
  <c r="DU16" i="1"/>
  <c r="DT16" i="1"/>
  <c r="DS16" i="1"/>
  <c r="DQ16" i="1"/>
  <c r="DP16" i="1"/>
  <c r="DO16" i="1"/>
  <c r="DN16" i="1"/>
  <c r="DL16" i="1"/>
  <c r="DK16" i="1"/>
  <c r="DJ16" i="1"/>
  <c r="DI16" i="1"/>
  <c r="DG16" i="1"/>
  <c r="DF16" i="1"/>
  <c r="DE16" i="1"/>
  <c r="DD16" i="1"/>
  <c r="DB16" i="1"/>
  <c r="DA16" i="1"/>
  <c r="CZ16" i="1"/>
  <c r="CY16" i="1"/>
  <c r="CW16" i="1"/>
  <c r="CV16" i="1"/>
  <c r="CU16" i="1"/>
  <c r="CT16" i="1"/>
  <c r="CR16" i="1"/>
  <c r="CQ16" i="1"/>
  <c r="CP16" i="1"/>
  <c r="CO16" i="1"/>
  <c r="CM16" i="1"/>
  <c r="CL16" i="1"/>
  <c r="CK16" i="1"/>
  <c r="CJ16" i="1"/>
  <c r="CH16" i="1"/>
  <c r="CG16" i="1"/>
  <c r="CF16" i="1"/>
  <c r="CE16" i="1"/>
  <c r="CB16" i="1"/>
  <c r="CA16" i="1"/>
  <c r="BW16" i="1"/>
  <c r="BV16" i="1"/>
  <c r="BU16" i="1"/>
  <c r="BU119" i="1" s="1"/>
  <c r="BS16" i="1"/>
  <c r="BR16" i="1"/>
  <c r="BQ16" i="1"/>
  <c r="BT14" i="1"/>
  <c r="BT13" i="1"/>
  <c r="BN14" i="1"/>
  <c r="BN13" i="1"/>
  <c r="BJ13" i="1"/>
  <c r="BH14" i="1"/>
  <c r="BH12" i="1" s="1"/>
  <c r="BH117" i="1" s="1"/>
  <c r="BG14" i="1"/>
  <c r="BG12" i="1" s="1"/>
  <c r="BG117" i="1" s="1"/>
  <c r="BF14" i="1"/>
  <c r="BE14" i="1"/>
  <c r="BE13" i="1"/>
  <c r="BE12" i="1" s="1"/>
  <c r="D2" i="16" s="1"/>
  <c r="D6" i="16" s="1"/>
  <c r="BU12" i="1"/>
  <c r="BU117" i="1" s="1"/>
  <c r="BS12" i="1"/>
  <c r="BR12" i="1"/>
  <c r="BQ12" i="1"/>
  <c r="BP12" i="1"/>
  <c r="BO12" i="1"/>
  <c r="F2" i="16" s="1"/>
  <c r="BM12" i="1"/>
  <c r="BM117" i="1" s="1"/>
  <c r="BL12" i="1"/>
  <c r="BL117" i="1" s="1"/>
  <c r="BK12" i="1"/>
  <c r="BK117" i="1" s="1"/>
  <c r="BI12" i="1"/>
  <c r="BI117" i="1" s="1"/>
  <c r="BD12" i="1"/>
  <c r="BC12" i="1"/>
  <c r="BB12" i="1"/>
  <c r="BB117" i="1" s="1"/>
  <c r="BT10" i="1"/>
  <c r="BT9" i="1"/>
  <c r="BT8" i="1" s="1"/>
  <c r="BN10" i="1"/>
  <c r="BN9" i="1"/>
  <c r="BJ9" i="1"/>
  <c r="BH10" i="1"/>
  <c r="BG10" i="1"/>
  <c r="BG8" i="1" s="1"/>
  <c r="BG116" i="1" s="1"/>
  <c r="BF10" i="1"/>
  <c r="BF8" i="1" s="1"/>
  <c r="BF116" i="1" s="1"/>
  <c r="BC10" i="1"/>
  <c r="BE10" i="1" s="1"/>
  <c r="BC9" i="1"/>
  <c r="AZ10" i="1"/>
  <c r="AZ9" i="1"/>
  <c r="AU10" i="1"/>
  <c r="AU9" i="1"/>
  <c r="AP10" i="1"/>
  <c r="AP9" i="1"/>
  <c r="BE9" i="1"/>
  <c r="BW8" i="1"/>
  <c r="BV8" i="1"/>
  <c r="BU8" i="1"/>
  <c r="BU116" i="1" s="1"/>
  <c r="BS8" i="1"/>
  <c r="BR8" i="1"/>
  <c r="BQ8" i="1"/>
  <c r="BP8" i="1"/>
  <c r="BO8" i="1"/>
  <c r="BM8" i="1"/>
  <c r="BL8" i="1"/>
  <c r="BK8" i="1"/>
  <c r="BI8" i="1"/>
  <c r="BH8" i="1"/>
  <c r="BD8" i="1"/>
  <c r="BA8" i="1"/>
  <c r="AY8" i="1"/>
  <c r="AX8" i="1"/>
  <c r="AW8" i="1"/>
  <c r="AV8" i="1"/>
  <c r="AT8" i="1"/>
  <c r="AS8" i="1"/>
  <c r="AR8" i="1"/>
  <c r="AQ8" i="1"/>
  <c r="AO8" i="1"/>
  <c r="AN8" i="1"/>
  <c r="AM8" i="1"/>
  <c r="AL8" i="1"/>
  <c r="AK8" i="1"/>
  <c r="AF8" i="1"/>
  <c r="BT6" i="1"/>
  <c r="BT5" i="1"/>
  <c r="BG6" i="1"/>
  <c r="BF6" i="1"/>
  <c r="BF4" i="1" s="1"/>
  <c r="BE6" i="1"/>
  <c r="AZ6" i="1"/>
  <c r="AZ5" i="1"/>
  <c r="AZ4" i="1"/>
  <c r="AU5" i="1"/>
  <c r="AU4" i="1"/>
  <c r="AS6" i="1"/>
  <c r="AR6" i="1"/>
  <c r="AQ6" i="1"/>
  <c r="AP6" i="1"/>
  <c r="AN6" i="1"/>
  <c r="AM6" i="1"/>
  <c r="AL6" i="1"/>
  <c r="AK6" i="1"/>
  <c r="AI6" i="1"/>
  <c r="AH6" i="1"/>
  <c r="AG6" i="1"/>
  <c r="AF6" i="1"/>
  <c r="AD6" i="1"/>
  <c r="AC6" i="1"/>
  <c r="AB6" i="1"/>
  <c r="AA6" i="1"/>
  <c r="Y6" i="1"/>
  <c r="X6" i="1"/>
  <c r="W6" i="1"/>
  <c r="V6" i="1"/>
  <c r="T6" i="1"/>
  <c r="S6" i="1"/>
  <c r="R6" i="1"/>
  <c r="Q6" i="1"/>
  <c r="O6" i="1"/>
  <c r="N6" i="1"/>
  <c r="M6" i="1"/>
  <c r="L6" i="1"/>
  <c r="J6" i="1"/>
  <c r="I6" i="1"/>
  <c r="H6" i="1"/>
  <c r="F6" i="1"/>
  <c r="F5" i="1"/>
  <c r="BM6" i="1"/>
  <c r="BL6" i="1"/>
  <c r="BM5" i="1"/>
  <c r="BO5" i="1" s="1"/>
  <c r="BL5" i="1"/>
  <c r="BE5" i="1"/>
  <c r="AO5" i="1"/>
  <c r="AJ5" i="1"/>
  <c r="AE5" i="1"/>
  <c r="Z5" i="1"/>
  <c r="U5" i="1"/>
  <c r="P5" i="1"/>
  <c r="K5" i="1"/>
  <c r="BU4" i="1"/>
  <c r="BS4" i="1"/>
  <c r="BR4" i="1"/>
  <c r="BQ4" i="1"/>
  <c r="BP4" i="1"/>
  <c r="BN4" i="1"/>
  <c r="BM4" i="1"/>
  <c r="BM47" i="1" s="1"/>
  <c r="BL4" i="1"/>
  <c r="BK4" i="1"/>
  <c r="BI5" i="1"/>
  <c r="BI4" i="1" s="1"/>
  <c r="BH5" i="1"/>
  <c r="BJ5" i="1" s="1"/>
  <c r="BG4" i="1"/>
  <c r="BD4" i="1"/>
  <c r="BC4" i="1"/>
  <c r="BC47" i="1" s="1"/>
  <c r="BB4" i="1"/>
  <c r="BE150" i="5"/>
  <c r="BA150" i="5" s="1"/>
  <c r="AZ150" i="5"/>
  <c r="AY150" i="5"/>
  <c r="AX150" i="5"/>
  <c r="AW150" i="5"/>
  <c r="AV150" i="5"/>
  <c r="AU150" i="5"/>
  <c r="AS150" i="5" s="1"/>
  <c r="AQ150" i="5"/>
  <c r="AP150" i="5"/>
  <c r="AO150" i="5" s="1"/>
  <c r="AK150" i="5"/>
  <c r="AG150" i="5" s="1"/>
  <c r="AF150" i="5"/>
  <c r="AC150" i="5" s="1"/>
  <c r="AA150" i="5"/>
  <c r="W150" i="5" s="1"/>
  <c r="V150" i="5"/>
  <c r="S150" i="5" s="1"/>
  <c r="Q150" i="5"/>
  <c r="M150" i="5" s="1"/>
  <c r="K150" i="5"/>
  <c r="J150" i="5"/>
  <c r="I150" i="5"/>
  <c r="H150" i="5"/>
  <c r="G150" i="5"/>
  <c r="D150" i="5" s="1"/>
  <c r="BT146" i="5"/>
  <c r="BO146" i="5"/>
  <c r="BJ146" i="5"/>
  <c r="BE146" i="5"/>
  <c r="AZ146" i="5"/>
  <c r="AU146" i="5"/>
  <c r="AK146" i="5"/>
  <c r="AF146" i="5"/>
  <c r="AA146" i="5"/>
  <c r="V146" i="5"/>
  <c r="Q146" i="5"/>
  <c r="L146" i="5"/>
  <c r="G146" i="5"/>
  <c r="EK145" i="5"/>
  <c r="EJ145" i="5"/>
  <c r="EI145" i="5"/>
  <c r="EH145" i="5"/>
  <c r="EF145" i="5"/>
  <c r="EE145" i="5"/>
  <c r="ED145" i="5"/>
  <c r="EC145" i="5"/>
  <c r="EA145" i="5"/>
  <c r="DZ145" i="5"/>
  <c r="DY145" i="5"/>
  <c r="DX145" i="5"/>
  <c r="DV145" i="5"/>
  <c r="DU145" i="5"/>
  <c r="DT145" i="5"/>
  <c r="DS145" i="5"/>
  <c r="DQ145" i="5"/>
  <c r="DP145" i="5"/>
  <c r="DO145" i="5"/>
  <c r="DN145" i="5"/>
  <c r="DL145" i="5"/>
  <c r="DK145" i="5"/>
  <c r="DJ145" i="5"/>
  <c r="DI145" i="5"/>
  <c r="DG145" i="5"/>
  <c r="DF145" i="5"/>
  <c r="DE145" i="5"/>
  <c r="DD145" i="5"/>
  <c r="DB145" i="5"/>
  <c r="DA145" i="5"/>
  <c r="CZ145" i="5"/>
  <c r="CY145" i="5"/>
  <c r="CW145" i="5"/>
  <c r="CV145" i="5"/>
  <c r="CU145" i="5"/>
  <c r="CT145" i="5"/>
  <c r="CR145" i="5"/>
  <c r="CQ145" i="5"/>
  <c r="CP145" i="5"/>
  <c r="CO145" i="5"/>
  <c r="CM145" i="5"/>
  <c r="CL145" i="5"/>
  <c r="CK145" i="5"/>
  <c r="CJ145" i="5"/>
  <c r="CH145" i="5"/>
  <c r="CG145" i="5"/>
  <c r="CF145" i="5"/>
  <c r="CE145" i="5"/>
  <c r="AR141" i="5"/>
  <c r="AS141" i="5" s="1"/>
  <c r="AT141" i="5" s="1"/>
  <c r="AF141" i="5"/>
  <c r="U141" i="5"/>
  <c r="V141" i="5" s="1"/>
  <c r="W141" i="5" s="1"/>
  <c r="X141" i="5" s="1"/>
  <c r="Y141" i="5" s="1"/>
  <c r="Z141" i="5" s="1"/>
  <c r="AA141" i="5" s="1"/>
  <c r="S141" i="5"/>
  <c r="Q141" i="5"/>
  <c r="L141" i="5"/>
  <c r="AK140" i="5"/>
  <c r="AY138" i="5"/>
  <c r="AW138" i="5"/>
  <c r="AX138" i="5" s="1"/>
  <c r="AX137" i="5" s="1"/>
  <c r="AR138" i="5"/>
  <c r="AQ138" i="5"/>
  <c r="AN138" i="5"/>
  <c r="AM138" i="5"/>
  <c r="AL138" i="5"/>
  <c r="AJ138" i="5"/>
  <c r="AK138" i="5" s="1"/>
  <c r="AE138" i="5"/>
  <c r="AC138" i="5"/>
  <c r="V136" i="5"/>
  <c r="T138" i="5"/>
  <c r="V138" i="5" s="1"/>
  <c r="P138" i="5"/>
  <c r="O138" i="5"/>
  <c r="N138" i="5"/>
  <c r="M138" i="5"/>
  <c r="K138" i="5"/>
  <c r="J138" i="5"/>
  <c r="I138" i="5"/>
  <c r="G138" i="5"/>
  <c r="G136" i="5"/>
  <c r="AV137" i="5"/>
  <c r="AT137" i="5"/>
  <c r="AP136" i="5"/>
  <c r="AK136" i="5"/>
  <c r="AG137" i="5"/>
  <c r="AB137" i="5"/>
  <c r="Q136" i="5"/>
  <c r="L136" i="5"/>
  <c r="F137" i="5"/>
  <c r="AZ136" i="5"/>
  <c r="AU136" i="5"/>
  <c r="AF136" i="5"/>
  <c r="BT131" i="5"/>
  <c r="BQ131" i="5" s="1"/>
  <c r="BO131" i="5"/>
  <c r="BM131" i="5" s="1"/>
  <c r="BJ131" i="5"/>
  <c r="BI131" i="5" s="1"/>
  <c r="BE131" i="5"/>
  <c r="BC131" i="5" s="1"/>
  <c r="AZ131" i="5"/>
  <c r="AY131" i="5" s="1"/>
  <c r="AW131" i="5"/>
  <c r="AX131" i="5" s="1"/>
  <c r="AU131" i="5"/>
  <c r="AR131" i="5"/>
  <c r="AS131" i="5" s="1"/>
  <c r="AP131" i="5"/>
  <c r="AM131" i="5"/>
  <c r="AN131" i="5" s="1"/>
  <c r="AK131" i="5"/>
  <c r="AH131" i="5"/>
  <c r="AI131" i="5" s="1"/>
  <c r="AF131" i="5"/>
  <c r="AC131" i="5"/>
  <c r="AD131" i="5" s="1"/>
  <c r="AA131" i="5"/>
  <c r="X131" i="5"/>
  <c r="Y131" i="5" s="1"/>
  <c r="V131" i="5"/>
  <c r="S131" i="5"/>
  <c r="T131" i="5" s="1"/>
  <c r="Q131" i="5"/>
  <c r="N131" i="5"/>
  <c r="O131" i="5" s="1"/>
  <c r="L131" i="5"/>
  <c r="I131" i="5"/>
  <c r="J131" i="5" s="1"/>
  <c r="G131" i="5"/>
  <c r="D131" i="5"/>
  <c r="E131" i="5" s="1"/>
  <c r="EK127" i="5"/>
  <c r="EJ127" i="5"/>
  <c r="EI127" i="5"/>
  <c r="EH127" i="5"/>
  <c r="EF127" i="5"/>
  <c r="EE127" i="5"/>
  <c r="ED127" i="5"/>
  <c r="EC127" i="5"/>
  <c r="EA127" i="5"/>
  <c r="DZ127" i="5"/>
  <c r="DY127" i="5"/>
  <c r="DX127" i="5"/>
  <c r="DV127" i="5"/>
  <c r="DU127" i="5"/>
  <c r="DT127" i="5"/>
  <c r="DS127" i="5"/>
  <c r="DQ127" i="5"/>
  <c r="DP127" i="5"/>
  <c r="DO127" i="5"/>
  <c r="DN127" i="5"/>
  <c r="DL127" i="5"/>
  <c r="DK127" i="5"/>
  <c r="DJ127" i="5"/>
  <c r="DI127" i="5"/>
  <c r="DG127" i="5"/>
  <c r="DF127" i="5"/>
  <c r="DE127" i="5"/>
  <c r="DD127" i="5"/>
  <c r="DB127" i="5"/>
  <c r="DA127" i="5"/>
  <c r="CZ127" i="5"/>
  <c r="CY127" i="5"/>
  <c r="CW127" i="5"/>
  <c r="CV127" i="5"/>
  <c r="CU127" i="5"/>
  <c r="CT127" i="5"/>
  <c r="CR127" i="5"/>
  <c r="CQ127" i="5"/>
  <c r="CP127" i="5"/>
  <c r="CO127" i="5"/>
  <c r="CM127" i="5"/>
  <c r="CL127" i="5"/>
  <c r="CK127" i="5"/>
  <c r="CJ127" i="5"/>
  <c r="BU126" i="5"/>
  <c r="BR126" i="5"/>
  <c r="BQ126" i="5"/>
  <c r="BU125" i="5"/>
  <c r="BQ125" i="5"/>
  <c r="BU124" i="5"/>
  <c r="BS124" i="5"/>
  <c r="BR124" i="5"/>
  <c r="BQ124" i="5"/>
  <c r="BP124" i="5"/>
  <c r="BN124" i="5"/>
  <c r="BM124" i="5"/>
  <c r="BL124" i="5"/>
  <c r="BK124" i="5"/>
  <c r="BI124" i="5"/>
  <c r="BH124" i="5"/>
  <c r="BG124" i="5"/>
  <c r="BF124" i="5"/>
  <c r="BD124" i="5"/>
  <c r="BC124" i="5"/>
  <c r="BB124" i="5"/>
  <c r="BA124" i="5"/>
  <c r="AY124" i="5"/>
  <c r="AX124" i="5"/>
  <c r="AW124" i="5"/>
  <c r="AV124" i="5"/>
  <c r="AS124" i="5"/>
  <c r="AR124" i="5"/>
  <c r="AQ124" i="5"/>
  <c r="AP124" i="5"/>
  <c r="AN124" i="5"/>
  <c r="AM124" i="5"/>
  <c r="AL124" i="5"/>
  <c r="AK124" i="5"/>
  <c r="AI124" i="5"/>
  <c r="AH124" i="5"/>
  <c r="AG124" i="5"/>
  <c r="AD124" i="5"/>
  <c r="BD110" i="5"/>
  <c r="BU107" i="5"/>
  <c r="BT107" i="5"/>
  <c r="P104" i="14" s="1"/>
  <c r="P105" i="14" s="1"/>
  <c r="BS107" i="5"/>
  <c r="BR107" i="5"/>
  <c r="BQ107" i="5"/>
  <c r="BP107" i="5"/>
  <c r="BN107" i="5"/>
  <c r="BM107" i="5"/>
  <c r="BL107" i="5"/>
  <c r="BK107" i="5"/>
  <c r="BJ107" i="5"/>
  <c r="BI107" i="5"/>
  <c r="BH107" i="5"/>
  <c r="BG107" i="5"/>
  <c r="BF107" i="5"/>
  <c r="BD107" i="5"/>
  <c r="BC107" i="5"/>
  <c r="BB107" i="5"/>
  <c r="AZ107" i="5"/>
  <c r="AY107" i="5"/>
  <c r="AX107" i="5"/>
  <c r="AW107" i="5"/>
  <c r="AV107" i="5"/>
  <c r="AU107" i="5"/>
  <c r="AT107" i="5"/>
  <c r="AS107" i="5"/>
  <c r="AR107" i="5"/>
  <c r="AQ107" i="5"/>
  <c r="AP107" i="5"/>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BA106" i="5"/>
  <c r="BA107" i="5" s="1"/>
  <c r="BA105" i="5"/>
  <c r="G106" i="5"/>
  <c r="C88" i="14" s="1"/>
  <c r="G105" i="5"/>
  <c r="C87" i="14" s="1"/>
  <c r="E106" i="5"/>
  <c r="D106" i="5"/>
  <c r="C106" i="5"/>
  <c r="E105" i="5"/>
  <c r="D105" i="5"/>
  <c r="C105" i="5"/>
  <c r="AU96" i="5"/>
  <c r="AO96" i="5"/>
  <c r="AJ96" i="5"/>
  <c r="AE96" i="5"/>
  <c r="Z96" i="5"/>
  <c r="Z95" i="5"/>
  <c r="U96" i="5"/>
  <c r="P96" i="5"/>
  <c r="K96" i="5"/>
  <c r="F96" i="5"/>
  <c r="AZ94" i="5"/>
  <c r="AO94" i="5"/>
  <c r="AJ94" i="5"/>
  <c r="AE94" i="5"/>
  <c r="Z92" i="5"/>
  <c r="U89" i="5"/>
  <c r="U88" i="5"/>
  <c r="U87" i="5"/>
  <c r="AE88" i="5"/>
  <c r="AE87" i="5"/>
  <c r="Z88" i="5"/>
  <c r="P88" i="5"/>
  <c r="P87" i="5"/>
  <c r="P86" i="5"/>
  <c r="AO87" i="5"/>
  <c r="K87" i="5"/>
  <c r="K86" i="5"/>
  <c r="AO84" i="5"/>
  <c r="AJ84" i="5"/>
  <c r="AJ83" i="5"/>
  <c r="AE84" i="5"/>
  <c r="AE83" i="5"/>
  <c r="P83" i="5"/>
  <c r="P82" i="5"/>
  <c r="K83" i="5"/>
  <c r="K82" i="5"/>
  <c r="P77" i="5"/>
  <c r="P76" i="5"/>
  <c r="K76" i="5"/>
  <c r="Z75" i="5"/>
  <c r="AX74" i="5"/>
  <c r="AV74" i="5"/>
  <c r="AU74" i="5"/>
  <c r="AO74" i="5"/>
  <c r="BO67" i="5"/>
  <c r="BJ67" i="5"/>
  <c r="BE67" i="5"/>
  <c r="AV67" i="5"/>
  <c r="AZ67" i="5" s="1"/>
  <c r="AU67" i="5"/>
  <c r="AO67" i="5"/>
  <c r="AJ67" i="5"/>
  <c r="AE67" i="5"/>
  <c r="Z67" i="5"/>
  <c r="U67" i="5"/>
  <c r="P67" i="5"/>
  <c r="K67" i="5"/>
  <c r="F67" i="5"/>
  <c r="BO65" i="5"/>
  <c r="BO64" i="5"/>
  <c r="BO63" i="5"/>
  <c r="BO62" i="5"/>
  <c r="BO61" i="5"/>
  <c r="BO59" i="5"/>
  <c r="BJ65" i="5"/>
  <c r="BJ64" i="5"/>
  <c r="BJ63" i="5"/>
  <c r="BT64" i="5"/>
  <c r="CD64" i="5" s="1"/>
  <c r="CI64" i="5" s="1"/>
  <c r="CN64" i="5" s="1"/>
  <c r="CS64" i="5" s="1"/>
  <c r="CX64" i="5" s="1"/>
  <c r="DC64" i="5" s="1"/>
  <c r="DH64" i="5" s="1"/>
  <c r="DM64" i="5" s="1"/>
  <c r="DR64" i="5" s="1"/>
  <c r="DW64" i="5" s="1"/>
  <c r="EB64" i="5" s="1"/>
  <c r="EG64" i="5" s="1"/>
  <c r="EL64" i="5" s="1"/>
  <c r="BT63" i="5"/>
  <c r="CD63" i="5" s="1"/>
  <c r="BT61" i="5"/>
  <c r="BT59" i="5"/>
  <c r="BT58" i="5"/>
  <c r="BE64" i="5"/>
  <c r="BE63" i="5"/>
  <c r="AZ64" i="5"/>
  <c r="AZ63" i="5"/>
  <c r="AU64" i="5"/>
  <c r="AU63" i="5"/>
  <c r="AO64" i="5"/>
  <c r="AO63" i="5"/>
  <c r="AJ64" i="5"/>
  <c r="AJ63" i="5"/>
  <c r="AE64" i="5"/>
  <c r="AE63" i="5"/>
  <c r="Z64" i="5"/>
  <c r="Z63" i="5"/>
  <c r="U64" i="5"/>
  <c r="U63" i="5"/>
  <c r="BS62" i="5"/>
  <c r="BR62" i="5"/>
  <c r="BQ62" i="5"/>
  <c r="EL61" i="5"/>
  <c r="EG61" i="5"/>
  <c r="EB61" i="5"/>
  <c r="DW61" i="5"/>
  <c r="DR61" i="5"/>
  <c r="DM61" i="5"/>
  <c r="DH61" i="5"/>
  <c r="DC61" i="5"/>
  <c r="CX61" i="5"/>
  <c r="CS61" i="5"/>
  <c r="CN61" i="5"/>
  <c r="CI61" i="5"/>
  <c r="CD61" i="5"/>
  <c r="CD59" i="5"/>
  <c r="BY61" i="5"/>
  <c r="BJ61" i="5"/>
  <c r="BJ59" i="5"/>
  <c r="BE61" i="5"/>
  <c r="BE59" i="5"/>
  <c r="AZ61" i="5"/>
  <c r="AZ59" i="5"/>
  <c r="AU61" i="5"/>
  <c r="BV22" i="5"/>
  <c r="AO59" i="5"/>
  <c r="AJ59" i="5"/>
  <c r="AE59" i="5"/>
  <c r="Z59" i="5"/>
  <c r="U59" i="5"/>
  <c r="P59" i="5"/>
  <c r="K59" i="5"/>
  <c r="BX58" i="5"/>
  <c r="AJ52" i="5"/>
  <c r="AJ50" i="5"/>
  <c r="AE52" i="5"/>
  <c r="AE50" i="5"/>
  <c r="Z52" i="5"/>
  <c r="Z50" i="5"/>
  <c r="U52" i="5"/>
  <c r="U50" i="5"/>
  <c r="BN50" i="5"/>
  <c r="BM50" i="5"/>
  <c r="BM51" i="5" s="1"/>
  <c r="BN51" i="5" s="1"/>
  <c r="BL50" i="5"/>
  <c r="BL51" i="5" s="1"/>
  <c r="BK50" i="5"/>
  <c r="BI50" i="5"/>
  <c r="BH50" i="5"/>
  <c r="BG50" i="5"/>
  <c r="BF50" i="5"/>
  <c r="BD50" i="5"/>
  <c r="BC50" i="5"/>
  <c r="BB50" i="5"/>
  <c r="BA50" i="5"/>
  <c r="AY50" i="5"/>
  <c r="AX50" i="5"/>
  <c r="AW50" i="5"/>
  <c r="AV50" i="5"/>
  <c r="AT50" i="5"/>
  <c r="AS50" i="5"/>
  <c r="AR50" i="5"/>
  <c r="AQ50" i="5"/>
  <c r="AP50" i="5"/>
  <c r="AO50" i="5"/>
  <c r="AN50" i="5"/>
  <c r="AM50" i="5"/>
  <c r="AL50" i="5"/>
  <c r="E23" i="14" l="1"/>
  <c r="O26" i="15"/>
  <c r="O79" i="15" s="1"/>
  <c r="CN59" i="5"/>
  <c r="CI59" i="5"/>
  <c r="CB59" i="5"/>
  <c r="CA59" i="5"/>
  <c r="BT16" i="1"/>
  <c r="BR6" i="43"/>
  <c r="BR24" i="43" s="1"/>
  <c r="CI54" i="1"/>
  <c r="CN54" i="1" s="1"/>
  <c r="CS54" i="1" s="1"/>
  <c r="CX54" i="1" s="1"/>
  <c r="DC54" i="1" s="1"/>
  <c r="DH54" i="1" s="1"/>
  <c r="DM54" i="1" s="1"/>
  <c r="DR54" i="1" s="1"/>
  <c r="DW54" i="1" s="1"/>
  <c r="EB54" i="1" s="1"/>
  <c r="EG54" i="1" s="1"/>
  <c r="EL54" i="1" s="1"/>
  <c r="CC54" i="1"/>
  <c r="CC6" i="5" s="1"/>
  <c r="AE34" i="15"/>
  <c r="Z31" i="15"/>
  <c r="J179" i="7"/>
  <c r="K179" i="7" s="1"/>
  <c r="L179" i="7" s="1"/>
  <c r="M179" i="7" s="1"/>
  <c r="N179" i="7" s="1"/>
  <c r="O179" i="7" s="1"/>
  <c r="P179" i="7" s="1"/>
  <c r="Q179" i="7" s="1"/>
  <c r="R179" i="7" s="1"/>
  <c r="S179" i="7" s="1"/>
  <c r="T179" i="7" s="1"/>
  <c r="U179" i="7" s="1"/>
  <c r="V179" i="7" s="1"/>
  <c r="W179" i="7" s="1"/>
  <c r="X179" i="7" s="1"/>
  <c r="I176" i="7"/>
  <c r="Q116" i="6"/>
  <c r="P121" i="7"/>
  <c r="J165" i="42"/>
  <c r="K166" i="42"/>
  <c r="AB150" i="5"/>
  <c r="BT33" i="1"/>
  <c r="K81" i="13"/>
  <c r="O81" i="13"/>
  <c r="J180" i="13"/>
  <c r="N180" i="13"/>
  <c r="P58" i="14"/>
  <c r="E76" i="15"/>
  <c r="AH43" i="15"/>
  <c r="AI45" i="15" s="1"/>
  <c r="AC45" i="15"/>
  <c r="Q83" i="15"/>
  <c r="BJ81" i="15"/>
  <c r="BJ87" i="15" s="1"/>
  <c r="D44" i="7"/>
  <c r="O121" i="7"/>
  <c r="C7" i="16"/>
  <c r="AJ8" i="4"/>
  <c r="AI14" i="4"/>
  <c r="AW14" i="4"/>
  <c r="BK14" i="4"/>
  <c r="M6" i="29"/>
  <c r="BR47" i="1"/>
  <c r="CJ36" i="4"/>
  <c r="CJ37" i="4" s="1"/>
  <c r="CJ20" i="4" s="1"/>
  <c r="BE105" i="5"/>
  <c r="M87" i="14" s="1"/>
  <c r="H176" i="7"/>
  <c r="F105" i="13"/>
  <c r="F51" i="13" s="1"/>
  <c r="M141" i="13"/>
  <c r="M142" i="13" s="1"/>
  <c r="H161" i="13"/>
  <c r="L161" i="13"/>
  <c r="D176" i="13"/>
  <c r="L176" i="13"/>
  <c r="L181" i="13" s="1"/>
  <c r="P176" i="13"/>
  <c r="P181" i="13" s="1"/>
  <c r="F23" i="14"/>
  <c r="F52" i="14" s="1"/>
  <c r="F55" i="14" s="1"/>
  <c r="F59" i="14" s="1"/>
  <c r="J23" i="14"/>
  <c r="J50" i="13" s="1"/>
  <c r="U36" i="14"/>
  <c r="AA36" i="14"/>
  <c r="AP146" i="5"/>
  <c r="D9" i="15"/>
  <c r="Q33" i="15"/>
  <c r="AA34" i="15"/>
  <c r="AB34" i="15"/>
  <c r="AB73" i="15" s="1"/>
  <c r="X37" i="15"/>
  <c r="X38" i="15" s="1"/>
  <c r="T70" i="15"/>
  <c r="T79" i="15" s="1"/>
  <c r="T90" i="15" s="1"/>
  <c r="AG70" i="15"/>
  <c r="AH70" i="15" s="1"/>
  <c r="AI70" i="15" s="1"/>
  <c r="AJ70" i="15" s="1"/>
  <c r="AK70" i="15" s="1"/>
  <c r="AL70" i="15" s="1"/>
  <c r="AM70" i="15" s="1"/>
  <c r="AN70" i="15" s="1"/>
  <c r="AO70" i="15" s="1"/>
  <c r="AP70" i="15" s="1"/>
  <c r="AQ70" i="15" s="1"/>
  <c r="BE84" i="15"/>
  <c r="D7" i="6"/>
  <c r="E7" i="6" s="1"/>
  <c r="L31" i="6"/>
  <c r="N32" i="6"/>
  <c r="W58" i="6"/>
  <c r="N161" i="6"/>
  <c r="O161" i="6" s="1"/>
  <c r="M158" i="6"/>
  <c r="E38" i="7"/>
  <c r="K89" i="7"/>
  <c r="BE6" i="4"/>
  <c r="BT4" i="4"/>
  <c r="BC14" i="4"/>
  <c r="BQ14" i="4"/>
  <c r="CD18" i="4"/>
  <c r="BN19" i="4"/>
  <c r="CL36" i="4"/>
  <c r="CL37" i="4" s="1"/>
  <c r="CL20" i="4" s="1"/>
  <c r="N7" i="29"/>
  <c r="O7" i="29" s="1"/>
  <c r="L238" i="42"/>
  <c r="K3" i="6"/>
  <c r="L3" i="6" s="1"/>
  <c r="M3" i="6" s="1"/>
  <c r="N3" i="6" s="1"/>
  <c r="J3" i="6"/>
  <c r="D39" i="7"/>
  <c r="BK131" i="5"/>
  <c r="C150" i="5"/>
  <c r="AL150" i="5"/>
  <c r="J176" i="7"/>
  <c r="BR9" i="43"/>
  <c r="Q174" i="13"/>
  <c r="C176" i="13"/>
  <c r="C23" i="14"/>
  <c r="C50" i="13" s="1"/>
  <c r="C96" i="13" s="1"/>
  <c r="F31" i="14"/>
  <c r="G31" i="14"/>
  <c r="O106" i="14"/>
  <c r="O58" i="14"/>
  <c r="K83" i="14"/>
  <c r="P96" i="14"/>
  <c r="F9" i="15"/>
  <c r="Q34" i="15"/>
  <c r="Q31" i="15" s="1"/>
  <c r="R33" i="15" s="1"/>
  <c r="R76" i="15" s="1"/>
  <c r="R78" i="15" s="1"/>
  <c r="R34" i="15"/>
  <c r="R31" i="15" s="1"/>
  <c r="R79" i="15" s="1"/>
  <c r="R90" i="15" s="1"/>
  <c r="Z37" i="15"/>
  <c r="Z38" i="15" s="1"/>
  <c r="L84" i="15"/>
  <c r="Q41" i="15" s="1"/>
  <c r="P41" i="15" s="1"/>
  <c r="BE88" i="15"/>
  <c r="V57" i="6"/>
  <c r="BJ6" i="4"/>
  <c r="AG14" i="4"/>
  <c r="AS14" i="4"/>
  <c r="BG14" i="4"/>
  <c r="BZ26" i="4"/>
  <c r="BZ27" i="4" s="1"/>
  <c r="M236" i="42"/>
  <c r="M238" i="42" s="1"/>
  <c r="L240" i="42"/>
  <c r="L244" i="42" s="1"/>
  <c r="J91" i="14"/>
  <c r="J93" i="14" s="1"/>
  <c r="D23" i="14"/>
  <c r="D42" i="14" s="1"/>
  <c r="H23" i="14"/>
  <c r="L23" i="14"/>
  <c r="L52" i="14" s="1"/>
  <c r="L55" i="14" s="1"/>
  <c r="L59" i="14" s="1"/>
  <c r="P31" i="14"/>
  <c r="E108" i="13"/>
  <c r="I108" i="13"/>
  <c r="P106" i="14"/>
  <c r="P107" i="14" s="1"/>
  <c r="P110" i="14" s="1"/>
  <c r="P93" i="14"/>
  <c r="J108" i="13"/>
  <c r="N108" i="13"/>
  <c r="I23" i="14"/>
  <c r="I52" i="14" s="1"/>
  <c r="I55" i="14" s="1"/>
  <c r="I59" i="14" s="1"/>
  <c r="I10" i="28"/>
  <c r="I12" i="28" s="1"/>
  <c r="I19" i="28" s="1"/>
  <c r="CD26" i="4"/>
  <c r="AZ74" i="5"/>
  <c r="R150" i="5"/>
  <c r="AM150" i="5"/>
  <c r="BT62" i="5"/>
  <c r="E150" i="5"/>
  <c r="O150" i="5"/>
  <c r="T150" i="5"/>
  <c r="Y150" i="5"/>
  <c r="AD150" i="5"/>
  <c r="AI150" i="5"/>
  <c r="AN150" i="5"/>
  <c r="BC150" i="5"/>
  <c r="C100" i="13"/>
  <c r="F150" i="5"/>
  <c r="U150" i="5"/>
  <c r="AE150" i="5"/>
  <c r="C56" i="14"/>
  <c r="C58" i="14" s="1"/>
  <c r="C99" i="13"/>
  <c r="N41" i="15"/>
  <c r="O41" i="15"/>
  <c r="W39" i="14"/>
  <c r="C81" i="13"/>
  <c r="M81" i="13"/>
  <c r="D108" i="13"/>
  <c r="H108" i="13"/>
  <c r="L108" i="13"/>
  <c r="P108" i="13"/>
  <c r="C180" i="13"/>
  <c r="S6" i="14"/>
  <c r="R39" i="14"/>
  <c r="V39" i="14"/>
  <c r="Z39" i="14"/>
  <c r="L36" i="15"/>
  <c r="L79" i="15" s="1"/>
  <c r="S39" i="14"/>
  <c r="G161" i="13"/>
  <c r="K161" i="13"/>
  <c r="O161" i="13"/>
  <c r="T39" i="14"/>
  <c r="X39" i="14"/>
  <c r="AB39" i="14"/>
  <c r="AA39" i="14"/>
  <c r="L81" i="13"/>
  <c r="P81" i="13"/>
  <c r="I60" i="13"/>
  <c r="N176" i="13"/>
  <c r="D180" i="13"/>
  <c r="D181" i="13" s="1"/>
  <c r="U39" i="14"/>
  <c r="Y39" i="14"/>
  <c r="AC39" i="14"/>
  <c r="AK137" i="5"/>
  <c r="BO50" i="5"/>
  <c r="AP138" i="5"/>
  <c r="AP137" i="5" s="1"/>
  <c r="K131" i="5"/>
  <c r="U131" i="5"/>
  <c r="BP131" i="5"/>
  <c r="BR131" i="5"/>
  <c r="BD47" i="1"/>
  <c r="P65" i="42"/>
  <c r="Q65" i="42" s="1"/>
  <c r="R65" i="42" s="1"/>
  <c r="S65" i="42" s="1"/>
  <c r="T65" i="42" s="1"/>
  <c r="U65" i="42" s="1"/>
  <c r="V65" i="42" s="1"/>
  <c r="W65" i="42" s="1"/>
  <c r="X65" i="42" s="1"/>
  <c r="AZ8" i="1"/>
  <c r="BU24" i="43"/>
  <c r="BU5" i="43"/>
  <c r="AU8" i="1"/>
  <c r="BN12" i="1"/>
  <c r="BN117" i="1" s="1"/>
  <c r="M70" i="6"/>
  <c r="M71" i="6" s="1"/>
  <c r="P113" i="7"/>
  <c r="L113" i="7"/>
  <c r="S113" i="7"/>
  <c r="O115" i="7"/>
  <c r="Q108" i="6"/>
  <c r="BK47" i="1"/>
  <c r="BE4" i="1"/>
  <c r="AU6" i="1"/>
  <c r="BD106" i="1"/>
  <c r="AP8" i="1"/>
  <c r="BE8" i="1"/>
  <c r="BV4" i="43"/>
  <c r="K6" i="1"/>
  <c r="U6" i="1"/>
  <c r="AE6" i="1"/>
  <c r="AO6" i="1"/>
  <c r="BT4" i="1"/>
  <c r="BN8" i="1"/>
  <c r="BJ14" i="1"/>
  <c r="E10" i="28"/>
  <c r="E12" i="28" s="1"/>
  <c r="E19" i="28" s="1"/>
  <c r="Q79" i="6"/>
  <c r="BT6" i="43"/>
  <c r="BT24" i="43" s="1"/>
  <c r="BT4" i="43"/>
  <c r="AJ6" i="1"/>
  <c r="AJ4" i="1" s="1"/>
  <c r="AJ47" i="1" s="1"/>
  <c r="AJ56" i="1" s="1"/>
  <c r="E176" i="7"/>
  <c r="K4" i="1"/>
  <c r="K47" i="1" s="1"/>
  <c r="K56" i="1" s="1"/>
  <c r="AE4" i="1"/>
  <c r="AE47" i="1" s="1"/>
  <c r="AE56" i="1" s="1"/>
  <c r="F4" i="1"/>
  <c r="F47" i="1" s="1"/>
  <c r="BJ12" i="1"/>
  <c r="E2" i="16" s="1"/>
  <c r="F9" i="16" s="1"/>
  <c r="BT12" i="1"/>
  <c r="G2" i="16" s="1"/>
  <c r="G4" i="16" s="1"/>
  <c r="G14" i="16" s="1"/>
  <c r="AZ130" i="1"/>
  <c r="BQ28" i="1"/>
  <c r="BQ47" i="1" s="1"/>
  <c r="BL28" i="1"/>
  <c r="BL47" i="1" s="1"/>
  <c r="BN31" i="1"/>
  <c r="BN28" i="1" s="1"/>
  <c r="BN47" i="1" s="1"/>
  <c r="Z39" i="1"/>
  <c r="AJ39" i="1"/>
  <c r="BU51" i="1"/>
  <c r="BU5" i="5" s="1"/>
  <c r="F176" i="7"/>
  <c r="F174" i="7" s="1"/>
  <c r="BS47" i="1"/>
  <c r="U4" i="1"/>
  <c r="AO4" i="1"/>
  <c r="AO47" i="1" s="1"/>
  <c r="AO56" i="1" s="1"/>
  <c r="BO6" i="1"/>
  <c r="BJ10" i="1"/>
  <c r="BF12" i="1"/>
  <c r="BF47" i="1" s="1"/>
  <c r="BT20" i="1"/>
  <c r="BT31" i="1"/>
  <c r="BT28" i="1" s="1"/>
  <c r="AZ51" i="1"/>
  <c r="BG47" i="1"/>
  <c r="BG112" i="1" s="1"/>
  <c r="P6" i="1"/>
  <c r="P4" i="1" s="1"/>
  <c r="P47" i="1" s="1"/>
  <c r="P56" i="1" s="1"/>
  <c r="Z6" i="1"/>
  <c r="Z4" i="1" s="1"/>
  <c r="N63" i="7"/>
  <c r="BY50" i="5"/>
  <c r="BV50" i="5" s="1"/>
  <c r="AE131" i="5"/>
  <c r="AO131" i="5"/>
  <c r="L138" i="5"/>
  <c r="L137" i="5" s="1"/>
  <c r="AF138" i="5"/>
  <c r="AF137" i="5" s="1"/>
  <c r="AS138" i="5"/>
  <c r="AU138" i="5" s="1"/>
  <c r="G112" i="1"/>
  <c r="BT50" i="5"/>
  <c r="G137" i="5"/>
  <c r="V137" i="5"/>
  <c r="BO107" i="5"/>
  <c r="O104" i="14" s="1"/>
  <c r="O105" i="14" s="1"/>
  <c r="BG131" i="5"/>
  <c r="BH131" i="5"/>
  <c r="BF131" i="5"/>
  <c r="BE122" i="1"/>
  <c r="BA131" i="5"/>
  <c r="BS131" i="5"/>
  <c r="C72" i="13"/>
  <c r="BN54" i="1"/>
  <c r="BS54" i="1"/>
  <c r="AZ47" i="1"/>
  <c r="AU47" i="1"/>
  <c r="AU56" i="1" s="1"/>
  <c r="K45" i="13" s="1"/>
  <c r="AU39" i="1"/>
  <c r="U47" i="1"/>
  <c r="U56" i="1" s="1"/>
  <c r="U39" i="1"/>
  <c r="AE39" i="1"/>
  <c r="AO39" i="1"/>
  <c r="Z43" i="1"/>
  <c r="G5" i="42"/>
  <c r="H6" i="42"/>
  <c r="I6" i="42" s="1"/>
  <c r="J6" i="42" s="1"/>
  <c r="K6" i="42" s="1"/>
  <c r="C10" i="42"/>
  <c r="E10" i="42"/>
  <c r="G10" i="42"/>
  <c r="I10" i="42"/>
  <c r="C11" i="42"/>
  <c r="E11" i="42"/>
  <c r="G11" i="42"/>
  <c r="I11" i="42"/>
  <c r="D10" i="42"/>
  <c r="F10" i="42"/>
  <c r="H10" i="42"/>
  <c r="D11" i="42"/>
  <c r="F11" i="42"/>
  <c r="H11" i="42"/>
  <c r="K94" i="42"/>
  <c r="L87" i="42"/>
  <c r="M87" i="42" s="1"/>
  <c r="N87" i="42" s="1"/>
  <c r="O87" i="42" s="1"/>
  <c r="P87" i="42" s="1"/>
  <c r="Q87" i="42" s="1"/>
  <c r="R87" i="42" s="1"/>
  <c r="S87" i="42" s="1"/>
  <c r="T87" i="42" s="1"/>
  <c r="U87" i="42" s="1"/>
  <c r="V87" i="42" s="1"/>
  <c r="W87" i="42" s="1"/>
  <c r="X87" i="42" s="1"/>
  <c r="C93" i="42"/>
  <c r="C92" i="42"/>
  <c r="C91" i="42"/>
  <c r="E93" i="42"/>
  <c r="E92" i="42"/>
  <c r="E91" i="42"/>
  <c r="G93" i="42"/>
  <c r="G92" i="42"/>
  <c r="G91" i="42"/>
  <c r="I93" i="42"/>
  <c r="I92" i="42"/>
  <c r="I91" i="42"/>
  <c r="E86" i="42"/>
  <c r="D91" i="42"/>
  <c r="F91" i="42"/>
  <c r="H91" i="42"/>
  <c r="D92" i="42"/>
  <c r="F92" i="42"/>
  <c r="H92" i="42"/>
  <c r="L166" i="42"/>
  <c r="M166" i="42" s="1"/>
  <c r="N166" i="42" s="1"/>
  <c r="O166" i="42" s="1"/>
  <c r="P166" i="42" s="1"/>
  <c r="Q166" i="42" s="1"/>
  <c r="R166" i="42" s="1"/>
  <c r="S166" i="42" s="1"/>
  <c r="T166" i="42" s="1"/>
  <c r="U166" i="42" s="1"/>
  <c r="V166" i="42" s="1"/>
  <c r="W166" i="42" s="1"/>
  <c r="X166" i="42" s="1"/>
  <c r="K173" i="42"/>
  <c r="I172" i="42"/>
  <c r="I171" i="42"/>
  <c r="I170" i="42"/>
  <c r="D170" i="42"/>
  <c r="F170" i="42"/>
  <c r="H170" i="42"/>
  <c r="D171" i="42"/>
  <c r="F171" i="42"/>
  <c r="H171" i="42"/>
  <c r="C170" i="42"/>
  <c r="E170" i="42"/>
  <c r="G170" i="42"/>
  <c r="C171" i="42"/>
  <c r="E171" i="42"/>
  <c r="G171" i="42"/>
  <c r="K240" i="42"/>
  <c r="K244" i="42" s="1"/>
  <c r="L3" i="28"/>
  <c r="M3" i="28" s="1"/>
  <c r="N3" i="28" s="1"/>
  <c r="K10" i="28"/>
  <c r="M8" i="28"/>
  <c r="M10" i="28" s="1"/>
  <c r="N6" i="28"/>
  <c r="N8" i="28" s="1"/>
  <c r="G10" i="28"/>
  <c r="G12" i="28" s="1"/>
  <c r="F39" i="28"/>
  <c r="G2" i="28"/>
  <c r="E38" i="28"/>
  <c r="E21" i="28"/>
  <c r="E39" i="28"/>
  <c r="D19" i="28"/>
  <c r="D22" i="28" s="1"/>
  <c r="H10" i="28"/>
  <c r="J10" i="28"/>
  <c r="L10" i="28"/>
  <c r="F12" i="28"/>
  <c r="F19" i="28" s="1"/>
  <c r="J13" i="28"/>
  <c r="F21" i="28"/>
  <c r="I34" i="29"/>
  <c r="I33" i="29"/>
  <c r="I23" i="29"/>
  <c r="J2" i="29"/>
  <c r="F3" i="29"/>
  <c r="O9" i="29"/>
  <c r="P7" i="29"/>
  <c r="O6" i="29"/>
  <c r="N9" i="29"/>
  <c r="N6" i="29"/>
  <c r="K11" i="29"/>
  <c r="M15" i="29"/>
  <c r="BI15" i="4"/>
  <c r="BJ15" i="4" s="1"/>
  <c r="BI14" i="4"/>
  <c r="AJ15" i="4"/>
  <c r="AJ14" i="4"/>
  <c r="AT15" i="4"/>
  <c r="AT14" i="4"/>
  <c r="AY15" i="4"/>
  <c r="AY14" i="4"/>
  <c r="BD15" i="4"/>
  <c r="BD14" i="4"/>
  <c r="BS15" i="4"/>
  <c r="BS14" i="4"/>
  <c r="AU12" i="4"/>
  <c r="BE12" i="4"/>
  <c r="BE14" i="4" s="1"/>
  <c r="AO15" i="4"/>
  <c r="AO14" i="4"/>
  <c r="BN15" i="4"/>
  <c r="BO15" i="4" s="1"/>
  <c r="BN14" i="4"/>
  <c r="AK15" i="4"/>
  <c r="AK14" i="4"/>
  <c r="AT6" i="4"/>
  <c r="BN6" i="4"/>
  <c r="AP12" i="4"/>
  <c r="AP14" i="4" s="1"/>
  <c r="AZ12" i="4"/>
  <c r="AZ14" i="4" s="1"/>
  <c r="BJ12" i="4"/>
  <c r="BJ14" i="4" s="1"/>
  <c r="BT12" i="4"/>
  <c r="AQ15" i="4"/>
  <c r="BA15" i="4"/>
  <c r="BV4" i="4"/>
  <c r="AO6" i="4"/>
  <c r="BI6" i="4"/>
  <c r="AH14" i="4"/>
  <c r="AL14" i="4"/>
  <c r="AN14" i="4"/>
  <c r="AR14" i="4"/>
  <c r="AV14" i="4"/>
  <c r="AX14" i="4"/>
  <c r="BB14" i="4"/>
  <c r="BF14" i="4"/>
  <c r="BH14" i="4"/>
  <c r="BL14" i="4"/>
  <c r="BO14" i="4" s="1"/>
  <c r="BP14" i="4"/>
  <c r="BR14" i="4"/>
  <c r="BE15" i="4"/>
  <c r="CI19" i="4"/>
  <c r="BZ28" i="4"/>
  <c r="BZ29" i="4"/>
  <c r="CB29" i="4"/>
  <c r="CB28" i="4"/>
  <c r="CE23" i="4"/>
  <c r="CI23" i="4"/>
  <c r="CE27" i="4"/>
  <c r="CI25" i="4"/>
  <c r="CD27" i="4"/>
  <c r="CM25" i="4"/>
  <c r="CL25" i="4"/>
  <c r="BU29" i="4"/>
  <c r="BU28" i="4"/>
  <c r="BW29" i="4"/>
  <c r="BW28" i="4"/>
  <c r="BY29" i="4"/>
  <c r="BY28" i="4"/>
  <c r="CA29" i="4"/>
  <c r="CA28" i="4"/>
  <c r="CC29" i="4"/>
  <c r="CC28" i="4"/>
  <c r="CG23" i="4"/>
  <c r="CG27" i="4" s="1"/>
  <c r="CK25" i="4"/>
  <c r="CJ25" i="4"/>
  <c r="BV28" i="4"/>
  <c r="BV29" i="4"/>
  <c r="BX29" i="4"/>
  <c r="BX28" i="4"/>
  <c r="CF23" i="4"/>
  <c r="CH23" i="4"/>
  <c r="CS34" i="4"/>
  <c r="CK36" i="4"/>
  <c r="CM36" i="4"/>
  <c r="CO36" i="4"/>
  <c r="CQ36" i="4"/>
  <c r="E3" i="16"/>
  <c r="F1" i="16"/>
  <c r="F10" i="16"/>
  <c r="F16" i="16"/>
  <c r="D8" i="16"/>
  <c r="D7" i="16"/>
  <c r="C16" i="16"/>
  <c r="C10" i="16"/>
  <c r="F6" i="16"/>
  <c r="D9" i="16"/>
  <c r="C19" i="16"/>
  <c r="D4" i="16"/>
  <c r="D14" i="16" s="1"/>
  <c r="F4" i="16"/>
  <c r="F14" i="16" s="1"/>
  <c r="E9" i="16"/>
  <c r="P123" i="7"/>
  <c r="P124" i="7" s="1"/>
  <c r="N123" i="7"/>
  <c r="N124" i="7" s="1"/>
  <c r="L123" i="7"/>
  <c r="L124" i="7" s="1"/>
  <c r="R116" i="7"/>
  <c r="P116" i="7"/>
  <c r="N116" i="7"/>
  <c r="L116" i="7"/>
  <c r="J116" i="7"/>
  <c r="M123" i="7"/>
  <c r="M124" i="7" s="1"/>
  <c r="Q116" i="7"/>
  <c r="M116" i="7"/>
  <c r="I116" i="7"/>
  <c r="L96" i="7"/>
  <c r="K92" i="7"/>
  <c r="K88" i="7"/>
  <c r="O88" i="7"/>
  <c r="M88" i="7"/>
  <c r="H88" i="7"/>
  <c r="K84" i="7"/>
  <c r="I84" i="7"/>
  <c r="W84" i="7"/>
  <c r="U84" i="7"/>
  <c r="S84" i="7"/>
  <c r="Q84" i="7"/>
  <c r="O84" i="7"/>
  <c r="M84" i="7"/>
  <c r="H58" i="7"/>
  <c r="F26" i="7"/>
  <c r="E44" i="7"/>
  <c r="E39" i="7"/>
  <c r="F38" i="7"/>
  <c r="H47" i="7"/>
  <c r="H46" i="7"/>
  <c r="H48" i="7" s="1"/>
  <c r="H45" i="7"/>
  <c r="P76" i="7"/>
  <c r="N84" i="7"/>
  <c r="R84" i="7"/>
  <c r="V84" i="7"/>
  <c r="L84" i="7"/>
  <c r="L88" i="7"/>
  <c r="L92" i="7"/>
  <c r="J88" i="7"/>
  <c r="J92" i="7"/>
  <c r="K96" i="7"/>
  <c r="D99" i="7"/>
  <c r="C103" i="7"/>
  <c r="O116" i="7"/>
  <c r="O123" i="7"/>
  <c r="O124" i="7" s="1"/>
  <c r="K146" i="7"/>
  <c r="J3" i="7"/>
  <c r="E5" i="7"/>
  <c r="F5" i="7" s="1"/>
  <c r="G5" i="7" s="1"/>
  <c r="H5" i="7" s="1"/>
  <c r="I5" i="7" s="1"/>
  <c r="J5" i="7" s="1"/>
  <c r="K5" i="7" s="1"/>
  <c r="L5" i="7" s="1"/>
  <c r="M5" i="7" s="1"/>
  <c r="N5" i="7" s="1"/>
  <c r="O5" i="7" s="1"/>
  <c r="P5" i="7" s="1"/>
  <c r="Q5" i="7" s="1"/>
  <c r="R5" i="7" s="1"/>
  <c r="S5" i="7" s="1"/>
  <c r="T5" i="7" s="1"/>
  <c r="U5" i="7" s="1"/>
  <c r="V5" i="7" s="1"/>
  <c r="W5" i="7" s="1"/>
  <c r="X5" i="7" s="1"/>
  <c r="I10" i="7"/>
  <c r="E7" i="7"/>
  <c r="E10" i="7"/>
  <c r="J21" i="7"/>
  <c r="K21" i="7" s="1"/>
  <c r="L21" i="7" s="1"/>
  <c r="M21" i="7" s="1"/>
  <c r="N21" i="7" s="1"/>
  <c r="O21" i="7" s="1"/>
  <c r="P21" i="7" s="1"/>
  <c r="Q21" i="7" s="1"/>
  <c r="R21" i="7" s="1"/>
  <c r="S21" i="7" s="1"/>
  <c r="T21" i="7" s="1"/>
  <c r="U21" i="7" s="1"/>
  <c r="V21" i="7" s="1"/>
  <c r="W21" i="7" s="1"/>
  <c r="X21" i="7" s="1"/>
  <c r="X23" i="7" s="1"/>
  <c r="I20" i="7"/>
  <c r="J20" i="7" s="1"/>
  <c r="K20" i="7" s="1"/>
  <c r="L20" i="7" s="1"/>
  <c r="M20" i="7" s="1"/>
  <c r="N20" i="7" s="1"/>
  <c r="O20" i="7" s="1"/>
  <c r="P20" i="7" s="1"/>
  <c r="Q20" i="7" s="1"/>
  <c r="I22" i="7"/>
  <c r="J22" i="7" s="1"/>
  <c r="K22" i="7" s="1"/>
  <c r="L22" i="7" s="1"/>
  <c r="M22" i="7" s="1"/>
  <c r="N22" i="7" s="1"/>
  <c r="O22" i="7" s="1"/>
  <c r="P22" i="7" s="1"/>
  <c r="Q22" i="7" s="1"/>
  <c r="R22" i="7" s="1"/>
  <c r="S22" i="7" s="1"/>
  <c r="T22" i="7" s="1"/>
  <c r="U22" i="7" s="1"/>
  <c r="V22" i="7" s="1"/>
  <c r="W22" i="7" s="1"/>
  <c r="X22" i="7" s="1"/>
  <c r="I23" i="7"/>
  <c r="M23" i="7"/>
  <c r="L28" i="7"/>
  <c r="E27" i="7"/>
  <c r="E54" i="7"/>
  <c r="E59" i="7" s="1"/>
  <c r="K64" i="7"/>
  <c r="K62" i="7"/>
  <c r="N64" i="7"/>
  <c r="P70" i="7"/>
  <c r="N74" i="7"/>
  <c r="N75" i="7"/>
  <c r="D97" i="7"/>
  <c r="E80" i="7"/>
  <c r="P84" i="7"/>
  <c r="T84" i="7"/>
  <c r="X84" i="7"/>
  <c r="N85" i="7"/>
  <c r="P86" i="7"/>
  <c r="J84" i="7"/>
  <c r="I88" i="7"/>
  <c r="N88" i="7"/>
  <c r="L91" i="7"/>
  <c r="M90" i="7"/>
  <c r="L89" i="7"/>
  <c r="L95" i="7"/>
  <c r="M94" i="7"/>
  <c r="M96" i="7" s="1"/>
  <c r="M113" i="7"/>
  <c r="M115" i="7"/>
  <c r="Q113" i="7"/>
  <c r="Q115" i="7"/>
  <c r="S115" i="7"/>
  <c r="K116" i="7"/>
  <c r="S116" i="7"/>
  <c r="K123" i="7"/>
  <c r="K124" i="7" s="1"/>
  <c r="D27" i="7"/>
  <c r="K108" i="7"/>
  <c r="E174" i="7"/>
  <c r="E172" i="7" s="1"/>
  <c r="N160" i="7"/>
  <c r="G176" i="7"/>
  <c r="C12" i="6"/>
  <c r="C11" i="6"/>
  <c r="C107" i="6" s="1"/>
  <c r="C112" i="6" s="1"/>
  <c r="C10" i="6"/>
  <c r="C9" i="6"/>
  <c r="C15" i="6" s="1"/>
  <c r="H6" i="6"/>
  <c r="I6" i="6" s="1"/>
  <c r="J6" i="6" s="1"/>
  <c r="K6" i="6" s="1"/>
  <c r="L6" i="6" s="1"/>
  <c r="M6" i="6" s="1"/>
  <c r="N6" i="6" s="1"/>
  <c r="O6" i="6" s="1"/>
  <c r="P6" i="6" s="1"/>
  <c r="Q6" i="6" s="1"/>
  <c r="R6" i="6" s="1"/>
  <c r="S6" i="6" s="1"/>
  <c r="T6" i="6" s="1"/>
  <c r="U6" i="6" s="1"/>
  <c r="V6" i="6" s="1"/>
  <c r="W6" i="6" s="1"/>
  <c r="X6" i="6" s="1"/>
  <c r="G5" i="6"/>
  <c r="E8" i="6"/>
  <c r="F7" i="6"/>
  <c r="U81" i="6"/>
  <c r="V81" i="6" s="1"/>
  <c r="W81" i="6" s="1"/>
  <c r="W83" i="6" s="1"/>
  <c r="T83" i="6"/>
  <c r="D8" i="6"/>
  <c r="F22" i="6"/>
  <c r="J24" i="6"/>
  <c r="P65" i="6"/>
  <c r="L83" i="6"/>
  <c r="C98" i="6"/>
  <c r="D94" i="6"/>
  <c r="L119" i="6"/>
  <c r="M160" i="6"/>
  <c r="Q144" i="6"/>
  <c r="O144" i="6"/>
  <c r="M144" i="6"/>
  <c r="K144" i="6"/>
  <c r="P144" i="6"/>
  <c r="L144" i="6"/>
  <c r="Q118" i="6"/>
  <c r="O118" i="6"/>
  <c r="M118" i="6"/>
  <c r="K118" i="6"/>
  <c r="Q111" i="6"/>
  <c r="O111" i="6"/>
  <c r="M111" i="6"/>
  <c r="K111" i="6"/>
  <c r="N144" i="6"/>
  <c r="N118" i="6"/>
  <c r="N111" i="6"/>
  <c r="P118" i="6"/>
  <c r="L111" i="6"/>
  <c r="L91" i="6"/>
  <c r="K87" i="6"/>
  <c r="K83" i="6"/>
  <c r="K79" i="6"/>
  <c r="U83" i="6"/>
  <c r="S83" i="6"/>
  <c r="Q83" i="6"/>
  <c r="O83" i="6"/>
  <c r="M83" i="6"/>
  <c r="X79" i="6"/>
  <c r="V79" i="6"/>
  <c r="T79" i="6"/>
  <c r="R79" i="6"/>
  <c r="P79" i="6"/>
  <c r="N79" i="6"/>
  <c r="L79" i="6"/>
  <c r="P111" i="6"/>
  <c r="V83" i="6"/>
  <c r="R83" i="6"/>
  <c r="N83" i="6"/>
  <c r="W79" i="6"/>
  <c r="S79" i="6"/>
  <c r="O79" i="6"/>
  <c r="M34" i="6"/>
  <c r="K34" i="6"/>
  <c r="E23" i="6"/>
  <c r="L34" i="6"/>
  <c r="K57" i="6"/>
  <c r="K59" i="6"/>
  <c r="N70" i="6"/>
  <c r="M79" i="6"/>
  <c r="U79" i="6"/>
  <c r="P83" i="6"/>
  <c r="X83" i="6"/>
  <c r="K91" i="6"/>
  <c r="L103" i="6"/>
  <c r="S142" i="6"/>
  <c r="R141" i="6"/>
  <c r="R144" i="6" s="1"/>
  <c r="D23" i="6"/>
  <c r="D49" i="6"/>
  <c r="D40" i="6"/>
  <c r="E34" i="6"/>
  <c r="D35" i="6"/>
  <c r="D79" i="6"/>
  <c r="E79" i="6" s="1"/>
  <c r="F79" i="6" s="1"/>
  <c r="G79" i="6" s="1"/>
  <c r="E75" i="6"/>
  <c r="M85" i="6"/>
  <c r="L84" i="6"/>
  <c r="L87" i="6" s="1"/>
  <c r="L90" i="6"/>
  <c r="M89" i="6"/>
  <c r="P161" i="6"/>
  <c r="Q161" i="6" s="1"/>
  <c r="R161" i="6" s="1"/>
  <c r="S161" i="6" s="1"/>
  <c r="T161" i="6" s="1"/>
  <c r="U161" i="6" s="1"/>
  <c r="V161" i="6" s="1"/>
  <c r="W161" i="6" s="1"/>
  <c r="X161" i="6" s="1"/>
  <c r="S109" i="6"/>
  <c r="T116" i="7" s="1"/>
  <c r="R108" i="6"/>
  <c r="R111" i="6" s="1"/>
  <c r="R110" i="6"/>
  <c r="L150" i="6"/>
  <c r="R40" i="15"/>
  <c r="V38" i="15"/>
  <c r="T76" i="15"/>
  <c r="T78" i="15" s="1"/>
  <c r="T40" i="15"/>
  <c r="Z76" i="15"/>
  <c r="Z78" i="15" s="1"/>
  <c r="Z36" i="15"/>
  <c r="Z40" i="15"/>
  <c r="AH34" i="15"/>
  <c r="AJ34" i="15"/>
  <c r="S40" i="15"/>
  <c r="U76" i="15"/>
  <c r="U78" i="15" s="1"/>
  <c r="U40" i="15"/>
  <c r="U36" i="15"/>
  <c r="U79" i="15" s="1"/>
  <c r="U90" i="15" s="1"/>
  <c r="X76" i="15"/>
  <c r="X78" i="15" s="1"/>
  <c r="X40" i="15"/>
  <c r="P26" i="15"/>
  <c r="P79" i="15" s="1"/>
  <c r="W32" i="15"/>
  <c r="Y32" i="15"/>
  <c r="AC32" i="15"/>
  <c r="AE32" i="15"/>
  <c r="S34" i="15"/>
  <c r="V34" i="15" s="1"/>
  <c r="AG34" i="15"/>
  <c r="I79" i="15"/>
  <c r="I41" i="15"/>
  <c r="K79" i="15"/>
  <c r="K41" i="15"/>
  <c r="W37" i="15"/>
  <c r="Y37" i="15"/>
  <c r="AC37" i="15"/>
  <c r="AE37" i="15"/>
  <c r="H38" i="15"/>
  <c r="H40" i="15" s="1"/>
  <c r="J38" i="15"/>
  <c r="J40" i="15" s="1"/>
  <c r="L38" i="15"/>
  <c r="L40" i="15" s="1"/>
  <c r="N76" i="15"/>
  <c r="N78" i="15" s="1"/>
  <c r="P76" i="15"/>
  <c r="P78" i="15" s="1"/>
  <c r="N40" i="15"/>
  <c r="P40" i="15"/>
  <c r="G41" i="15"/>
  <c r="J41" i="15"/>
  <c r="AC54" i="15"/>
  <c r="AD54" i="15" s="1"/>
  <c r="AE54" i="15" s="1"/>
  <c r="AF54" i="15" s="1"/>
  <c r="AG54" i="15" s="1"/>
  <c r="AB55" i="15"/>
  <c r="E9" i="15"/>
  <c r="Q79" i="15"/>
  <c r="Q73" i="15"/>
  <c r="S33" i="15"/>
  <c r="AF34" i="15"/>
  <c r="I38" i="15"/>
  <c r="I40" i="15" s="1"/>
  <c r="K38" i="15"/>
  <c r="K40" i="15" s="1"/>
  <c r="M38" i="15"/>
  <c r="O76" i="15"/>
  <c r="O78" i="15" s="1"/>
  <c r="O40" i="15"/>
  <c r="H41" i="15"/>
  <c r="L41" i="15"/>
  <c r="L73" i="15" s="1"/>
  <c r="X41" i="15"/>
  <c r="AC41" i="15" s="1"/>
  <c r="AH41" i="15" s="1"/>
  <c r="AM41" i="15" s="1"/>
  <c r="V41" i="15"/>
  <c r="AC55" i="15"/>
  <c r="AD43" i="15"/>
  <c r="AI43" i="15"/>
  <c r="AD48" i="15"/>
  <c r="AI48" i="15"/>
  <c r="AD53" i="15"/>
  <c r="AI53" i="15"/>
  <c r="AC58" i="15"/>
  <c r="AH58" i="15"/>
  <c r="AA59" i="15"/>
  <c r="AB59" i="15" s="1"/>
  <c r="AR70" i="15"/>
  <c r="I66" i="15"/>
  <c r="U70" i="15"/>
  <c r="V70" i="15" s="1"/>
  <c r="W70" i="15" s="1"/>
  <c r="J65" i="15"/>
  <c r="J76" i="15" s="1"/>
  <c r="J78" i="15" s="1"/>
  <c r="AP82" i="15"/>
  <c r="Q84" i="15"/>
  <c r="AF84" i="15"/>
  <c r="AF90" i="15" s="1"/>
  <c r="L83" i="15"/>
  <c r="Q82" i="15"/>
  <c r="V82" i="15"/>
  <c r="V84" i="15" s="1"/>
  <c r="BE83" i="15"/>
  <c r="BE85" i="15"/>
  <c r="BJ84" i="15"/>
  <c r="BJ86" i="15"/>
  <c r="BJ88" i="15"/>
  <c r="BO81" i="15"/>
  <c r="AU83" i="15"/>
  <c r="AZ83" i="15"/>
  <c r="BJ83" i="15"/>
  <c r="BJ85" i="15"/>
  <c r="G42" i="14"/>
  <c r="G50" i="13"/>
  <c r="G96" i="13" s="1"/>
  <c r="G52" i="14"/>
  <c r="G55" i="14" s="1"/>
  <c r="G59" i="14" s="1"/>
  <c r="K42" i="14"/>
  <c r="K50" i="13"/>
  <c r="K96" i="13" s="1"/>
  <c r="K52" i="14"/>
  <c r="K55" i="14" s="1"/>
  <c r="K59" i="14" s="1"/>
  <c r="N52" i="14"/>
  <c r="N55" i="14" s="1"/>
  <c r="N59" i="14" s="1"/>
  <c r="N50" i="13"/>
  <c r="N96" i="13" s="1"/>
  <c r="D50" i="13"/>
  <c r="D96" i="13" s="1"/>
  <c r="H52" i="14"/>
  <c r="H55" i="14" s="1"/>
  <c r="H59" i="14" s="1"/>
  <c r="H50" i="13"/>
  <c r="H96" i="13" s="1"/>
  <c r="H42" i="14"/>
  <c r="J52" i="14"/>
  <c r="J55" i="14" s="1"/>
  <c r="J59" i="14" s="1"/>
  <c r="E42" i="14"/>
  <c r="E50" i="13"/>
  <c r="E96" i="13" s="1"/>
  <c r="M42" i="14"/>
  <c r="M50" i="13"/>
  <c r="O42" i="14"/>
  <c r="O50" i="13"/>
  <c r="O96" i="13" s="1"/>
  <c r="P80" i="14"/>
  <c r="P59" i="14"/>
  <c r="P42" i="14"/>
  <c r="O52" i="14"/>
  <c r="O55" i="14" s="1"/>
  <c r="O59" i="14" s="1"/>
  <c r="P50" i="13"/>
  <c r="P96" i="13" s="1"/>
  <c r="M108" i="13"/>
  <c r="F108" i="13"/>
  <c r="J40" i="14"/>
  <c r="E52" i="14"/>
  <c r="E55" i="14" s="1"/>
  <c r="E59" i="14" s="1"/>
  <c r="M52" i="14"/>
  <c r="M55" i="14" s="1"/>
  <c r="K68" i="14"/>
  <c r="K70" i="14"/>
  <c r="P78" i="14"/>
  <c r="Q62" i="14"/>
  <c r="O76" i="14"/>
  <c r="N75" i="14"/>
  <c r="S95" i="14"/>
  <c r="S97" i="14"/>
  <c r="R92" i="14"/>
  <c r="P94" i="14"/>
  <c r="Q91" i="14" s="1"/>
  <c r="I93" i="14"/>
  <c r="K91" i="14"/>
  <c r="K93" i="14" s="1"/>
  <c r="J95" i="14"/>
  <c r="J97" i="14"/>
  <c r="I95" i="14"/>
  <c r="C93" i="13"/>
  <c r="E93" i="13"/>
  <c r="R158" i="13"/>
  <c r="E10" i="13"/>
  <c r="G10" i="13"/>
  <c r="I10" i="13"/>
  <c r="Q175" i="13"/>
  <c r="C17" i="13"/>
  <c r="K17" i="13"/>
  <c r="K70" i="13" s="1"/>
  <c r="M17" i="13"/>
  <c r="O17" i="13"/>
  <c r="O70" i="13" s="1"/>
  <c r="G24" i="13"/>
  <c r="C29" i="13"/>
  <c r="E29" i="13"/>
  <c r="E40" i="13" s="1"/>
  <c r="I29" i="13"/>
  <c r="K29" i="13"/>
  <c r="K75" i="13" s="1"/>
  <c r="M29" i="13"/>
  <c r="M75" i="13" s="1"/>
  <c r="O29" i="13"/>
  <c r="O75" i="13" s="1"/>
  <c r="H60" i="13"/>
  <c r="J60" i="13"/>
  <c r="H55" i="13"/>
  <c r="J55" i="13"/>
  <c r="H56" i="13"/>
  <c r="J56" i="13"/>
  <c r="H58" i="13"/>
  <c r="J58" i="13"/>
  <c r="E65" i="13"/>
  <c r="I65" i="13"/>
  <c r="G73" i="13"/>
  <c r="C74" i="13"/>
  <c r="F172" i="13"/>
  <c r="F176" i="13" s="1"/>
  <c r="F181" i="13" s="1"/>
  <c r="F65" i="13"/>
  <c r="H172" i="13"/>
  <c r="H176" i="13" s="1"/>
  <c r="H65" i="13"/>
  <c r="J172" i="13"/>
  <c r="J176" i="13" s="1"/>
  <c r="J181" i="13" s="1"/>
  <c r="J65" i="13"/>
  <c r="F10" i="13"/>
  <c r="H10" i="13"/>
  <c r="J10" i="13"/>
  <c r="R16" i="13"/>
  <c r="R174" i="13" s="1"/>
  <c r="D17" i="13"/>
  <c r="D67" i="13" s="1"/>
  <c r="L17" i="13"/>
  <c r="N17" i="13"/>
  <c r="P17" i="13"/>
  <c r="P70" i="13" s="1"/>
  <c r="H178" i="13"/>
  <c r="H180" i="13" s="1"/>
  <c r="H73" i="13"/>
  <c r="H24" i="13"/>
  <c r="D29" i="13"/>
  <c r="D40" i="13" s="1"/>
  <c r="F29" i="13"/>
  <c r="J29" i="13"/>
  <c r="J40" i="13" s="1"/>
  <c r="L29" i="13"/>
  <c r="L75" i="13" s="1"/>
  <c r="N29" i="13"/>
  <c r="N40" i="13" s="1"/>
  <c r="P29" i="13"/>
  <c r="R31" i="13"/>
  <c r="C36" i="13"/>
  <c r="E36" i="13"/>
  <c r="O97" i="13"/>
  <c r="O93" i="13"/>
  <c r="K40" i="13"/>
  <c r="M96" i="13"/>
  <c r="M94" i="13"/>
  <c r="C55" i="13"/>
  <c r="I55" i="13"/>
  <c r="C56" i="13"/>
  <c r="I56" i="13"/>
  <c r="C58" i="13"/>
  <c r="I58" i="13"/>
  <c r="G65" i="13"/>
  <c r="L70" i="13"/>
  <c r="N70" i="13"/>
  <c r="S68" i="13"/>
  <c r="D75" i="13"/>
  <c r="D78" i="13"/>
  <c r="J78" i="13"/>
  <c r="N78" i="13"/>
  <c r="C77" i="13"/>
  <c r="N94" i="13"/>
  <c r="C108" i="13"/>
  <c r="G108" i="13"/>
  <c r="K108" i="13"/>
  <c r="O108" i="13"/>
  <c r="C144" i="13"/>
  <c r="C142" i="13"/>
  <c r="C112" i="13"/>
  <c r="D112" i="13" s="1"/>
  <c r="G142" i="13"/>
  <c r="K142" i="13"/>
  <c r="I142" i="13"/>
  <c r="Q161" i="13"/>
  <c r="R159" i="13"/>
  <c r="U160" i="13"/>
  <c r="U6" i="14" s="1"/>
  <c r="D142" i="13"/>
  <c r="F142" i="13"/>
  <c r="H142" i="13"/>
  <c r="J142" i="13"/>
  <c r="L142" i="13"/>
  <c r="F161" i="13"/>
  <c r="J161" i="13"/>
  <c r="N161" i="13"/>
  <c r="E176" i="13"/>
  <c r="G176" i="13"/>
  <c r="I176" i="13"/>
  <c r="K176" i="13"/>
  <c r="M176" i="13"/>
  <c r="O176" i="13"/>
  <c r="E180" i="13"/>
  <c r="G180" i="13"/>
  <c r="I180" i="13"/>
  <c r="K180" i="13"/>
  <c r="M180" i="13"/>
  <c r="O180" i="13"/>
  <c r="BR25" i="43"/>
  <c r="BR26" i="43" s="1"/>
  <c r="BR16" i="43"/>
  <c r="BS15" i="43"/>
  <c r="CD26" i="43"/>
  <c r="CI26" i="43" s="1"/>
  <c r="CN26" i="43" s="1"/>
  <c r="CS26" i="43" s="1"/>
  <c r="CX26" i="43" s="1"/>
  <c r="DC26" i="43" s="1"/>
  <c r="DH26" i="43" s="1"/>
  <c r="DM26" i="43" s="1"/>
  <c r="DR26" i="43" s="1"/>
  <c r="DW26" i="43" s="1"/>
  <c r="EB26" i="43" s="1"/>
  <c r="EG26" i="43" s="1"/>
  <c r="EL26" i="43" s="1"/>
  <c r="BS9" i="43"/>
  <c r="BX12" i="43"/>
  <c r="BR17" i="43"/>
  <c r="BJ8" i="1"/>
  <c r="BC112" i="1"/>
  <c r="BC56" i="1"/>
  <c r="BK125" i="1"/>
  <c r="BK112" i="1"/>
  <c r="BK56" i="1"/>
  <c r="BM112" i="1"/>
  <c r="BM56" i="1"/>
  <c r="BP115" i="1"/>
  <c r="BP47" i="1"/>
  <c r="BP127" i="1" s="1"/>
  <c r="BR112" i="1"/>
  <c r="BR56" i="1"/>
  <c r="BU115" i="1"/>
  <c r="BU47" i="1"/>
  <c r="BU56" i="1" s="1"/>
  <c r="BH6" i="1"/>
  <c r="BH4" i="1" s="1"/>
  <c r="BH47" i="1" s="1"/>
  <c r="BO117" i="1"/>
  <c r="BO107" i="1" s="1"/>
  <c r="BT107" i="1" s="1"/>
  <c r="AA56" i="1"/>
  <c r="G45" i="13" s="1"/>
  <c r="BO54" i="1"/>
  <c r="BB115" i="1"/>
  <c r="BB121" i="1" s="1"/>
  <c r="BB111" i="1" s="1"/>
  <c r="BB47" i="1"/>
  <c r="BD112" i="1"/>
  <c r="BD56" i="1"/>
  <c r="BI115" i="1"/>
  <c r="BI47" i="1"/>
  <c r="BS112" i="1"/>
  <c r="CD26" i="1"/>
  <c r="AU130" i="1"/>
  <c r="BE130" i="1"/>
  <c r="BY28" i="1"/>
  <c r="BY108" i="1" s="1"/>
  <c r="AA45" i="1"/>
  <c r="Z45" i="1" s="1"/>
  <c r="D54" i="1"/>
  <c r="D56" i="1" s="1"/>
  <c r="H56" i="1"/>
  <c r="J56" i="1"/>
  <c r="L56" i="1"/>
  <c r="D45" i="13" s="1"/>
  <c r="D88" i="13" s="1"/>
  <c r="N56" i="1"/>
  <c r="R56" i="1"/>
  <c r="T56" i="1"/>
  <c r="V56" i="1"/>
  <c r="F45" i="13" s="1"/>
  <c r="X56" i="1"/>
  <c r="AB112" i="1"/>
  <c r="AB56" i="1"/>
  <c r="AD112" i="1"/>
  <c r="AD56" i="1"/>
  <c r="AF112" i="1"/>
  <c r="AF56" i="1"/>
  <c r="H45" i="13" s="1"/>
  <c r="H110" i="13" s="1"/>
  <c r="AH112" i="1"/>
  <c r="AH56" i="1"/>
  <c r="AL112" i="1"/>
  <c r="AL56" i="1"/>
  <c r="AN112" i="1"/>
  <c r="AN56" i="1"/>
  <c r="AP112" i="1"/>
  <c r="AP56" i="1"/>
  <c r="J45" i="13" s="1"/>
  <c r="J88" i="13" s="1"/>
  <c r="AR112" i="1"/>
  <c r="AR56" i="1"/>
  <c r="AT112" i="1"/>
  <c r="AT56" i="1"/>
  <c r="AV112" i="1"/>
  <c r="AV56" i="1"/>
  <c r="AX112" i="1"/>
  <c r="AX56" i="1"/>
  <c r="F54" i="1"/>
  <c r="F56" i="1" s="1"/>
  <c r="E54" i="1"/>
  <c r="E56" i="1" s="1"/>
  <c r="C56" i="1"/>
  <c r="O56" i="1"/>
  <c r="S56" i="1"/>
  <c r="BR115" i="1"/>
  <c r="BS105" i="1"/>
  <c r="BS115" i="1" s="1"/>
  <c r="BX107" i="1"/>
  <c r="BW120" i="1"/>
  <c r="BX110" i="1"/>
  <c r="BJ28" i="1"/>
  <c r="BJ108" i="1" s="1"/>
  <c r="W56" i="1"/>
  <c r="Y112" i="1"/>
  <c r="Y56" i="1"/>
  <c r="AC112" i="1"/>
  <c r="AC56" i="1"/>
  <c r="AG112" i="1"/>
  <c r="AG56" i="1"/>
  <c r="AI56" i="1"/>
  <c r="AI112" i="1"/>
  <c r="AK112" i="1"/>
  <c r="AK56" i="1"/>
  <c r="I45" i="13" s="1"/>
  <c r="I54" i="13" s="1"/>
  <c r="I59" i="13" s="1"/>
  <c r="AM112" i="1"/>
  <c r="AM56" i="1"/>
  <c r="AQ112" i="1"/>
  <c r="AQ56" i="1"/>
  <c r="AS112" i="1"/>
  <c r="AS56" i="1"/>
  <c r="AW112" i="1"/>
  <c r="AW56" i="1"/>
  <c r="AY112" i="1"/>
  <c r="AY56" i="1"/>
  <c r="BA112" i="1"/>
  <c r="BA56" i="1"/>
  <c r="BE47" i="1"/>
  <c r="G54" i="1"/>
  <c r="G56" i="1" s="1"/>
  <c r="C45" i="13" s="1"/>
  <c r="I56" i="1"/>
  <c r="M56" i="1"/>
  <c r="Q56" i="1"/>
  <c r="E45" i="13" s="1"/>
  <c r="E64" i="13" s="1"/>
  <c r="BF115" i="1"/>
  <c r="BG105" i="1"/>
  <c r="BF117" i="1"/>
  <c r="BJ117" i="1" s="1"/>
  <c r="BJ107" i="1" s="1"/>
  <c r="BX105" i="1"/>
  <c r="BC115" i="1"/>
  <c r="BC117" i="1"/>
  <c r="BV116" i="1"/>
  <c r="BH116" i="1"/>
  <c r="BQ109" i="1"/>
  <c r="BV119" i="1"/>
  <c r="BD115" i="1"/>
  <c r="BD116" i="1"/>
  <c r="BD117" i="1"/>
  <c r="BQ115" i="1"/>
  <c r="BW116" i="1"/>
  <c r="BI116" i="1"/>
  <c r="BT119" i="1"/>
  <c r="BW119" i="1"/>
  <c r="BY109" i="1"/>
  <c r="BV120" i="1"/>
  <c r="BK127" i="1"/>
  <c r="AU50" i="5"/>
  <c r="BE50" i="5"/>
  <c r="AZ50" i="5"/>
  <c r="BJ50" i="5"/>
  <c r="CI63" i="5"/>
  <c r="CD50" i="5"/>
  <c r="BE106" i="5"/>
  <c r="F131" i="5"/>
  <c r="P131" i="5"/>
  <c r="Z131" i="5"/>
  <c r="AJ131" i="5"/>
  <c r="AT131" i="5"/>
  <c r="Q138" i="5"/>
  <c r="Q137" i="5" s="1"/>
  <c r="AZ138" i="5"/>
  <c r="BD131" i="5"/>
  <c r="BB131" i="5"/>
  <c r="BN131" i="5"/>
  <c r="BL131" i="5"/>
  <c r="P150" i="5"/>
  <c r="N150" i="5"/>
  <c r="Z150" i="5"/>
  <c r="X150" i="5"/>
  <c r="AJ150" i="5"/>
  <c r="AH150" i="5"/>
  <c r="AT150" i="5"/>
  <c r="AR150" i="5"/>
  <c r="BJ150" i="5"/>
  <c r="BD150" i="5"/>
  <c r="BB150" i="5"/>
  <c r="CD43" i="5"/>
  <c r="BT43" i="5"/>
  <c r="BT35" i="5"/>
  <c r="BS35" i="5" s="1"/>
  <c r="BO43" i="5"/>
  <c r="BO37" i="5"/>
  <c r="BM43" i="5"/>
  <c r="BL43" i="5"/>
  <c r="BK43" i="5"/>
  <c r="BI43" i="5"/>
  <c r="BH43" i="5"/>
  <c r="BG43" i="5"/>
  <c r="BE43" i="5"/>
  <c r="AZ36" i="5"/>
  <c r="AZ35" i="5"/>
  <c r="AW43" i="5"/>
  <c r="AZ43" i="5" s="1"/>
  <c r="AW39" i="5"/>
  <c r="AW37" i="5"/>
  <c r="AU43" i="5"/>
  <c r="AP43" i="5"/>
  <c r="AN43" i="5"/>
  <c r="AM43" i="5"/>
  <c r="AK43" i="5"/>
  <c r="AI43" i="5"/>
  <c r="AH43" i="5"/>
  <c r="AG43" i="5"/>
  <c r="AF43" i="5"/>
  <c r="AD43" i="5"/>
  <c r="AC43" i="5"/>
  <c r="AB43" i="5"/>
  <c r="Z43" i="5"/>
  <c r="Z36" i="5"/>
  <c r="Z35" i="5"/>
  <c r="U43" i="5"/>
  <c r="U36" i="5"/>
  <c r="U35" i="5"/>
  <c r="P43" i="5"/>
  <c r="P36" i="5"/>
  <c r="P35" i="5"/>
  <c r="K43" i="5"/>
  <c r="F43" i="5"/>
  <c r="AV39" i="5"/>
  <c r="AV37" i="5"/>
  <c r="F39" i="5"/>
  <c r="F37" i="5"/>
  <c r="BU39" i="5"/>
  <c r="AY39" i="5"/>
  <c r="AX39" i="5"/>
  <c r="AT39" i="5"/>
  <c r="AS39" i="5"/>
  <c r="AR39" i="5"/>
  <c r="AQ39" i="5"/>
  <c r="AP39" i="5"/>
  <c r="J48" i="13" s="1"/>
  <c r="AN39" i="5"/>
  <c r="AM39" i="5"/>
  <c r="AL39" i="5"/>
  <c r="AK39" i="5"/>
  <c r="I48" i="13" s="1"/>
  <c r="AI39" i="5"/>
  <c r="AH39" i="5"/>
  <c r="AG39" i="5"/>
  <c r="AF39" i="5"/>
  <c r="H48" i="13" s="1"/>
  <c r="AD39" i="5"/>
  <c r="AC39" i="5"/>
  <c r="AB39" i="5"/>
  <c r="AA39" i="5"/>
  <c r="BS39" i="5"/>
  <c r="BR39" i="5"/>
  <c r="BQ39" i="5"/>
  <c r="BP39" i="5"/>
  <c r="BR37" i="5"/>
  <c r="BQ37" i="5"/>
  <c r="BP37" i="5"/>
  <c r="BN39" i="5"/>
  <c r="BM39" i="5"/>
  <c r="BL39" i="5"/>
  <c r="BK39" i="5"/>
  <c r="BI39" i="5"/>
  <c r="BH39" i="5"/>
  <c r="BG39" i="5"/>
  <c r="BF39" i="5"/>
  <c r="BM37" i="5"/>
  <c r="BL37" i="5"/>
  <c r="BK37" i="5"/>
  <c r="BH37" i="5"/>
  <c r="BG37" i="5"/>
  <c r="BF37" i="5"/>
  <c r="BD39" i="5"/>
  <c r="BC39" i="5"/>
  <c r="BB39" i="5"/>
  <c r="BA39" i="5"/>
  <c r="BC37" i="5"/>
  <c r="BB37" i="5"/>
  <c r="BA37" i="5"/>
  <c r="AX37" i="5"/>
  <c r="AS37" i="5"/>
  <c r="AR37" i="5"/>
  <c r="AQ37" i="5"/>
  <c r="AP37" i="5"/>
  <c r="AN37" i="5"/>
  <c r="AM37" i="5"/>
  <c r="AL37" i="5"/>
  <c r="AK37" i="5"/>
  <c r="AI37" i="5"/>
  <c r="AH37" i="5"/>
  <c r="AG37" i="5"/>
  <c r="AF37" i="5"/>
  <c r="AD37" i="5"/>
  <c r="AC37" i="5"/>
  <c r="AB37" i="5"/>
  <c r="AA37" i="5"/>
  <c r="Y39" i="5"/>
  <c r="X39" i="5"/>
  <c r="W39" i="5"/>
  <c r="V39" i="5"/>
  <c r="Y37" i="5"/>
  <c r="X37" i="5"/>
  <c r="W37" i="5"/>
  <c r="V37" i="5"/>
  <c r="T39" i="5"/>
  <c r="S39" i="5"/>
  <c r="R39" i="5"/>
  <c r="Q39" i="5"/>
  <c r="T37" i="5"/>
  <c r="S37" i="5"/>
  <c r="R37" i="5"/>
  <c r="Q37" i="5"/>
  <c r="O39" i="5"/>
  <c r="N39" i="5"/>
  <c r="M39" i="5"/>
  <c r="L39" i="5"/>
  <c r="O37" i="5"/>
  <c r="N37" i="5"/>
  <c r="M37" i="5"/>
  <c r="L37" i="5"/>
  <c r="J39" i="5"/>
  <c r="I39" i="5"/>
  <c r="H39" i="5"/>
  <c r="J37" i="5"/>
  <c r="I37" i="5"/>
  <c r="H37" i="5"/>
  <c r="BU36" i="5"/>
  <c r="AG75" i="15" s="1"/>
  <c r="AG77" i="15" s="1"/>
  <c r="AG78" i="15" s="1"/>
  <c r="BN36" i="5"/>
  <c r="Z75" i="15" s="1"/>
  <c r="BN35" i="5"/>
  <c r="BI36" i="5"/>
  <c r="BI35" i="5"/>
  <c r="BD36" i="5"/>
  <c r="BD35" i="5"/>
  <c r="AT36" i="5"/>
  <c r="AT35" i="5"/>
  <c r="AO36" i="5"/>
  <c r="AO35" i="5"/>
  <c r="AJ36" i="5"/>
  <c r="AJ35" i="5"/>
  <c r="AE36" i="5"/>
  <c r="AE35" i="5"/>
  <c r="K36" i="5"/>
  <c r="K35" i="5"/>
  <c r="BU30" i="5"/>
  <c r="BY30" i="5" s="1"/>
  <c r="BS30" i="5"/>
  <c r="BR30" i="5"/>
  <c r="BQ30" i="5"/>
  <c r="BP30" i="5"/>
  <c r="BN30" i="5"/>
  <c r="BM30" i="5"/>
  <c r="BL30" i="5"/>
  <c r="BK30" i="5"/>
  <c r="BI30" i="5"/>
  <c r="BH30" i="5"/>
  <c r="BG30" i="5"/>
  <c r="BF30" i="5"/>
  <c r="BC30" i="5"/>
  <c r="BA30" i="5"/>
  <c r="BS29" i="5"/>
  <c r="BT29" i="5" s="1"/>
  <c r="BT21" i="5"/>
  <c r="BQ25" i="5"/>
  <c r="BT25" i="5" s="1"/>
  <c r="BQ24" i="5"/>
  <c r="BQ22" i="5"/>
  <c r="BE25" i="5"/>
  <c r="AZ25" i="5"/>
  <c r="AU25" i="5"/>
  <c r="AO25" i="5"/>
  <c r="AJ25" i="5"/>
  <c r="AE25" i="5"/>
  <c r="Z25" i="5"/>
  <c r="U25" i="5"/>
  <c r="BU24" i="5"/>
  <c r="BU22" i="5"/>
  <c r="BY22" i="5" s="1"/>
  <c r="BS24" i="5"/>
  <c r="BR24" i="5"/>
  <c r="BS22" i="5"/>
  <c r="BR22" i="5"/>
  <c r="BP24" i="5"/>
  <c r="BN24" i="5"/>
  <c r="BO24" i="5" s="1"/>
  <c r="BP22" i="5"/>
  <c r="BN22" i="5"/>
  <c r="BM22" i="5"/>
  <c r="BL22" i="5"/>
  <c r="BK22" i="5"/>
  <c r="BI22" i="5"/>
  <c r="BH22" i="5"/>
  <c r="BG22" i="5"/>
  <c r="BF22" i="5"/>
  <c r="BD22" i="5"/>
  <c r="BC22" i="5"/>
  <c r="BB22" i="5"/>
  <c r="BA22" i="5"/>
  <c r="BN21" i="5"/>
  <c r="BK21" i="5"/>
  <c r="BI21" i="5"/>
  <c r="BH21" i="5"/>
  <c r="BG21" i="5"/>
  <c r="BF21" i="5"/>
  <c r="BD21" i="5"/>
  <c r="BC21" i="5"/>
  <c r="BB21" i="5"/>
  <c r="BA21" i="5"/>
  <c r="AY21" i="5"/>
  <c r="AX21" i="5"/>
  <c r="AW21" i="5"/>
  <c r="AV21" i="5"/>
  <c r="AT21" i="5"/>
  <c r="AS21" i="5"/>
  <c r="AR21" i="5"/>
  <c r="AQ21" i="5"/>
  <c r="AP21" i="5"/>
  <c r="AN21" i="5"/>
  <c r="AM21" i="5"/>
  <c r="AL21" i="5"/>
  <c r="AK21" i="5"/>
  <c r="AI21" i="5"/>
  <c r="AH21" i="5"/>
  <c r="AG21" i="5"/>
  <c r="AF21" i="5"/>
  <c r="AD21" i="5"/>
  <c r="AC21" i="5"/>
  <c r="AB21" i="5"/>
  <c r="AA21" i="5"/>
  <c r="Y21" i="5"/>
  <c r="X21" i="5"/>
  <c r="W21" i="5"/>
  <c r="V21" i="5"/>
  <c r="T21" i="5"/>
  <c r="S21" i="5"/>
  <c r="R21" i="5"/>
  <c r="Q21" i="5"/>
  <c r="O21" i="5"/>
  <c r="M21" i="5"/>
  <c r="L21" i="5"/>
  <c r="J21" i="5"/>
  <c r="I21" i="5"/>
  <c r="H21" i="5"/>
  <c r="F21" i="5"/>
  <c r="BQ20" i="5"/>
  <c r="BP20" i="5"/>
  <c r="BL20" i="5"/>
  <c r="CN14" i="5"/>
  <c r="BS14" i="5"/>
  <c r="BR14" i="5"/>
  <c r="BN14" i="5"/>
  <c r="BK14" i="5"/>
  <c r="BK20" i="5" s="1"/>
  <c r="BI14" i="5"/>
  <c r="BH14" i="5"/>
  <c r="BG14" i="5"/>
  <c r="BF14" i="5"/>
  <c r="BD14" i="5"/>
  <c r="BC14" i="5"/>
  <c r="BC51" i="5" s="1"/>
  <c r="BB14" i="5"/>
  <c r="BA14" i="5"/>
  <c r="AY14" i="5"/>
  <c r="AX14" i="5"/>
  <c r="AW14" i="5"/>
  <c r="AW51" i="5" s="1"/>
  <c r="AV14" i="5"/>
  <c r="AT14" i="5"/>
  <c r="AS14" i="5"/>
  <c r="AR14" i="5"/>
  <c r="AR51" i="5" s="1"/>
  <c r="AQ14" i="5"/>
  <c r="AP14" i="5"/>
  <c r="J47" i="13" s="1"/>
  <c r="J145" i="13" s="1"/>
  <c r="AN14" i="5"/>
  <c r="AN51" i="5" s="1"/>
  <c r="AM14" i="5"/>
  <c r="AL14" i="5"/>
  <c r="AK14" i="5"/>
  <c r="I47" i="13" s="1"/>
  <c r="I145" i="13" s="1"/>
  <c r="AI14" i="5"/>
  <c r="AH14" i="5"/>
  <c r="AG14" i="5"/>
  <c r="AF14" i="5"/>
  <c r="H47" i="13" s="1"/>
  <c r="H145" i="13" s="1"/>
  <c r="AD14" i="5"/>
  <c r="AC14" i="5"/>
  <c r="AB14" i="5"/>
  <c r="AA14" i="5"/>
  <c r="G47" i="13" s="1"/>
  <c r="G72" i="13" s="1"/>
  <c r="Y14" i="5"/>
  <c r="X14" i="5"/>
  <c r="V14" i="5"/>
  <c r="T14" i="5"/>
  <c r="S14" i="5"/>
  <c r="R14" i="5"/>
  <c r="Q14" i="5"/>
  <c r="O14" i="5"/>
  <c r="N14" i="5"/>
  <c r="L14" i="5"/>
  <c r="D47" i="13" s="1"/>
  <c r="D145" i="13" s="1"/>
  <c r="J14" i="5"/>
  <c r="I14" i="5"/>
  <c r="H14" i="5"/>
  <c r="F14" i="5"/>
  <c r="BT11" i="5"/>
  <c r="P46" i="13" s="1"/>
  <c r="P60" i="13" s="1"/>
  <c r="BO11" i="5"/>
  <c r="O46" i="13" s="1"/>
  <c r="O60" i="13" s="1"/>
  <c r="BJ11" i="5"/>
  <c r="N46" i="13" s="1"/>
  <c r="N56" i="13" s="1"/>
  <c r="BE11" i="5"/>
  <c r="M46" i="13" s="1"/>
  <c r="M60" i="13" s="1"/>
  <c r="AZ11" i="5"/>
  <c r="AU11" i="5"/>
  <c r="AO11" i="5"/>
  <c r="AO122" i="1" s="1"/>
  <c r="AJ11" i="5"/>
  <c r="AJ122" i="1" s="1"/>
  <c r="AE11" i="5"/>
  <c r="AE122" i="1" s="1"/>
  <c r="AA11" i="5"/>
  <c r="X11" i="5"/>
  <c r="X122" i="1" s="1"/>
  <c r="X112" i="1" s="1"/>
  <c r="W11" i="5"/>
  <c r="W122" i="1" s="1"/>
  <c r="W112" i="1" s="1"/>
  <c r="V11" i="5"/>
  <c r="T11" i="5"/>
  <c r="T122" i="1" s="1"/>
  <c r="T112" i="1" s="1"/>
  <c r="S11" i="5"/>
  <c r="S122" i="1" s="1"/>
  <c r="S112" i="1" s="1"/>
  <c r="R11" i="5"/>
  <c r="R122" i="1" s="1"/>
  <c r="R112" i="1" s="1"/>
  <c r="Q11" i="5"/>
  <c r="O11" i="5"/>
  <c r="O122" i="1" s="1"/>
  <c r="O112" i="1" s="1"/>
  <c r="N11" i="5"/>
  <c r="N122" i="1" s="1"/>
  <c r="N112" i="1" s="1"/>
  <c r="M11" i="5"/>
  <c r="M122" i="1" s="1"/>
  <c r="M112" i="1" s="1"/>
  <c r="L11" i="5"/>
  <c r="J11" i="5"/>
  <c r="J122" i="1" s="1"/>
  <c r="J112" i="1" s="1"/>
  <c r="I11" i="5"/>
  <c r="I122" i="1" s="1"/>
  <c r="I112" i="1" s="1"/>
  <c r="H11" i="5"/>
  <c r="H122" i="1" s="1"/>
  <c r="H112" i="1" s="1"/>
  <c r="F11" i="5"/>
  <c r="BY24" i="5" l="1"/>
  <c r="BY39" i="5"/>
  <c r="M41" i="15"/>
  <c r="N181" i="13"/>
  <c r="C181" i="13"/>
  <c r="F50" i="13"/>
  <c r="F96" i="13" s="1"/>
  <c r="I50" i="13"/>
  <c r="I96" i="13" s="1"/>
  <c r="F42" i="14"/>
  <c r="E94" i="13"/>
  <c r="L42" i="14"/>
  <c r="C42" i="14"/>
  <c r="C46" i="14" s="1"/>
  <c r="C48" i="14" s="1"/>
  <c r="J96" i="13"/>
  <c r="J94" i="13"/>
  <c r="G94" i="13"/>
  <c r="C52" i="14"/>
  <c r="C55" i="14" s="1"/>
  <c r="C59" i="14" s="1"/>
  <c r="D52" i="14"/>
  <c r="D55" i="14" s="1"/>
  <c r="D59" i="14" s="1"/>
  <c r="D94" i="13"/>
  <c r="J42" i="14"/>
  <c r="CC59" i="5"/>
  <c r="BS56" i="1"/>
  <c r="CI43" i="5"/>
  <c r="CN43" i="5" s="1"/>
  <c r="CS43" i="5" s="1"/>
  <c r="CX43" i="5" s="1"/>
  <c r="DC43" i="5" s="1"/>
  <c r="DH43" i="5" s="1"/>
  <c r="DM43" i="5" s="1"/>
  <c r="DR43" i="5" s="1"/>
  <c r="DW43" i="5" s="1"/>
  <c r="EB43" i="5" s="1"/>
  <c r="EG43" i="5" s="1"/>
  <c r="EL43" i="5" s="1"/>
  <c r="CC43" i="5"/>
  <c r="R7" i="14"/>
  <c r="R81" i="14" s="1"/>
  <c r="CB50" i="5"/>
  <c r="CA50" i="5"/>
  <c r="BZ50" i="5"/>
  <c r="H181" i="13"/>
  <c r="V33" i="15"/>
  <c r="V73" i="15"/>
  <c r="N36" i="14" s="1"/>
  <c r="N40" i="14" s="1"/>
  <c r="N42" i="14" s="1"/>
  <c r="R116" i="6"/>
  <c r="Q121" i="7"/>
  <c r="Q123" i="7" s="1"/>
  <c r="Q124" i="7" s="1"/>
  <c r="O40" i="13"/>
  <c r="D95" i="13"/>
  <c r="E78" i="13"/>
  <c r="D92" i="6"/>
  <c r="AZ15" i="4"/>
  <c r="N10" i="28"/>
  <c r="X58" i="6"/>
  <c r="W57" i="6"/>
  <c r="W59" i="6"/>
  <c r="N157" i="6"/>
  <c r="O157" i="6" s="1"/>
  <c r="P157" i="6" s="1"/>
  <c r="Q157" i="6" s="1"/>
  <c r="R157" i="6" s="1"/>
  <c r="S157" i="6" s="1"/>
  <c r="T157" i="6" s="1"/>
  <c r="U157" i="6" s="1"/>
  <c r="V157" i="6" s="1"/>
  <c r="W157" i="6" s="1"/>
  <c r="X157" i="6" s="1"/>
  <c r="N159" i="6"/>
  <c r="O159" i="6" s="1"/>
  <c r="P159" i="6" s="1"/>
  <c r="Q159" i="6" s="1"/>
  <c r="R159" i="6" s="1"/>
  <c r="S159" i="6" s="1"/>
  <c r="T159" i="6" s="1"/>
  <c r="U159" i="6" s="1"/>
  <c r="V159" i="6" s="1"/>
  <c r="W159" i="6" s="1"/>
  <c r="X159" i="6" s="1"/>
  <c r="F172" i="7"/>
  <c r="G174" i="7"/>
  <c r="H174" i="7" s="1"/>
  <c r="O32" i="6"/>
  <c r="N31" i="6"/>
  <c r="N34" i="6" s="1"/>
  <c r="N45" i="6" s="1"/>
  <c r="J167" i="42"/>
  <c r="J169" i="42" s="1"/>
  <c r="K165" i="42"/>
  <c r="K167" i="42" s="1"/>
  <c r="K169" i="42" s="1"/>
  <c r="AB31" i="15"/>
  <c r="AC31" i="15" s="1"/>
  <c r="AD31" i="15" s="1"/>
  <c r="BE30" i="5"/>
  <c r="E95" i="13"/>
  <c r="AK34" i="15"/>
  <c r="H5" i="6"/>
  <c r="I5" i="6" s="1"/>
  <c r="J5" i="6" s="1"/>
  <c r="K5" i="6" s="1"/>
  <c r="L5" i="6" s="1"/>
  <c r="M5" i="6" s="1"/>
  <c r="N5" i="6" s="1"/>
  <c r="O5" i="6" s="1"/>
  <c r="P5" i="6" s="1"/>
  <c r="Q5" i="6" s="1"/>
  <c r="R5" i="6" s="1"/>
  <c r="S5" i="6" s="1"/>
  <c r="T5" i="6" s="1"/>
  <c r="U5" i="6" s="1"/>
  <c r="V5" i="6" s="1"/>
  <c r="W5" i="6" s="1"/>
  <c r="X5" i="6" s="1"/>
  <c r="U23" i="7"/>
  <c r="CI18" i="4"/>
  <c r="N158" i="6"/>
  <c r="BW50" i="5"/>
  <c r="I42" i="14"/>
  <c r="L50" i="13"/>
  <c r="L95" i="13" s="1"/>
  <c r="O95" i="13"/>
  <c r="C94" i="13"/>
  <c r="E47" i="13"/>
  <c r="E145" i="13" s="1"/>
  <c r="F47" i="13"/>
  <c r="F145" i="13" s="1"/>
  <c r="K21" i="5"/>
  <c r="K126" i="5" s="1"/>
  <c r="AO43" i="5"/>
  <c r="AA122" i="1"/>
  <c r="AA112" i="1" s="1"/>
  <c r="G46" i="13"/>
  <c r="D144" i="13"/>
  <c r="D77" i="13"/>
  <c r="D72" i="13"/>
  <c r="G145" i="13"/>
  <c r="E46" i="13"/>
  <c r="E86" i="13" s="1"/>
  <c r="Q122" i="1"/>
  <c r="Q112" i="1" s="1"/>
  <c r="Z21" i="5"/>
  <c r="K39" i="5"/>
  <c r="D48" i="13"/>
  <c r="P39" i="5"/>
  <c r="E48" i="13"/>
  <c r="U39" i="5"/>
  <c r="F48" i="13"/>
  <c r="AE43" i="5"/>
  <c r="BJ43" i="5"/>
  <c r="J144" i="13"/>
  <c r="J77" i="13"/>
  <c r="J74" i="13"/>
  <c r="G77" i="13"/>
  <c r="I77" i="13"/>
  <c r="J72" i="13"/>
  <c r="I144" i="13"/>
  <c r="H144" i="13"/>
  <c r="H77" i="13"/>
  <c r="E144" i="13"/>
  <c r="G144" i="13"/>
  <c r="I74" i="13"/>
  <c r="H72" i="13"/>
  <c r="I72" i="13"/>
  <c r="D46" i="13"/>
  <c r="D86" i="13" s="1"/>
  <c r="L122" i="1"/>
  <c r="L112" i="1" s="1"/>
  <c r="F46" i="13"/>
  <c r="F86" i="13" s="1"/>
  <c r="V122" i="1"/>
  <c r="V112" i="1" s="1"/>
  <c r="Z39" i="5"/>
  <c r="G48" i="13"/>
  <c r="AJ43" i="5"/>
  <c r="D74" i="13"/>
  <c r="E74" i="13"/>
  <c r="M95" i="13"/>
  <c r="F75" i="13"/>
  <c r="K95" i="13"/>
  <c r="N75" i="13"/>
  <c r="E75" i="13"/>
  <c r="J75" i="13"/>
  <c r="BT24" i="5"/>
  <c r="AU37" i="5"/>
  <c r="K37" i="5"/>
  <c r="P37" i="5"/>
  <c r="U37" i="5"/>
  <c r="Z37" i="5"/>
  <c r="AJ37" i="5"/>
  <c r="AU39" i="5"/>
  <c r="K48" i="13" s="1"/>
  <c r="N60" i="13"/>
  <c r="P58" i="13"/>
  <c r="BE112" i="1"/>
  <c r="O56" i="13"/>
  <c r="G9" i="16"/>
  <c r="BT47" i="1"/>
  <c r="BT56" i="1" s="1"/>
  <c r="P45" i="13" s="1"/>
  <c r="P69" i="13" s="1"/>
  <c r="BU4" i="43"/>
  <c r="BU15" i="43"/>
  <c r="BG56" i="1"/>
  <c r="BO4" i="1"/>
  <c r="BO47" i="1" s="1"/>
  <c r="BO56" i="1" s="1"/>
  <c r="O45" i="13" s="1"/>
  <c r="O89" i="13" s="1"/>
  <c r="G6" i="16"/>
  <c r="AE112" i="1"/>
  <c r="BC121" i="1"/>
  <c r="BC111" i="1" s="1"/>
  <c r="E6" i="16"/>
  <c r="E4" i="16"/>
  <c r="E14" i="16" s="1"/>
  <c r="E17" i="16" s="1"/>
  <c r="R115" i="7"/>
  <c r="R113" i="7"/>
  <c r="T115" i="7"/>
  <c r="T113" i="7"/>
  <c r="P88" i="13"/>
  <c r="P57" i="13"/>
  <c r="P86" i="13"/>
  <c r="H69" i="13"/>
  <c r="K38" i="6"/>
  <c r="E22" i="28"/>
  <c r="BN112" i="1"/>
  <c r="BN56" i="1"/>
  <c r="BF56" i="1"/>
  <c r="BF112" i="1"/>
  <c r="BL112" i="1"/>
  <c r="BL127" i="1"/>
  <c r="BL125" i="1"/>
  <c r="BL56" i="1"/>
  <c r="BQ56" i="1"/>
  <c r="BQ125" i="1"/>
  <c r="BQ112" i="1"/>
  <c r="BQ127" i="1"/>
  <c r="AJ112" i="1"/>
  <c r="I110" i="13"/>
  <c r="P64" i="13"/>
  <c r="P110" i="13"/>
  <c r="F110" i="13"/>
  <c r="BJ116" i="1"/>
  <c r="BJ106" i="1" s="1"/>
  <c r="BO106" i="1" s="1"/>
  <c r="BK106" i="1" s="1"/>
  <c r="BK116" i="1" s="1"/>
  <c r="AO112" i="1"/>
  <c r="P54" i="13"/>
  <c r="P59" i="13" s="1"/>
  <c r="BJ6" i="1"/>
  <c r="P66" i="13"/>
  <c r="Q66" i="13" s="1"/>
  <c r="R66" i="13" s="1"/>
  <c r="P62" i="13"/>
  <c r="H54" i="13"/>
  <c r="H59" i="13" s="1"/>
  <c r="Z47" i="1"/>
  <c r="Z56" i="1" s="1"/>
  <c r="O63" i="7"/>
  <c r="N62" i="7"/>
  <c r="AO37" i="5"/>
  <c r="AZ37" i="5"/>
  <c r="M56" i="13"/>
  <c r="K46" i="13"/>
  <c r="K86" i="13" s="1"/>
  <c r="AU122" i="1"/>
  <c r="AU112" i="1" s="1"/>
  <c r="L46" i="13"/>
  <c r="AZ122" i="1"/>
  <c r="AZ112" i="1" s="1"/>
  <c r="BA51" i="5"/>
  <c r="BD37" i="5"/>
  <c r="BE37" i="5" s="1"/>
  <c r="P75" i="15"/>
  <c r="BN37" i="5"/>
  <c r="O55" i="13"/>
  <c r="P56" i="13"/>
  <c r="Q56" i="13" s="1"/>
  <c r="R56" i="13" s="1"/>
  <c r="N55" i="13"/>
  <c r="N58" i="13"/>
  <c r="O107" i="14"/>
  <c r="O110" i="14" s="1"/>
  <c r="O58" i="13"/>
  <c r="BQ50" i="5"/>
  <c r="BQ51" i="5" s="1"/>
  <c r="BP50" i="5"/>
  <c r="BR50" i="5"/>
  <c r="BR51" i="5" s="1"/>
  <c r="BU50" i="5"/>
  <c r="Q81" i="14"/>
  <c r="M55" i="13"/>
  <c r="BI37" i="5"/>
  <c r="BJ37" i="5" s="1"/>
  <c r="U75" i="15"/>
  <c r="AE37" i="5"/>
  <c r="BE107" i="5"/>
  <c r="M99" i="13"/>
  <c r="M88" i="14"/>
  <c r="M56" i="14"/>
  <c r="M58" i="14" s="1"/>
  <c r="M59" i="14" s="1"/>
  <c r="M100" i="13"/>
  <c r="M58" i="13"/>
  <c r="P55" i="13"/>
  <c r="Q55" i="13" s="1"/>
  <c r="R55" i="13" s="1"/>
  <c r="S55" i="13" s="1"/>
  <c r="T55" i="13" s="1"/>
  <c r="R38" i="13"/>
  <c r="S38" i="13" s="1"/>
  <c r="T38" i="13" s="1"/>
  <c r="U38" i="13" s="1"/>
  <c r="V38" i="13" s="1"/>
  <c r="W38" i="13" s="1"/>
  <c r="X38" i="13" s="1"/>
  <c r="Y38" i="13" s="1"/>
  <c r="Z38" i="13" s="1"/>
  <c r="AA38" i="13" s="1"/>
  <c r="AB38" i="13" s="1"/>
  <c r="AC38" i="13" s="1"/>
  <c r="AD38" i="13" s="1"/>
  <c r="BE22" i="5"/>
  <c r="BJ22" i="5"/>
  <c r="BO22" i="5"/>
  <c r="BT22" i="5"/>
  <c r="BJ30" i="5"/>
  <c r="BO30" i="5"/>
  <c r="BT30" i="5"/>
  <c r="AZ39" i="5"/>
  <c r="L48" i="13" s="1"/>
  <c r="BG51" i="5"/>
  <c r="BE39" i="5"/>
  <c r="M48" i="13" s="1"/>
  <c r="K106" i="13"/>
  <c r="K69" i="13"/>
  <c r="K88" i="13"/>
  <c r="H106" i="13"/>
  <c r="J62" i="13"/>
  <c r="I57" i="13"/>
  <c r="F64" i="13"/>
  <c r="F57" i="13"/>
  <c r="H88" i="13"/>
  <c r="G110" i="13"/>
  <c r="C164" i="13"/>
  <c r="C106" i="13"/>
  <c r="C64" i="13"/>
  <c r="C62" i="13"/>
  <c r="C110" i="13"/>
  <c r="C86" i="13"/>
  <c r="C54" i="13"/>
  <c r="C59" i="13" s="1"/>
  <c r="C57" i="13"/>
  <c r="C69" i="13"/>
  <c r="C88" i="13"/>
  <c r="C89" i="13"/>
  <c r="C66" i="13"/>
  <c r="I164" i="13"/>
  <c r="I182" i="13" s="1"/>
  <c r="I88" i="13"/>
  <c r="I86" i="13"/>
  <c r="D69" i="13"/>
  <c r="D66" i="13"/>
  <c r="F62" i="13"/>
  <c r="E57" i="13"/>
  <c r="E54" i="13"/>
  <c r="E59" i="13" s="1"/>
  <c r="K110" i="13"/>
  <c r="D106" i="13"/>
  <c r="I69" i="13"/>
  <c r="J64" i="13"/>
  <c r="J57" i="13"/>
  <c r="D54" i="13"/>
  <c r="D59" i="13" s="1"/>
  <c r="J164" i="13"/>
  <c r="H164" i="13"/>
  <c r="D110" i="13"/>
  <c r="I64" i="13"/>
  <c r="E62" i="13"/>
  <c r="G164" i="13"/>
  <c r="G182" i="13" s="1"/>
  <c r="G106" i="13"/>
  <c r="G64" i="13"/>
  <c r="J69" i="13"/>
  <c r="D62" i="13"/>
  <c r="K57" i="13"/>
  <c r="K54" i="13"/>
  <c r="K59" i="13" s="1"/>
  <c r="K164" i="13"/>
  <c r="K182" i="13" s="1"/>
  <c r="F164" i="13"/>
  <c r="J106" i="13"/>
  <c r="E69" i="13"/>
  <c r="H64" i="13"/>
  <c r="H57" i="13"/>
  <c r="J54" i="13"/>
  <c r="J59" i="13" s="1"/>
  <c r="H86" i="13"/>
  <c r="J110" i="13"/>
  <c r="F88" i="13"/>
  <c r="D164" i="13"/>
  <c r="D182" i="13" s="1"/>
  <c r="K62" i="13"/>
  <c r="E106" i="13"/>
  <c r="G62" i="13"/>
  <c r="E164" i="13"/>
  <c r="E182" i="13" s="1"/>
  <c r="E88" i="13"/>
  <c r="K64" i="13"/>
  <c r="K66" i="13"/>
  <c r="F69" i="13"/>
  <c r="G88" i="13"/>
  <c r="G69" i="13"/>
  <c r="H62" i="13"/>
  <c r="G57" i="13"/>
  <c r="G54" i="13"/>
  <c r="G59" i="13" s="1"/>
  <c r="E110" i="13"/>
  <c r="F106" i="13"/>
  <c r="D64" i="13"/>
  <c r="D57" i="13"/>
  <c r="F54" i="13"/>
  <c r="F59" i="13" s="1"/>
  <c r="J86" i="13"/>
  <c r="I106" i="13"/>
  <c r="I62" i="13"/>
  <c r="L173" i="42"/>
  <c r="K176" i="42"/>
  <c r="K175" i="42"/>
  <c r="K174" i="42"/>
  <c r="K172" i="42"/>
  <c r="K196" i="42" s="1"/>
  <c r="K171" i="42"/>
  <c r="K190" i="42" s="1"/>
  <c r="K170" i="42"/>
  <c r="K184" i="42" s="1"/>
  <c r="L6" i="42"/>
  <c r="M6" i="42" s="1"/>
  <c r="N6" i="42" s="1"/>
  <c r="O6" i="42" s="1"/>
  <c r="P6" i="42" s="1"/>
  <c r="Q6" i="42" s="1"/>
  <c r="R6" i="42" s="1"/>
  <c r="S6" i="42" s="1"/>
  <c r="T6" i="42" s="1"/>
  <c r="U6" i="42" s="1"/>
  <c r="V6" i="42" s="1"/>
  <c r="W6" i="42" s="1"/>
  <c r="X6" i="42" s="1"/>
  <c r="K13" i="42"/>
  <c r="L165" i="42"/>
  <c r="E89" i="42"/>
  <c r="F86" i="42"/>
  <c r="K97" i="42"/>
  <c r="K96" i="42"/>
  <c r="K95" i="42"/>
  <c r="L94" i="42"/>
  <c r="G8" i="42"/>
  <c r="H5" i="42"/>
  <c r="F22" i="28"/>
  <c r="H12" i="28"/>
  <c r="H19" i="28" s="1"/>
  <c r="G38" i="28"/>
  <c r="G21" i="28"/>
  <c r="G39" i="28"/>
  <c r="H2" i="28"/>
  <c r="G19" i="28"/>
  <c r="K13" i="28"/>
  <c r="J12" i="28"/>
  <c r="J19" i="28" s="1"/>
  <c r="L11" i="29"/>
  <c r="Q7" i="29"/>
  <c r="P6" i="29"/>
  <c r="P9" i="29"/>
  <c r="J33" i="29"/>
  <c r="J23" i="29"/>
  <c r="J34" i="29"/>
  <c r="K2" i="29"/>
  <c r="N15" i="29"/>
  <c r="F4" i="29"/>
  <c r="G3" i="29"/>
  <c r="CV36" i="4"/>
  <c r="CQ37" i="4"/>
  <c r="CQ20" i="4" s="1"/>
  <c r="CR36" i="4"/>
  <c r="CM37" i="4"/>
  <c r="CM20" i="4" s="1"/>
  <c r="CX34" i="4"/>
  <c r="CM23" i="4"/>
  <c r="CH26" i="4"/>
  <c r="CO25" i="4"/>
  <c r="CP25" i="4"/>
  <c r="BY6" i="4"/>
  <c r="CH27" i="4"/>
  <c r="CD28" i="4"/>
  <c r="CD29" i="4"/>
  <c r="CD5" i="4" s="1"/>
  <c r="CC5" i="4" s="1"/>
  <c r="CG29" i="4"/>
  <c r="CG28" i="4"/>
  <c r="CI26" i="4"/>
  <c r="CN23" i="4"/>
  <c r="CN19" i="4"/>
  <c r="CE19" i="4"/>
  <c r="CF19" i="4" s="1"/>
  <c r="CG19" i="4" s="1"/>
  <c r="CH19" i="4" s="1"/>
  <c r="AP15" i="4"/>
  <c r="CT36" i="4"/>
  <c r="CO37" i="4"/>
  <c r="CO20" i="4" s="1"/>
  <c r="CP36" i="4"/>
  <c r="CK37" i="4"/>
  <c r="CK20" i="4" s="1"/>
  <c r="CK23" i="4"/>
  <c r="CF26" i="4"/>
  <c r="CF27" i="4"/>
  <c r="CG26" i="4"/>
  <c r="CL23" i="4"/>
  <c r="CL27" i="4" s="1"/>
  <c r="CQ25" i="4"/>
  <c r="CM27" i="4"/>
  <c r="CR25" i="4"/>
  <c r="CI27" i="4"/>
  <c r="CN25" i="4"/>
  <c r="CE29" i="4"/>
  <c r="CE28" i="4"/>
  <c r="CE26" i="4"/>
  <c r="CJ23" i="4"/>
  <c r="CJ27" i="4" s="1"/>
  <c r="BT15" i="4"/>
  <c r="BT14" i="4"/>
  <c r="BY14" i="4" s="1"/>
  <c r="CD14" i="4" s="1"/>
  <c r="CI14" i="4" s="1"/>
  <c r="CN14" i="4" s="1"/>
  <c r="CS14" i="4" s="1"/>
  <c r="CX14" i="4" s="1"/>
  <c r="DC14" i="4" s="1"/>
  <c r="DH14" i="4" s="1"/>
  <c r="DM14" i="4" s="1"/>
  <c r="DR14" i="4" s="1"/>
  <c r="DW14" i="4" s="1"/>
  <c r="EB14" i="4" s="1"/>
  <c r="EG14" i="4" s="1"/>
  <c r="EL14" i="4" s="1"/>
  <c r="AU15" i="4"/>
  <c r="AU14" i="4"/>
  <c r="E7" i="16"/>
  <c r="E8" i="16"/>
  <c r="F17" i="16"/>
  <c r="F15" i="16"/>
  <c r="D10" i="16"/>
  <c r="D16" i="16"/>
  <c r="G16" i="16"/>
  <c r="G17" i="16" s="1"/>
  <c r="G10" i="16"/>
  <c r="F8" i="16"/>
  <c r="F7" i="16"/>
  <c r="F11" i="16" s="1"/>
  <c r="G15" i="16"/>
  <c r="D11" i="16"/>
  <c r="E15" i="16"/>
  <c r="F3" i="16"/>
  <c r="G1" i="16"/>
  <c r="E16" i="16"/>
  <c r="E10" i="16"/>
  <c r="G8" i="16"/>
  <c r="G7" i="16"/>
  <c r="G11" i="16" s="1"/>
  <c r="D17" i="16"/>
  <c r="D15" i="16"/>
  <c r="Q86" i="7"/>
  <c r="P85" i="7"/>
  <c r="O74" i="7"/>
  <c r="Q70" i="7"/>
  <c r="M28" i="7"/>
  <c r="E8" i="7"/>
  <c r="E12" i="7" s="1"/>
  <c r="F7" i="7"/>
  <c r="C109" i="7"/>
  <c r="Q76" i="7"/>
  <c r="F54" i="7"/>
  <c r="F59" i="7" s="1"/>
  <c r="F44" i="7"/>
  <c r="F39" i="7"/>
  <c r="G38" i="7"/>
  <c r="F27" i="7"/>
  <c r="G26" i="7"/>
  <c r="S23" i="7"/>
  <c r="K23" i="7"/>
  <c r="L23" i="7"/>
  <c r="P23" i="7"/>
  <c r="T23" i="7"/>
  <c r="O160" i="7"/>
  <c r="L108" i="7"/>
  <c r="M95" i="7"/>
  <c r="N94" i="7"/>
  <c r="M89" i="7"/>
  <c r="M91" i="7"/>
  <c r="N90" i="7"/>
  <c r="E84" i="7"/>
  <c r="F84" i="7" s="1"/>
  <c r="G84" i="7" s="1"/>
  <c r="H84" i="7" s="1"/>
  <c r="F80" i="7"/>
  <c r="O75" i="7"/>
  <c r="Q23" i="7"/>
  <c r="D10" i="7"/>
  <c r="J10" i="7"/>
  <c r="J127" i="7"/>
  <c r="K3" i="7"/>
  <c r="L146" i="7"/>
  <c r="D103" i="7"/>
  <c r="D109" i="7"/>
  <c r="E99" i="7"/>
  <c r="P88" i="7"/>
  <c r="W23" i="7"/>
  <c r="O23" i="7"/>
  <c r="J23" i="7"/>
  <c r="N23" i="7"/>
  <c r="R23" i="7"/>
  <c r="V23" i="7"/>
  <c r="M92" i="7"/>
  <c r="S110" i="6"/>
  <c r="S108" i="6"/>
  <c r="T109" i="6"/>
  <c r="N89" i="6"/>
  <c r="M90" i="6"/>
  <c r="E92" i="6"/>
  <c r="F75" i="6"/>
  <c r="E35" i="6"/>
  <c r="E40" i="6"/>
  <c r="E49" i="6"/>
  <c r="E54" i="6" s="1"/>
  <c r="F34" i="6"/>
  <c r="S141" i="6"/>
  <c r="T142" i="6"/>
  <c r="M103" i="6"/>
  <c r="K46" i="6"/>
  <c r="K45" i="6"/>
  <c r="K43" i="6"/>
  <c r="K42" i="6"/>
  <c r="K41" i="6"/>
  <c r="K47" i="6"/>
  <c r="K49" i="6"/>
  <c r="N119" i="6"/>
  <c r="K119" i="6"/>
  <c r="O119" i="6"/>
  <c r="L59" i="6"/>
  <c r="L38" i="6" s="1"/>
  <c r="L57" i="6"/>
  <c r="L36" i="6" s="1"/>
  <c r="M58" i="6"/>
  <c r="L37" i="6"/>
  <c r="K24" i="6"/>
  <c r="F23" i="6"/>
  <c r="G22" i="6"/>
  <c r="G7" i="6"/>
  <c r="F8" i="6"/>
  <c r="M150" i="6"/>
  <c r="M84" i="6"/>
  <c r="N85" i="6"/>
  <c r="N71" i="6"/>
  <c r="O71" i="6" s="1"/>
  <c r="P71" i="6" s="1"/>
  <c r="Q71" i="6" s="1"/>
  <c r="R71" i="6" s="1"/>
  <c r="S71" i="6" s="1"/>
  <c r="T71" i="6" s="1"/>
  <c r="U71" i="6" s="1"/>
  <c r="V71" i="6" s="1"/>
  <c r="W71" i="6" s="1"/>
  <c r="X71" i="6" s="1"/>
  <c r="O70" i="6"/>
  <c r="P70" i="6" s="1"/>
  <c r="Q70" i="6" s="1"/>
  <c r="R70" i="6" s="1"/>
  <c r="S70" i="6" s="1"/>
  <c r="T70" i="6" s="1"/>
  <c r="U70" i="6" s="1"/>
  <c r="V70" i="6" s="1"/>
  <c r="W70" i="6" s="1"/>
  <c r="X70" i="6" s="1"/>
  <c r="K36" i="6"/>
  <c r="L49" i="6"/>
  <c r="L47" i="6"/>
  <c r="L46" i="6"/>
  <c r="L42" i="6"/>
  <c r="L45" i="6"/>
  <c r="L43" i="6"/>
  <c r="L41" i="6"/>
  <c r="M49" i="6"/>
  <c r="M47" i="6"/>
  <c r="M45" i="6"/>
  <c r="M43" i="6"/>
  <c r="M42" i="6"/>
  <c r="M41" i="6"/>
  <c r="M46" i="6"/>
  <c r="M91" i="6"/>
  <c r="M87" i="6"/>
  <c r="P119" i="6"/>
  <c r="S111" i="6"/>
  <c r="M119" i="6"/>
  <c r="Q119" i="6"/>
  <c r="S144" i="6"/>
  <c r="D98" i="6"/>
  <c r="E94" i="6"/>
  <c r="C104" i="6"/>
  <c r="Q65" i="6"/>
  <c r="K37" i="6"/>
  <c r="N47" i="6"/>
  <c r="D12" i="6"/>
  <c r="D11" i="6"/>
  <c r="D107" i="6" s="1"/>
  <c r="D112" i="6" s="1"/>
  <c r="D10" i="6"/>
  <c r="D9" i="6"/>
  <c r="D15" i="6" s="1"/>
  <c r="D20" i="6" s="1"/>
  <c r="E12" i="6"/>
  <c r="E11" i="6"/>
  <c r="E107" i="6" s="1"/>
  <c r="E112" i="6" s="1"/>
  <c r="E10" i="6"/>
  <c r="E9" i="6"/>
  <c r="E15" i="6" s="1"/>
  <c r="E20" i="6" s="1"/>
  <c r="BT81" i="15"/>
  <c r="BO88" i="15"/>
  <c r="BO86" i="15"/>
  <c r="BO84" i="15"/>
  <c r="BO87" i="15"/>
  <c r="BO85" i="15"/>
  <c r="AI58" i="15"/>
  <c r="AJ53" i="15"/>
  <c r="AK53" i="15" s="1"/>
  <c r="AJ48" i="15"/>
  <c r="AK48" i="15" s="1"/>
  <c r="AJ50" i="15"/>
  <c r="AK50" i="15" s="1"/>
  <c r="AJ43" i="15"/>
  <c r="AK43" i="15" s="1"/>
  <c r="AJ45" i="15"/>
  <c r="AK45" i="15" s="1"/>
  <c r="AA41" i="15"/>
  <c r="AA73" i="15" s="1"/>
  <c r="AH37" i="15"/>
  <c r="W38" i="15"/>
  <c r="AB37" i="15"/>
  <c r="AK31" i="15"/>
  <c r="AE33" i="15"/>
  <c r="AJ32" i="15"/>
  <c r="Y33" i="15"/>
  <c r="AD32" i="15"/>
  <c r="K76" i="15"/>
  <c r="S76" i="15"/>
  <c r="S78" i="15" s="1"/>
  <c r="AC73" i="15"/>
  <c r="V76" i="15"/>
  <c r="V78" i="15" s="1"/>
  <c r="V40" i="15"/>
  <c r="BO83" i="15"/>
  <c r="AU82" i="15"/>
  <c r="W79" i="15"/>
  <c r="W90" i="15" s="1"/>
  <c r="X70" i="15"/>
  <c r="AS70" i="15"/>
  <c r="AB60" i="15"/>
  <c r="AC59" i="15"/>
  <c r="AD58" i="15"/>
  <c r="AE55" i="15"/>
  <c r="AE53" i="15"/>
  <c r="AE50" i="15"/>
  <c r="AF50" i="15" s="1"/>
  <c r="AE48" i="15"/>
  <c r="AE45" i="15"/>
  <c r="AF45" i="15" s="1"/>
  <c r="AE43" i="15"/>
  <c r="AK41" i="15"/>
  <c r="M76" i="15"/>
  <c r="M78" i="15" s="1"/>
  <c r="M40" i="15"/>
  <c r="Q38" i="15"/>
  <c r="L76" i="15"/>
  <c r="L78" i="15" s="1"/>
  <c r="AG55" i="15"/>
  <c r="AH54" i="15"/>
  <c r="AD55" i="15"/>
  <c r="AF55" i="15" s="1"/>
  <c r="AF41" i="15"/>
  <c r="AF73" i="15" s="1"/>
  <c r="AJ37" i="15"/>
  <c r="Y38" i="15"/>
  <c r="AD37" i="15"/>
  <c r="V79" i="15"/>
  <c r="V90" i="15" s="1"/>
  <c r="AC33" i="15"/>
  <c r="AH32" i="15"/>
  <c r="W33" i="15"/>
  <c r="AA33" i="15" s="1"/>
  <c r="AB32" i="15"/>
  <c r="I76" i="15"/>
  <c r="I78" i="15" s="1"/>
  <c r="H76" i="15"/>
  <c r="H78" i="15" s="1"/>
  <c r="AE31" i="15"/>
  <c r="S92" i="14"/>
  <c r="T97" i="14"/>
  <c r="T95" i="14"/>
  <c r="Q96" i="14"/>
  <c r="Q94" i="14"/>
  <c r="P76" i="14"/>
  <c r="O75" i="14"/>
  <c r="Q78" i="14"/>
  <c r="R62" i="14"/>
  <c r="O94" i="13"/>
  <c r="K94" i="13"/>
  <c r="P94" i="13"/>
  <c r="K94" i="14"/>
  <c r="K96" i="14"/>
  <c r="Q93" i="14"/>
  <c r="D45" i="14"/>
  <c r="D46" i="14" s="1"/>
  <c r="E112" i="13"/>
  <c r="D113" i="13"/>
  <c r="E113" i="13" s="1"/>
  <c r="F113" i="13" s="1"/>
  <c r="G113" i="13" s="1"/>
  <c r="H113" i="13" s="1"/>
  <c r="I113" i="13" s="1"/>
  <c r="J113" i="13" s="1"/>
  <c r="K113" i="13" s="1"/>
  <c r="L113" i="13" s="1"/>
  <c r="M113" i="13" s="1"/>
  <c r="T68" i="13"/>
  <c r="S16" i="13"/>
  <c r="P75" i="13"/>
  <c r="P95" i="13"/>
  <c r="F40" i="13"/>
  <c r="F78" i="13"/>
  <c r="H82" i="13"/>
  <c r="H29" i="13"/>
  <c r="H94" i="13"/>
  <c r="I94" i="13"/>
  <c r="N42" i="13"/>
  <c r="D42" i="13"/>
  <c r="D89" i="13"/>
  <c r="D70" i="13"/>
  <c r="J81" i="13"/>
  <c r="J17" i="13"/>
  <c r="J67" i="13" s="1"/>
  <c r="F81" i="13"/>
  <c r="F17" i="13"/>
  <c r="I66" i="13"/>
  <c r="L40" i="13"/>
  <c r="L42" i="13" s="1"/>
  <c r="I75" i="13"/>
  <c r="J95" i="13"/>
  <c r="C40" i="13"/>
  <c r="C42" i="13" s="1"/>
  <c r="C75" i="13"/>
  <c r="C78" i="13"/>
  <c r="C95" i="13"/>
  <c r="M78" i="13"/>
  <c r="M181" i="13"/>
  <c r="I181" i="13"/>
  <c r="E181" i="13"/>
  <c r="V160" i="13"/>
  <c r="V6" i="14" s="1"/>
  <c r="CS59" i="5"/>
  <c r="N95" i="13"/>
  <c r="P78" i="13"/>
  <c r="L78" i="13"/>
  <c r="I95" i="13"/>
  <c r="M40" i="13"/>
  <c r="M42" i="13" s="1"/>
  <c r="I40" i="13"/>
  <c r="N67" i="13"/>
  <c r="P40" i="13"/>
  <c r="P42" i="13" s="1"/>
  <c r="G82" i="13"/>
  <c r="G29" i="13"/>
  <c r="M67" i="13"/>
  <c r="M70" i="13"/>
  <c r="C67" i="13"/>
  <c r="C70" i="13"/>
  <c r="I81" i="13"/>
  <c r="I17" i="13"/>
  <c r="E81" i="13"/>
  <c r="E17" i="13"/>
  <c r="S158" i="13"/>
  <c r="R15" i="13"/>
  <c r="I78" i="13"/>
  <c r="O181" i="13"/>
  <c r="K181" i="13"/>
  <c r="G181" i="13"/>
  <c r="R161" i="13"/>
  <c r="S159" i="13"/>
  <c r="R14" i="13"/>
  <c r="G66" i="13"/>
  <c r="S31" i="13"/>
  <c r="H75" i="13"/>
  <c r="H74" i="13"/>
  <c r="H81" i="13"/>
  <c r="H17" i="13"/>
  <c r="H67" i="13" s="1"/>
  <c r="J66" i="13"/>
  <c r="H66" i="13"/>
  <c r="F67" i="13"/>
  <c r="F66" i="13"/>
  <c r="G74" i="13"/>
  <c r="P67" i="13"/>
  <c r="L67" i="13"/>
  <c r="E67" i="13"/>
  <c r="E66" i="13"/>
  <c r="P89" i="13"/>
  <c r="O98" i="13"/>
  <c r="O42" i="13"/>
  <c r="O67" i="13"/>
  <c r="K42" i="13"/>
  <c r="K67" i="13"/>
  <c r="G81" i="13"/>
  <c r="G17" i="13"/>
  <c r="G67" i="13" s="1"/>
  <c r="O78" i="13"/>
  <c r="K78" i="13"/>
  <c r="BS25" i="43"/>
  <c r="BS26" i="43" s="1"/>
  <c r="BT26" i="43" s="1"/>
  <c r="BS16" i="43"/>
  <c r="BS17" i="43" s="1"/>
  <c r="BT17" i="43" s="1"/>
  <c r="BT9" i="43"/>
  <c r="BN106" i="1"/>
  <c r="BN116" i="1" s="1"/>
  <c r="BL106" i="1"/>
  <c r="BL116" i="1" s="1"/>
  <c r="CD109" i="1"/>
  <c r="BF121" i="1"/>
  <c r="BG118" i="1"/>
  <c r="BH118" i="1"/>
  <c r="BH108" i="1" s="1"/>
  <c r="CB26" i="1"/>
  <c r="CI26" i="1"/>
  <c r="CC26" i="1"/>
  <c r="CA26" i="1"/>
  <c r="BI112" i="1"/>
  <c r="BI56" i="1"/>
  <c r="BB112" i="1"/>
  <c r="BB56" i="1"/>
  <c r="BE56" i="1" s="1"/>
  <c r="M45" i="13" s="1"/>
  <c r="BT117" i="1"/>
  <c r="BY107" i="1"/>
  <c r="CD107" i="1" s="1"/>
  <c r="BP107" i="1"/>
  <c r="BH112" i="1"/>
  <c r="BH56" i="1"/>
  <c r="BU121" i="1"/>
  <c r="BT115" i="1"/>
  <c r="BT105" i="1" s="1"/>
  <c r="BJ47" i="1"/>
  <c r="BJ56" i="1" s="1"/>
  <c r="N45" i="13" s="1"/>
  <c r="BD121" i="1"/>
  <c r="BD111" i="1" s="1"/>
  <c r="BQ119" i="1"/>
  <c r="BR109" i="1"/>
  <c r="BG115" i="1"/>
  <c r="BH105" i="1"/>
  <c r="BH115" i="1" s="1"/>
  <c r="AZ56" i="1"/>
  <c r="L45" i="13" s="1"/>
  <c r="BU112" i="1"/>
  <c r="BP125" i="1"/>
  <c r="BP112" i="1"/>
  <c r="BP56" i="1"/>
  <c r="CD22" i="5"/>
  <c r="CI22" i="5" s="1"/>
  <c r="CN22" i="5" s="1"/>
  <c r="CS22" i="5" s="1"/>
  <c r="CX22" i="5" s="1"/>
  <c r="DC22" i="5" s="1"/>
  <c r="DH22" i="5" s="1"/>
  <c r="DM22" i="5" s="1"/>
  <c r="DR22" i="5" s="1"/>
  <c r="DW22" i="5" s="1"/>
  <c r="EB22" i="5" s="1"/>
  <c r="EG22" i="5" s="1"/>
  <c r="EL22" i="5" s="1"/>
  <c r="I124" i="5"/>
  <c r="M124" i="5"/>
  <c r="O124" i="5"/>
  <c r="S124" i="5"/>
  <c r="AB124" i="5"/>
  <c r="W124" i="5"/>
  <c r="AZ124" i="5"/>
  <c r="BT124" i="5"/>
  <c r="I125" i="5"/>
  <c r="K14" i="5"/>
  <c r="N125" i="5"/>
  <c r="P14" i="5"/>
  <c r="R125" i="5"/>
  <c r="W125" i="5"/>
  <c r="R51" i="5"/>
  <c r="T125" i="5"/>
  <c r="T51" i="5"/>
  <c r="V125" i="5"/>
  <c r="V51" i="5"/>
  <c r="Y125" i="5"/>
  <c r="Y51" i="5"/>
  <c r="AA125" i="5"/>
  <c r="AA51" i="5"/>
  <c r="AC125" i="5"/>
  <c r="AC51" i="5"/>
  <c r="AE14" i="5"/>
  <c r="AG125" i="5"/>
  <c r="AG51" i="5"/>
  <c r="AI125" i="5"/>
  <c r="AI51" i="5"/>
  <c r="AK125" i="5"/>
  <c r="AK51" i="5"/>
  <c r="AM125" i="5"/>
  <c r="AO14" i="5"/>
  <c r="AQ125" i="5"/>
  <c r="AS125" i="5"/>
  <c r="AV125" i="5"/>
  <c r="AV51" i="5"/>
  <c r="AX125" i="5"/>
  <c r="AX51" i="5"/>
  <c r="AZ14" i="5"/>
  <c r="BB125" i="5"/>
  <c r="BB51" i="5"/>
  <c r="BD125" i="5"/>
  <c r="BD51" i="5"/>
  <c r="BF125" i="5"/>
  <c r="BF51" i="5"/>
  <c r="BH125" i="5"/>
  <c r="BM125" i="5"/>
  <c r="BH51" i="5"/>
  <c r="BJ14" i="5"/>
  <c r="BN125" i="5"/>
  <c r="BR125" i="5"/>
  <c r="BT14" i="5"/>
  <c r="P47" i="13" s="1"/>
  <c r="CN125" i="5"/>
  <c r="AX16" i="5"/>
  <c r="AX18" i="5"/>
  <c r="AX20" i="5"/>
  <c r="N126" i="5"/>
  <c r="I126" i="5"/>
  <c r="M126" i="5"/>
  <c r="P21" i="5"/>
  <c r="R126" i="5"/>
  <c r="T126" i="5"/>
  <c r="V126" i="5"/>
  <c r="X126" i="5"/>
  <c r="AB126" i="5"/>
  <c r="AD126" i="5"/>
  <c r="AF126" i="5"/>
  <c r="AH126" i="5"/>
  <c r="AJ21" i="5"/>
  <c r="AL126" i="5"/>
  <c r="AN126" i="5"/>
  <c r="AP126" i="5"/>
  <c r="AR126" i="5"/>
  <c r="AV126" i="5"/>
  <c r="AX126" i="5"/>
  <c r="AZ21" i="5"/>
  <c r="BB126" i="5"/>
  <c r="BD126" i="5"/>
  <c r="BF126" i="5"/>
  <c r="BH126" i="5"/>
  <c r="BM126" i="5"/>
  <c r="BJ21" i="5"/>
  <c r="BN126" i="5"/>
  <c r="BS126" i="5"/>
  <c r="BJ39" i="5"/>
  <c r="N48" i="13" s="1"/>
  <c r="AE39" i="5"/>
  <c r="AO39" i="5"/>
  <c r="BH150" i="5"/>
  <c r="BF150" i="5"/>
  <c r="BI150" i="5"/>
  <c r="BO150" i="5"/>
  <c r="BG150" i="5"/>
  <c r="BV107" i="5"/>
  <c r="CN63" i="5"/>
  <c r="CI50" i="5"/>
  <c r="S7" i="14" s="1"/>
  <c r="S81" i="14" s="1"/>
  <c r="AS51" i="5"/>
  <c r="K11" i="5"/>
  <c r="K122" i="1" s="1"/>
  <c r="K112" i="1" s="1"/>
  <c r="Q124" i="5"/>
  <c r="U11" i="5"/>
  <c r="U122" i="1" s="1"/>
  <c r="U112" i="1" s="1"/>
  <c r="Z11" i="5"/>
  <c r="Z122" i="1" s="1"/>
  <c r="AT124" i="5"/>
  <c r="AO124" i="5"/>
  <c r="BJ124" i="5"/>
  <c r="H124" i="5"/>
  <c r="J124" i="5"/>
  <c r="L124" i="5"/>
  <c r="N124" i="5"/>
  <c r="P11" i="5"/>
  <c r="P122" i="1" s="1"/>
  <c r="P112" i="1" s="1"/>
  <c r="R124" i="5"/>
  <c r="T124" i="5"/>
  <c r="Y124" i="5"/>
  <c r="V124" i="5"/>
  <c r="X124" i="5"/>
  <c r="AC124" i="5"/>
  <c r="AF124" i="5"/>
  <c r="AA124" i="5"/>
  <c r="AJ124" i="5"/>
  <c r="AU124" i="5"/>
  <c r="BE124" i="5"/>
  <c r="BO124" i="5"/>
  <c r="H125" i="5"/>
  <c r="M125" i="5"/>
  <c r="J125" i="5"/>
  <c r="L125" i="5"/>
  <c r="O125" i="5"/>
  <c r="Q125" i="5"/>
  <c r="S125" i="5"/>
  <c r="S51" i="5"/>
  <c r="U14" i="5"/>
  <c r="X125" i="5"/>
  <c r="X51" i="5"/>
  <c r="Z14" i="5"/>
  <c r="AB125" i="5"/>
  <c r="AB51" i="5"/>
  <c r="AD125" i="5"/>
  <c r="AD51" i="5"/>
  <c r="AF125" i="5"/>
  <c r="AF51" i="5"/>
  <c r="AH125" i="5"/>
  <c r="AH51" i="5"/>
  <c r="AJ14" i="5"/>
  <c r="AL125" i="5"/>
  <c r="AN125" i="5"/>
  <c r="AP125" i="5"/>
  <c r="AR125" i="5"/>
  <c r="AW125" i="5"/>
  <c r="AY125" i="5"/>
  <c r="BA125" i="5"/>
  <c r="BC125" i="5"/>
  <c r="BE14" i="5"/>
  <c r="BL125" i="5"/>
  <c r="BG125" i="5"/>
  <c r="BI125" i="5"/>
  <c r="BP125" i="5"/>
  <c r="BK125" i="5"/>
  <c r="BO14" i="5"/>
  <c r="BS125" i="5"/>
  <c r="CI125" i="5"/>
  <c r="CS14" i="5"/>
  <c r="AX15" i="5"/>
  <c r="AX17" i="5"/>
  <c r="AX19" i="5"/>
  <c r="BC15" i="5"/>
  <c r="BD15" i="5" s="1"/>
  <c r="BC16" i="5"/>
  <c r="BD16" i="5" s="1"/>
  <c r="BC17" i="5"/>
  <c r="BD17" i="5" s="1"/>
  <c r="BC18" i="5"/>
  <c r="BD18" i="5" s="1"/>
  <c r="BC19" i="5"/>
  <c r="BD19" i="5" s="1"/>
  <c r="BC20" i="5"/>
  <c r="BD20" i="5" s="1"/>
  <c r="AU14" i="5"/>
  <c r="H126" i="5"/>
  <c r="J126" i="5"/>
  <c r="L126" i="5"/>
  <c r="O126" i="5"/>
  <c r="Q126" i="5"/>
  <c r="S126" i="5"/>
  <c r="U21" i="5"/>
  <c r="W126" i="5"/>
  <c r="W51" i="5"/>
  <c r="Y126" i="5"/>
  <c r="AA126" i="5"/>
  <c r="AC126" i="5"/>
  <c r="AE21" i="5"/>
  <c r="AG126" i="5"/>
  <c r="AI126" i="5"/>
  <c r="AK126" i="5"/>
  <c r="AM126" i="5"/>
  <c r="AO21" i="5"/>
  <c r="AQ126" i="5"/>
  <c r="AS126" i="5"/>
  <c r="AU21" i="5"/>
  <c r="AW126" i="5"/>
  <c r="AY126" i="5"/>
  <c r="BA126" i="5"/>
  <c r="BC126" i="5"/>
  <c r="BE21" i="5"/>
  <c r="BL126" i="5"/>
  <c r="BG126" i="5"/>
  <c r="BI126" i="5"/>
  <c r="BP126" i="5"/>
  <c r="BK126" i="5"/>
  <c r="BO21" i="5"/>
  <c r="BX35" i="5"/>
  <c r="AJ39" i="5"/>
  <c r="BO39" i="5"/>
  <c r="O48" i="13" s="1"/>
  <c r="BT39" i="5"/>
  <c r="P48" i="13" s="1"/>
  <c r="AP51" i="5"/>
  <c r="AL51" i="5"/>
  <c r="AQ51" i="5"/>
  <c r="AM51" i="5"/>
  <c r="BI51" i="5"/>
  <c r="AY51" i="5"/>
  <c r="AT51" i="5"/>
  <c r="BK51" i="5"/>
  <c r="EL6" i="5"/>
  <c r="EG6" i="5"/>
  <c r="EB6" i="5"/>
  <c r="DW6" i="5"/>
  <c r="DR6" i="5"/>
  <c r="DM6" i="5"/>
  <c r="DH6" i="5"/>
  <c r="DC6" i="5"/>
  <c r="CX6" i="5"/>
  <c r="CS6" i="5"/>
  <c r="CN6" i="5"/>
  <c r="CI6" i="5"/>
  <c r="CD6" i="5"/>
  <c r="BD7" i="5"/>
  <c r="BY6" i="5"/>
  <c r="BX6" i="5"/>
  <c r="BW6" i="5"/>
  <c r="BV6" i="5"/>
  <c r="BU6" i="5"/>
  <c r="BT6" i="5"/>
  <c r="BS6" i="5"/>
  <c r="BR6" i="5"/>
  <c r="BQ6" i="5"/>
  <c r="BP6" i="5"/>
  <c r="BO6" i="5"/>
  <c r="BN6" i="5"/>
  <c r="BM6" i="5"/>
  <c r="BL6" i="5"/>
  <c r="BK6" i="5"/>
  <c r="BJ6" i="5"/>
  <c r="BI6" i="5"/>
  <c r="BH6" i="5"/>
  <c r="BG6" i="5"/>
  <c r="BF6" i="5"/>
  <c r="BE6" i="5"/>
  <c r="BS5" i="5"/>
  <c r="BR5" i="5"/>
  <c r="BQ5" i="5"/>
  <c r="BP5" i="5"/>
  <c r="BO5" i="5"/>
  <c r="BN5" i="5"/>
  <c r="BM5" i="5"/>
  <c r="BL5" i="5"/>
  <c r="BK5" i="5"/>
  <c r="BJ5" i="5"/>
  <c r="BI5" i="5"/>
  <c r="BH5" i="5"/>
  <c r="BG5" i="5"/>
  <c r="BF5" i="5"/>
  <c r="BE5" i="5"/>
  <c r="BV4" i="5"/>
  <c r="BU4" i="5"/>
  <c r="BT4" i="5"/>
  <c r="BS4" i="5"/>
  <c r="BR4" i="5"/>
  <c r="BQ4" i="5"/>
  <c r="BP4" i="5"/>
  <c r="BO4" i="5"/>
  <c r="BN4" i="5"/>
  <c r="BM4" i="5"/>
  <c r="BL4" i="5"/>
  <c r="BK4" i="5"/>
  <c r="BJ4" i="5"/>
  <c r="BI4" i="5"/>
  <c r="BH4" i="5"/>
  <c r="BG4" i="5"/>
  <c r="BF4" i="5"/>
  <c r="BE4" i="5"/>
  <c r="BU3" i="5"/>
  <c r="BT3" i="5"/>
  <c r="BS3" i="5"/>
  <c r="BS110" i="5" s="1"/>
  <c r="BR3" i="5"/>
  <c r="BR110" i="5" s="1"/>
  <c r="BQ3" i="5"/>
  <c r="BQ110" i="5" s="1"/>
  <c r="BP3" i="5"/>
  <c r="BO3" i="5"/>
  <c r="BO110" i="5" s="1"/>
  <c r="BN3" i="5"/>
  <c r="BM3" i="5"/>
  <c r="BL3" i="5"/>
  <c r="BK3" i="5"/>
  <c r="BJ3" i="5"/>
  <c r="BI3" i="5"/>
  <c r="BH3" i="5"/>
  <c r="BG3" i="5"/>
  <c r="BF3" i="5"/>
  <c r="BE3" i="5"/>
  <c r="BE110" i="5" s="1"/>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E6" i="5"/>
  <c r="D6" i="5"/>
  <c r="C6" i="5"/>
  <c r="BC5" i="5"/>
  <c r="BB5" i="5"/>
  <c r="BA5" i="5"/>
  <c r="AZ5" i="5"/>
  <c r="AY5" i="5"/>
  <c r="AX5" i="5"/>
  <c r="AW5" i="5"/>
  <c r="AV5" i="5"/>
  <c r="AU5" i="5"/>
  <c r="AT5" i="5"/>
  <c r="AS5" i="5"/>
  <c r="AR5" i="5"/>
  <c r="AQ5" i="5"/>
  <c r="AP5" i="5"/>
  <c r="AO5" i="5"/>
  <c r="AN5" i="5"/>
  <c r="AM5" i="5"/>
  <c r="AL5" i="5"/>
  <c r="AK5" i="5"/>
  <c r="AJ5"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E5" i="5"/>
  <c r="D5" i="5"/>
  <c r="C5" i="5"/>
  <c r="BC4" i="5"/>
  <c r="BB4" i="5"/>
  <c r="BA4" i="5"/>
  <c r="AZ4" i="5"/>
  <c r="AY4" i="5"/>
  <c r="AX4" i="5"/>
  <c r="AW4" i="5"/>
  <c r="AV4" i="5"/>
  <c r="AU4" i="5"/>
  <c r="AT4" i="5"/>
  <c r="AS4" i="5"/>
  <c r="AR4" i="5"/>
  <c r="AQ4" i="5"/>
  <c r="AP4" i="5"/>
  <c r="AO4" i="5"/>
  <c r="AN4" i="5"/>
  <c r="AM4" i="5"/>
  <c r="AL4" i="5"/>
  <c r="AK4" i="5"/>
  <c r="AJ4"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E4" i="5"/>
  <c r="D4" i="5"/>
  <c r="C4" i="5"/>
  <c r="BC3" i="5"/>
  <c r="BB3" i="5"/>
  <c r="BA3" i="5"/>
  <c r="AZ3" i="5"/>
  <c r="AY3" i="5"/>
  <c r="AX3" i="5"/>
  <c r="AW3" i="5"/>
  <c r="AV3" i="5"/>
  <c r="AU3" i="5"/>
  <c r="AU110" i="5" s="1"/>
  <c r="AT3" i="5"/>
  <c r="AS3" i="5"/>
  <c r="AR3" i="5"/>
  <c r="AQ3" i="5"/>
  <c r="AP3" i="5"/>
  <c r="AO3" i="5"/>
  <c r="AO110" i="5" s="1"/>
  <c r="AN3" i="5"/>
  <c r="AM3" i="5"/>
  <c r="AL3" i="5"/>
  <c r="AK3" i="5"/>
  <c r="AJ3" i="5"/>
  <c r="AI3" i="5"/>
  <c r="AH3" i="5"/>
  <c r="AG3" i="5"/>
  <c r="AF3" i="5"/>
  <c r="AE3" i="5"/>
  <c r="AD3" i="5"/>
  <c r="AC3" i="5"/>
  <c r="AB3" i="5"/>
  <c r="AA3" i="5"/>
  <c r="AA110" i="5" s="1"/>
  <c r="Z3" i="5"/>
  <c r="Y3" i="5"/>
  <c r="X3" i="5"/>
  <c r="W3" i="5"/>
  <c r="V3" i="5"/>
  <c r="U3" i="5"/>
  <c r="T3" i="5"/>
  <c r="S3" i="5"/>
  <c r="S110" i="5" s="1"/>
  <c r="R3" i="5"/>
  <c r="Q3" i="5"/>
  <c r="P3" i="5"/>
  <c r="O3" i="5"/>
  <c r="O110" i="5" s="1"/>
  <c r="N3" i="5"/>
  <c r="M3" i="5"/>
  <c r="M110" i="5" s="1"/>
  <c r="L3" i="5"/>
  <c r="K3" i="5"/>
  <c r="J3" i="5"/>
  <c r="I3" i="5"/>
  <c r="I110" i="5" s="1"/>
  <c r="H3" i="5"/>
  <c r="G3" i="5"/>
  <c r="G110" i="5" s="1"/>
  <c r="F3" i="5"/>
  <c r="F110" i="5" s="1"/>
  <c r="E3" i="5"/>
  <c r="E110" i="5" s="1"/>
  <c r="D3" i="5"/>
  <c r="D110" i="5" s="1"/>
  <c r="C3" i="5"/>
  <c r="C110" i="5" s="1"/>
  <c r="F34" i="22"/>
  <c r="E34" i="22"/>
  <c r="D34" i="22"/>
  <c r="F6" i="22"/>
  <c r="E6" i="22"/>
  <c r="D6" i="22"/>
  <c r="E5" i="22"/>
  <c r="F5" i="22" s="1"/>
  <c r="G5" i="22" s="1"/>
  <c r="H5" i="22" s="1"/>
  <c r="I5" i="22" s="1"/>
  <c r="J5" i="22" s="1"/>
  <c r="K5" i="22" s="1"/>
  <c r="L5" i="22" s="1"/>
  <c r="M5" i="22" s="1"/>
  <c r="N5" i="22" s="1"/>
  <c r="O5" i="22" s="1"/>
  <c r="P5" i="22" s="1"/>
  <c r="Q5" i="22" s="1"/>
  <c r="N42" i="6" l="1"/>
  <c r="N46" i="6"/>
  <c r="N48" i="6" s="1"/>
  <c r="F95" i="13"/>
  <c r="F94" i="13"/>
  <c r="N41" i="6"/>
  <c r="N49" i="6"/>
  <c r="N50" i="6" s="1"/>
  <c r="N43" i="6"/>
  <c r="CB19" i="4"/>
  <c r="CA109" i="1"/>
  <c r="CA119" i="1" s="1"/>
  <c r="BZ109" i="1"/>
  <c r="BZ119" i="1" s="1"/>
  <c r="CC109" i="1"/>
  <c r="CB109" i="1"/>
  <c r="CB119" i="1" s="1"/>
  <c r="P164" i="13"/>
  <c r="P182" i="13" s="1"/>
  <c r="CB107" i="1"/>
  <c r="CC107" i="1"/>
  <c r="BZ107" i="1"/>
  <c r="CA107" i="1"/>
  <c r="CC50" i="5"/>
  <c r="O31" i="6"/>
  <c r="O34" i="6" s="1"/>
  <c r="P32" i="6"/>
  <c r="N160" i="6"/>
  <c r="O158" i="6"/>
  <c r="J172" i="42"/>
  <c r="J171" i="42"/>
  <c r="J170" i="42"/>
  <c r="I174" i="7"/>
  <c r="H172" i="7"/>
  <c r="E7" i="22"/>
  <c r="CN18" i="4"/>
  <c r="CE18" i="4"/>
  <c r="CF18" i="4" s="1"/>
  <c r="CG18" i="4" s="1"/>
  <c r="CH18" i="4" s="1"/>
  <c r="X59" i="6"/>
  <c r="X57" i="6"/>
  <c r="S116" i="6"/>
  <c r="R121" i="7"/>
  <c r="R123" i="7" s="1"/>
  <c r="R124" i="7" s="1"/>
  <c r="R118" i="6"/>
  <c r="R119" i="6" s="1"/>
  <c r="L96" i="13"/>
  <c r="L94" i="13"/>
  <c r="R91" i="14"/>
  <c r="F144" i="13"/>
  <c r="F72" i="13"/>
  <c r="AZ51" i="5"/>
  <c r="E72" i="13"/>
  <c r="F77" i="13"/>
  <c r="E77" i="13"/>
  <c r="F74" i="13"/>
  <c r="D60" i="13"/>
  <c r="D55" i="13"/>
  <c r="D56" i="13"/>
  <c r="D58" i="13"/>
  <c r="E60" i="13"/>
  <c r="E55" i="13"/>
  <c r="E56" i="13"/>
  <c r="E58" i="13"/>
  <c r="G60" i="13"/>
  <c r="G55" i="13"/>
  <c r="G56" i="13"/>
  <c r="G58" i="13"/>
  <c r="F60" i="13"/>
  <c r="F55" i="13"/>
  <c r="F56" i="13"/>
  <c r="F58" i="13"/>
  <c r="G86" i="13"/>
  <c r="R175" i="13"/>
  <c r="S174" i="13"/>
  <c r="S14" i="14"/>
  <c r="S10" i="14" s="1"/>
  <c r="J182" i="13"/>
  <c r="BJ51" i="5"/>
  <c r="K47" i="13"/>
  <c r="K144" i="13" s="1"/>
  <c r="BM106" i="1"/>
  <c r="BM116" i="1" s="1"/>
  <c r="E11" i="16"/>
  <c r="Q54" i="13"/>
  <c r="F182" i="13"/>
  <c r="U113" i="7"/>
  <c r="U116" i="7"/>
  <c r="U115" i="7"/>
  <c r="BT106" i="1"/>
  <c r="M48" i="6"/>
  <c r="L48" i="6"/>
  <c r="M44" i="6"/>
  <c r="L44" i="6"/>
  <c r="K48" i="6"/>
  <c r="K39" i="6"/>
  <c r="K35" i="6" s="1"/>
  <c r="G22" i="28"/>
  <c r="L39" i="6"/>
  <c r="L35" i="6" s="1"/>
  <c r="K44" i="6"/>
  <c r="Z112" i="1"/>
  <c r="N110" i="13"/>
  <c r="N57" i="13"/>
  <c r="N54" i="13"/>
  <c r="N59" i="13" s="1"/>
  <c r="N64" i="13"/>
  <c r="N164" i="13"/>
  <c r="N182" i="13" s="1"/>
  <c r="N69" i="13"/>
  <c r="N88" i="13"/>
  <c r="N62" i="13"/>
  <c r="N66" i="13"/>
  <c r="F18" i="16"/>
  <c r="F19" i="16" s="1"/>
  <c r="F21" i="16" s="1"/>
  <c r="BJ4" i="1"/>
  <c r="N89" i="13"/>
  <c r="BH121" i="1"/>
  <c r="BH111" i="1" s="1"/>
  <c r="N86" i="13"/>
  <c r="P63" i="7"/>
  <c r="O62" i="7"/>
  <c r="O64" i="7"/>
  <c r="K72" i="13"/>
  <c r="L60" i="13"/>
  <c r="L55" i="13"/>
  <c r="L58" i="13"/>
  <c r="L56" i="13"/>
  <c r="M47" i="13"/>
  <c r="M72" i="13" s="1"/>
  <c r="O47" i="13"/>
  <c r="O145" i="13" s="1"/>
  <c r="AE124" i="5"/>
  <c r="P145" i="13"/>
  <c r="P72" i="13"/>
  <c r="P74" i="13"/>
  <c r="Q74" i="13" s="1"/>
  <c r="R74" i="13" s="1"/>
  <c r="S74" i="13" s="1"/>
  <c r="P77" i="13"/>
  <c r="Q77" i="13" s="1"/>
  <c r="R77" i="13" s="1"/>
  <c r="S77" i="13" s="1"/>
  <c r="BU51" i="5"/>
  <c r="BX50" i="5"/>
  <c r="L47" i="13"/>
  <c r="BP51" i="5"/>
  <c r="BS50" i="5"/>
  <c r="BS51" i="5" s="1"/>
  <c r="K60" i="13"/>
  <c r="K56" i="13"/>
  <c r="K55" i="13"/>
  <c r="K58" i="13"/>
  <c r="BE51" i="5"/>
  <c r="N47" i="13"/>
  <c r="BT121" i="5"/>
  <c r="BR121" i="5" s="1"/>
  <c r="O66" i="13"/>
  <c r="O64" i="13"/>
  <c r="O86" i="13"/>
  <c r="O54" i="13"/>
  <c r="O59" i="13" s="1"/>
  <c r="O88" i="13"/>
  <c r="O62" i="13"/>
  <c r="O69" i="13"/>
  <c r="O110" i="13"/>
  <c r="O57" i="13"/>
  <c r="O164" i="13"/>
  <c r="O182" i="13" s="1"/>
  <c r="H121" i="5"/>
  <c r="L121" i="5"/>
  <c r="P121" i="5"/>
  <c r="T121" i="5"/>
  <c r="X121" i="5"/>
  <c r="AJ121" i="5"/>
  <c r="AZ121" i="5"/>
  <c r="BJ121" i="5"/>
  <c r="J121" i="5"/>
  <c r="N121" i="5"/>
  <c r="R121" i="5"/>
  <c r="V121" i="5"/>
  <c r="Z121" i="5"/>
  <c r="L88" i="13"/>
  <c r="L57" i="13"/>
  <c r="L64" i="13"/>
  <c r="L66" i="13"/>
  <c r="L110" i="13"/>
  <c r="L86" i="13"/>
  <c r="L62" i="13"/>
  <c r="L89" i="13"/>
  <c r="L54" i="13"/>
  <c r="L59" i="13" s="1"/>
  <c r="L106" i="13"/>
  <c r="L69" i="13"/>
  <c r="L164" i="13"/>
  <c r="L182" i="13" s="1"/>
  <c r="H182" i="13"/>
  <c r="K108" i="42"/>
  <c r="L104" i="42"/>
  <c r="K120" i="42"/>
  <c r="L116" i="42"/>
  <c r="L183" i="42"/>
  <c r="K187" i="42"/>
  <c r="L195" i="42"/>
  <c r="K199" i="42"/>
  <c r="K197" i="42" s="1"/>
  <c r="K198" i="42" s="1"/>
  <c r="I5" i="42"/>
  <c r="H8" i="42"/>
  <c r="M94" i="42"/>
  <c r="L97" i="42"/>
  <c r="L96" i="42"/>
  <c r="L95" i="42"/>
  <c r="K114" i="42"/>
  <c r="L110" i="42"/>
  <c r="G86" i="42"/>
  <c r="F89" i="42"/>
  <c r="L167" i="42"/>
  <c r="L169" i="42" s="1"/>
  <c r="M165" i="42"/>
  <c r="L13" i="42"/>
  <c r="K16" i="42"/>
  <c r="K15" i="42"/>
  <c r="K14" i="42"/>
  <c r="K185" i="42"/>
  <c r="K186" i="42" s="1"/>
  <c r="L189" i="42"/>
  <c r="K193" i="42"/>
  <c r="K191" i="42" s="1"/>
  <c r="K192" i="42" s="1"/>
  <c r="L176" i="42"/>
  <c r="L175" i="42"/>
  <c r="L174" i="42"/>
  <c r="M173" i="42"/>
  <c r="K12" i="28"/>
  <c r="K19" i="28" s="1"/>
  <c r="L13" i="28"/>
  <c r="H39" i="28"/>
  <c r="H38" i="28"/>
  <c r="H21" i="28"/>
  <c r="H22" i="28" s="1"/>
  <c r="I2" i="28"/>
  <c r="G4" i="29"/>
  <c r="H3" i="29"/>
  <c r="K34" i="29"/>
  <c r="K33" i="29"/>
  <c r="K23" i="29"/>
  <c r="L2" i="29"/>
  <c r="Q9" i="29"/>
  <c r="R7" i="29"/>
  <c r="Q6" i="29"/>
  <c r="M11" i="29"/>
  <c r="O15" i="29"/>
  <c r="CJ29" i="4"/>
  <c r="CJ28" i="4"/>
  <c r="M164" i="13"/>
  <c r="M182" i="13" s="1"/>
  <c r="M88" i="13"/>
  <c r="M86" i="13"/>
  <c r="M64" i="13"/>
  <c r="M54" i="13"/>
  <c r="M59" i="13" s="1"/>
  <c r="M66" i="13"/>
  <c r="M110" i="13"/>
  <c r="M62" i="13"/>
  <c r="M106" i="13"/>
  <c r="N106" i="13" s="1"/>
  <c r="O106" i="13" s="1"/>
  <c r="P106" i="13" s="1"/>
  <c r="Q106" i="13" s="1"/>
  <c r="R106" i="13" s="1"/>
  <c r="S106" i="13" s="1"/>
  <c r="T106" i="13" s="1"/>
  <c r="M69" i="13"/>
  <c r="M57" i="13"/>
  <c r="CI29" i="4"/>
  <c r="CI5" i="4" s="1"/>
  <c r="CI28" i="4"/>
  <c r="CM29" i="4"/>
  <c r="CM28" i="4"/>
  <c r="CV25" i="4"/>
  <c r="CJ19" i="4"/>
  <c r="CK19" i="4" s="1"/>
  <c r="CL19" i="4" s="1"/>
  <c r="CM19" i="4" s="1"/>
  <c r="CS19" i="4"/>
  <c r="BX6" i="4"/>
  <c r="BW6" i="4"/>
  <c r="CU25" i="4"/>
  <c r="CP27" i="4"/>
  <c r="M89" i="13"/>
  <c r="CJ26" i="4"/>
  <c r="CO23" i="4"/>
  <c r="CO27" i="4" s="1"/>
  <c r="CS25" i="4"/>
  <c r="CN27" i="4"/>
  <c r="CW25" i="4"/>
  <c r="CL28" i="4"/>
  <c r="CL29" i="4"/>
  <c r="CL26" i="4"/>
  <c r="CQ23" i="4"/>
  <c r="CQ27" i="4" s="1"/>
  <c r="CF29" i="4"/>
  <c r="CF28" i="4"/>
  <c r="CK26" i="4"/>
  <c r="CP23" i="4"/>
  <c r="CP37" i="4"/>
  <c r="CP20" i="4" s="1"/>
  <c r="CU36" i="4"/>
  <c r="CT37" i="4"/>
  <c r="CT20" i="4" s="1"/>
  <c r="CY36" i="4"/>
  <c r="CN26" i="4"/>
  <c r="CS23" i="4"/>
  <c r="CD11" i="4"/>
  <c r="CD6" i="4"/>
  <c r="CC6" i="4"/>
  <c r="CA6" i="4"/>
  <c r="CB6" i="4"/>
  <c r="BZ6" i="4"/>
  <c r="CH28" i="4"/>
  <c r="CH29" i="4"/>
  <c r="CK27" i="4"/>
  <c r="CT25" i="4"/>
  <c r="CM26" i="4"/>
  <c r="CR23" i="4"/>
  <c r="CR27" i="4" s="1"/>
  <c r="DC34" i="4"/>
  <c r="CR37" i="4"/>
  <c r="CR20" i="4" s="1"/>
  <c r="CW36" i="4"/>
  <c r="CV37" i="4"/>
  <c r="CV20" i="4" s="1"/>
  <c r="DA36" i="4"/>
  <c r="D18" i="16"/>
  <c r="G3" i="16"/>
  <c r="H1" i="16"/>
  <c r="E18" i="16"/>
  <c r="D19" i="16"/>
  <c r="G18" i="16"/>
  <c r="BG121" i="1"/>
  <c r="BG111" i="1" s="1"/>
  <c r="C20" i="6"/>
  <c r="E16" i="7"/>
  <c r="E112" i="7" s="1"/>
  <c r="E117" i="7" s="1"/>
  <c r="E15" i="7"/>
  <c r="E14" i="7"/>
  <c r="E13" i="7"/>
  <c r="E19" i="7" s="1"/>
  <c r="F97" i="7"/>
  <c r="G80" i="7"/>
  <c r="N95" i="7"/>
  <c r="O94" i="7"/>
  <c r="N96" i="7"/>
  <c r="M108" i="7"/>
  <c r="H26" i="7"/>
  <c r="G27" i="7"/>
  <c r="G44" i="7"/>
  <c r="G39" i="7"/>
  <c r="H38" i="7"/>
  <c r="G54" i="7"/>
  <c r="G59" i="7" s="1"/>
  <c r="F8" i="7"/>
  <c r="F12" i="7" s="1"/>
  <c r="G7" i="7"/>
  <c r="N28" i="7"/>
  <c r="E103" i="7"/>
  <c r="F99" i="7"/>
  <c r="M146" i="7"/>
  <c r="K127" i="7"/>
  <c r="L3" i="7"/>
  <c r="K10" i="7"/>
  <c r="D12" i="7"/>
  <c r="C10" i="7"/>
  <c r="C12" i="7" s="1"/>
  <c r="P75" i="7"/>
  <c r="E97" i="7"/>
  <c r="N91" i="7"/>
  <c r="O90" i="7"/>
  <c r="N89" i="7"/>
  <c r="N92" i="7"/>
  <c r="P160" i="7"/>
  <c r="R76" i="7"/>
  <c r="R70" i="7"/>
  <c r="P74" i="7"/>
  <c r="Q85" i="7"/>
  <c r="R86" i="7"/>
  <c r="Q88" i="7"/>
  <c r="N52" i="6"/>
  <c r="N51" i="6"/>
  <c r="M51" i="6"/>
  <c r="M52" i="6"/>
  <c r="M50" i="6"/>
  <c r="G8" i="6"/>
  <c r="H7" i="6"/>
  <c r="H22" i="6"/>
  <c r="G23" i="6"/>
  <c r="L24" i="6"/>
  <c r="N58" i="6"/>
  <c r="M59" i="6"/>
  <c r="M38" i="6" s="1"/>
  <c r="M57" i="6"/>
  <c r="M36" i="6" s="1"/>
  <c r="M37" i="6"/>
  <c r="N103" i="6"/>
  <c r="U142" i="6"/>
  <c r="T141" i="6"/>
  <c r="T144" i="6" s="1"/>
  <c r="F49" i="6"/>
  <c r="F54" i="6" s="1"/>
  <c r="F40" i="6"/>
  <c r="G34" i="6"/>
  <c r="F35" i="6"/>
  <c r="N90" i="6"/>
  <c r="O89" i="6"/>
  <c r="N91" i="6"/>
  <c r="E27" i="6"/>
  <c r="E25" i="6"/>
  <c r="E124" i="6"/>
  <c r="E126" i="6" s="1"/>
  <c r="D27" i="6"/>
  <c r="D25" i="6"/>
  <c r="D124" i="6"/>
  <c r="D126" i="6" s="1"/>
  <c r="R65" i="6"/>
  <c r="F94" i="6"/>
  <c r="E98" i="6"/>
  <c r="D104" i="6"/>
  <c r="E26" i="6"/>
  <c r="L52" i="6"/>
  <c r="L51" i="6"/>
  <c r="L50" i="6"/>
  <c r="D26" i="6"/>
  <c r="O85" i="6"/>
  <c r="N84" i="6"/>
  <c r="N87" i="6"/>
  <c r="N150" i="6"/>
  <c r="F12" i="6"/>
  <c r="F11" i="6"/>
  <c r="F107" i="6" s="1"/>
  <c r="F112" i="6" s="1"/>
  <c r="F10" i="6"/>
  <c r="F9" i="6"/>
  <c r="F15" i="6" s="1"/>
  <c r="K52" i="6"/>
  <c r="K50" i="6"/>
  <c r="K51" i="6"/>
  <c r="F92" i="6"/>
  <c r="G75" i="6"/>
  <c r="U109" i="6"/>
  <c r="V114" i="7" s="1"/>
  <c r="T110" i="6"/>
  <c r="T108" i="6"/>
  <c r="T111" i="6" s="1"/>
  <c r="AI37" i="15"/>
  <c r="AO37" i="15"/>
  <c r="AI54" i="15"/>
  <c r="AH55" i="15"/>
  <c r="AK73" i="15"/>
  <c r="W76" i="15"/>
  <c r="W78" i="15" s="1"/>
  <c r="W40" i="15"/>
  <c r="AA38" i="15"/>
  <c r="AG31" i="15"/>
  <c r="AH33" i="15" s="1"/>
  <c r="AB33" i="15"/>
  <c r="AG32" i="15"/>
  <c r="AM32" i="15"/>
  <c r="Y76" i="15"/>
  <c r="Y78" i="15" s="1"/>
  <c r="Y40" i="15"/>
  <c r="Q76" i="15"/>
  <c r="Q78" i="15" s="1"/>
  <c r="Q40" i="15"/>
  <c r="AE58" i="15"/>
  <c r="AE73" i="15" s="1"/>
  <c r="AD73" i="15"/>
  <c r="AD59" i="15"/>
  <c r="AC60" i="15"/>
  <c r="AT70" i="15"/>
  <c r="X79" i="15"/>
  <c r="X90" i="15" s="1"/>
  <c r="Y70" i="15"/>
  <c r="AZ82" i="15"/>
  <c r="AD33" i="15"/>
  <c r="AI32" i="15"/>
  <c r="AO32" i="15"/>
  <c r="AL34" i="15"/>
  <c r="AP34" i="15" s="1"/>
  <c r="AP31" i="15" s="1"/>
  <c r="AK83" i="15"/>
  <c r="AB38" i="15"/>
  <c r="AG37" i="15"/>
  <c r="AM37" i="15"/>
  <c r="AL43" i="15"/>
  <c r="AL45" i="15"/>
  <c r="AL48" i="15"/>
  <c r="AL50" i="15"/>
  <c r="AL53" i="15"/>
  <c r="AJ58" i="15"/>
  <c r="AK58" i="15" s="1"/>
  <c r="BT85" i="15"/>
  <c r="BY81" i="15"/>
  <c r="BT88" i="15"/>
  <c r="BT86" i="15"/>
  <c r="BT84" i="15"/>
  <c r="BT83" i="15"/>
  <c r="R94" i="14"/>
  <c r="R96" i="14"/>
  <c r="R93" i="14"/>
  <c r="D48" i="14"/>
  <c r="E45" i="14"/>
  <c r="E46" i="14" s="1"/>
  <c r="S62" i="14"/>
  <c r="R78" i="14"/>
  <c r="P75" i="14"/>
  <c r="U95" i="14"/>
  <c r="U97" i="14"/>
  <c r="D36" i="22"/>
  <c r="D37" i="22" s="1"/>
  <c r="F36" i="22"/>
  <c r="F37" i="22" s="1"/>
  <c r="T92" i="14"/>
  <c r="U55" i="13"/>
  <c r="S161" i="13"/>
  <c r="T159" i="13"/>
  <c r="S14" i="13"/>
  <c r="S66" i="13"/>
  <c r="T158" i="13"/>
  <c r="S15" i="13"/>
  <c r="G78" i="13"/>
  <c r="G40" i="13"/>
  <c r="G42" i="13" s="1"/>
  <c r="G95" i="13"/>
  <c r="S56" i="13"/>
  <c r="CX59" i="5"/>
  <c r="W160" i="13"/>
  <c r="W6" i="14" s="1"/>
  <c r="H95" i="13"/>
  <c r="H40" i="13"/>
  <c r="H42" i="13" s="1"/>
  <c r="H78" i="13"/>
  <c r="N113" i="13"/>
  <c r="O113" i="13" s="1"/>
  <c r="P113" i="13" s="1"/>
  <c r="Q113" i="13" s="1"/>
  <c r="R113" i="13" s="1"/>
  <c r="S113" i="13" s="1"/>
  <c r="T113" i="13" s="1"/>
  <c r="U113" i="13" s="1"/>
  <c r="V113" i="13" s="1"/>
  <c r="W113" i="13" s="1"/>
  <c r="X113" i="13" s="1"/>
  <c r="Y113" i="13" s="1"/>
  <c r="Z113" i="13" s="1"/>
  <c r="AA113" i="13" s="1"/>
  <c r="AB113" i="13" s="1"/>
  <c r="AC113" i="13" s="1"/>
  <c r="AD113" i="13" s="1"/>
  <c r="G89" i="13"/>
  <c r="G70" i="13"/>
  <c r="G75" i="13"/>
  <c r="H70" i="13"/>
  <c r="H89" i="13"/>
  <c r="T31" i="13"/>
  <c r="E42" i="13"/>
  <c r="E89" i="13"/>
  <c r="E70" i="13"/>
  <c r="I42" i="13"/>
  <c r="I89" i="13"/>
  <c r="I70" i="13"/>
  <c r="Q59" i="13"/>
  <c r="R54" i="13"/>
  <c r="I67" i="13"/>
  <c r="F42" i="13"/>
  <c r="F70" i="13"/>
  <c r="F89" i="13"/>
  <c r="J42" i="13"/>
  <c r="J89" i="13"/>
  <c r="J70" i="13"/>
  <c r="K89" i="13"/>
  <c r="T16" i="13"/>
  <c r="U68" i="13"/>
  <c r="F112" i="13"/>
  <c r="E114" i="13"/>
  <c r="F114" i="13" s="1"/>
  <c r="G114" i="13" s="1"/>
  <c r="H114" i="13" s="1"/>
  <c r="I114" i="13" s="1"/>
  <c r="J114" i="13" s="1"/>
  <c r="K114" i="13" s="1"/>
  <c r="L114" i="13" s="1"/>
  <c r="M114" i="13" s="1"/>
  <c r="N114" i="13" s="1"/>
  <c r="O114" i="13" s="1"/>
  <c r="P114" i="13" s="1"/>
  <c r="Q114" i="13" s="1"/>
  <c r="R114" i="13" s="1"/>
  <c r="S114" i="13" s="1"/>
  <c r="T114" i="13" s="1"/>
  <c r="U114" i="13" s="1"/>
  <c r="V114" i="13" s="1"/>
  <c r="W114" i="13" s="1"/>
  <c r="X114" i="13" s="1"/>
  <c r="Y114" i="13" s="1"/>
  <c r="Z114" i="13" s="1"/>
  <c r="AA114" i="13" s="1"/>
  <c r="AB114" i="13" s="1"/>
  <c r="AC114" i="13" s="1"/>
  <c r="AD114" i="13" s="1"/>
  <c r="BT25" i="43"/>
  <c r="BT28" i="43" s="1"/>
  <c r="BT29" i="43" s="1"/>
  <c r="BT16" i="43"/>
  <c r="BT19" i="43" s="1"/>
  <c r="BT20" i="43" s="1"/>
  <c r="BU9" i="43"/>
  <c r="BP117" i="1"/>
  <c r="BQ107" i="1"/>
  <c r="BG108" i="1"/>
  <c r="BI118" i="1"/>
  <c r="BJ115" i="1"/>
  <c r="BJ105" i="1" s="1"/>
  <c r="BO105" i="1" s="1"/>
  <c r="CI109" i="1"/>
  <c r="BT116" i="1"/>
  <c r="BY106" i="1"/>
  <c r="BP106" i="1"/>
  <c r="BR119" i="1"/>
  <c r="BS109" i="1"/>
  <c r="BS119" i="1" s="1"/>
  <c r="BU111" i="1"/>
  <c r="CI107" i="1"/>
  <c r="CN26" i="1"/>
  <c r="CH26" i="1"/>
  <c r="CF26" i="1"/>
  <c r="CG26" i="1"/>
  <c r="CE26" i="1"/>
  <c r="BF111" i="1"/>
  <c r="BO116" i="1"/>
  <c r="AB121" i="5"/>
  <c r="AB110" i="5"/>
  <c r="AD121" i="5"/>
  <c r="AD110" i="5"/>
  <c r="AF121" i="5"/>
  <c r="AF110" i="5"/>
  <c r="AH121" i="5"/>
  <c r="AH110" i="5"/>
  <c r="AL121" i="5"/>
  <c r="AL110" i="5"/>
  <c r="AN121" i="5"/>
  <c r="AN110" i="5"/>
  <c r="AP121" i="5"/>
  <c r="AP110" i="5"/>
  <c r="AR121" i="5"/>
  <c r="AR110" i="5"/>
  <c r="AT121" i="5"/>
  <c r="AT110" i="5"/>
  <c r="AV121" i="5"/>
  <c r="AV110" i="5"/>
  <c r="AX121" i="5"/>
  <c r="AX110" i="5"/>
  <c r="BB121" i="5"/>
  <c r="BB110" i="5"/>
  <c r="BF121" i="5"/>
  <c r="BF110" i="5"/>
  <c r="BH121" i="5"/>
  <c r="BH110" i="5"/>
  <c r="BL121" i="5"/>
  <c r="BL110" i="5"/>
  <c r="BN121" i="5"/>
  <c r="BN110" i="5"/>
  <c r="BP121" i="5"/>
  <c r="BP110" i="5"/>
  <c r="D7" i="5"/>
  <c r="F7" i="5"/>
  <c r="H7" i="5"/>
  <c r="J7" i="5"/>
  <c r="L7" i="5"/>
  <c r="N7" i="5"/>
  <c r="P7" i="5"/>
  <c r="P114" i="5" s="1"/>
  <c r="R7" i="5"/>
  <c r="T7" i="5"/>
  <c r="V7" i="5"/>
  <c r="X7" i="5"/>
  <c r="Z7" i="5"/>
  <c r="Z114" i="5" s="1"/>
  <c r="AB7" i="5"/>
  <c r="AD7" i="5"/>
  <c r="AF7" i="5"/>
  <c r="AH7" i="5"/>
  <c r="AJ7" i="5"/>
  <c r="AJ114" i="5" s="1"/>
  <c r="AL7" i="5"/>
  <c r="AN7" i="5"/>
  <c r="AP7" i="5"/>
  <c r="AR7" i="5"/>
  <c r="AT7" i="5"/>
  <c r="AV7" i="5"/>
  <c r="AX7" i="5"/>
  <c r="AZ7" i="5"/>
  <c r="AZ114" i="5" s="1"/>
  <c r="BB7" i="5"/>
  <c r="BD12" i="5"/>
  <c r="BF7" i="5"/>
  <c r="BH7" i="5"/>
  <c r="BJ7" i="5"/>
  <c r="BJ112" i="5" s="1"/>
  <c r="BL7" i="5"/>
  <c r="BN7" i="5"/>
  <c r="BP7" i="5"/>
  <c r="BR7" i="5"/>
  <c r="BT7" i="5"/>
  <c r="BT114" i="5" s="1"/>
  <c r="BO126" i="5"/>
  <c r="AU126" i="5"/>
  <c r="AE126" i="5"/>
  <c r="U126" i="5"/>
  <c r="BO125" i="5"/>
  <c r="BO51" i="5"/>
  <c r="AJ125" i="5"/>
  <c r="AJ51" i="5"/>
  <c r="AJ110" i="5"/>
  <c r="V110" i="5"/>
  <c r="T110" i="5"/>
  <c r="N110" i="5"/>
  <c r="L110" i="5"/>
  <c r="J110" i="5"/>
  <c r="H110" i="5"/>
  <c r="BJ110" i="5"/>
  <c r="U124" i="5"/>
  <c r="U110" i="5"/>
  <c r="BT150" i="5"/>
  <c r="BN150" i="5"/>
  <c r="BL150" i="5"/>
  <c r="BM150" i="5"/>
  <c r="BK150" i="5"/>
  <c r="AJ126" i="5"/>
  <c r="BD114" i="5"/>
  <c r="AO125" i="5"/>
  <c r="AO51" i="5"/>
  <c r="AE125" i="5"/>
  <c r="AE51" i="5"/>
  <c r="P125" i="5"/>
  <c r="Z126" i="5"/>
  <c r="I121" i="5"/>
  <c r="K121" i="5"/>
  <c r="M121" i="5"/>
  <c r="O121" i="5"/>
  <c r="Q121" i="5"/>
  <c r="S121" i="5"/>
  <c r="U121" i="5"/>
  <c r="W121" i="5"/>
  <c r="Y121" i="5"/>
  <c r="Y110" i="5"/>
  <c r="AA121" i="5"/>
  <c r="AC121" i="5"/>
  <c r="AC110" i="5"/>
  <c r="AE121" i="5"/>
  <c r="AG121" i="5"/>
  <c r="AG110" i="5"/>
  <c r="AI121" i="5"/>
  <c r="AI110" i="5"/>
  <c r="AK121" i="5"/>
  <c r="AK110" i="5"/>
  <c r="AM121" i="5"/>
  <c r="AM110" i="5"/>
  <c r="AO121" i="5"/>
  <c r="AQ121" i="5"/>
  <c r="AQ110" i="5"/>
  <c r="AS121" i="5"/>
  <c r="AS110" i="5"/>
  <c r="AU121" i="5"/>
  <c r="AW121" i="5"/>
  <c r="AW110" i="5"/>
  <c r="AY121" i="5"/>
  <c r="BD121" i="5"/>
  <c r="AY110" i="5"/>
  <c r="BA121" i="5"/>
  <c r="BA110" i="5"/>
  <c r="BC121" i="5"/>
  <c r="BC110" i="5"/>
  <c r="BE121" i="5"/>
  <c r="BG121" i="5"/>
  <c r="BG110" i="5"/>
  <c r="BI121" i="5"/>
  <c r="BI110" i="5"/>
  <c r="BK121" i="5"/>
  <c r="BK110" i="5"/>
  <c r="BM121" i="5"/>
  <c r="BM110" i="5"/>
  <c r="BO121" i="5"/>
  <c r="BU121" i="5"/>
  <c r="BU110" i="5"/>
  <c r="C7" i="5"/>
  <c r="E7" i="5"/>
  <c r="G7" i="5"/>
  <c r="I7" i="5"/>
  <c r="K7" i="5"/>
  <c r="K114" i="5" s="1"/>
  <c r="M7" i="5"/>
  <c r="O7" i="5"/>
  <c r="Q7" i="5"/>
  <c r="S7" i="5"/>
  <c r="U7" i="5"/>
  <c r="U114" i="5" s="1"/>
  <c r="W7" i="5"/>
  <c r="Y7" i="5"/>
  <c r="AA7" i="5"/>
  <c r="AC7" i="5"/>
  <c r="AE7" i="5"/>
  <c r="AG7" i="5"/>
  <c r="AI7" i="5"/>
  <c r="AK7" i="5"/>
  <c r="AM7" i="5"/>
  <c r="AO7" i="5"/>
  <c r="AO114" i="5" s="1"/>
  <c r="AQ7" i="5"/>
  <c r="AS7" i="5"/>
  <c r="AU7" i="5"/>
  <c r="AU114" i="5" s="1"/>
  <c r="AW7" i="5"/>
  <c r="AY7" i="5"/>
  <c r="BA7" i="5"/>
  <c r="BC7" i="5"/>
  <c r="BE7" i="5"/>
  <c r="BE114" i="5" s="1"/>
  <c r="BG7" i="5"/>
  <c r="BI7" i="5"/>
  <c r="BK7" i="5"/>
  <c r="BM7" i="5"/>
  <c r="BO7" i="5"/>
  <c r="BQ7" i="5"/>
  <c r="BS7" i="5"/>
  <c r="BU7" i="5"/>
  <c r="AU51" i="5"/>
  <c r="BT126" i="5"/>
  <c r="BE126" i="5"/>
  <c r="BE112" i="5"/>
  <c r="AO126" i="5"/>
  <c r="AU125" i="5"/>
  <c r="AU20" i="5"/>
  <c r="AU18" i="5"/>
  <c r="AU16" i="5"/>
  <c r="AU19" i="5"/>
  <c r="AU17" i="5"/>
  <c r="AU15" i="5"/>
  <c r="CS125" i="5"/>
  <c r="CX14" i="5"/>
  <c r="BE125" i="5"/>
  <c r="AT125" i="5"/>
  <c r="Z125" i="5"/>
  <c r="Z51" i="5"/>
  <c r="U125" i="5"/>
  <c r="U51" i="5"/>
  <c r="X110" i="5"/>
  <c r="R110" i="5"/>
  <c r="P124" i="5"/>
  <c r="P110" i="5"/>
  <c r="Z124" i="5"/>
  <c r="Z110" i="5"/>
  <c r="Q110" i="5"/>
  <c r="K124" i="5"/>
  <c r="K110" i="5"/>
  <c r="CS63" i="5"/>
  <c r="CN50" i="5"/>
  <c r="T7" i="14" s="1"/>
  <c r="T81" i="14" s="1"/>
  <c r="BW107" i="5"/>
  <c r="BJ126" i="5"/>
  <c r="BD112" i="5"/>
  <c r="AZ126" i="5"/>
  <c r="AT126" i="5"/>
  <c r="P126" i="5"/>
  <c r="BT125" i="5"/>
  <c r="BT51" i="5"/>
  <c r="BJ125" i="5"/>
  <c r="AZ125" i="5"/>
  <c r="AZ19" i="5"/>
  <c r="AY19" i="5" s="1"/>
  <c r="AZ17" i="5"/>
  <c r="AY17" i="5" s="1"/>
  <c r="AZ15" i="5"/>
  <c r="AY15" i="5" s="1"/>
  <c r="AZ20" i="5"/>
  <c r="AY20" i="5" s="1"/>
  <c r="AZ18" i="5"/>
  <c r="AY18" i="5" s="1"/>
  <c r="AZ16" i="5"/>
  <c r="AY16" i="5" s="1"/>
  <c r="K125" i="5"/>
  <c r="BT110" i="5"/>
  <c r="AZ110" i="5"/>
  <c r="AE110" i="5"/>
  <c r="W110" i="5"/>
  <c r="F9" i="22"/>
  <c r="F7" i="22"/>
  <c r="E35" i="22"/>
  <c r="E36" i="22"/>
  <c r="E37" i="22" s="1"/>
  <c r="F35" i="22"/>
  <c r="N44" i="6" l="1"/>
  <c r="K77" i="13"/>
  <c r="AZ112" i="5"/>
  <c r="K145" i="13"/>
  <c r="CB21" i="4"/>
  <c r="CC19" i="4"/>
  <c r="CB106" i="1"/>
  <c r="CC106" i="1"/>
  <c r="BZ106" i="1"/>
  <c r="CA106" i="1"/>
  <c r="T116" i="6"/>
  <c r="S121" i="7"/>
  <c r="S123" i="7" s="1"/>
  <c r="S124" i="7" s="1"/>
  <c r="S118" i="6"/>
  <c r="S119" i="6" s="1"/>
  <c r="CS18" i="4"/>
  <c r="CJ18" i="4"/>
  <c r="CK18" i="4" s="1"/>
  <c r="CL18" i="4" s="1"/>
  <c r="CM18" i="4" s="1"/>
  <c r="Q32" i="6"/>
  <c r="P31" i="6"/>
  <c r="P34" i="6" s="1"/>
  <c r="D131" i="6"/>
  <c r="D133" i="6" s="1"/>
  <c r="O42" i="6"/>
  <c r="O45" i="6"/>
  <c r="O41" i="6"/>
  <c r="O46" i="6"/>
  <c r="O49" i="6"/>
  <c r="O43" i="6"/>
  <c r="O47" i="6"/>
  <c r="J174" i="7"/>
  <c r="J172" i="7" s="1"/>
  <c r="I172" i="7"/>
  <c r="P158" i="6"/>
  <c r="O160" i="6"/>
  <c r="S91" i="14"/>
  <c r="BS121" i="5"/>
  <c r="T174" i="13"/>
  <c r="T14" i="14"/>
  <c r="T10" i="14" s="1"/>
  <c r="K74" i="13"/>
  <c r="BQ121" i="5"/>
  <c r="BJ114" i="5"/>
  <c r="M77" i="13"/>
  <c r="M74" i="13"/>
  <c r="O74" i="13"/>
  <c r="E19" i="16"/>
  <c r="E21" i="16" s="1"/>
  <c r="V115" i="7"/>
  <c r="V113" i="7"/>
  <c r="V116" i="7" s="1"/>
  <c r="K40" i="6"/>
  <c r="L53" i="6"/>
  <c r="L54" i="6" s="1"/>
  <c r="M39" i="6"/>
  <c r="M35" i="6" s="1"/>
  <c r="M53" i="6"/>
  <c r="M54" i="6" s="1"/>
  <c r="CD12" i="4"/>
  <c r="L40" i="6"/>
  <c r="K53" i="6"/>
  <c r="K54" i="6" s="1"/>
  <c r="BW4" i="4"/>
  <c r="BW4" i="5" s="1"/>
  <c r="N53" i="6"/>
  <c r="N54" i="6" s="1"/>
  <c r="P112" i="5"/>
  <c r="Q63" i="7"/>
  <c r="P64" i="7"/>
  <c r="P62" i="7"/>
  <c r="O72" i="13"/>
  <c r="M144" i="13"/>
  <c r="M145" i="13"/>
  <c r="O77" i="13"/>
  <c r="L145" i="13"/>
  <c r="L77" i="13"/>
  <c r="L72" i="13"/>
  <c r="L74" i="13"/>
  <c r="L144" i="13"/>
  <c r="N145" i="13"/>
  <c r="N74" i="13"/>
  <c r="N72" i="13"/>
  <c r="N77" i="13"/>
  <c r="AO112" i="5"/>
  <c r="AJ112" i="5"/>
  <c r="L187" i="42"/>
  <c r="M183" i="42"/>
  <c r="L199" i="42"/>
  <c r="M195" i="42"/>
  <c r="K33" i="42"/>
  <c r="L29" i="42"/>
  <c r="L16" i="42"/>
  <c r="L15" i="42"/>
  <c r="L14" i="42"/>
  <c r="M13" i="42"/>
  <c r="L172" i="42"/>
  <c r="L196" i="42" s="1"/>
  <c r="L197" i="42" s="1"/>
  <c r="L198" i="42" s="1"/>
  <c r="L171" i="42"/>
  <c r="L190" i="42" s="1"/>
  <c r="L170" i="42"/>
  <c r="L184" i="42" s="1"/>
  <c r="L185" i="42" s="1"/>
  <c r="L186" i="42" s="1"/>
  <c r="G89" i="42"/>
  <c r="H86" i="42"/>
  <c r="M110" i="42"/>
  <c r="L114" i="42"/>
  <c r="M97" i="42"/>
  <c r="M96" i="42"/>
  <c r="M95" i="42"/>
  <c r="N94" i="42"/>
  <c r="I8" i="42"/>
  <c r="J5" i="42"/>
  <c r="N173" i="42"/>
  <c r="M176" i="42"/>
  <c r="M175" i="42"/>
  <c r="M174" i="42"/>
  <c r="L193" i="42"/>
  <c r="M189" i="42"/>
  <c r="K27" i="42"/>
  <c r="L23" i="42"/>
  <c r="K39" i="42"/>
  <c r="K69" i="42"/>
  <c r="L35" i="42"/>
  <c r="N165" i="42"/>
  <c r="M167" i="42"/>
  <c r="M169" i="42" s="1"/>
  <c r="M104" i="42"/>
  <c r="L108" i="42"/>
  <c r="M116" i="42"/>
  <c r="L120" i="42"/>
  <c r="I38" i="28"/>
  <c r="I21" i="28"/>
  <c r="I22" i="28" s="1"/>
  <c r="I39" i="28"/>
  <c r="J2" i="28"/>
  <c r="M13" i="28"/>
  <c r="L12" i="28"/>
  <c r="L19" i="28" s="1"/>
  <c r="P15" i="29"/>
  <c r="N11" i="29"/>
  <c r="S7" i="29"/>
  <c r="R6" i="29"/>
  <c r="R9" i="29"/>
  <c r="L33" i="29"/>
  <c r="L23" i="29"/>
  <c r="L34" i="29"/>
  <c r="M2" i="29"/>
  <c r="I3" i="29"/>
  <c r="H4" i="29"/>
  <c r="CR29" i="4"/>
  <c r="CR28" i="4"/>
  <c r="CQ29" i="4"/>
  <c r="CQ28" i="4"/>
  <c r="CO29" i="4"/>
  <c r="CO28" i="4"/>
  <c r="CS27" i="4"/>
  <c r="CX25" i="4"/>
  <c r="CP28" i="4"/>
  <c r="CP29" i="4"/>
  <c r="CX19" i="4"/>
  <c r="CO19" i="4"/>
  <c r="CP19" i="4" s="1"/>
  <c r="CQ19" i="4" s="1"/>
  <c r="CR19" i="4" s="1"/>
  <c r="CG5" i="4"/>
  <c r="CG6" i="4" s="1"/>
  <c r="CE5" i="4"/>
  <c r="CE6" i="4" s="1"/>
  <c r="CI11" i="4"/>
  <c r="CE11" i="4" s="1"/>
  <c r="CF11" i="4" s="1"/>
  <c r="CG11" i="4" s="1"/>
  <c r="CH11" i="4" s="1"/>
  <c r="CI6" i="4"/>
  <c r="CH5" i="4"/>
  <c r="CH6" i="4" s="1"/>
  <c r="CF5" i="4"/>
  <c r="CF6" i="4" s="1"/>
  <c r="DF36" i="4"/>
  <c r="DA37" i="4"/>
  <c r="DA20" i="4" s="1"/>
  <c r="DB36" i="4"/>
  <c r="CW37" i="4"/>
  <c r="CW20" i="4" s="1"/>
  <c r="DH34" i="4"/>
  <c r="CR26" i="4"/>
  <c r="CW23" i="4"/>
  <c r="CW27" i="4" s="1"/>
  <c r="CY25" i="4"/>
  <c r="CK29" i="4"/>
  <c r="CK28" i="4"/>
  <c r="CS26" i="4"/>
  <c r="CX23" i="4"/>
  <c r="DD36" i="4"/>
  <c r="CY37" i="4"/>
  <c r="CY20" i="4" s="1"/>
  <c r="CZ36" i="4"/>
  <c r="CU37" i="4"/>
  <c r="CU20" i="4" s="1"/>
  <c r="CP26" i="4"/>
  <c r="CU23" i="4"/>
  <c r="CU27" i="4" s="1"/>
  <c r="CQ26" i="4"/>
  <c r="CV23" i="4"/>
  <c r="DB25" i="4"/>
  <c r="CN29" i="4"/>
  <c r="CN5" i="4" s="1"/>
  <c r="CN28" i="4"/>
  <c r="CO26" i="4"/>
  <c r="CT23" i="4"/>
  <c r="CZ25" i="4"/>
  <c r="CV27" i="4"/>
  <c r="DA25" i="4"/>
  <c r="H3" i="16"/>
  <c r="I1" i="16"/>
  <c r="G19" i="16"/>
  <c r="G21" i="16" s="1"/>
  <c r="BQ118" i="1"/>
  <c r="BQ108" i="1" s="1"/>
  <c r="BR118" i="1"/>
  <c r="BR108" i="1" s="1"/>
  <c r="BT108" i="1"/>
  <c r="BP118" i="1"/>
  <c r="BP108" i="1" s="1"/>
  <c r="BM118" i="1"/>
  <c r="BM108" i="1" s="1"/>
  <c r="BK118" i="1"/>
  <c r="BK108" i="1" s="1"/>
  <c r="BL118" i="1"/>
  <c r="BL108" i="1" s="1"/>
  <c r="BO108" i="1"/>
  <c r="C26" i="6"/>
  <c r="C27" i="6"/>
  <c r="C124" i="6"/>
  <c r="C126" i="6" s="1"/>
  <c r="D127" i="6" s="1"/>
  <c r="C25" i="6"/>
  <c r="Q75" i="7"/>
  <c r="C16" i="7"/>
  <c r="C112" i="7" s="1"/>
  <c r="C117" i="7" s="1"/>
  <c r="C15" i="7"/>
  <c r="C14" i="7"/>
  <c r="C13" i="7"/>
  <c r="C19" i="7" s="1"/>
  <c r="C24" i="7" s="1"/>
  <c r="L10" i="7"/>
  <c r="L127" i="7"/>
  <c r="M3" i="7"/>
  <c r="N146" i="7"/>
  <c r="F15" i="7"/>
  <c r="F14" i="7"/>
  <c r="F13" i="7"/>
  <c r="F19" i="7" s="1"/>
  <c r="F16" i="7"/>
  <c r="F112" i="7" s="1"/>
  <c r="F117" i="7" s="1"/>
  <c r="H41" i="7"/>
  <c r="H43" i="7" s="1"/>
  <c r="H40" i="7"/>
  <c r="H54" i="7"/>
  <c r="H59" i="7" s="1"/>
  <c r="I36" i="7"/>
  <c r="H27" i="7"/>
  <c r="I26" i="7"/>
  <c r="N108" i="7"/>
  <c r="S86" i="7"/>
  <c r="R85" i="7"/>
  <c r="R88" i="7"/>
  <c r="Q74" i="7"/>
  <c r="S70" i="7"/>
  <c r="Q160" i="7"/>
  <c r="O91" i="7"/>
  <c r="P90" i="7"/>
  <c r="O89" i="7"/>
  <c r="O92" i="7"/>
  <c r="D16" i="7"/>
  <c r="D112" i="7" s="1"/>
  <c r="D117" i="7" s="1"/>
  <c r="D15" i="7"/>
  <c r="D14" i="7"/>
  <c r="D13" i="7"/>
  <c r="D19" i="7" s="1"/>
  <c r="F103" i="7"/>
  <c r="F109" i="7" s="1"/>
  <c r="G99" i="7"/>
  <c r="E109" i="7"/>
  <c r="O28" i="7"/>
  <c r="H7" i="7"/>
  <c r="G8" i="7"/>
  <c r="G12" i="7" s="1"/>
  <c r="O95" i="7"/>
  <c r="O96" i="7"/>
  <c r="G97" i="7"/>
  <c r="H80" i="7"/>
  <c r="G92" i="6"/>
  <c r="H75" i="6"/>
  <c r="F20" i="6"/>
  <c r="F17" i="6"/>
  <c r="G17" i="6" s="1"/>
  <c r="H17" i="6" s="1"/>
  <c r="I17" i="6" s="1"/>
  <c r="J17" i="6" s="1"/>
  <c r="G19" i="6"/>
  <c r="P85" i="6"/>
  <c r="O84" i="6"/>
  <c r="O87" i="6"/>
  <c r="E131" i="6"/>
  <c r="E133" i="6" s="1"/>
  <c r="E134" i="6" s="1"/>
  <c r="S65" i="6"/>
  <c r="G35" i="6"/>
  <c r="G49" i="6"/>
  <c r="G54" i="6" s="1"/>
  <c r="H34" i="6"/>
  <c r="G40" i="6"/>
  <c r="O103" i="6"/>
  <c r="N59" i="6"/>
  <c r="N38" i="6" s="1"/>
  <c r="N57" i="6"/>
  <c r="N36" i="6" s="1"/>
  <c r="O58" i="6"/>
  <c r="N37" i="6"/>
  <c r="I22" i="6"/>
  <c r="G12" i="6"/>
  <c r="G11" i="6"/>
  <c r="G107" i="6" s="1"/>
  <c r="G112" i="6" s="1"/>
  <c r="G10" i="6"/>
  <c r="G9" i="6"/>
  <c r="G15" i="6" s="1"/>
  <c r="U110" i="6"/>
  <c r="U108" i="6"/>
  <c r="U111" i="6" s="1"/>
  <c r="V109" i="6"/>
  <c r="W114" i="7" s="1"/>
  <c r="O150" i="6"/>
  <c r="E104" i="6"/>
  <c r="F98" i="6"/>
  <c r="F104" i="6" s="1"/>
  <c r="G94" i="6"/>
  <c r="E127" i="6"/>
  <c r="O90" i="6"/>
  <c r="O91" i="6"/>
  <c r="U141" i="6"/>
  <c r="U144" i="6" s="1"/>
  <c r="V142" i="6"/>
  <c r="M24" i="6"/>
  <c r="H23" i="6"/>
  <c r="I7" i="6"/>
  <c r="H8" i="6"/>
  <c r="AP83" i="15"/>
  <c r="AL58" i="15"/>
  <c r="AG38" i="15"/>
  <c r="AL37" i="15"/>
  <c r="AE59" i="15"/>
  <c r="AD60" i="15"/>
  <c r="AF33" i="15"/>
  <c r="AJ54" i="15"/>
  <c r="AI55" i="15"/>
  <c r="CD81" i="15"/>
  <c r="BY88" i="15"/>
  <c r="BY86" i="15"/>
  <c r="BY87" i="15"/>
  <c r="BY84" i="15"/>
  <c r="BY85" i="15"/>
  <c r="BY83" i="15"/>
  <c r="AM53" i="15"/>
  <c r="AM50" i="15"/>
  <c r="AM48" i="15"/>
  <c r="AM45" i="15"/>
  <c r="AM43" i="15"/>
  <c r="AB76" i="15"/>
  <c r="AB78" i="15" s="1"/>
  <c r="AB36" i="15"/>
  <c r="AB40" i="15"/>
  <c r="AN32" i="15"/>
  <c r="BE82" i="15"/>
  <c r="AZ89" i="15"/>
  <c r="T19" i="13" s="1"/>
  <c r="Y79" i="15"/>
  <c r="Y90" i="15" s="1"/>
  <c r="Z70" i="15"/>
  <c r="Z79" i="15" s="1"/>
  <c r="Z90" i="15" s="1"/>
  <c r="AU70" i="15"/>
  <c r="AG33" i="15"/>
  <c r="AL32" i="15"/>
  <c r="AL33" i="15" s="1"/>
  <c r="AH31" i="15"/>
  <c r="AA76" i="15"/>
  <c r="AA78" i="15" s="1"/>
  <c r="AA40" i="15"/>
  <c r="AN37" i="15"/>
  <c r="S96" i="14"/>
  <c r="S94" i="14"/>
  <c r="S93" i="14"/>
  <c r="V97" i="14"/>
  <c r="V95" i="14"/>
  <c r="R76" i="14"/>
  <c r="F45" i="14"/>
  <c r="F46" i="14" s="1"/>
  <c r="E48" i="14"/>
  <c r="U92" i="14"/>
  <c r="S78" i="14"/>
  <c r="T62" i="14"/>
  <c r="F115" i="13"/>
  <c r="G115" i="13" s="1"/>
  <c r="H115" i="13" s="1"/>
  <c r="I115" i="13" s="1"/>
  <c r="J115" i="13" s="1"/>
  <c r="K115" i="13" s="1"/>
  <c r="L115" i="13" s="1"/>
  <c r="M115" i="13" s="1"/>
  <c r="G112" i="13"/>
  <c r="R59" i="13"/>
  <c r="S54" i="13"/>
  <c r="U106" i="13"/>
  <c r="U31" i="13"/>
  <c r="U158" i="13"/>
  <c r="T15" i="13"/>
  <c r="U159" i="13"/>
  <c r="T161" i="13"/>
  <c r="T14" i="13"/>
  <c r="V68" i="13"/>
  <c r="U16" i="13"/>
  <c r="T74" i="13"/>
  <c r="X160" i="13"/>
  <c r="X6" i="14" s="1"/>
  <c r="DC59" i="5"/>
  <c r="T56" i="13"/>
  <c r="T77" i="13"/>
  <c r="T66" i="13"/>
  <c r="S175" i="13"/>
  <c r="V55" i="13"/>
  <c r="BU10" i="43"/>
  <c r="BU25" i="43"/>
  <c r="BU16" i="43"/>
  <c r="BU17" i="43" s="1"/>
  <c r="BV9" i="43"/>
  <c r="CN107" i="1"/>
  <c r="BP116" i="1"/>
  <c r="BQ106" i="1"/>
  <c r="BI108" i="1"/>
  <c r="BI121" i="1"/>
  <c r="BQ117" i="1"/>
  <c r="BR107" i="1"/>
  <c r="CL26" i="1"/>
  <c r="CJ26" i="1"/>
  <c r="CS26" i="1"/>
  <c r="CM26" i="1"/>
  <c r="CK26" i="1"/>
  <c r="CI106" i="1"/>
  <c r="CN109" i="1"/>
  <c r="BM105" i="1"/>
  <c r="BM115" i="1" s="1"/>
  <c r="BK105" i="1"/>
  <c r="BK115" i="1" s="1"/>
  <c r="BN105" i="1"/>
  <c r="BN115" i="1" s="1"/>
  <c r="BL105" i="1"/>
  <c r="BL115" i="1" s="1"/>
  <c r="CX63" i="5"/>
  <c r="CS50" i="5"/>
  <c r="U7" i="14" s="1"/>
  <c r="U81" i="14" s="1"/>
  <c r="BS112" i="5"/>
  <c r="BS12" i="5"/>
  <c r="BS114" i="5"/>
  <c r="BO122" i="5"/>
  <c r="BO12" i="5"/>
  <c r="BK122" i="5"/>
  <c r="BK12" i="5"/>
  <c r="BK114" i="5"/>
  <c r="BK112" i="5"/>
  <c r="BG122" i="5"/>
  <c r="BG12" i="5"/>
  <c r="BG114" i="5"/>
  <c r="BG112" i="5"/>
  <c r="BC122" i="5"/>
  <c r="BC12" i="5"/>
  <c r="BC114" i="5"/>
  <c r="BC112" i="5"/>
  <c r="AY122" i="5"/>
  <c r="AY12" i="5"/>
  <c r="AY114" i="5"/>
  <c r="AY112" i="5"/>
  <c r="AU122" i="5"/>
  <c r="AU12" i="5"/>
  <c r="AQ122" i="5"/>
  <c r="AQ12" i="5"/>
  <c r="AQ112" i="5"/>
  <c r="AQ114" i="5"/>
  <c r="AM122" i="5"/>
  <c r="AM12" i="5"/>
  <c r="AM114" i="5"/>
  <c r="AM112" i="5"/>
  <c r="AI122" i="5"/>
  <c r="AI12" i="5"/>
  <c r="AI114" i="5"/>
  <c r="AI112" i="5"/>
  <c r="AE122" i="5"/>
  <c r="AE12" i="5"/>
  <c r="AA122" i="5"/>
  <c r="AA12" i="5"/>
  <c r="AA114" i="5"/>
  <c r="AA112" i="5"/>
  <c r="W122" i="5"/>
  <c r="W114" i="5"/>
  <c r="W12" i="5"/>
  <c r="W112" i="5"/>
  <c r="S122" i="5"/>
  <c r="S12" i="5"/>
  <c r="S114" i="5"/>
  <c r="S112" i="5"/>
  <c r="O122" i="5"/>
  <c r="O12" i="5"/>
  <c r="O114" i="5"/>
  <c r="O112" i="5"/>
  <c r="K122" i="5"/>
  <c r="K12" i="5"/>
  <c r="K112" i="5"/>
  <c r="G112" i="5"/>
  <c r="G114" i="5"/>
  <c r="G12" i="5"/>
  <c r="C112" i="5"/>
  <c r="C114" i="5"/>
  <c r="C12" i="5"/>
  <c r="BR150" i="5"/>
  <c r="BP150" i="5"/>
  <c r="BY150" i="5"/>
  <c r="BQ150" i="5"/>
  <c r="BS150" i="5"/>
  <c r="BR112" i="5"/>
  <c r="BR12" i="5"/>
  <c r="BR114" i="5"/>
  <c r="BN122" i="5"/>
  <c r="BN12" i="5"/>
  <c r="BN114" i="5"/>
  <c r="BN112" i="5"/>
  <c r="BJ122" i="5"/>
  <c r="BJ12" i="5"/>
  <c r="BF122" i="5"/>
  <c r="BF12" i="5"/>
  <c r="BF114" i="5"/>
  <c r="BF112" i="5"/>
  <c r="BD122" i="5"/>
  <c r="AZ122" i="5"/>
  <c r="AZ12" i="5"/>
  <c r="AV122" i="5"/>
  <c r="AV12" i="5"/>
  <c r="AV114" i="5"/>
  <c r="AV112" i="5"/>
  <c r="AR122" i="5"/>
  <c r="AR12" i="5"/>
  <c r="AR112" i="5"/>
  <c r="AR114" i="5"/>
  <c r="AN122" i="5"/>
  <c r="AN12" i="5"/>
  <c r="AN112" i="5"/>
  <c r="AN114" i="5"/>
  <c r="AJ122" i="5"/>
  <c r="AJ12" i="5"/>
  <c r="AF122" i="5"/>
  <c r="AF12" i="5"/>
  <c r="AF112" i="5"/>
  <c r="AF114" i="5"/>
  <c r="AB122" i="5"/>
  <c r="AB12" i="5"/>
  <c r="AB112" i="5"/>
  <c r="AB114" i="5"/>
  <c r="X122" i="5"/>
  <c r="X12" i="5"/>
  <c r="X112" i="5"/>
  <c r="X114" i="5"/>
  <c r="T122" i="5"/>
  <c r="T12" i="5"/>
  <c r="T112" i="5"/>
  <c r="T114" i="5"/>
  <c r="P122" i="5"/>
  <c r="P12" i="5"/>
  <c r="L122" i="5"/>
  <c r="L12" i="5"/>
  <c r="L114" i="5"/>
  <c r="L112" i="5"/>
  <c r="H122" i="5"/>
  <c r="H12" i="5"/>
  <c r="H114" i="5"/>
  <c r="H112" i="5"/>
  <c r="D114" i="5"/>
  <c r="D112" i="5"/>
  <c r="D12" i="5"/>
  <c r="CX125" i="5"/>
  <c r="DC14" i="5"/>
  <c r="BU122" i="5"/>
  <c r="BU112" i="5"/>
  <c r="BU114" i="5"/>
  <c r="BU12" i="5"/>
  <c r="BQ112" i="5"/>
  <c r="BQ114" i="5"/>
  <c r="BQ12" i="5"/>
  <c r="BM122" i="5"/>
  <c r="BM112" i="5"/>
  <c r="BM114" i="5"/>
  <c r="BM12" i="5"/>
  <c r="BI122" i="5"/>
  <c r="BI12" i="5"/>
  <c r="BI114" i="5"/>
  <c r="BI112" i="5"/>
  <c r="BE122" i="5"/>
  <c r="BE12" i="5"/>
  <c r="BA122" i="5"/>
  <c r="BA12" i="5"/>
  <c r="BA114" i="5"/>
  <c r="BA112" i="5"/>
  <c r="AW122" i="5"/>
  <c r="AW12" i="5"/>
  <c r="AW114" i="5"/>
  <c r="AW112" i="5"/>
  <c r="AS122" i="5"/>
  <c r="AS12" i="5"/>
  <c r="AS112" i="5"/>
  <c r="AS114" i="5"/>
  <c r="AO122" i="5"/>
  <c r="AO12" i="5"/>
  <c r="AK122" i="5"/>
  <c r="AK12" i="5"/>
  <c r="AK114" i="5"/>
  <c r="AK112" i="5"/>
  <c r="AG122" i="5"/>
  <c r="AG12" i="5"/>
  <c r="AG114" i="5"/>
  <c r="AG112" i="5"/>
  <c r="AC122" i="5"/>
  <c r="AC12" i="5"/>
  <c r="AC112" i="5"/>
  <c r="AC114" i="5"/>
  <c r="Y122" i="5"/>
  <c r="Y12" i="5"/>
  <c r="Y112" i="5"/>
  <c r="Y114" i="5"/>
  <c r="U122" i="5"/>
  <c r="U12" i="5"/>
  <c r="Q122" i="5"/>
  <c r="Q12" i="5"/>
  <c r="Q114" i="5"/>
  <c r="Q112" i="5"/>
  <c r="M122" i="5"/>
  <c r="M114" i="5"/>
  <c r="M12" i="5"/>
  <c r="M112" i="5"/>
  <c r="I122" i="5"/>
  <c r="I12" i="5"/>
  <c r="I114" i="5"/>
  <c r="I112" i="5"/>
  <c r="E112" i="5"/>
  <c r="E114" i="5"/>
  <c r="E12" i="5"/>
  <c r="AE114" i="5"/>
  <c r="BO114" i="5"/>
  <c r="U112" i="5"/>
  <c r="AE112" i="5"/>
  <c r="AU112" i="5"/>
  <c r="BO112" i="5"/>
  <c r="BT122" i="5"/>
  <c r="BT12" i="5"/>
  <c r="BT112" i="5"/>
  <c r="BP114" i="5"/>
  <c r="BP122" i="5"/>
  <c r="BP112" i="5"/>
  <c r="BP12" i="5"/>
  <c r="BL114" i="5"/>
  <c r="BL122" i="5"/>
  <c r="BL112" i="5"/>
  <c r="BL12" i="5"/>
  <c r="BH122" i="5"/>
  <c r="BH12" i="5"/>
  <c r="BH114" i="5"/>
  <c r="BH112" i="5"/>
  <c r="BD111" i="5"/>
  <c r="BD33" i="5"/>
  <c r="BB122" i="5"/>
  <c r="BB12" i="5"/>
  <c r="BB114" i="5"/>
  <c r="BB112" i="5"/>
  <c r="AX122" i="5"/>
  <c r="AX12" i="5"/>
  <c r="AX114" i="5"/>
  <c r="AX112" i="5"/>
  <c r="AT122" i="5"/>
  <c r="AT12" i="5"/>
  <c r="AT112" i="5"/>
  <c r="AT114" i="5"/>
  <c r="AP122" i="5"/>
  <c r="AP12" i="5"/>
  <c r="AP112" i="5"/>
  <c r="AP114" i="5"/>
  <c r="AL122" i="5"/>
  <c r="AL12" i="5"/>
  <c r="AL112" i="5"/>
  <c r="AL114" i="5"/>
  <c r="AH122" i="5"/>
  <c r="AH12" i="5"/>
  <c r="AH112" i="5"/>
  <c r="AH114" i="5"/>
  <c r="AD122" i="5"/>
  <c r="AD12" i="5"/>
  <c r="AD112" i="5"/>
  <c r="AD114" i="5"/>
  <c r="Z122" i="5"/>
  <c r="Z12" i="5"/>
  <c r="Z112" i="5"/>
  <c r="V122" i="5"/>
  <c r="V12" i="5"/>
  <c r="V114" i="5"/>
  <c r="V112" i="5"/>
  <c r="R122" i="5"/>
  <c r="R12" i="5"/>
  <c r="R112" i="5"/>
  <c r="R114" i="5"/>
  <c r="N122" i="5"/>
  <c r="N112" i="5"/>
  <c r="N12" i="5"/>
  <c r="N114" i="5"/>
  <c r="J122" i="5"/>
  <c r="J12" i="5"/>
  <c r="J114" i="5"/>
  <c r="J112" i="5"/>
  <c r="F12" i="5"/>
  <c r="F112" i="5"/>
  <c r="F114" i="5"/>
  <c r="T175" i="13" l="1"/>
  <c r="O44" i="6"/>
  <c r="O48" i="6"/>
  <c r="O52" i="6"/>
  <c r="O50" i="6"/>
  <c r="O51" i="6"/>
  <c r="Q31" i="6"/>
  <c r="R32" i="6"/>
  <c r="Q34" i="6"/>
  <c r="P47" i="6"/>
  <c r="P41" i="6"/>
  <c r="P45" i="6"/>
  <c r="P46" i="6"/>
  <c r="P42" i="6"/>
  <c r="P49" i="6"/>
  <c r="P43" i="6"/>
  <c r="U116" i="6"/>
  <c r="T121" i="7"/>
  <c r="T123" i="7" s="1"/>
  <c r="T124" i="7" s="1"/>
  <c r="T118" i="6"/>
  <c r="T119" i="6" s="1"/>
  <c r="Q158" i="6"/>
  <c r="P160" i="6"/>
  <c r="CO18" i="4"/>
  <c r="CP18" i="4" s="1"/>
  <c r="CQ18" i="4" s="1"/>
  <c r="CR18" i="4" s="1"/>
  <c r="CX18" i="4"/>
  <c r="T91" i="14"/>
  <c r="U174" i="13"/>
  <c r="U14" i="14"/>
  <c r="U10" i="14" s="1"/>
  <c r="W113" i="7"/>
  <c r="W115" i="7"/>
  <c r="W116" i="7"/>
  <c r="M40" i="6"/>
  <c r="BM121" i="1"/>
  <c r="BM111" i="1" s="1"/>
  <c r="N39" i="6"/>
  <c r="N40" i="6" s="1"/>
  <c r="BL121" i="1"/>
  <c r="BL111" i="1" s="1"/>
  <c r="BP121" i="1"/>
  <c r="BP111" i="1" s="1"/>
  <c r="BN118" i="1"/>
  <c r="BN108" i="1" s="1"/>
  <c r="Q64" i="7"/>
  <c r="Q62" i="7"/>
  <c r="R63" i="7"/>
  <c r="M172" i="42"/>
  <c r="M196" i="42" s="1"/>
  <c r="M171" i="42"/>
  <c r="M170" i="42"/>
  <c r="M193" i="42"/>
  <c r="N189" i="42"/>
  <c r="N176" i="42"/>
  <c r="N175" i="42"/>
  <c r="N174" i="42"/>
  <c r="O173" i="42"/>
  <c r="M108" i="42"/>
  <c r="N104" i="42"/>
  <c r="M120" i="42"/>
  <c r="N116" i="42"/>
  <c r="L191" i="42"/>
  <c r="L192" i="42" s="1"/>
  <c r="N13" i="42"/>
  <c r="M16" i="42"/>
  <c r="M15" i="42"/>
  <c r="M14" i="42"/>
  <c r="M29" i="42"/>
  <c r="L33" i="42"/>
  <c r="N167" i="42"/>
  <c r="N169" i="42" s="1"/>
  <c r="O165" i="42"/>
  <c r="N183" i="42"/>
  <c r="M187" i="42"/>
  <c r="N195" i="42"/>
  <c r="M227" i="42"/>
  <c r="M199" i="42"/>
  <c r="J7" i="42"/>
  <c r="J9" i="42" s="1"/>
  <c r="K5" i="42"/>
  <c r="O94" i="42"/>
  <c r="N97" i="42"/>
  <c r="N96" i="42"/>
  <c r="N95" i="42"/>
  <c r="M114" i="42"/>
  <c r="N110" i="42"/>
  <c r="H89" i="42"/>
  <c r="I86" i="42"/>
  <c r="M23" i="42"/>
  <c r="L27" i="42"/>
  <c r="M35" i="42"/>
  <c r="L39" i="42"/>
  <c r="M12" i="28"/>
  <c r="M19" i="28" s="1"/>
  <c r="N13" i="28"/>
  <c r="N12" i="28" s="1"/>
  <c r="N19" i="28" s="1"/>
  <c r="J39" i="28"/>
  <c r="K2" i="28"/>
  <c r="J21" i="28"/>
  <c r="J22" i="28" s="1"/>
  <c r="J38" i="28"/>
  <c r="O11" i="29"/>
  <c r="I4" i="29"/>
  <c r="I10" i="29" s="1"/>
  <c r="I12" i="29" s="1"/>
  <c r="J3" i="29"/>
  <c r="M34" i="29"/>
  <c r="M33" i="29"/>
  <c r="M23" i="29"/>
  <c r="N2" i="29"/>
  <c r="S9" i="29"/>
  <c r="T7" i="29"/>
  <c r="S6" i="29"/>
  <c r="Q15" i="29"/>
  <c r="CV29" i="4"/>
  <c r="CV28" i="4"/>
  <c r="CU29" i="4"/>
  <c r="CU28" i="4"/>
  <c r="CN11" i="4"/>
  <c r="CJ11" i="4" s="1"/>
  <c r="CK11" i="4" s="1"/>
  <c r="CL11" i="4" s="1"/>
  <c r="CM11" i="4" s="1"/>
  <c r="CN6" i="4"/>
  <c r="CM5" i="4"/>
  <c r="CM6" i="4" s="1"/>
  <c r="CK5" i="4"/>
  <c r="CK6" i="4" s="1"/>
  <c r="CL5" i="4"/>
  <c r="CL6" i="4" s="1"/>
  <c r="CJ5" i="4"/>
  <c r="CJ6" i="4" s="1"/>
  <c r="CW29" i="4"/>
  <c r="CW28" i="4"/>
  <c r="CZ37" i="4"/>
  <c r="CZ20" i="4" s="1"/>
  <c r="DE36" i="4"/>
  <c r="DD37" i="4"/>
  <c r="DD20" i="4" s="1"/>
  <c r="DI36" i="4"/>
  <c r="CY27" i="4"/>
  <c r="DD25" i="4"/>
  <c r="DM34" i="4"/>
  <c r="DB37" i="4"/>
  <c r="DB20" i="4" s="1"/>
  <c r="DG36" i="4"/>
  <c r="DF37" i="4"/>
  <c r="DF20" i="4" s="1"/>
  <c r="DK36" i="4"/>
  <c r="DC25" i="4"/>
  <c r="CX27" i="4"/>
  <c r="DF25" i="4"/>
  <c r="DE25" i="4"/>
  <c r="CT26" i="4"/>
  <c r="CY23" i="4"/>
  <c r="DG25" i="4"/>
  <c r="CV26" i="4"/>
  <c r="DA23" i="4"/>
  <c r="DA27" i="4" s="1"/>
  <c r="CU26" i="4"/>
  <c r="CZ23" i="4"/>
  <c r="CZ27" i="4" s="1"/>
  <c r="CX26" i="4"/>
  <c r="DC23" i="4"/>
  <c r="CT27" i="4"/>
  <c r="CW26" i="4"/>
  <c r="DB23" i="4"/>
  <c r="CI12" i="4"/>
  <c r="CT19" i="4"/>
  <c r="CU19" i="4" s="1"/>
  <c r="CV19" i="4" s="1"/>
  <c r="CW19" i="4" s="1"/>
  <c r="DC19" i="4"/>
  <c r="CS29" i="4"/>
  <c r="CS5" i="4" s="1"/>
  <c r="CS28" i="4"/>
  <c r="I3" i="16"/>
  <c r="J1" i="16"/>
  <c r="BS118" i="1"/>
  <c r="BS108" i="1" s="1"/>
  <c r="D24" i="7"/>
  <c r="C131" i="6"/>
  <c r="C133" i="6" s="1"/>
  <c r="D134" i="6" s="1"/>
  <c r="H97" i="7"/>
  <c r="I80" i="7"/>
  <c r="G16" i="7"/>
  <c r="G112" i="7" s="1"/>
  <c r="G117" i="7" s="1"/>
  <c r="G15" i="7"/>
  <c r="G14" i="7"/>
  <c r="G13" i="7"/>
  <c r="G19" i="7" s="1"/>
  <c r="P28" i="7"/>
  <c r="P91" i="7"/>
  <c r="Q90" i="7"/>
  <c r="P89" i="7"/>
  <c r="P92" i="7"/>
  <c r="R160" i="7"/>
  <c r="T70" i="7"/>
  <c r="R74" i="7"/>
  <c r="O108" i="7"/>
  <c r="H39" i="7"/>
  <c r="O146" i="7"/>
  <c r="R75" i="7"/>
  <c r="H8" i="7"/>
  <c r="H12" i="7" s="1"/>
  <c r="I7" i="7"/>
  <c r="H99" i="7"/>
  <c r="G103" i="7"/>
  <c r="S85" i="7"/>
  <c r="T86" i="7"/>
  <c r="S88" i="7"/>
  <c r="J26" i="7"/>
  <c r="I27" i="7"/>
  <c r="I37" i="7"/>
  <c r="J36" i="7"/>
  <c r="I35" i="7"/>
  <c r="I38" i="7"/>
  <c r="H44" i="7"/>
  <c r="M127" i="7"/>
  <c r="N3" i="7"/>
  <c r="N127" i="7" s="1"/>
  <c r="M10" i="7"/>
  <c r="C165" i="7"/>
  <c r="C167" i="7" s="1"/>
  <c r="C31" i="7"/>
  <c r="C29" i="7"/>
  <c r="C30" i="7"/>
  <c r="C130" i="7"/>
  <c r="C132" i="7" s="1"/>
  <c r="I8" i="6"/>
  <c r="J7" i="6"/>
  <c r="W142" i="6"/>
  <c r="V141" i="6"/>
  <c r="V144" i="6"/>
  <c r="G98" i="6"/>
  <c r="H94" i="6"/>
  <c r="P150" i="6"/>
  <c r="J22" i="6"/>
  <c r="H49" i="6"/>
  <c r="H54" i="6" s="1"/>
  <c r="H39" i="6"/>
  <c r="T65" i="6"/>
  <c r="Q85" i="6"/>
  <c r="P84" i="6"/>
  <c r="P87" i="6" s="1"/>
  <c r="G20" i="6"/>
  <c r="H19" i="6"/>
  <c r="F27" i="6"/>
  <c r="F25" i="6"/>
  <c r="F124" i="6"/>
  <c r="F126" i="6" s="1"/>
  <c r="F127" i="6" s="1"/>
  <c r="F26" i="6"/>
  <c r="H12" i="6"/>
  <c r="H11" i="6"/>
  <c r="H107" i="6" s="1"/>
  <c r="H112" i="6" s="1"/>
  <c r="H10" i="6"/>
  <c r="H9" i="6"/>
  <c r="H15" i="6" s="1"/>
  <c r="I23" i="6"/>
  <c r="N24" i="6"/>
  <c r="W109" i="6"/>
  <c r="X114" i="7" s="1"/>
  <c r="V108" i="6"/>
  <c r="V110" i="6"/>
  <c r="V111" i="6"/>
  <c r="P58" i="6"/>
  <c r="O37" i="6"/>
  <c r="O59" i="6"/>
  <c r="O38" i="6" s="1"/>
  <c r="O57" i="6"/>
  <c r="O36" i="6" s="1"/>
  <c r="P103" i="6"/>
  <c r="K17" i="6"/>
  <c r="K16" i="6"/>
  <c r="L16" i="6" s="1"/>
  <c r="M16" i="6" s="1"/>
  <c r="N16" i="6" s="1"/>
  <c r="O16" i="6" s="1"/>
  <c r="P16" i="6" s="1"/>
  <c r="Q16" i="6" s="1"/>
  <c r="R16" i="6" s="1"/>
  <c r="S16" i="6" s="1"/>
  <c r="T16" i="6" s="1"/>
  <c r="U16" i="6" s="1"/>
  <c r="V16" i="6" s="1"/>
  <c r="W16" i="6" s="1"/>
  <c r="X16" i="6" s="1"/>
  <c r="H92" i="6"/>
  <c r="I75" i="6"/>
  <c r="AV70" i="15"/>
  <c r="AB79" i="15"/>
  <c r="AB90" i="15" s="1"/>
  <c r="AC38" i="15"/>
  <c r="AN43" i="15"/>
  <c r="AN45" i="15"/>
  <c r="AN48" i="15"/>
  <c r="AN50" i="15"/>
  <c r="AN53" i="15"/>
  <c r="CD87" i="15"/>
  <c r="CD85" i="15"/>
  <c r="CI81" i="15"/>
  <c r="CD88" i="15"/>
  <c r="CD86" i="15"/>
  <c r="CD84" i="15"/>
  <c r="CD83" i="15"/>
  <c r="AK54" i="15"/>
  <c r="AL54" i="15" s="1"/>
  <c r="AJ55" i="15"/>
  <c r="AK55" i="15" s="1"/>
  <c r="AG40" i="15"/>
  <c r="AG36" i="15"/>
  <c r="AM58" i="15"/>
  <c r="AI31" i="15"/>
  <c r="BJ82" i="15"/>
  <c r="AI33" i="15"/>
  <c r="AF59" i="15"/>
  <c r="AG59" i="15" s="1"/>
  <c r="AE60" i="15"/>
  <c r="AF60" i="15" s="1"/>
  <c r="T94" i="14"/>
  <c r="T96" i="14"/>
  <c r="U91" i="14" s="1"/>
  <c r="T93" i="14"/>
  <c r="T78" i="14"/>
  <c r="U62" i="14"/>
  <c r="F48" i="14"/>
  <c r="G45" i="14"/>
  <c r="G46" i="14" s="1"/>
  <c r="V92" i="14"/>
  <c r="S76" i="14"/>
  <c r="W95" i="14"/>
  <c r="W97" i="14"/>
  <c r="U66" i="13"/>
  <c r="U77" i="13"/>
  <c r="U161" i="13"/>
  <c r="V159" i="13"/>
  <c r="U14" i="13"/>
  <c r="V158" i="13"/>
  <c r="U15" i="13"/>
  <c r="V31" i="13"/>
  <c r="S59" i="13"/>
  <c r="T54" i="13"/>
  <c r="H112" i="13"/>
  <c r="G116" i="13"/>
  <c r="H116" i="13" s="1"/>
  <c r="I116" i="13" s="1"/>
  <c r="J116" i="13" s="1"/>
  <c r="K116" i="13" s="1"/>
  <c r="L116" i="13" s="1"/>
  <c r="M116" i="13" s="1"/>
  <c r="N116" i="13" s="1"/>
  <c r="O116" i="13" s="1"/>
  <c r="P116" i="13" s="1"/>
  <c r="Q116" i="13" s="1"/>
  <c r="R116" i="13" s="1"/>
  <c r="S116" i="13" s="1"/>
  <c r="T116" i="13" s="1"/>
  <c r="U116" i="13" s="1"/>
  <c r="V116" i="13" s="1"/>
  <c r="W116" i="13" s="1"/>
  <c r="X116" i="13" s="1"/>
  <c r="Y116" i="13" s="1"/>
  <c r="Z116" i="13" s="1"/>
  <c r="AA116" i="13" s="1"/>
  <c r="AB116" i="13" s="1"/>
  <c r="AC116" i="13" s="1"/>
  <c r="AD116" i="13" s="1"/>
  <c r="W55" i="13"/>
  <c r="U56" i="13"/>
  <c r="Y160" i="13"/>
  <c r="Y6" i="14" s="1"/>
  <c r="DH59" i="5"/>
  <c r="U74" i="13"/>
  <c r="W68" i="13"/>
  <c r="V16" i="13"/>
  <c r="V106" i="13"/>
  <c r="N115" i="13"/>
  <c r="O115" i="13" s="1"/>
  <c r="P115" i="13" s="1"/>
  <c r="Q115" i="13" s="1"/>
  <c r="R115" i="13" s="1"/>
  <c r="S115" i="13" s="1"/>
  <c r="T115" i="13" s="1"/>
  <c r="U115" i="13" s="1"/>
  <c r="V115" i="13" s="1"/>
  <c r="W115" i="13" s="1"/>
  <c r="X115" i="13" s="1"/>
  <c r="Y115" i="13" s="1"/>
  <c r="Z115" i="13" s="1"/>
  <c r="AA115" i="13" s="1"/>
  <c r="AB115" i="13" s="1"/>
  <c r="AC115" i="13" s="1"/>
  <c r="AD115" i="13" s="1"/>
  <c r="BV25" i="43"/>
  <c r="BV26" i="43" s="1"/>
  <c r="BV16" i="43"/>
  <c r="BV17" i="43" s="1"/>
  <c r="BW9" i="43"/>
  <c r="BV10" i="43"/>
  <c r="BK121" i="1"/>
  <c r="BO115" i="1"/>
  <c r="CS109" i="1"/>
  <c r="CN106" i="1"/>
  <c r="CX26" i="1"/>
  <c r="CR26" i="1"/>
  <c r="CP26" i="1"/>
  <c r="CQ26" i="1"/>
  <c r="CO26" i="1"/>
  <c r="CS107" i="1"/>
  <c r="BR117" i="1"/>
  <c r="BS107" i="1"/>
  <c r="BS117" i="1" s="1"/>
  <c r="BI111" i="1"/>
  <c r="BJ121" i="1"/>
  <c r="BQ116" i="1"/>
  <c r="BQ121" i="1" s="1"/>
  <c r="BQ111" i="1" s="1"/>
  <c r="BR106" i="1"/>
  <c r="J111" i="5"/>
  <c r="J33" i="5"/>
  <c r="R111" i="5"/>
  <c r="R33" i="5"/>
  <c r="V111" i="5"/>
  <c r="V33" i="5"/>
  <c r="F165" i="13" s="1"/>
  <c r="BT111" i="5"/>
  <c r="BT33" i="5"/>
  <c r="P165" i="13" s="1"/>
  <c r="I111" i="5"/>
  <c r="I33" i="5"/>
  <c r="Q111" i="5"/>
  <c r="Q33" i="5"/>
  <c r="E165" i="13" s="1"/>
  <c r="U111" i="5"/>
  <c r="U33" i="5"/>
  <c r="Y111" i="5"/>
  <c r="Y33" i="5"/>
  <c r="AC111" i="5"/>
  <c r="AC33" i="5"/>
  <c r="AG111" i="5"/>
  <c r="AG33" i="5"/>
  <c r="AK111" i="5"/>
  <c r="AK33" i="5"/>
  <c r="I165" i="13" s="1"/>
  <c r="AO111" i="5"/>
  <c r="AO33" i="5"/>
  <c r="AS111" i="5"/>
  <c r="AS33" i="5"/>
  <c r="AW111" i="5"/>
  <c r="AW33" i="5"/>
  <c r="BA111" i="5"/>
  <c r="BA33" i="5"/>
  <c r="BE111" i="5"/>
  <c r="BE33" i="5"/>
  <c r="M165" i="13" s="1"/>
  <c r="BI111" i="5"/>
  <c r="BI33" i="5"/>
  <c r="BM111" i="5"/>
  <c r="BM33" i="5"/>
  <c r="BQ111" i="5"/>
  <c r="BQ33" i="5"/>
  <c r="DC125" i="5"/>
  <c r="DH14" i="5"/>
  <c r="H111" i="5"/>
  <c r="H33" i="5"/>
  <c r="L111" i="5"/>
  <c r="L33" i="5"/>
  <c r="D165" i="13" s="1"/>
  <c r="P111" i="5"/>
  <c r="P33" i="5"/>
  <c r="T111" i="5"/>
  <c r="T33" i="5"/>
  <c r="X111" i="5"/>
  <c r="X33" i="5"/>
  <c r="AB111" i="5"/>
  <c r="AB33" i="5"/>
  <c r="AF111" i="5"/>
  <c r="AF33" i="5"/>
  <c r="H165" i="13" s="1"/>
  <c r="AJ111" i="5"/>
  <c r="AJ33" i="5"/>
  <c r="AN111" i="5"/>
  <c r="AN33" i="5"/>
  <c r="AR111" i="5"/>
  <c r="AR33" i="5"/>
  <c r="AV111" i="5"/>
  <c r="AV33" i="5"/>
  <c r="AZ111" i="5"/>
  <c r="AZ33" i="5"/>
  <c r="L165" i="13" s="1"/>
  <c r="BR111" i="5"/>
  <c r="BR33" i="5"/>
  <c r="CD150" i="5"/>
  <c r="BX150" i="5"/>
  <c r="BV150" i="5"/>
  <c r="BU150" i="5"/>
  <c r="BW150" i="5"/>
  <c r="G111" i="5"/>
  <c r="G33" i="5"/>
  <c r="C165" i="13" s="1"/>
  <c r="K111" i="5"/>
  <c r="K33" i="5"/>
  <c r="O111" i="5"/>
  <c r="O33" i="5"/>
  <c r="S111" i="5"/>
  <c r="S33" i="5"/>
  <c r="AA111" i="5"/>
  <c r="AA33" i="5"/>
  <c r="G165" i="13" s="1"/>
  <c r="AE111" i="5"/>
  <c r="AE33" i="5"/>
  <c r="AI111" i="5"/>
  <c r="AI33" i="5"/>
  <c r="AM111" i="5"/>
  <c r="AM33" i="5"/>
  <c r="AQ111" i="5"/>
  <c r="AQ33" i="5"/>
  <c r="AU111" i="5"/>
  <c r="AU33" i="5"/>
  <c r="K165" i="13" s="1"/>
  <c r="AY111" i="5"/>
  <c r="AY33" i="5"/>
  <c r="BC111" i="5"/>
  <c r="BC33" i="5"/>
  <c r="BG111" i="5"/>
  <c r="BG33" i="5"/>
  <c r="BK111" i="5"/>
  <c r="BK33" i="5"/>
  <c r="BO111" i="5"/>
  <c r="BO33" i="5"/>
  <c r="O165" i="13" s="1"/>
  <c r="F111" i="5"/>
  <c r="F33" i="5"/>
  <c r="N111" i="5"/>
  <c r="N33" i="5"/>
  <c r="Z111" i="5"/>
  <c r="Z33" i="5"/>
  <c r="AD111" i="5"/>
  <c r="AD33" i="5"/>
  <c r="AH111" i="5"/>
  <c r="AH33" i="5"/>
  <c r="AL111" i="5"/>
  <c r="AL33" i="5"/>
  <c r="AP111" i="5"/>
  <c r="AP33" i="5"/>
  <c r="J165" i="13" s="1"/>
  <c r="AT111" i="5"/>
  <c r="AT33" i="5"/>
  <c r="AX111" i="5"/>
  <c r="AX33" i="5"/>
  <c r="BB111" i="5"/>
  <c r="BB33" i="5"/>
  <c r="BD132" i="5"/>
  <c r="BD117" i="5" s="1"/>
  <c r="BD116" i="5"/>
  <c r="BD38" i="5"/>
  <c r="BH111" i="5"/>
  <c r="BH33" i="5"/>
  <c r="BL111" i="5"/>
  <c r="BL33" i="5"/>
  <c r="BP111" i="5"/>
  <c r="BP33" i="5"/>
  <c r="BS122" i="5"/>
  <c r="BQ122" i="5"/>
  <c r="BR122" i="5"/>
  <c r="E111" i="5"/>
  <c r="E33" i="5"/>
  <c r="M111" i="5"/>
  <c r="M33" i="5"/>
  <c r="BU111" i="5"/>
  <c r="BU33" i="5"/>
  <c r="D111" i="5"/>
  <c r="D33" i="5"/>
  <c r="BF111" i="5"/>
  <c r="BF33" i="5"/>
  <c r="BJ111" i="5"/>
  <c r="BJ33" i="5"/>
  <c r="N165" i="13" s="1"/>
  <c r="BN111" i="5"/>
  <c r="BN33" i="5"/>
  <c r="C111" i="5"/>
  <c r="C33" i="5"/>
  <c r="W111" i="5"/>
  <c r="W33" i="5"/>
  <c r="BS111" i="5"/>
  <c r="BS33" i="5"/>
  <c r="DC63" i="5"/>
  <c r="CX50" i="5"/>
  <c r="V7" i="14" s="1"/>
  <c r="V81" i="14" s="1"/>
  <c r="F131" i="6" l="1"/>
  <c r="F133" i="6" s="1"/>
  <c r="F134" i="6" s="1"/>
  <c r="O53" i="6"/>
  <c r="O54" i="6" s="1"/>
  <c r="P48" i="6"/>
  <c r="P44" i="6"/>
  <c r="P51" i="6"/>
  <c r="P50" i="6"/>
  <c r="P52" i="6"/>
  <c r="V116" i="6"/>
  <c r="U121" i="7"/>
  <c r="U123" i="7" s="1"/>
  <c r="U124" i="7" s="1"/>
  <c r="U118" i="6"/>
  <c r="U119" i="6" s="1"/>
  <c r="R158" i="6"/>
  <c r="Q160" i="6"/>
  <c r="Q43" i="6"/>
  <c r="Q41" i="6"/>
  <c r="Q42" i="6"/>
  <c r="Q49" i="6"/>
  <c r="Q47" i="6"/>
  <c r="Q46" i="6"/>
  <c r="Q45" i="6"/>
  <c r="DC18" i="4"/>
  <c r="CT18" i="4"/>
  <c r="CU18" i="4" s="1"/>
  <c r="CV18" i="4" s="1"/>
  <c r="CW18" i="4" s="1"/>
  <c r="S32" i="6"/>
  <c r="R31" i="6"/>
  <c r="R34" i="6" s="1"/>
  <c r="V174" i="13"/>
  <c r="V14" i="14"/>
  <c r="V10" i="14" s="1"/>
  <c r="X115" i="7"/>
  <c r="X113" i="7"/>
  <c r="X116" i="7" s="1"/>
  <c r="O39" i="6"/>
  <c r="O35" i="6" s="1"/>
  <c r="N35" i="6"/>
  <c r="CN12" i="4"/>
  <c r="CN17" i="4" s="1"/>
  <c r="BN121" i="1"/>
  <c r="BN111" i="1" s="1"/>
  <c r="S63" i="7"/>
  <c r="R64" i="7"/>
  <c r="R62" i="7"/>
  <c r="I89" i="42"/>
  <c r="J86" i="42"/>
  <c r="O104" i="42"/>
  <c r="N108" i="42"/>
  <c r="O116" i="42"/>
  <c r="N120" i="42"/>
  <c r="L5" i="42"/>
  <c r="K7" i="42"/>
  <c r="K9" i="42" s="1"/>
  <c r="N172" i="42"/>
  <c r="N196" i="42" s="1"/>
  <c r="N171" i="42"/>
  <c r="N170" i="42"/>
  <c r="M33" i="42"/>
  <c r="N29" i="42"/>
  <c r="N16" i="42"/>
  <c r="N15" i="42"/>
  <c r="N14" i="42"/>
  <c r="O13" i="42"/>
  <c r="N187" i="42"/>
  <c r="O183" i="42"/>
  <c r="N227" i="42"/>
  <c r="N199" i="42"/>
  <c r="O195" i="42"/>
  <c r="M217" i="42"/>
  <c r="M190" i="42"/>
  <c r="M191" i="42" s="1"/>
  <c r="M192" i="42" s="1"/>
  <c r="M219" i="42" s="1"/>
  <c r="O110" i="42"/>
  <c r="N114" i="42"/>
  <c r="O97" i="42"/>
  <c r="O96" i="42"/>
  <c r="O95" i="42"/>
  <c r="P94" i="42"/>
  <c r="J12" i="42"/>
  <c r="J11" i="42"/>
  <c r="J10" i="42"/>
  <c r="P165" i="42"/>
  <c r="O167" i="42"/>
  <c r="O169" i="42" s="1"/>
  <c r="M27" i="42"/>
  <c r="N23" i="42"/>
  <c r="M39" i="42"/>
  <c r="M69" i="42"/>
  <c r="N35" i="42"/>
  <c r="P173" i="42"/>
  <c r="O176" i="42"/>
  <c r="O175" i="42"/>
  <c r="O174" i="42"/>
  <c r="N193" i="42"/>
  <c r="O189" i="42"/>
  <c r="M207" i="42"/>
  <c r="M184" i="42"/>
  <c r="M185" i="42" s="1"/>
  <c r="M186" i="42" s="1"/>
  <c r="M209" i="42" s="1"/>
  <c r="M197" i="42"/>
  <c r="M198" i="42" s="1"/>
  <c r="M229" i="42" s="1"/>
  <c r="K38" i="28"/>
  <c r="K21" i="28"/>
  <c r="K22" i="28" s="1"/>
  <c r="L2" i="28"/>
  <c r="K39" i="28"/>
  <c r="T19" i="28"/>
  <c r="O19" i="28"/>
  <c r="P19" i="28" s="1"/>
  <c r="Q19" i="28" s="1"/>
  <c r="R19" i="28" s="1"/>
  <c r="S19" i="28" s="1"/>
  <c r="R15" i="29"/>
  <c r="U7" i="29"/>
  <c r="T6" i="29"/>
  <c r="T9" i="29"/>
  <c r="N33" i="29"/>
  <c r="N23" i="29"/>
  <c r="N34" i="29"/>
  <c r="O2" i="29"/>
  <c r="K3" i="29"/>
  <c r="J4" i="29"/>
  <c r="J10" i="29" s="1"/>
  <c r="J12" i="29" s="1"/>
  <c r="P11" i="29"/>
  <c r="I14" i="29"/>
  <c r="I21" i="29" s="1"/>
  <c r="I24" i="29" s="1"/>
  <c r="CQ5" i="4"/>
  <c r="CQ6" i="4" s="1"/>
  <c r="CO5" i="4"/>
  <c r="CO6" i="4" s="1"/>
  <c r="CS11" i="4"/>
  <c r="CO11" i="4" s="1"/>
  <c r="CP11" i="4" s="1"/>
  <c r="CQ11" i="4" s="1"/>
  <c r="CR11" i="4" s="1"/>
  <c r="CS6" i="4"/>
  <c r="CR5" i="4"/>
  <c r="CR6" i="4" s="1"/>
  <c r="CP5" i="4"/>
  <c r="CP6" i="4" s="1"/>
  <c r="DB26" i="4"/>
  <c r="DG23" i="4"/>
  <c r="DG27" i="4" s="1"/>
  <c r="CT28" i="4"/>
  <c r="CT29" i="4"/>
  <c r="DL25" i="4"/>
  <c r="CZ29" i="4"/>
  <c r="CZ28" i="4"/>
  <c r="DA29" i="4"/>
  <c r="DA28" i="4"/>
  <c r="DC27" i="4"/>
  <c r="DH25" i="4"/>
  <c r="CY29" i="4"/>
  <c r="CY28" i="4"/>
  <c r="DH19" i="4"/>
  <c r="CY19" i="4"/>
  <c r="CZ19" i="4" s="1"/>
  <c r="DA19" i="4" s="1"/>
  <c r="DB19" i="4" s="1"/>
  <c r="CE12" i="4"/>
  <c r="CI17" i="4"/>
  <c r="DC26" i="4"/>
  <c r="DH23" i="4"/>
  <c r="CZ26" i="4"/>
  <c r="DE23" i="4"/>
  <c r="DE27" i="4" s="1"/>
  <c r="DA26" i="4"/>
  <c r="DF23" i="4"/>
  <c r="DB27" i="4"/>
  <c r="CY26" i="4"/>
  <c r="DD23" i="4"/>
  <c r="DJ25" i="4"/>
  <c r="DK25" i="4"/>
  <c r="DF27" i="4"/>
  <c r="CX28" i="4"/>
  <c r="CX29" i="4"/>
  <c r="CX5" i="4" s="1"/>
  <c r="DP36" i="4"/>
  <c r="DK37" i="4"/>
  <c r="DK20" i="4" s="1"/>
  <c r="DL36" i="4"/>
  <c r="DG37" i="4"/>
  <c r="DG20" i="4" s="1"/>
  <c r="DR34" i="4"/>
  <c r="DI25" i="4"/>
  <c r="DN36" i="4"/>
  <c r="DI37" i="4"/>
  <c r="DI20" i="4" s="1"/>
  <c r="DJ36" i="4"/>
  <c r="DE37" i="4"/>
  <c r="DE20" i="4" s="1"/>
  <c r="J3" i="16"/>
  <c r="K1" i="16"/>
  <c r="D31" i="7"/>
  <c r="D130" i="7"/>
  <c r="D132" i="7" s="1"/>
  <c r="D165" i="7"/>
  <c r="D167" i="7" s="1"/>
  <c r="D29" i="7"/>
  <c r="D137" i="7" s="1"/>
  <c r="D139" i="7" s="1"/>
  <c r="D30" i="7"/>
  <c r="E24" i="7"/>
  <c r="C137" i="7"/>
  <c r="C139" i="7" s="1"/>
  <c r="N10" i="7"/>
  <c r="H101" i="7"/>
  <c r="H100" i="7"/>
  <c r="I100" i="7" s="1"/>
  <c r="J100" i="7" s="1"/>
  <c r="K100" i="7" s="1"/>
  <c r="K106" i="7" s="1"/>
  <c r="H102" i="7"/>
  <c r="I102" i="7" s="1"/>
  <c r="J102" i="7" s="1"/>
  <c r="K102" i="7" s="1"/>
  <c r="L102" i="7" s="1"/>
  <c r="M102" i="7" s="1"/>
  <c r="N102" i="7" s="1"/>
  <c r="O102" i="7" s="1"/>
  <c r="P102" i="7" s="1"/>
  <c r="Q102" i="7" s="1"/>
  <c r="R102" i="7" s="1"/>
  <c r="S102" i="7" s="1"/>
  <c r="T102" i="7" s="1"/>
  <c r="U102" i="7" s="1"/>
  <c r="V102" i="7" s="1"/>
  <c r="W102" i="7" s="1"/>
  <c r="X102" i="7" s="1"/>
  <c r="G109" i="7"/>
  <c r="H16" i="7"/>
  <c r="H112" i="7" s="1"/>
  <c r="H117" i="7" s="1"/>
  <c r="H15" i="7"/>
  <c r="H14" i="7"/>
  <c r="H13" i="7"/>
  <c r="H19" i="7" s="1"/>
  <c r="H24" i="7" s="1"/>
  <c r="I54" i="7"/>
  <c r="I47" i="7"/>
  <c r="I46" i="7"/>
  <c r="I45" i="7"/>
  <c r="I42" i="7"/>
  <c r="I41" i="7"/>
  <c r="I40" i="7"/>
  <c r="K36" i="7"/>
  <c r="J35" i="7"/>
  <c r="J37" i="7"/>
  <c r="J38" i="7"/>
  <c r="J27" i="7"/>
  <c r="K26" i="7"/>
  <c r="U86" i="7"/>
  <c r="T85" i="7"/>
  <c r="T88" i="7"/>
  <c r="I99" i="7"/>
  <c r="I8" i="7"/>
  <c r="I12" i="7" s="1"/>
  <c r="J7" i="7"/>
  <c r="S75" i="7"/>
  <c r="P146" i="7"/>
  <c r="P108" i="7"/>
  <c r="S74" i="7"/>
  <c r="U70" i="7"/>
  <c r="S160" i="7"/>
  <c r="Q89" i="7"/>
  <c r="Q91" i="7"/>
  <c r="R90" i="7"/>
  <c r="Q92" i="7"/>
  <c r="D133" i="7"/>
  <c r="Q28" i="7"/>
  <c r="I97" i="7"/>
  <c r="J80" i="7"/>
  <c r="L17" i="6"/>
  <c r="K19" i="6"/>
  <c r="Q103" i="6"/>
  <c r="O24" i="6"/>
  <c r="H20" i="6"/>
  <c r="H124" i="6" s="1"/>
  <c r="H126" i="6" s="1"/>
  <c r="I19" i="6"/>
  <c r="Q84" i="6"/>
  <c r="R85" i="6"/>
  <c r="Q87" i="6"/>
  <c r="H35" i="6"/>
  <c r="K22" i="6"/>
  <c r="Q150" i="6"/>
  <c r="W141" i="6"/>
  <c r="W144" i="6" s="1"/>
  <c r="X142" i="6"/>
  <c r="K7" i="6"/>
  <c r="J8" i="6"/>
  <c r="I92" i="6"/>
  <c r="J75" i="6"/>
  <c r="P59" i="6"/>
  <c r="P38" i="6" s="1"/>
  <c r="P57" i="6"/>
  <c r="P36" i="6" s="1"/>
  <c r="Q58" i="6"/>
  <c r="P37" i="6"/>
  <c r="W110" i="6"/>
  <c r="W108" i="6"/>
  <c r="W111" i="6" s="1"/>
  <c r="X109" i="6"/>
  <c r="J23" i="6"/>
  <c r="G27" i="6"/>
  <c r="G25" i="6"/>
  <c r="G124" i="6"/>
  <c r="G126" i="6" s="1"/>
  <c r="G127" i="6" s="1"/>
  <c r="G26" i="6"/>
  <c r="U65" i="6"/>
  <c r="H40" i="6"/>
  <c r="H98" i="6"/>
  <c r="H104" i="6" s="1"/>
  <c r="I94" i="6"/>
  <c r="G104" i="6"/>
  <c r="I12" i="6"/>
  <c r="I11" i="6"/>
  <c r="I107" i="6" s="1"/>
  <c r="I112" i="6" s="1"/>
  <c r="I10" i="6"/>
  <c r="I9" i="6"/>
  <c r="I15" i="6" s="1"/>
  <c r="AH59" i="15"/>
  <c r="AG60" i="15"/>
  <c r="AH36" i="15"/>
  <c r="AH38" i="15"/>
  <c r="AG79" i="15"/>
  <c r="AG90" i="15" s="1"/>
  <c r="CN81" i="15"/>
  <c r="CI88" i="15"/>
  <c r="CI86" i="15"/>
  <c r="CI84" i="15"/>
  <c r="CI87" i="15"/>
  <c r="CI85" i="15"/>
  <c r="CI83" i="15"/>
  <c r="AO53" i="15"/>
  <c r="AP53" i="15" s="1"/>
  <c r="AO50" i="15"/>
  <c r="AP50" i="15" s="1"/>
  <c r="AO48" i="15"/>
  <c r="AP48" i="15" s="1"/>
  <c r="AO45" i="15"/>
  <c r="AP45" i="15" s="1"/>
  <c r="AO43" i="15"/>
  <c r="AP43" i="15" s="1"/>
  <c r="BO82" i="15"/>
  <c r="BJ89" i="15"/>
  <c r="V19" i="13" s="1"/>
  <c r="AJ31" i="15"/>
  <c r="AJ33" i="15"/>
  <c r="AK33" i="15" s="1"/>
  <c r="AN58" i="15"/>
  <c r="AM54" i="15"/>
  <c r="AL55" i="15"/>
  <c r="AC76" i="15"/>
  <c r="AC78" i="15" s="1"/>
  <c r="AC40" i="15"/>
  <c r="AC36" i="15"/>
  <c r="AW70" i="15"/>
  <c r="U96" i="14"/>
  <c r="V91" i="14" s="1"/>
  <c r="U94" i="14"/>
  <c r="U93" i="14"/>
  <c r="X97" i="14"/>
  <c r="X95" i="14"/>
  <c r="T76" i="14"/>
  <c r="H45" i="14"/>
  <c r="H46" i="14" s="1"/>
  <c r="G48" i="14"/>
  <c r="U78" i="14"/>
  <c r="V62" i="14"/>
  <c r="W92" i="14"/>
  <c r="V74" i="13"/>
  <c r="V56" i="13"/>
  <c r="X55" i="13"/>
  <c r="I112" i="13"/>
  <c r="H117" i="13"/>
  <c r="I117" i="13" s="1"/>
  <c r="J117" i="13" s="1"/>
  <c r="K117" i="13" s="1"/>
  <c r="L117" i="13" s="1"/>
  <c r="M117" i="13" s="1"/>
  <c r="T59" i="13"/>
  <c r="U54" i="13"/>
  <c r="W31" i="13"/>
  <c r="V15" i="13"/>
  <c r="W158" i="13"/>
  <c r="V161" i="13"/>
  <c r="W159" i="13"/>
  <c r="V14" i="13"/>
  <c r="V175" i="13" s="1"/>
  <c r="V77" i="13"/>
  <c r="V66" i="13"/>
  <c r="W106" i="13"/>
  <c r="X68" i="13"/>
  <c r="W16" i="13"/>
  <c r="Z160" i="13"/>
  <c r="Z6" i="14" s="1"/>
  <c r="DM59" i="5"/>
  <c r="U175" i="13"/>
  <c r="BW25" i="43"/>
  <c r="BW26" i="43" s="1"/>
  <c r="BW10" i="43"/>
  <c r="BW16" i="43"/>
  <c r="BX9" i="43"/>
  <c r="CS106" i="1"/>
  <c r="CX109" i="1"/>
  <c r="BR116" i="1"/>
  <c r="BR121" i="1" s="1"/>
  <c r="BR111" i="1" s="1"/>
  <c r="BS106" i="1"/>
  <c r="BS116" i="1" s="1"/>
  <c r="BS121" i="1" s="1"/>
  <c r="BS111" i="1" s="1"/>
  <c r="BJ122" i="1"/>
  <c r="BJ112" i="1" s="1"/>
  <c r="BJ111" i="1"/>
  <c r="CX107" i="1"/>
  <c r="CV26" i="1"/>
  <c r="CT26" i="1"/>
  <c r="DC26" i="1"/>
  <c r="CW26" i="1"/>
  <c r="CU26" i="1"/>
  <c r="BK111" i="1"/>
  <c r="DH63" i="5"/>
  <c r="DC50" i="5"/>
  <c r="W7" i="14" s="1"/>
  <c r="W81" i="14" s="1"/>
  <c r="BP132" i="5"/>
  <c r="BP117" i="5" s="1"/>
  <c r="BP116" i="5"/>
  <c r="BP38" i="5"/>
  <c r="BL132" i="5"/>
  <c r="BL117" i="5" s="1"/>
  <c r="BL116" i="5"/>
  <c r="BL38" i="5"/>
  <c r="BH132" i="5"/>
  <c r="BH117" i="5" s="1"/>
  <c r="BH116" i="5"/>
  <c r="BH38" i="5"/>
  <c r="BD42" i="5"/>
  <c r="BD44" i="5" s="1"/>
  <c r="BD40" i="5"/>
  <c r="BD52" i="5" s="1"/>
  <c r="BR132" i="5"/>
  <c r="BR117" i="5" s="1"/>
  <c r="BR116" i="5"/>
  <c r="BR38" i="5"/>
  <c r="AZ132" i="5"/>
  <c r="AZ116" i="5"/>
  <c r="AZ38" i="5"/>
  <c r="AZ40" i="5" s="1"/>
  <c r="AV132" i="5"/>
  <c r="AV117" i="5" s="1"/>
  <c r="AV116" i="5"/>
  <c r="AV38" i="5"/>
  <c r="AR132" i="5"/>
  <c r="AR117" i="5" s="1"/>
  <c r="AR116" i="5"/>
  <c r="AR38" i="5"/>
  <c r="AN132" i="5"/>
  <c r="AN117" i="5" s="1"/>
  <c r="AN116" i="5"/>
  <c r="AN38" i="5"/>
  <c r="AJ132" i="5"/>
  <c r="AJ117" i="5" s="1"/>
  <c r="AJ116" i="5"/>
  <c r="AJ38" i="5"/>
  <c r="AF132" i="5"/>
  <c r="AF116" i="5"/>
  <c r="AF38" i="5"/>
  <c r="AB132" i="5"/>
  <c r="AB117" i="5" s="1"/>
  <c r="AB116" i="5"/>
  <c r="AB38" i="5"/>
  <c r="X132" i="5"/>
  <c r="X117" i="5" s="1"/>
  <c r="X116" i="5"/>
  <c r="X38" i="5"/>
  <c r="T132" i="5"/>
  <c r="T117" i="5" s="1"/>
  <c r="T116" i="5"/>
  <c r="T38" i="5"/>
  <c r="P132" i="5"/>
  <c r="P117" i="5" s="1"/>
  <c r="P116" i="5"/>
  <c r="P38" i="5"/>
  <c r="L132" i="5"/>
  <c r="L116" i="5"/>
  <c r="L38" i="5"/>
  <c r="H132" i="5"/>
  <c r="H117" i="5" s="1"/>
  <c r="H116" i="5"/>
  <c r="H38" i="5"/>
  <c r="DH125" i="5"/>
  <c r="DM14" i="5"/>
  <c r="DR14" i="5" s="1"/>
  <c r="DW14" i="5" s="1"/>
  <c r="EB14" i="5" s="1"/>
  <c r="EG14" i="5" s="1"/>
  <c r="EL14" i="5" s="1"/>
  <c r="BQ132" i="5"/>
  <c r="BQ117" i="5" s="1"/>
  <c r="BQ116" i="5"/>
  <c r="BQ38" i="5"/>
  <c r="BM132" i="5"/>
  <c r="BM117" i="5" s="1"/>
  <c r="BM116" i="5"/>
  <c r="BM38" i="5"/>
  <c r="BI132" i="5"/>
  <c r="BI117" i="5" s="1"/>
  <c r="BI129" i="5" s="1"/>
  <c r="BI116" i="5"/>
  <c r="BI128" i="5" s="1"/>
  <c r="BI38" i="5"/>
  <c r="BE132" i="5"/>
  <c r="BE116" i="5"/>
  <c r="BE38" i="5"/>
  <c r="BA132" i="5"/>
  <c r="BA117" i="5" s="1"/>
  <c r="BA116" i="5"/>
  <c r="BA38" i="5"/>
  <c r="AW132" i="5"/>
  <c r="AW117" i="5" s="1"/>
  <c r="AW116" i="5"/>
  <c r="AW38" i="5"/>
  <c r="AS132" i="5"/>
  <c r="AS117" i="5" s="1"/>
  <c r="AS116" i="5"/>
  <c r="AS38" i="5"/>
  <c r="AO132" i="5"/>
  <c r="AO117" i="5" s="1"/>
  <c r="AO116" i="5"/>
  <c r="AO38" i="5"/>
  <c r="AK132" i="5"/>
  <c r="AK116" i="5"/>
  <c r="AK38" i="5"/>
  <c r="AG132" i="5"/>
  <c r="AG117" i="5" s="1"/>
  <c r="AG116" i="5"/>
  <c r="AG38" i="5"/>
  <c r="AC132" i="5"/>
  <c r="AC117" i="5" s="1"/>
  <c r="AC116" i="5"/>
  <c r="AC38" i="5"/>
  <c r="Y132" i="5"/>
  <c r="Y117" i="5" s="1"/>
  <c r="Y116" i="5"/>
  <c r="Y38" i="5"/>
  <c r="U132" i="5"/>
  <c r="U117" i="5" s="1"/>
  <c r="U116" i="5"/>
  <c r="U38" i="5"/>
  <c r="Q132" i="5"/>
  <c r="Q116" i="5"/>
  <c r="Q38" i="5"/>
  <c r="I132" i="5"/>
  <c r="I117" i="5" s="1"/>
  <c r="I116" i="5"/>
  <c r="I38" i="5"/>
  <c r="BT132" i="5"/>
  <c r="BT116" i="5"/>
  <c r="V132" i="5"/>
  <c r="V116" i="5"/>
  <c r="V38" i="5"/>
  <c r="R132" i="5"/>
  <c r="R117" i="5" s="1"/>
  <c r="R116" i="5"/>
  <c r="R38" i="5"/>
  <c r="J132" i="5"/>
  <c r="J117" i="5" s="1"/>
  <c r="J116" i="5"/>
  <c r="J38" i="5"/>
  <c r="BS132" i="5"/>
  <c r="W132" i="5"/>
  <c r="W117" i="5" s="1"/>
  <c r="W116" i="5"/>
  <c r="W38" i="5"/>
  <c r="C132" i="5"/>
  <c r="C117" i="5" s="1"/>
  <c r="C116" i="5"/>
  <c r="C38" i="5"/>
  <c r="BN132" i="5"/>
  <c r="BN117" i="5" s="1"/>
  <c r="BN116" i="5"/>
  <c r="BN38" i="5"/>
  <c r="BJ132" i="5"/>
  <c r="BJ116" i="5"/>
  <c r="BJ38" i="5"/>
  <c r="BF132" i="5"/>
  <c r="BF117" i="5" s="1"/>
  <c r="BF116" i="5"/>
  <c r="BF38" i="5"/>
  <c r="D132" i="5"/>
  <c r="D117" i="5" s="1"/>
  <c r="D116" i="5"/>
  <c r="D38" i="5"/>
  <c r="BU116" i="5"/>
  <c r="BU38" i="5"/>
  <c r="BU40" i="5" s="1"/>
  <c r="M132" i="5"/>
  <c r="M117" i="5" s="1"/>
  <c r="M116" i="5"/>
  <c r="M38" i="5"/>
  <c r="E132" i="5"/>
  <c r="E117" i="5" s="1"/>
  <c r="E116" i="5"/>
  <c r="E38" i="5"/>
  <c r="BB132" i="5"/>
  <c r="BB117" i="5" s="1"/>
  <c r="BB129" i="5" s="1"/>
  <c r="BB116" i="5"/>
  <c r="BB128" i="5" s="1"/>
  <c r="BB38" i="5"/>
  <c r="AX132" i="5"/>
  <c r="AX117" i="5" s="1"/>
  <c r="AX129" i="5" s="1"/>
  <c r="AX116" i="5"/>
  <c r="AX128" i="5" s="1"/>
  <c r="AX38" i="5"/>
  <c r="AT132" i="5"/>
  <c r="AT117" i="5" s="1"/>
  <c r="AT129" i="5" s="1"/>
  <c r="AT116" i="5"/>
  <c r="AT128" i="5" s="1"/>
  <c r="AT38" i="5"/>
  <c r="AP132" i="5"/>
  <c r="AP116" i="5"/>
  <c r="AP128" i="5" s="1"/>
  <c r="AP38" i="5"/>
  <c r="AL132" i="5"/>
  <c r="AL117" i="5" s="1"/>
  <c r="AL129" i="5" s="1"/>
  <c r="AL116" i="5"/>
  <c r="AL128" i="5" s="1"/>
  <c r="AL38" i="5"/>
  <c r="AH132" i="5"/>
  <c r="AH117" i="5" s="1"/>
  <c r="AH129" i="5" s="1"/>
  <c r="AH116" i="5"/>
  <c r="AH128" i="5" s="1"/>
  <c r="AH38" i="5"/>
  <c r="AD132" i="5"/>
  <c r="AD117" i="5" s="1"/>
  <c r="AD129" i="5" s="1"/>
  <c r="AD116" i="5"/>
  <c r="AD128" i="5" s="1"/>
  <c r="AD38" i="5"/>
  <c r="Z132" i="5"/>
  <c r="Z117" i="5" s="1"/>
  <c r="Z129" i="5" s="1"/>
  <c r="Z116" i="5"/>
  <c r="Z128" i="5" s="1"/>
  <c r="Z38" i="5"/>
  <c r="N132" i="5"/>
  <c r="N117" i="5" s="1"/>
  <c r="N116" i="5"/>
  <c r="N38" i="5"/>
  <c r="F132" i="5"/>
  <c r="F117" i="5" s="1"/>
  <c r="F116" i="5"/>
  <c r="F38" i="5"/>
  <c r="F42" i="5" s="1"/>
  <c r="F44" i="5" s="1"/>
  <c r="BO132" i="5"/>
  <c r="BO116" i="5"/>
  <c r="BO38" i="5"/>
  <c r="BK132" i="5"/>
  <c r="BK117" i="5" s="1"/>
  <c r="BK116" i="5"/>
  <c r="BK38" i="5"/>
  <c r="BG132" i="5"/>
  <c r="BG117" i="5" s="1"/>
  <c r="BG129" i="5" s="1"/>
  <c r="BG116" i="5"/>
  <c r="BG128" i="5" s="1"/>
  <c r="BG38" i="5"/>
  <c r="BC132" i="5"/>
  <c r="BC117" i="5" s="1"/>
  <c r="BC129" i="5" s="1"/>
  <c r="BC116" i="5"/>
  <c r="BC38" i="5"/>
  <c r="AY132" i="5"/>
  <c r="AY117" i="5" s="1"/>
  <c r="AY129" i="5" s="1"/>
  <c r="AY116" i="5"/>
  <c r="AY128" i="5" s="1"/>
  <c r="AY38" i="5"/>
  <c r="AU132" i="5"/>
  <c r="AU116" i="5"/>
  <c r="AU128" i="5" s="1"/>
  <c r="AU38" i="5"/>
  <c r="AQ132" i="5"/>
  <c r="AQ117" i="5" s="1"/>
  <c r="AQ129" i="5" s="1"/>
  <c r="AQ116" i="5"/>
  <c r="AQ128" i="5" s="1"/>
  <c r="AQ38" i="5"/>
  <c r="AM132" i="5"/>
  <c r="AM117" i="5" s="1"/>
  <c r="AM129" i="5" s="1"/>
  <c r="AM116" i="5"/>
  <c r="AM128" i="5" s="1"/>
  <c r="AM38" i="5"/>
  <c r="AI132" i="5"/>
  <c r="AI117" i="5" s="1"/>
  <c r="AI129" i="5" s="1"/>
  <c r="AI116" i="5"/>
  <c r="AI128" i="5" s="1"/>
  <c r="AI38" i="5"/>
  <c r="AE132" i="5"/>
  <c r="AE117" i="5" s="1"/>
  <c r="AE129" i="5" s="1"/>
  <c r="AE116" i="5"/>
  <c r="AE128" i="5" s="1"/>
  <c r="AE38" i="5"/>
  <c r="AA132" i="5"/>
  <c r="AA116" i="5"/>
  <c r="AA128" i="5" s="1"/>
  <c r="AA38" i="5"/>
  <c r="S132" i="5"/>
  <c r="S117" i="5" s="1"/>
  <c r="S116" i="5"/>
  <c r="S38" i="5"/>
  <c r="O132" i="5"/>
  <c r="O117" i="5" s="1"/>
  <c r="O129" i="5" s="1"/>
  <c r="O116" i="5"/>
  <c r="O128" i="5" s="1"/>
  <c r="O38" i="5"/>
  <c r="K132" i="5"/>
  <c r="K117" i="5" s="1"/>
  <c r="K116" i="5"/>
  <c r="K38" i="5"/>
  <c r="K42" i="5" s="1"/>
  <c r="K44" i="5" s="1"/>
  <c r="G132" i="5"/>
  <c r="G116" i="5"/>
  <c r="G38" i="5"/>
  <c r="CB150" i="5"/>
  <c r="BZ150" i="5"/>
  <c r="CC150" i="5"/>
  <c r="CI150" i="5"/>
  <c r="CA150" i="5"/>
  <c r="BO121" i="1" l="1"/>
  <c r="BO111" i="1" s="1"/>
  <c r="Q48" i="6"/>
  <c r="Q44" i="6"/>
  <c r="P53" i="6"/>
  <c r="P54" i="6" s="1"/>
  <c r="R43" i="6"/>
  <c r="R47" i="6"/>
  <c r="R49" i="6"/>
  <c r="R41" i="6"/>
  <c r="R45" i="6"/>
  <c r="R42" i="6"/>
  <c r="R46" i="6"/>
  <c r="S158" i="6"/>
  <c r="R160" i="6"/>
  <c r="S31" i="6"/>
  <c r="S34" i="6" s="1"/>
  <c r="T32" i="6"/>
  <c r="BW5" i="5"/>
  <c r="BW17" i="43"/>
  <c r="BX17" i="43" s="1"/>
  <c r="G131" i="6"/>
  <c r="G133" i="6" s="1"/>
  <c r="G134" i="6" s="1"/>
  <c r="CY18" i="4"/>
  <c r="CZ18" i="4" s="1"/>
  <c r="DA18" i="4" s="1"/>
  <c r="DB18" i="4" s="1"/>
  <c r="DH18" i="4"/>
  <c r="Q51" i="6"/>
  <c r="Q50" i="6"/>
  <c r="Q52" i="6"/>
  <c r="W116" i="6"/>
  <c r="V121" i="7"/>
  <c r="V123" i="7" s="1"/>
  <c r="V124" i="7" s="1"/>
  <c r="V118" i="6"/>
  <c r="V119" i="6" s="1"/>
  <c r="W174" i="13"/>
  <c r="W14" i="14"/>
  <c r="W10" i="14" s="1"/>
  <c r="BU128" i="5"/>
  <c r="BF128" i="5"/>
  <c r="BC128" i="5"/>
  <c r="M128" i="5"/>
  <c r="CJ12" i="4"/>
  <c r="CK12" i="4" s="1"/>
  <c r="O40" i="6"/>
  <c r="H127" i="6"/>
  <c r="P39" i="6"/>
  <c r="P40" i="6" s="1"/>
  <c r="I48" i="7"/>
  <c r="I43" i="7"/>
  <c r="I39" i="7" s="1"/>
  <c r="BF129" i="5"/>
  <c r="BQ128" i="5"/>
  <c r="AC128" i="5"/>
  <c r="AG129" i="5"/>
  <c r="AS128" i="5"/>
  <c r="AW129" i="5"/>
  <c r="T63" i="7"/>
  <c r="S64" i="7"/>
  <c r="S62" i="7"/>
  <c r="BO128" i="5"/>
  <c r="BN128" i="5"/>
  <c r="BM128" i="5"/>
  <c r="BQ129" i="5"/>
  <c r="BJ117" i="5"/>
  <c r="N91" i="13"/>
  <c r="N92" i="13"/>
  <c r="S128" i="5"/>
  <c r="N129" i="5"/>
  <c r="BJ128" i="5"/>
  <c r="BN129" i="5"/>
  <c r="BM129" i="5"/>
  <c r="BK128" i="5"/>
  <c r="BT117" i="5"/>
  <c r="BS117" i="5" s="1"/>
  <c r="BS129" i="5" s="1"/>
  <c r="P91" i="13"/>
  <c r="U128" i="5"/>
  <c r="Y129" i="5"/>
  <c r="AK128" i="5"/>
  <c r="AO129" i="5"/>
  <c r="BA128" i="5"/>
  <c r="BK129" i="5"/>
  <c r="Q128" i="5"/>
  <c r="U129" i="5"/>
  <c r="AG128" i="5"/>
  <c r="AW128" i="5"/>
  <c r="BA129" i="5"/>
  <c r="BO117" i="5"/>
  <c r="O91" i="13"/>
  <c r="O92" i="13"/>
  <c r="K129" i="5"/>
  <c r="N128" i="5"/>
  <c r="S129" i="5"/>
  <c r="Y128" i="5"/>
  <c r="AC129" i="5"/>
  <c r="AO128" i="5"/>
  <c r="AS129" i="5"/>
  <c r="BE128" i="5"/>
  <c r="K128" i="5"/>
  <c r="M129" i="5"/>
  <c r="W129" i="5"/>
  <c r="G117" i="5"/>
  <c r="C91" i="13"/>
  <c r="W128" i="5"/>
  <c r="AZ117" i="5"/>
  <c r="L92" i="13"/>
  <c r="L91" i="13"/>
  <c r="AF117" i="5"/>
  <c r="H92" i="13"/>
  <c r="H91" i="13"/>
  <c r="AU117" i="5"/>
  <c r="K92" i="13"/>
  <c r="K91" i="13"/>
  <c r="AP117" i="5"/>
  <c r="J92" i="13"/>
  <c r="J91" i="13"/>
  <c r="AK117" i="5"/>
  <c r="I92" i="13"/>
  <c r="I91" i="13"/>
  <c r="L117" i="5"/>
  <c r="D92" i="13"/>
  <c r="D91" i="13"/>
  <c r="L72" i="14"/>
  <c r="L166" i="13"/>
  <c r="L167" i="13" s="1"/>
  <c r="L168" i="13" s="1"/>
  <c r="L169" i="13" s="1"/>
  <c r="L163" i="13" s="1"/>
  <c r="AA117" i="5"/>
  <c r="G92" i="13"/>
  <c r="G91" i="13"/>
  <c r="V117" i="5"/>
  <c r="F92" i="13"/>
  <c r="F91" i="13"/>
  <c r="Q117" i="5"/>
  <c r="E92" i="13"/>
  <c r="E91" i="13"/>
  <c r="N229" i="42"/>
  <c r="M226" i="42"/>
  <c r="M225" i="42" s="1"/>
  <c r="M232" i="42"/>
  <c r="M234" i="42" s="1"/>
  <c r="M240" i="42" s="1"/>
  <c r="M244" i="42" s="1"/>
  <c r="M208" i="42"/>
  <c r="M210" i="42" s="1"/>
  <c r="N204" i="42" s="1"/>
  <c r="P189" i="42"/>
  <c r="O193" i="42"/>
  <c r="P176" i="42"/>
  <c r="P175" i="42"/>
  <c r="P174" i="42"/>
  <c r="Q173" i="42"/>
  <c r="P167" i="42"/>
  <c r="P169" i="42" s="1"/>
  <c r="Q165" i="42"/>
  <c r="M228" i="42"/>
  <c r="Q94" i="42"/>
  <c r="P97" i="42"/>
  <c r="P96" i="42"/>
  <c r="P95" i="42"/>
  <c r="O114" i="42"/>
  <c r="P110" i="42"/>
  <c r="M218" i="42"/>
  <c r="M220" i="42" s="1"/>
  <c r="N214" i="42" s="1"/>
  <c r="P13" i="42"/>
  <c r="O16" i="42"/>
  <c r="O15" i="42"/>
  <c r="O14" i="42"/>
  <c r="O29" i="42"/>
  <c r="N33" i="42"/>
  <c r="N207" i="42"/>
  <c r="N184" i="42"/>
  <c r="N185" i="42" s="1"/>
  <c r="N186" i="42" s="1"/>
  <c r="N197" i="42"/>
  <c r="N198" i="42" s="1"/>
  <c r="L7" i="42"/>
  <c r="L9" i="42" s="1"/>
  <c r="M5" i="42"/>
  <c r="K86" i="42"/>
  <c r="J88" i="42"/>
  <c r="J90" i="42" s="1"/>
  <c r="N209" i="42"/>
  <c r="M206" i="42"/>
  <c r="M205" i="42" s="1"/>
  <c r="P183" i="42"/>
  <c r="O187" i="42"/>
  <c r="P195" i="42"/>
  <c r="O227" i="42"/>
  <c r="O199" i="42"/>
  <c r="O172" i="42"/>
  <c r="O196" i="42" s="1"/>
  <c r="O171" i="42"/>
  <c r="O170" i="42"/>
  <c r="O108" i="42"/>
  <c r="P104" i="42"/>
  <c r="O120" i="42"/>
  <c r="P116" i="42"/>
  <c r="N219" i="42"/>
  <c r="M216" i="42"/>
  <c r="M215" i="42" s="1"/>
  <c r="N228" i="42"/>
  <c r="O23" i="42"/>
  <c r="N27" i="42"/>
  <c r="N69" i="42"/>
  <c r="O35" i="42"/>
  <c r="N39" i="42"/>
  <c r="N217" i="42"/>
  <c r="N218" i="42" s="1"/>
  <c r="N190" i="42"/>
  <c r="N191" i="42" s="1"/>
  <c r="N192" i="42" s="1"/>
  <c r="K12" i="42"/>
  <c r="K36" i="42" s="1"/>
  <c r="K37" i="42" s="1"/>
  <c r="K38" i="42" s="1"/>
  <c r="K71" i="42" s="1"/>
  <c r="K11" i="42"/>
  <c r="K58" i="42" s="1"/>
  <c r="K10" i="42"/>
  <c r="L39" i="28"/>
  <c r="L38" i="28"/>
  <c r="M2" i="28"/>
  <c r="L21" i="28"/>
  <c r="L22" i="28" s="1"/>
  <c r="Q11" i="29"/>
  <c r="J14" i="29"/>
  <c r="J21" i="29" s="1"/>
  <c r="J24" i="29" s="1"/>
  <c r="S15" i="29"/>
  <c r="K4" i="29"/>
  <c r="K10" i="29" s="1"/>
  <c r="K12" i="29" s="1"/>
  <c r="L3" i="29"/>
  <c r="O34" i="29"/>
  <c r="O33" i="29"/>
  <c r="O23" i="29"/>
  <c r="P2" i="29"/>
  <c r="U9" i="29"/>
  <c r="V7" i="29"/>
  <c r="U6" i="29"/>
  <c r="BE117" i="5"/>
  <c r="M92" i="13"/>
  <c r="M91" i="13"/>
  <c r="CJ17" i="4"/>
  <c r="DN25" i="4"/>
  <c r="CX11" i="4"/>
  <c r="CT11" i="4" s="1"/>
  <c r="CU11" i="4" s="1"/>
  <c r="CV11" i="4" s="1"/>
  <c r="CW11" i="4" s="1"/>
  <c r="CX6" i="4"/>
  <c r="CW5" i="4"/>
  <c r="CW6" i="4" s="1"/>
  <c r="CU5" i="4"/>
  <c r="CU6" i="4" s="1"/>
  <c r="CV5" i="4"/>
  <c r="CV6" i="4" s="1"/>
  <c r="CT5" i="4"/>
  <c r="CT6" i="4" s="1"/>
  <c r="DF28" i="4"/>
  <c r="DF29" i="4"/>
  <c r="DO25" i="4"/>
  <c r="DD26" i="4"/>
  <c r="DI23" i="4"/>
  <c r="DB28" i="4"/>
  <c r="DB29" i="4"/>
  <c r="CE14" i="4"/>
  <c r="CF12" i="4"/>
  <c r="DD19" i="4"/>
  <c r="DE19" i="4" s="1"/>
  <c r="DF19" i="4" s="1"/>
  <c r="DG19" i="4" s="1"/>
  <c r="DM19" i="4"/>
  <c r="DC29" i="4"/>
  <c r="DC5" i="4" s="1"/>
  <c r="DC28" i="4"/>
  <c r="DG29" i="4"/>
  <c r="DG28" i="4"/>
  <c r="DJ37" i="4"/>
  <c r="DJ20" i="4" s="1"/>
  <c r="DO36" i="4"/>
  <c r="DN37" i="4"/>
  <c r="DN20" i="4" s="1"/>
  <c r="DS36" i="4"/>
  <c r="DD27" i="4"/>
  <c r="DW34" i="4"/>
  <c r="DL37" i="4"/>
  <c r="DL20" i="4" s="1"/>
  <c r="DQ36" i="4"/>
  <c r="DP37" i="4"/>
  <c r="DP20" i="4" s="1"/>
  <c r="DU36" i="4"/>
  <c r="DP25" i="4"/>
  <c r="DE29" i="4"/>
  <c r="DE28" i="4"/>
  <c r="DF26" i="4"/>
  <c r="DK23" i="4"/>
  <c r="DE26" i="4"/>
  <c r="DJ23" i="4"/>
  <c r="DH26" i="4"/>
  <c r="DM23" i="4"/>
  <c r="CE17" i="4"/>
  <c r="DH27" i="4"/>
  <c r="DM25" i="4"/>
  <c r="DQ25" i="4"/>
  <c r="DG26" i="4"/>
  <c r="DL23" i="4"/>
  <c r="CS12" i="4"/>
  <c r="K3" i="16"/>
  <c r="L1" i="16"/>
  <c r="E31" i="7"/>
  <c r="E130" i="7"/>
  <c r="E132" i="7" s="1"/>
  <c r="E133" i="7" s="1"/>
  <c r="E165" i="7"/>
  <c r="E167" i="7" s="1"/>
  <c r="E29" i="7"/>
  <c r="E30" i="7"/>
  <c r="J97" i="7"/>
  <c r="K80" i="7"/>
  <c r="R28" i="7"/>
  <c r="D140" i="7"/>
  <c r="V70" i="7"/>
  <c r="T74" i="7"/>
  <c r="S76" i="7"/>
  <c r="T75" i="7"/>
  <c r="I16" i="7"/>
  <c r="I112" i="7" s="1"/>
  <c r="I117" i="7" s="1"/>
  <c r="I15" i="7"/>
  <c r="I14" i="7"/>
  <c r="I13" i="7"/>
  <c r="I19" i="7" s="1"/>
  <c r="I24" i="7" s="1"/>
  <c r="L26" i="7"/>
  <c r="K27" i="7"/>
  <c r="J46" i="7"/>
  <c r="J42" i="7"/>
  <c r="J41" i="7"/>
  <c r="J40" i="7"/>
  <c r="J54" i="7"/>
  <c r="J45" i="7"/>
  <c r="J47" i="7"/>
  <c r="I101" i="7"/>
  <c r="H103" i="7"/>
  <c r="R91" i="7"/>
  <c r="S90" i="7"/>
  <c r="R89" i="7"/>
  <c r="R92" i="7"/>
  <c r="T160" i="7"/>
  <c r="Q108" i="7"/>
  <c r="Q146" i="7"/>
  <c r="J8" i="7"/>
  <c r="J12" i="7" s="1"/>
  <c r="K7" i="7"/>
  <c r="J99" i="7"/>
  <c r="U85" i="7"/>
  <c r="V86" i="7"/>
  <c r="U88" i="7"/>
  <c r="L36" i="7"/>
  <c r="K37" i="7"/>
  <c r="L37" i="7" s="1"/>
  <c r="M37" i="7" s="1"/>
  <c r="N37" i="7" s="1"/>
  <c r="O37" i="7" s="1"/>
  <c r="P37" i="7" s="1"/>
  <c r="Q37" i="7" s="1"/>
  <c r="R37" i="7" s="1"/>
  <c r="S37" i="7" s="1"/>
  <c r="T37" i="7" s="1"/>
  <c r="U37" i="7" s="1"/>
  <c r="V37" i="7" s="1"/>
  <c r="W37" i="7" s="1"/>
  <c r="X37" i="7" s="1"/>
  <c r="K35" i="7"/>
  <c r="K38" i="7"/>
  <c r="I57" i="7"/>
  <c r="I56" i="7"/>
  <c r="I55" i="7"/>
  <c r="H165" i="7"/>
  <c r="H167" i="7" s="1"/>
  <c r="H171" i="7" s="1"/>
  <c r="H31" i="7"/>
  <c r="H29" i="7"/>
  <c r="H130" i="7"/>
  <c r="H30" i="7"/>
  <c r="O10" i="7"/>
  <c r="V65" i="6"/>
  <c r="G138" i="6"/>
  <c r="G140" i="6" s="1"/>
  <c r="G155" i="6"/>
  <c r="G162" i="6" s="1"/>
  <c r="X110" i="6"/>
  <c r="X108" i="6"/>
  <c r="X111" i="6" s="1"/>
  <c r="R58" i="6"/>
  <c r="Q59" i="6"/>
  <c r="Q38" i="6" s="1"/>
  <c r="Q57" i="6"/>
  <c r="Q36" i="6" s="1"/>
  <c r="Q37" i="6"/>
  <c r="K8" i="6"/>
  <c r="L7" i="6"/>
  <c r="R150" i="6"/>
  <c r="S85" i="6"/>
  <c r="R84" i="6"/>
  <c r="R87" i="6"/>
  <c r="H27" i="6"/>
  <c r="H25" i="6"/>
  <c r="H26" i="6"/>
  <c r="R103" i="6"/>
  <c r="J94" i="6"/>
  <c r="I104" i="6"/>
  <c r="K23" i="6"/>
  <c r="J92" i="6"/>
  <c r="K75" i="6"/>
  <c r="J12" i="6"/>
  <c r="J11" i="6"/>
  <c r="J107" i="6" s="1"/>
  <c r="J112" i="6" s="1"/>
  <c r="J10" i="6"/>
  <c r="J9" i="6"/>
  <c r="J15" i="6" s="1"/>
  <c r="X141" i="6"/>
  <c r="X144" i="6" s="1"/>
  <c r="L22" i="6"/>
  <c r="I20" i="6"/>
  <c r="J19" i="6"/>
  <c r="P24" i="6"/>
  <c r="M17" i="6"/>
  <c r="L19" i="6"/>
  <c r="AX70" i="15"/>
  <c r="AC79" i="15"/>
  <c r="AD38" i="15"/>
  <c r="AO58" i="15"/>
  <c r="AP58" i="15" s="1"/>
  <c r="BT82" i="15"/>
  <c r="BO89" i="15"/>
  <c r="W19" i="13" s="1"/>
  <c r="AI38" i="15"/>
  <c r="AH79" i="15"/>
  <c r="AH90" i="15" s="1"/>
  <c r="AI59" i="15"/>
  <c r="AH60" i="15"/>
  <c r="AN54" i="15"/>
  <c r="AM55" i="15"/>
  <c r="AQ45" i="15"/>
  <c r="AQ43" i="15"/>
  <c r="AQ50" i="15"/>
  <c r="AQ48" i="15"/>
  <c r="AQ53" i="15"/>
  <c r="CN87" i="15"/>
  <c r="CN85" i="15"/>
  <c r="CS81" i="15"/>
  <c r="CN88" i="15"/>
  <c r="CN86" i="15"/>
  <c r="CN84" i="15"/>
  <c r="CN83" i="15"/>
  <c r="AH76" i="15"/>
  <c r="AH40" i="15"/>
  <c r="AG76" i="15"/>
  <c r="V94" i="14"/>
  <c r="V96" i="14"/>
  <c r="W91" i="14" s="1"/>
  <c r="V93" i="14"/>
  <c r="X92" i="14"/>
  <c r="W62" i="14"/>
  <c r="V78" i="14"/>
  <c r="H48" i="14"/>
  <c r="I45" i="14"/>
  <c r="I46" i="14" s="1"/>
  <c r="U76" i="14"/>
  <c r="Y95" i="14"/>
  <c r="Y97" i="14"/>
  <c r="X106" i="13"/>
  <c r="J112" i="13"/>
  <c r="I118" i="13"/>
  <c r="J118" i="13" s="1"/>
  <c r="K118" i="13" s="1"/>
  <c r="L118" i="13" s="1"/>
  <c r="M118" i="13" s="1"/>
  <c r="N118" i="13" s="1"/>
  <c r="O118" i="13" s="1"/>
  <c r="P118" i="13" s="1"/>
  <c r="Q118" i="13" s="1"/>
  <c r="R118" i="13" s="1"/>
  <c r="S118" i="13" s="1"/>
  <c r="T118" i="13" s="1"/>
  <c r="U118" i="13" s="1"/>
  <c r="V118" i="13" s="1"/>
  <c r="W118" i="13" s="1"/>
  <c r="X118" i="13" s="1"/>
  <c r="Y118" i="13" s="1"/>
  <c r="Z118" i="13" s="1"/>
  <c r="AA118" i="13" s="1"/>
  <c r="AB118" i="13" s="1"/>
  <c r="AC118" i="13" s="1"/>
  <c r="AD118" i="13" s="1"/>
  <c r="W56" i="13"/>
  <c r="W74" i="13"/>
  <c r="AA160" i="13"/>
  <c r="AA6" i="14" s="1"/>
  <c r="DR59" i="5"/>
  <c r="X16" i="13"/>
  <c r="Y68" i="13"/>
  <c r="W66" i="13"/>
  <c r="W77" i="13"/>
  <c r="W161" i="13"/>
  <c r="X159" i="13"/>
  <c r="W14" i="13"/>
  <c r="X158" i="13"/>
  <c r="W15" i="13"/>
  <c r="X31" i="13"/>
  <c r="U59" i="13"/>
  <c r="V54" i="13"/>
  <c r="N117" i="13"/>
  <c r="O117" i="13" s="1"/>
  <c r="P117" i="13" s="1"/>
  <c r="Q117" i="13" s="1"/>
  <c r="R117" i="13" s="1"/>
  <c r="S117" i="13" s="1"/>
  <c r="T117" i="13" s="1"/>
  <c r="U117" i="13" s="1"/>
  <c r="V117" i="13" s="1"/>
  <c r="W117" i="13" s="1"/>
  <c r="X117" i="13" s="1"/>
  <c r="Y117" i="13" s="1"/>
  <c r="Z117" i="13" s="1"/>
  <c r="AA117" i="13" s="1"/>
  <c r="AB117" i="13" s="1"/>
  <c r="AC117" i="13" s="1"/>
  <c r="AD117" i="13" s="1"/>
  <c r="Y55" i="13"/>
  <c r="BY9" i="43"/>
  <c r="V128" i="5"/>
  <c r="DH26" i="1"/>
  <c r="DB26" i="1"/>
  <c r="CZ26" i="1"/>
  <c r="DA26" i="1"/>
  <c r="CY26" i="1"/>
  <c r="BO122" i="1"/>
  <c r="BO112" i="1" s="1"/>
  <c r="DC107" i="1"/>
  <c r="DC109" i="1"/>
  <c r="CX106" i="1"/>
  <c r="BT121" i="1"/>
  <c r="K118" i="5"/>
  <c r="K100" i="5"/>
  <c r="K53" i="5"/>
  <c r="K54" i="5" s="1"/>
  <c r="K46" i="5"/>
  <c r="S42" i="5"/>
  <c r="S44" i="5" s="1"/>
  <c r="S40" i="5"/>
  <c r="AE42" i="5"/>
  <c r="AE44" i="5" s="1"/>
  <c r="AE40" i="5"/>
  <c r="AM42" i="5"/>
  <c r="AM44" i="5" s="1"/>
  <c r="AM40" i="5"/>
  <c r="AM52" i="5" s="1"/>
  <c r="AU42" i="5"/>
  <c r="AU44" i="5" s="1"/>
  <c r="K49" i="13" s="1"/>
  <c r="AU40" i="5"/>
  <c r="BC42" i="5"/>
  <c r="BC44" i="5" s="1"/>
  <c r="BC40" i="5"/>
  <c r="BC52" i="5" s="1"/>
  <c r="BK42" i="5"/>
  <c r="BK44" i="5" s="1"/>
  <c r="BK40" i="5"/>
  <c r="BK52" i="5" s="1"/>
  <c r="N42" i="5"/>
  <c r="N44" i="5" s="1"/>
  <c r="N40" i="5"/>
  <c r="AD42" i="5"/>
  <c r="AD44" i="5" s="1"/>
  <c r="AD40" i="5"/>
  <c r="AL42" i="5"/>
  <c r="AL44" i="5" s="1"/>
  <c r="AL40" i="5"/>
  <c r="AL52" i="5" s="1"/>
  <c r="AT42" i="5"/>
  <c r="AT44" i="5" s="1"/>
  <c r="AT40" i="5"/>
  <c r="BB42" i="5"/>
  <c r="BB44" i="5" s="1"/>
  <c r="BB40" i="5"/>
  <c r="BB52" i="5" s="1"/>
  <c r="E40" i="5"/>
  <c r="E42" i="5"/>
  <c r="E44" i="5" s="1"/>
  <c r="BU42" i="5"/>
  <c r="BU44" i="5" s="1"/>
  <c r="D42" i="5"/>
  <c r="D44" i="5" s="1"/>
  <c r="D40" i="5"/>
  <c r="BJ42" i="5"/>
  <c r="BJ44" i="5" s="1"/>
  <c r="N49" i="13" s="1"/>
  <c r="BJ40" i="5"/>
  <c r="W42" i="5"/>
  <c r="W44" i="5" s="1"/>
  <c r="W40" i="5"/>
  <c r="J128" i="5"/>
  <c r="R42" i="5"/>
  <c r="R44" i="5" s="1"/>
  <c r="R40" i="5"/>
  <c r="R129" i="5"/>
  <c r="I42" i="5"/>
  <c r="I44" i="5" s="1"/>
  <c r="I40" i="5"/>
  <c r="I129" i="5"/>
  <c r="U42" i="5"/>
  <c r="U44" i="5" s="1"/>
  <c r="U40" i="5"/>
  <c r="AC42" i="5"/>
  <c r="AC44" i="5" s="1"/>
  <c r="AC40" i="5"/>
  <c r="AK42" i="5"/>
  <c r="AK44" i="5" s="1"/>
  <c r="I49" i="13" s="1"/>
  <c r="AK40" i="5"/>
  <c r="AS42" i="5"/>
  <c r="AS44" i="5" s="1"/>
  <c r="AS40" i="5"/>
  <c r="BA42" i="5"/>
  <c r="BA44" i="5" s="1"/>
  <c r="BA40" i="5"/>
  <c r="BA52" i="5" s="1"/>
  <c r="BI42" i="5"/>
  <c r="BI44" i="5" s="1"/>
  <c r="BI40" i="5"/>
  <c r="BI52" i="5" s="1"/>
  <c r="BQ42" i="5"/>
  <c r="BQ44" i="5" s="1"/>
  <c r="BQ40" i="5"/>
  <c r="BQ52" i="5" s="1"/>
  <c r="H42" i="5"/>
  <c r="H44" i="5" s="1"/>
  <c r="H40" i="5"/>
  <c r="H129" i="5"/>
  <c r="L128" i="5"/>
  <c r="P42" i="5"/>
  <c r="P44" i="5" s="1"/>
  <c r="P40" i="5"/>
  <c r="P129" i="5"/>
  <c r="T128" i="5"/>
  <c r="X42" i="5"/>
  <c r="X44" i="5" s="1"/>
  <c r="X40" i="5"/>
  <c r="X129" i="5"/>
  <c r="AB128" i="5"/>
  <c r="AF42" i="5"/>
  <c r="AF44" i="5" s="1"/>
  <c r="H49" i="13" s="1"/>
  <c r="AF40" i="5"/>
  <c r="AJ128" i="5"/>
  <c r="AN42" i="5"/>
  <c r="AN44" i="5" s="1"/>
  <c r="AN40" i="5"/>
  <c r="AN52" i="5" s="1"/>
  <c r="AN129" i="5"/>
  <c r="AR128" i="5"/>
  <c r="AV42" i="5"/>
  <c r="AV40" i="5"/>
  <c r="AV52" i="5" s="1"/>
  <c r="AV129" i="5"/>
  <c r="AZ128" i="5"/>
  <c r="BR42" i="5"/>
  <c r="BR44" i="5" s="1"/>
  <c r="BR40" i="5"/>
  <c r="BR52" i="5" s="1"/>
  <c r="BR129" i="5"/>
  <c r="BD129" i="5"/>
  <c r="BD118" i="5"/>
  <c r="BD100" i="5"/>
  <c r="BD53" i="5"/>
  <c r="BD54" i="5" s="1"/>
  <c r="BD46" i="5"/>
  <c r="BH128" i="5"/>
  <c r="BL42" i="5"/>
  <c r="BL44" i="5" s="1"/>
  <c r="BL40" i="5"/>
  <c r="BL52" i="5" s="1"/>
  <c r="BL129" i="5"/>
  <c r="BP128" i="5"/>
  <c r="CN150" i="5"/>
  <c r="CH150" i="5"/>
  <c r="CF150" i="5"/>
  <c r="CG150" i="5"/>
  <c r="CE150" i="5"/>
  <c r="G42" i="5"/>
  <c r="G44" i="5" s="1"/>
  <c r="C49" i="13" s="1"/>
  <c r="G40" i="5"/>
  <c r="O42" i="5"/>
  <c r="O44" i="5" s="1"/>
  <c r="O40" i="5"/>
  <c r="AA42" i="5"/>
  <c r="AA44" i="5" s="1"/>
  <c r="G49" i="13" s="1"/>
  <c r="AA40" i="5"/>
  <c r="AI42" i="5"/>
  <c r="AI44" i="5" s="1"/>
  <c r="AI40" i="5"/>
  <c r="AQ42" i="5"/>
  <c r="AQ44" i="5" s="1"/>
  <c r="AQ40" i="5"/>
  <c r="AQ52" i="5" s="1"/>
  <c r="AY42" i="5"/>
  <c r="AY44" i="5" s="1"/>
  <c r="AY40" i="5"/>
  <c r="AY52" i="5" s="1"/>
  <c r="BG42" i="5"/>
  <c r="BG44" i="5" s="1"/>
  <c r="BG40" i="5"/>
  <c r="BG52" i="5" s="1"/>
  <c r="BO42" i="5"/>
  <c r="BO44" i="5" s="1"/>
  <c r="O49" i="13" s="1"/>
  <c r="BO40" i="5"/>
  <c r="F118" i="5"/>
  <c r="F100" i="5"/>
  <c r="F53" i="5"/>
  <c r="F54" i="5" s="1"/>
  <c r="F46" i="5"/>
  <c r="Z42" i="5"/>
  <c r="Z44" i="5" s="1"/>
  <c r="Z40" i="5"/>
  <c r="AH42" i="5"/>
  <c r="AH44" i="5" s="1"/>
  <c r="AH40" i="5"/>
  <c r="AP42" i="5"/>
  <c r="AP44" i="5" s="1"/>
  <c r="J49" i="13" s="1"/>
  <c r="AP40" i="5"/>
  <c r="AX42" i="5"/>
  <c r="AX44" i="5" s="1"/>
  <c r="AX40" i="5"/>
  <c r="AX52" i="5" s="1"/>
  <c r="BD128" i="5"/>
  <c r="M42" i="5"/>
  <c r="M44" i="5" s="1"/>
  <c r="M40" i="5"/>
  <c r="BF42" i="5"/>
  <c r="BF44" i="5" s="1"/>
  <c r="BF40" i="5"/>
  <c r="BF52" i="5" s="1"/>
  <c r="BN42" i="5"/>
  <c r="BN44" i="5" s="1"/>
  <c r="BN40" i="5"/>
  <c r="BN52" i="5" s="1"/>
  <c r="C40" i="5"/>
  <c r="C42" i="5"/>
  <c r="C44" i="5" s="1"/>
  <c r="J42" i="5"/>
  <c r="J44" i="5" s="1"/>
  <c r="J40" i="5"/>
  <c r="J129" i="5"/>
  <c r="R128" i="5"/>
  <c r="V42" i="5"/>
  <c r="V44" i="5" s="1"/>
  <c r="F49" i="13" s="1"/>
  <c r="V40" i="5"/>
  <c r="BT128" i="5"/>
  <c r="BS116" i="5"/>
  <c r="BS128" i="5" s="1"/>
  <c r="I128" i="5"/>
  <c r="Q42" i="5"/>
  <c r="Q44" i="5" s="1"/>
  <c r="E49" i="13" s="1"/>
  <c r="Q40" i="5"/>
  <c r="Y42" i="5"/>
  <c r="Y44" i="5" s="1"/>
  <c r="Y40" i="5"/>
  <c r="AG42" i="5"/>
  <c r="AG44" i="5" s="1"/>
  <c r="AG40" i="5"/>
  <c r="AO42" i="5"/>
  <c r="AO44" i="5" s="1"/>
  <c r="AO40" i="5"/>
  <c r="AO52" i="5" s="1"/>
  <c r="AW42" i="5"/>
  <c r="AW44" i="5" s="1"/>
  <c r="AW40" i="5"/>
  <c r="AW52" i="5" s="1"/>
  <c r="BE42" i="5"/>
  <c r="BE44" i="5" s="1"/>
  <c r="M49" i="13" s="1"/>
  <c r="BE40" i="5"/>
  <c r="BM42" i="5"/>
  <c r="BM44" i="5" s="1"/>
  <c r="BM40" i="5"/>
  <c r="BM52" i="5" s="1"/>
  <c r="DM125" i="5"/>
  <c r="H128" i="5"/>
  <c r="L42" i="5"/>
  <c r="L44" i="5" s="1"/>
  <c r="D49" i="13" s="1"/>
  <c r="L40" i="5"/>
  <c r="P128" i="5"/>
  <c r="T42" i="5"/>
  <c r="T44" i="5" s="1"/>
  <c r="T40" i="5"/>
  <c r="T129" i="5"/>
  <c r="X128" i="5"/>
  <c r="AB42" i="5"/>
  <c r="AB44" i="5" s="1"/>
  <c r="AB40" i="5"/>
  <c r="AB129" i="5"/>
  <c r="AF128" i="5"/>
  <c r="AJ42" i="5"/>
  <c r="AJ44" i="5" s="1"/>
  <c r="AJ40" i="5"/>
  <c r="AJ129" i="5"/>
  <c r="AN128" i="5"/>
  <c r="AR42" i="5"/>
  <c r="AR44" i="5" s="1"/>
  <c r="AR40" i="5"/>
  <c r="AR52" i="5" s="1"/>
  <c r="AR129" i="5"/>
  <c r="AV128" i="5"/>
  <c r="BR128" i="5"/>
  <c r="BH42" i="5"/>
  <c r="BH44" i="5" s="1"/>
  <c r="BH40" i="5"/>
  <c r="BH52" i="5" s="1"/>
  <c r="BH129" i="5"/>
  <c r="BL128" i="5"/>
  <c r="BP42" i="5"/>
  <c r="BP44" i="5" s="1"/>
  <c r="BP40" i="5"/>
  <c r="BP52" i="5" s="1"/>
  <c r="BP129" i="5"/>
  <c r="DM63" i="5"/>
  <c r="DH50" i="5"/>
  <c r="X7" i="14" s="1"/>
  <c r="X81" i="14" s="1"/>
  <c r="M230" i="42" l="1"/>
  <c r="N224" i="42" s="1"/>
  <c r="Q53" i="6"/>
  <c r="Q54" i="6" s="1"/>
  <c r="R44" i="6"/>
  <c r="R48" i="6"/>
  <c r="T31" i="6"/>
  <c r="T34" i="6" s="1"/>
  <c r="U32" i="6"/>
  <c r="T158" i="6"/>
  <c r="S160" i="6"/>
  <c r="S45" i="6"/>
  <c r="S46" i="6"/>
  <c r="S47" i="6"/>
  <c r="S43" i="6"/>
  <c r="S49" i="6"/>
  <c r="S41" i="6"/>
  <c r="S42" i="6"/>
  <c r="R50" i="6"/>
  <c r="R52" i="6"/>
  <c r="R51" i="6"/>
  <c r="J20" i="6"/>
  <c r="J124" i="6" s="1"/>
  <c r="J126" i="6" s="1"/>
  <c r="O197" i="42"/>
  <c r="O198" i="42" s="1"/>
  <c r="X116" i="6"/>
  <c r="W121" i="7"/>
  <c r="W123" i="7" s="1"/>
  <c r="W124" i="7" s="1"/>
  <c r="W118" i="6"/>
  <c r="W119" i="6" s="1"/>
  <c r="DM18" i="4"/>
  <c r="DD18" i="4"/>
  <c r="DE18" i="4" s="1"/>
  <c r="DF18" i="4" s="1"/>
  <c r="DG18" i="4" s="1"/>
  <c r="X174" i="13"/>
  <c r="X14" i="14"/>
  <c r="X10" i="14" s="1"/>
  <c r="CJ14" i="4"/>
  <c r="I44" i="7"/>
  <c r="P35" i="6"/>
  <c r="CX12" i="4"/>
  <c r="CX17" i="4" s="1"/>
  <c r="Q39" i="6"/>
  <c r="Q35" i="6" s="1"/>
  <c r="I58" i="7"/>
  <c r="I59" i="7" s="1"/>
  <c r="J48" i="7"/>
  <c r="J43" i="7"/>
  <c r="J39" i="7" s="1"/>
  <c r="L129" i="5"/>
  <c r="BO129" i="5"/>
  <c r="T62" i="7"/>
  <c r="T64" i="7"/>
  <c r="U63" i="7"/>
  <c r="AF129" i="5"/>
  <c r="AZ129" i="5"/>
  <c r="BT129" i="5"/>
  <c r="N87" i="13"/>
  <c r="N84" i="13"/>
  <c r="N85" i="13"/>
  <c r="BJ52" i="5"/>
  <c r="BJ53" i="5" s="1"/>
  <c r="BJ54" i="5" s="1"/>
  <c r="N72" i="14"/>
  <c r="N166" i="13"/>
  <c r="N167" i="13" s="1"/>
  <c r="N168" i="13" s="1"/>
  <c r="N169" i="13" s="1"/>
  <c r="N163" i="13" s="1"/>
  <c r="BO52" i="5"/>
  <c r="BO53" i="5" s="1"/>
  <c r="BO54" i="5" s="1"/>
  <c r="O72" i="14"/>
  <c r="O166" i="13"/>
  <c r="O167" i="13" s="1"/>
  <c r="O168" i="13" s="1"/>
  <c r="O169" i="13" s="1"/>
  <c r="O163" i="13" s="1"/>
  <c r="O87" i="13"/>
  <c r="O84" i="13"/>
  <c r="O85" i="13"/>
  <c r="AP129" i="5"/>
  <c r="BE129" i="5"/>
  <c r="Q129" i="5"/>
  <c r="F87" i="13"/>
  <c r="F84" i="13"/>
  <c r="F85" i="13"/>
  <c r="AP52" i="5"/>
  <c r="AP53" i="5" s="1"/>
  <c r="AP54" i="5" s="1"/>
  <c r="J72" i="14"/>
  <c r="J166" i="13"/>
  <c r="J167" i="13" s="1"/>
  <c r="J168" i="13" s="1"/>
  <c r="J169" i="13" s="1"/>
  <c r="J163" i="13" s="1"/>
  <c r="D72" i="14"/>
  <c r="D166" i="13"/>
  <c r="D167" i="13" s="1"/>
  <c r="D168" i="13" s="1"/>
  <c r="D169" i="13" s="1"/>
  <c r="D163" i="13" s="1"/>
  <c r="J87" i="13"/>
  <c r="J84" i="13"/>
  <c r="J85" i="13"/>
  <c r="G87" i="13"/>
  <c r="G84" i="13"/>
  <c r="G85" i="13"/>
  <c r="C87" i="13"/>
  <c r="C84" i="13"/>
  <c r="C85" i="13"/>
  <c r="I87" i="13"/>
  <c r="I84" i="13"/>
  <c r="I85" i="13"/>
  <c r="BJ129" i="5"/>
  <c r="AA129" i="5"/>
  <c r="AK129" i="5"/>
  <c r="D87" i="13"/>
  <c r="D84" i="13"/>
  <c r="D85" i="13"/>
  <c r="E72" i="14"/>
  <c r="E166" i="13"/>
  <c r="E167" i="13" s="1"/>
  <c r="E168" i="13" s="1"/>
  <c r="E169" i="13" s="1"/>
  <c r="E163" i="13" s="1"/>
  <c r="H72" i="14"/>
  <c r="H166" i="13"/>
  <c r="H167" i="13" s="1"/>
  <c r="H168" i="13" s="1"/>
  <c r="H169" i="13" s="1"/>
  <c r="H163" i="13" s="1"/>
  <c r="V129" i="5"/>
  <c r="E87" i="13"/>
  <c r="E84" i="13"/>
  <c r="E85" i="13"/>
  <c r="F166" i="13"/>
  <c r="F167" i="13" s="1"/>
  <c r="F168" i="13" s="1"/>
  <c r="F169" i="13" s="1"/>
  <c r="F163" i="13" s="1"/>
  <c r="F72" i="14"/>
  <c r="H87" i="13"/>
  <c r="H84" i="13"/>
  <c r="H85" i="13"/>
  <c r="K72" i="14"/>
  <c r="K166" i="13"/>
  <c r="K167" i="13" s="1"/>
  <c r="K168" i="13" s="1"/>
  <c r="K169" i="13" s="1"/>
  <c r="K163" i="13" s="1"/>
  <c r="AU129" i="5"/>
  <c r="G72" i="14"/>
  <c r="G166" i="13"/>
  <c r="G167" i="13" s="1"/>
  <c r="G168" i="13" s="1"/>
  <c r="G169" i="13" s="1"/>
  <c r="G163" i="13" s="1"/>
  <c r="C166" i="13"/>
  <c r="C167" i="13" s="1"/>
  <c r="C168" i="13" s="1"/>
  <c r="C169" i="13" s="1"/>
  <c r="C163" i="13" s="1"/>
  <c r="C72" i="14"/>
  <c r="I72" i="14"/>
  <c r="I166" i="13"/>
  <c r="I167" i="13" s="1"/>
  <c r="I168" i="13" s="1"/>
  <c r="I169" i="13" s="1"/>
  <c r="I163" i="13" s="1"/>
  <c r="K87" i="13"/>
  <c r="K84" i="13"/>
  <c r="K85" i="13"/>
  <c r="N236" i="42"/>
  <c r="N238" i="42" s="1"/>
  <c r="K47" i="42"/>
  <c r="K24" i="42"/>
  <c r="K25" i="42" s="1"/>
  <c r="K26" i="42" s="1"/>
  <c r="K49" i="42" s="1"/>
  <c r="L71" i="42"/>
  <c r="K68" i="42"/>
  <c r="K67" i="42" s="1"/>
  <c r="K70" i="42"/>
  <c r="K72" i="42" s="1"/>
  <c r="L66" i="42" s="1"/>
  <c r="N216" i="42"/>
  <c r="N215" i="42" s="1"/>
  <c r="O219" i="42"/>
  <c r="O207" i="42"/>
  <c r="O184" i="42"/>
  <c r="O185" i="42" s="1"/>
  <c r="O186" i="42" s="1"/>
  <c r="N206" i="42"/>
  <c r="N205" i="42" s="1"/>
  <c r="O209" i="42"/>
  <c r="K88" i="42"/>
  <c r="K90" i="42" s="1"/>
  <c r="L86" i="42"/>
  <c r="L12" i="42"/>
  <c r="L36" i="42" s="1"/>
  <c r="L37" i="42" s="1"/>
  <c r="L38" i="42" s="1"/>
  <c r="L11" i="42"/>
  <c r="L10" i="42"/>
  <c r="O27" i="42"/>
  <c r="P23" i="42"/>
  <c r="O39" i="42"/>
  <c r="O69" i="42"/>
  <c r="P35" i="42"/>
  <c r="N220" i="42"/>
  <c r="O214" i="42" s="1"/>
  <c r="Q104" i="42"/>
  <c r="P108" i="42"/>
  <c r="P148" i="42"/>
  <c r="Q116" i="42"/>
  <c r="P120" i="42"/>
  <c r="P172" i="42"/>
  <c r="P196" i="42" s="1"/>
  <c r="P171" i="42"/>
  <c r="P170" i="42"/>
  <c r="P187" i="42"/>
  <c r="Q183" i="42"/>
  <c r="P227" i="42"/>
  <c r="P199" i="42"/>
  <c r="Q195" i="42"/>
  <c r="K30" i="42"/>
  <c r="K31" i="42" s="1"/>
  <c r="K32" i="42" s="1"/>
  <c r="K60" i="42" s="1"/>
  <c r="O217" i="42"/>
  <c r="O218" i="42" s="1"/>
  <c r="O190" i="42"/>
  <c r="O191" i="42" s="1"/>
  <c r="O192" i="42" s="1"/>
  <c r="J93" i="42"/>
  <c r="J92" i="42"/>
  <c r="J91" i="42"/>
  <c r="N5" i="42"/>
  <c r="M7" i="42"/>
  <c r="M9" i="42" s="1"/>
  <c r="N232" i="42"/>
  <c r="N234" i="42" s="1"/>
  <c r="N208" i="42"/>
  <c r="N210" i="42" s="1"/>
  <c r="O204" i="42" s="1"/>
  <c r="O33" i="42"/>
  <c r="P29" i="42"/>
  <c r="P16" i="42"/>
  <c r="P15" i="42"/>
  <c r="P14" i="42"/>
  <c r="Q13" i="42"/>
  <c r="Q110" i="42"/>
  <c r="P114" i="42"/>
  <c r="Q97" i="42"/>
  <c r="Q96" i="42"/>
  <c r="Q95" i="42"/>
  <c r="R94" i="42"/>
  <c r="R165" i="42"/>
  <c r="Q167" i="42"/>
  <c r="Q169" i="42" s="1"/>
  <c r="R173" i="42"/>
  <c r="Q176" i="42"/>
  <c r="Q175" i="42"/>
  <c r="Q174" i="42"/>
  <c r="P193" i="42"/>
  <c r="Q189" i="42"/>
  <c r="N226" i="42"/>
  <c r="O229" i="42"/>
  <c r="O228" i="42" s="1"/>
  <c r="M38" i="28"/>
  <c r="M21" i="28"/>
  <c r="M22" i="28" s="1"/>
  <c r="N2" i="28"/>
  <c r="M39" i="28"/>
  <c r="K14" i="29"/>
  <c r="K21" i="29" s="1"/>
  <c r="K24" i="29" s="1"/>
  <c r="T15" i="29"/>
  <c r="R11" i="29"/>
  <c r="W7" i="29"/>
  <c r="V6" i="29"/>
  <c r="V9" i="29"/>
  <c r="P33" i="29"/>
  <c r="P23" i="29"/>
  <c r="P34" i="29"/>
  <c r="Q2" i="29"/>
  <c r="M3" i="29"/>
  <c r="L4" i="29"/>
  <c r="L10" i="29" s="1"/>
  <c r="L12" i="29" s="1"/>
  <c r="BE52" i="5"/>
  <c r="BE53" i="5" s="1"/>
  <c r="BE54" i="5" s="1"/>
  <c r="M166" i="13"/>
  <c r="M167" i="13" s="1"/>
  <c r="M168" i="13" s="1"/>
  <c r="M169" i="13" s="1"/>
  <c r="M163" i="13" s="1"/>
  <c r="M72" i="14"/>
  <c r="DL26" i="4"/>
  <c r="DQ23" i="4"/>
  <c r="DQ27" i="4" s="1"/>
  <c r="DV25" i="4"/>
  <c r="DM27" i="4"/>
  <c r="DR25" i="4"/>
  <c r="DM26" i="4"/>
  <c r="DR23" i="4"/>
  <c r="DJ26" i="4"/>
  <c r="DO23" i="4"/>
  <c r="DO27" i="4" s="1"/>
  <c r="DK26" i="4"/>
  <c r="DP23" i="4"/>
  <c r="DU25" i="4"/>
  <c r="DZ36" i="4"/>
  <c r="DU37" i="4"/>
  <c r="DU20" i="4" s="1"/>
  <c r="DV36" i="4"/>
  <c r="DQ37" i="4"/>
  <c r="DQ20" i="4" s="1"/>
  <c r="EB34" i="4"/>
  <c r="DD29" i="4"/>
  <c r="DD28" i="4"/>
  <c r="CK14" i="4"/>
  <c r="CL12" i="4"/>
  <c r="DR19" i="4"/>
  <c r="DI19" i="4"/>
  <c r="DJ19" i="4" s="1"/>
  <c r="DK19" i="4" s="1"/>
  <c r="DL19" i="4" s="1"/>
  <c r="CG12" i="4"/>
  <c r="CF14" i="4"/>
  <c r="DI26" i="4"/>
  <c r="DN23" i="4"/>
  <c r="DJ27" i="4"/>
  <c r="DI27" i="4"/>
  <c r="CK17" i="4"/>
  <c r="CJ15" i="4"/>
  <c r="M87" i="13"/>
  <c r="M84" i="13"/>
  <c r="M85" i="13"/>
  <c r="CO12" i="4"/>
  <c r="CS17" i="4"/>
  <c r="DL27" i="4"/>
  <c r="DH29" i="4"/>
  <c r="DH5" i="4" s="1"/>
  <c r="DH28" i="4"/>
  <c r="CF17" i="4"/>
  <c r="CE15" i="4"/>
  <c r="DK27" i="4"/>
  <c r="DX36" i="4"/>
  <c r="DS37" i="4"/>
  <c r="DS20" i="4" s="1"/>
  <c r="DT36" i="4"/>
  <c r="DO37" i="4"/>
  <c r="DO20" i="4" s="1"/>
  <c r="DA5" i="4"/>
  <c r="DA6" i="4" s="1"/>
  <c r="CY5" i="4"/>
  <c r="CY6" i="4" s="1"/>
  <c r="DC11" i="4"/>
  <c r="CY11" i="4" s="1"/>
  <c r="CZ11" i="4" s="1"/>
  <c r="DA11" i="4" s="1"/>
  <c r="DB11" i="4" s="1"/>
  <c r="DC6" i="4"/>
  <c r="DB5" i="4"/>
  <c r="DB6" i="4" s="1"/>
  <c r="CZ5" i="4"/>
  <c r="CZ6" i="4" s="1"/>
  <c r="DT25" i="4"/>
  <c r="DS25" i="4"/>
  <c r="DN27" i="4"/>
  <c r="L3" i="16"/>
  <c r="M1" i="16"/>
  <c r="H131" i="6"/>
  <c r="H133" i="6" s="1"/>
  <c r="H134" i="6" s="1"/>
  <c r="E137" i="7"/>
  <c r="E139" i="7" s="1"/>
  <c r="E140" i="7" s="1"/>
  <c r="E177" i="7"/>
  <c r="E171" i="7"/>
  <c r="G23" i="7"/>
  <c r="G24" i="7" s="1"/>
  <c r="F24" i="7"/>
  <c r="K54" i="7"/>
  <c r="K41" i="7"/>
  <c r="K40" i="7"/>
  <c r="K47" i="7"/>
  <c r="K46" i="7"/>
  <c r="K45" i="7"/>
  <c r="K42" i="7"/>
  <c r="J15" i="7"/>
  <c r="J14" i="7"/>
  <c r="J13" i="7"/>
  <c r="J19" i="7" s="1"/>
  <c r="J24" i="7" s="1"/>
  <c r="J16" i="7"/>
  <c r="J112" i="7" s="1"/>
  <c r="J117" i="7" s="1"/>
  <c r="J101" i="7"/>
  <c r="I103" i="7"/>
  <c r="J56" i="7"/>
  <c r="J55" i="7"/>
  <c r="J57" i="7"/>
  <c r="M26" i="7"/>
  <c r="I165" i="7"/>
  <c r="I167" i="7" s="1"/>
  <c r="I171" i="7" s="1"/>
  <c r="I31" i="7"/>
  <c r="I29" i="7"/>
  <c r="I30" i="7"/>
  <c r="T76" i="7"/>
  <c r="U75" i="7"/>
  <c r="S28" i="7"/>
  <c r="K97" i="7"/>
  <c r="L80" i="7"/>
  <c r="P10" i="7"/>
  <c r="H144" i="7"/>
  <c r="H148" i="7" s="1"/>
  <c r="I130" i="7"/>
  <c r="L35" i="7"/>
  <c r="M36" i="7"/>
  <c r="L38" i="7"/>
  <c r="W86" i="7"/>
  <c r="V85" i="7"/>
  <c r="V88" i="7"/>
  <c r="K99" i="7"/>
  <c r="K8" i="7"/>
  <c r="K12" i="7" s="1"/>
  <c r="L7" i="7"/>
  <c r="R146" i="7"/>
  <c r="R108" i="7"/>
  <c r="U160" i="7"/>
  <c r="S91" i="7"/>
  <c r="T90" i="7"/>
  <c r="S89" i="7"/>
  <c r="S92" i="7"/>
  <c r="H137" i="7"/>
  <c r="H109" i="7"/>
  <c r="L27" i="7"/>
  <c r="U74" i="7"/>
  <c r="W70" i="7"/>
  <c r="N17" i="6"/>
  <c r="M19" i="6"/>
  <c r="I27" i="6"/>
  <c r="I25" i="6"/>
  <c r="I124" i="6"/>
  <c r="I126" i="6" s="1"/>
  <c r="I127" i="6" s="1"/>
  <c r="I26" i="6"/>
  <c r="L23" i="6"/>
  <c r="J104" i="6"/>
  <c r="K94" i="6"/>
  <c r="S103" i="6"/>
  <c r="T85" i="6"/>
  <c r="S84" i="6"/>
  <c r="S87" i="6"/>
  <c r="S150" i="6"/>
  <c r="K12" i="6"/>
  <c r="K11" i="6"/>
  <c r="K107" i="6" s="1"/>
  <c r="K112" i="6" s="1"/>
  <c r="K164" i="6" s="1"/>
  <c r="K170" i="6" s="1"/>
  <c r="K10" i="6"/>
  <c r="K9" i="6"/>
  <c r="K15" i="6" s="1"/>
  <c r="K20" i="6" s="1"/>
  <c r="K26" i="6" s="1"/>
  <c r="R59" i="6"/>
  <c r="R38" i="6" s="1"/>
  <c r="R57" i="6"/>
  <c r="R36" i="6" s="1"/>
  <c r="R37" i="6"/>
  <c r="S58" i="6"/>
  <c r="W65" i="6"/>
  <c r="Q24" i="6"/>
  <c r="J27" i="6"/>
  <c r="J25" i="6"/>
  <c r="M22" i="6"/>
  <c r="L75" i="6"/>
  <c r="K92" i="6"/>
  <c r="J26" i="6"/>
  <c r="H138" i="6"/>
  <c r="H140" i="6" s="1"/>
  <c r="H144" i="6" s="1"/>
  <c r="H155" i="6"/>
  <c r="H162" i="6" s="1"/>
  <c r="M7" i="6"/>
  <c r="L8" i="6"/>
  <c r="AR53" i="15"/>
  <c r="AR48" i="15"/>
  <c r="AR50" i="15"/>
  <c r="AR43" i="15"/>
  <c r="AR45" i="15"/>
  <c r="AO54" i="15"/>
  <c r="AN55" i="15"/>
  <c r="AJ59" i="15"/>
  <c r="AI60" i="15"/>
  <c r="AI76" i="15"/>
  <c r="AI40" i="15"/>
  <c r="AY70" i="15"/>
  <c r="CX81" i="15"/>
  <c r="CS88" i="15"/>
  <c r="CS86" i="15"/>
  <c r="CS84" i="15"/>
  <c r="CS87" i="15"/>
  <c r="CS85" i="15"/>
  <c r="CS83" i="15"/>
  <c r="AI36" i="15"/>
  <c r="BY82" i="15"/>
  <c r="AQ58" i="15"/>
  <c r="AQ79" i="15" s="1"/>
  <c r="AQ90" i="15" s="1"/>
  <c r="AD76" i="15"/>
  <c r="AD78" i="15" s="1"/>
  <c r="AD40" i="15"/>
  <c r="AD36" i="15"/>
  <c r="W96" i="14"/>
  <c r="W94" i="14"/>
  <c r="W93" i="14"/>
  <c r="Z97" i="14"/>
  <c r="Z95" i="14"/>
  <c r="V76" i="14"/>
  <c r="J45" i="14"/>
  <c r="J46" i="14" s="1"/>
  <c r="I48" i="14"/>
  <c r="W78" i="14"/>
  <c r="X62" i="14"/>
  <c r="Y92" i="14"/>
  <c r="Z55" i="13"/>
  <c r="Y31" i="13"/>
  <c r="Y158" i="13"/>
  <c r="X15" i="13"/>
  <c r="Y159" i="13"/>
  <c r="X161" i="13"/>
  <c r="X14" i="13"/>
  <c r="X77" i="13"/>
  <c r="X66" i="13"/>
  <c r="Z68" i="13"/>
  <c r="Y16" i="13"/>
  <c r="X74" i="13"/>
  <c r="V59" i="13"/>
  <c r="W54" i="13"/>
  <c r="W175" i="13"/>
  <c r="AB160" i="13"/>
  <c r="AB6" i="14" s="1"/>
  <c r="DW59" i="5"/>
  <c r="X56" i="13"/>
  <c r="J119" i="13"/>
  <c r="K119" i="13" s="1"/>
  <c r="L119" i="13" s="1"/>
  <c r="M119" i="13" s="1"/>
  <c r="N119" i="13" s="1"/>
  <c r="O119" i="13" s="1"/>
  <c r="P119" i="13" s="1"/>
  <c r="Q119" i="13" s="1"/>
  <c r="R119" i="13" s="1"/>
  <c r="S119" i="13" s="1"/>
  <c r="T119" i="13" s="1"/>
  <c r="U119" i="13" s="1"/>
  <c r="V119" i="13" s="1"/>
  <c r="W119" i="13" s="1"/>
  <c r="X119" i="13" s="1"/>
  <c r="Y119" i="13" s="1"/>
  <c r="Z119" i="13" s="1"/>
  <c r="AA119" i="13" s="1"/>
  <c r="AB119" i="13" s="1"/>
  <c r="AC119" i="13" s="1"/>
  <c r="AD119" i="13" s="1"/>
  <c r="K112" i="13"/>
  <c r="Y106" i="13"/>
  <c r="BZ9" i="43"/>
  <c r="DC106" i="1"/>
  <c r="DH109" i="1"/>
  <c r="DH107" i="1"/>
  <c r="DF26" i="1"/>
  <c r="DD26" i="1"/>
  <c r="DM26" i="1"/>
  <c r="DG26" i="1"/>
  <c r="DE26" i="1"/>
  <c r="BT122" i="1"/>
  <c r="BT112" i="1" s="1"/>
  <c r="BT111" i="1"/>
  <c r="BP118" i="5"/>
  <c r="BP100" i="5"/>
  <c r="BP53" i="5"/>
  <c r="BP46" i="5"/>
  <c r="BH118" i="5"/>
  <c r="BH100" i="5"/>
  <c r="BH53" i="5"/>
  <c r="BH54" i="5" s="1"/>
  <c r="BH46" i="5"/>
  <c r="DR125" i="5"/>
  <c r="BM118" i="5"/>
  <c r="BM100" i="5"/>
  <c r="BM53" i="5"/>
  <c r="BM54" i="5" s="1"/>
  <c r="BM46" i="5"/>
  <c r="BE118" i="5"/>
  <c r="BE100" i="5"/>
  <c r="BE46" i="5"/>
  <c r="AW118" i="5"/>
  <c r="AW100" i="5"/>
  <c r="AW53" i="5"/>
  <c r="AW54" i="5" s="1"/>
  <c r="AW46" i="5"/>
  <c r="AO118" i="5"/>
  <c r="AO100" i="5"/>
  <c r="AO53" i="5"/>
  <c r="AO54" i="5" s="1"/>
  <c r="AO46" i="5"/>
  <c r="AG118" i="5"/>
  <c r="AG100" i="5"/>
  <c r="AG53" i="5"/>
  <c r="AG54" i="5" s="1"/>
  <c r="AG46" i="5"/>
  <c r="Y118" i="5"/>
  <c r="Y100" i="5"/>
  <c r="Y53" i="5"/>
  <c r="Y54" i="5" s="1"/>
  <c r="Y46" i="5"/>
  <c r="Q118" i="5"/>
  <c r="Q100" i="5"/>
  <c r="Q53" i="5"/>
  <c r="Q54" i="5" s="1"/>
  <c r="Q46" i="5"/>
  <c r="V118" i="5"/>
  <c r="V100" i="5"/>
  <c r="V53" i="5"/>
  <c r="V54" i="5" s="1"/>
  <c r="V46" i="5"/>
  <c r="V127" i="5" s="1"/>
  <c r="J118" i="5"/>
  <c r="J100" i="5"/>
  <c r="J53" i="5"/>
  <c r="J54" i="5" s="1"/>
  <c r="J46" i="5"/>
  <c r="BN118" i="5"/>
  <c r="BN100" i="5"/>
  <c r="BN53" i="5"/>
  <c r="BN54" i="5" s="1"/>
  <c r="BN46" i="5"/>
  <c r="BF118" i="5"/>
  <c r="BF100" i="5"/>
  <c r="BF53" i="5"/>
  <c r="BF54" i="5" s="1"/>
  <c r="BF46" i="5"/>
  <c r="AX118" i="5"/>
  <c r="AX100" i="5"/>
  <c r="AX53" i="5"/>
  <c r="AX54" i="5" s="1"/>
  <c r="AX46" i="5"/>
  <c r="AP118" i="5"/>
  <c r="AP100" i="5"/>
  <c r="AP46" i="5"/>
  <c r="AH118" i="5"/>
  <c r="AH100" i="5"/>
  <c r="AH53" i="5"/>
  <c r="AH54" i="5" s="1"/>
  <c r="AH46" i="5"/>
  <c r="Z118" i="5"/>
  <c r="Z100" i="5"/>
  <c r="Z53" i="5"/>
  <c r="Z54" i="5" s="1"/>
  <c r="Z46" i="5"/>
  <c r="BO118" i="5"/>
  <c r="BO100" i="5"/>
  <c r="BO46" i="5"/>
  <c r="BG118" i="5"/>
  <c r="BG100" i="5"/>
  <c r="BG53" i="5"/>
  <c r="BG54" i="5" s="1"/>
  <c r="BG46" i="5"/>
  <c r="AY118" i="5"/>
  <c r="AY100" i="5"/>
  <c r="AY53" i="5"/>
  <c r="AY54" i="5" s="1"/>
  <c r="AY46" i="5"/>
  <c r="BD127" i="5" s="1"/>
  <c r="AQ118" i="5"/>
  <c r="AQ100" i="5"/>
  <c r="AQ53" i="5"/>
  <c r="AQ54" i="5" s="1"/>
  <c r="AQ46" i="5"/>
  <c r="AI118" i="5"/>
  <c r="AI100" i="5"/>
  <c r="AI53" i="5"/>
  <c r="AI54" i="5" s="1"/>
  <c r="AI46" i="5"/>
  <c r="AA118" i="5"/>
  <c r="AA100" i="5"/>
  <c r="AA53" i="5"/>
  <c r="AA54" i="5" s="1"/>
  <c r="AA46" i="5"/>
  <c r="O118" i="5"/>
  <c r="O100" i="5"/>
  <c r="O53" i="5"/>
  <c r="O54" i="5" s="1"/>
  <c r="O46" i="5"/>
  <c r="G118" i="5"/>
  <c r="G100" i="5"/>
  <c r="G53" i="5"/>
  <c r="G54" i="5" s="1"/>
  <c r="G46" i="5"/>
  <c r="AZ52" i="5"/>
  <c r="I118" i="5"/>
  <c r="I100" i="5"/>
  <c r="I53" i="5"/>
  <c r="I54" i="5" s="1"/>
  <c r="I46" i="5"/>
  <c r="W118" i="5"/>
  <c r="W100" i="5"/>
  <c r="W53" i="5"/>
  <c r="W54" i="5" s="1"/>
  <c r="W46" i="5"/>
  <c r="BU52" i="5"/>
  <c r="BU53" i="5" s="1"/>
  <c r="BU54" i="5" s="1"/>
  <c r="E118" i="5"/>
  <c r="E100" i="5"/>
  <c r="E53" i="5"/>
  <c r="E54" i="5" s="1"/>
  <c r="E46" i="5"/>
  <c r="K127" i="5"/>
  <c r="K145" i="5"/>
  <c r="K102" i="5"/>
  <c r="DR63" i="5"/>
  <c r="DM50" i="5"/>
  <c r="Y7" i="14" s="1"/>
  <c r="Y81" i="14" s="1"/>
  <c r="AR118" i="5"/>
  <c r="AR100" i="5"/>
  <c r="AR53" i="5"/>
  <c r="AR54" i="5" s="1"/>
  <c r="AR46" i="5"/>
  <c r="AJ118" i="5"/>
  <c r="AJ100" i="5"/>
  <c r="AJ53" i="5"/>
  <c r="AJ54" i="5" s="1"/>
  <c r="AJ46" i="5"/>
  <c r="AB118" i="5"/>
  <c r="AB100" i="5"/>
  <c r="AB53" i="5"/>
  <c r="AB54" i="5" s="1"/>
  <c r="AB46" i="5"/>
  <c r="T118" i="5"/>
  <c r="T100" i="5"/>
  <c r="T53" i="5"/>
  <c r="T54" i="5" s="1"/>
  <c r="T46" i="5"/>
  <c r="L118" i="5"/>
  <c r="L100" i="5"/>
  <c r="L53" i="5"/>
  <c r="L54" i="5" s="1"/>
  <c r="L46" i="5"/>
  <c r="C118" i="5"/>
  <c r="C100" i="5"/>
  <c r="C53" i="5"/>
  <c r="C54" i="5" s="1"/>
  <c r="C46" i="5"/>
  <c r="M118" i="5"/>
  <c r="M100" i="5"/>
  <c r="M53" i="5"/>
  <c r="M54" i="5" s="1"/>
  <c r="M46" i="5"/>
  <c r="F145" i="5"/>
  <c r="F102" i="5"/>
  <c r="AU52" i="5"/>
  <c r="AU53" i="5" s="1"/>
  <c r="AU54" i="5" s="1"/>
  <c r="CL150" i="5"/>
  <c r="CJ150" i="5"/>
  <c r="CS150" i="5"/>
  <c r="CK150" i="5"/>
  <c r="CM150" i="5"/>
  <c r="BL118" i="5"/>
  <c r="BL100" i="5"/>
  <c r="BL53" i="5"/>
  <c r="BL54" i="5" s="1"/>
  <c r="BL46" i="5"/>
  <c r="BD145" i="5"/>
  <c r="BD102" i="5"/>
  <c r="BR118" i="5"/>
  <c r="BR100" i="5"/>
  <c r="BR53" i="5"/>
  <c r="BR54" i="5" s="1"/>
  <c r="BR46" i="5"/>
  <c r="AV44" i="5"/>
  <c r="AZ42" i="5"/>
  <c r="AZ44" i="5" s="1"/>
  <c r="L49" i="13" s="1"/>
  <c r="AN118" i="5"/>
  <c r="AN100" i="5"/>
  <c r="AN53" i="5"/>
  <c r="AN54" i="5" s="1"/>
  <c r="AN46" i="5"/>
  <c r="AF118" i="5"/>
  <c r="AF100" i="5"/>
  <c r="AF53" i="5"/>
  <c r="AF54" i="5" s="1"/>
  <c r="AF46" i="5"/>
  <c r="X118" i="5"/>
  <c r="X100" i="5"/>
  <c r="X53" i="5"/>
  <c r="X54" i="5" s="1"/>
  <c r="X46" i="5"/>
  <c r="P118" i="5"/>
  <c r="P100" i="5"/>
  <c r="P53" i="5"/>
  <c r="P54" i="5" s="1"/>
  <c r="P46" i="5"/>
  <c r="P127" i="5" s="1"/>
  <c r="H118" i="5"/>
  <c r="H100" i="5"/>
  <c r="H53" i="5"/>
  <c r="H54" i="5" s="1"/>
  <c r="H46" i="5"/>
  <c r="BQ118" i="5"/>
  <c r="BQ100" i="5"/>
  <c r="BQ53" i="5"/>
  <c r="BQ54" i="5" s="1"/>
  <c r="BQ46" i="5"/>
  <c r="BI118" i="5"/>
  <c r="BI100" i="5"/>
  <c r="BI53" i="5"/>
  <c r="BI54" i="5" s="1"/>
  <c r="BI46" i="5"/>
  <c r="BI127" i="5" s="1"/>
  <c r="BA118" i="5"/>
  <c r="BA100" i="5"/>
  <c r="BA53" i="5"/>
  <c r="BA54" i="5" s="1"/>
  <c r="BA46" i="5"/>
  <c r="AS118" i="5"/>
  <c r="AS100" i="5"/>
  <c r="AS53" i="5"/>
  <c r="AS54" i="5" s="1"/>
  <c r="AS46" i="5"/>
  <c r="AS127" i="5" s="1"/>
  <c r="AK118" i="5"/>
  <c r="AK100" i="5"/>
  <c r="AK53" i="5"/>
  <c r="AK54" i="5" s="1"/>
  <c r="AK46" i="5"/>
  <c r="AK127" i="5" s="1"/>
  <c r="AC118" i="5"/>
  <c r="AC100" i="5"/>
  <c r="AC53" i="5"/>
  <c r="AC54" i="5" s="1"/>
  <c r="AC46" i="5"/>
  <c r="AC127" i="5" s="1"/>
  <c r="U118" i="5"/>
  <c r="U100" i="5"/>
  <c r="U53" i="5"/>
  <c r="U54" i="5" s="1"/>
  <c r="U46" i="5"/>
  <c r="U127" i="5" s="1"/>
  <c r="R118" i="5"/>
  <c r="R100" i="5"/>
  <c r="R53" i="5"/>
  <c r="R54" i="5" s="1"/>
  <c r="R46" i="5"/>
  <c r="BJ118" i="5"/>
  <c r="BJ100" i="5"/>
  <c r="BJ46" i="5"/>
  <c r="D118" i="5"/>
  <c r="D100" i="5"/>
  <c r="D53" i="5"/>
  <c r="D54" i="5" s="1"/>
  <c r="D46" i="5"/>
  <c r="BU118" i="5"/>
  <c r="BU100" i="5"/>
  <c r="BU46" i="5"/>
  <c r="BB118" i="5"/>
  <c r="BB100" i="5"/>
  <c r="BB53" i="5"/>
  <c r="BB54" i="5" s="1"/>
  <c r="BB46" i="5"/>
  <c r="AT118" i="5"/>
  <c r="AT100" i="5"/>
  <c r="AT53" i="5"/>
  <c r="AT54" i="5" s="1"/>
  <c r="AT46" i="5"/>
  <c r="AL118" i="5"/>
  <c r="AL100" i="5"/>
  <c r="AL53" i="5"/>
  <c r="AL54" i="5" s="1"/>
  <c r="AL46" i="5"/>
  <c r="AD118" i="5"/>
  <c r="AD100" i="5"/>
  <c r="AD53" i="5"/>
  <c r="AD54" i="5" s="1"/>
  <c r="AD46" i="5"/>
  <c r="N118" i="5"/>
  <c r="N100" i="5"/>
  <c r="N53" i="5"/>
  <c r="N54" i="5" s="1"/>
  <c r="N46" i="5"/>
  <c r="BK118" i="5"/>
  <c r="BK100" i="5"/>
  <c r="BK53" i="5"/>
  <c r="BK54" i="5" s="1"/>
  <c r="BK46" i="5"/>
  <c r="BC118" i="5"/>
  <c r="BC100" i="5"/>
  <c r="BC53" i="5"/>
  <c r="BC54" i="5" s="1"/>
  <c r="BC46" i="5"/>
  <c r="AU118" i="5"/>
  <c r="AU100" i="5"/>
  <c r="AU46" i="5"/>
  <c r="AM118" i="5"/>
  <c r="AM100" i="5"/>
  <c r="AM53" i="5"/>
  <c r="AM54" i="5" s="1"/>
  <c r="AM46" i="5"/>
  <c r="AE118" i="5"/>
  <c r="AE100" i="5"/>
  <c r="AE53" i="5"/>
  <c r="AE54" i="5" s="1"/>
  <c r="AE46" i="5"/>
  <c r="S118" i="5"/>
  <c r="S100" i="5"/>
  <c r="S53" i="5"/>
  <c r="S54" i="5" s="1"/>
  <c r="S46" i="5"/>
  <c r="N225" i="42" l="1"/>
  <c r="N230" i="42" s="1"/>
  <c r="O224" i="42" s="1"/>
  <c r="BL127" i="5"/>
  <c r="L127" i="5"/>
  <c r="T127" i="5"/>
  <c r="BC127" i="5"/>
  <c r="BK127" i="5"/>
  <c r="N127" i="5"/>
  <c r="AD127" i="5"/>
  <c r="AL127" i="5"/>
  <c r="AT127" i="5"/>
  <c r="BB127" i="5"/>
  <c r="BJ127" i="5"/>
  <c r="R53" i="6"/>
  <c r="R54" i="6" s="1"/>
  <c r="S48" i="6"/>
  <c r="S44" i="6"/>
  <c r="N240" i="42"/>
  <c r="N244" i="42" s="1"/>
  <c r="U158" i="6"/>
  <c r="T160" i="6"/>
  <c r="X121" i="7"/>
  <c r="X123" i="7" s="1"/>
  <c r="X124" i="7" s="1"/>
  <c r="X118" i="6"/>
  <c r="X119" i="6" s="1"/>
  <c r="S50" i="6"/>
  <c r="S51" i="6"/>
  <c r="S52" i="6"/>
  <c r="T45" i="6"/>
  <c r="T47" i="6"/>
  <c r="T41" i="6"/>
  <c r="T46" i="6"/>
  <c r="T42" i="6"/>
  <c r="T49" i="6"/>
  <c r="T43" i="6"/>
  <c r="V32" i="6"/>
  <c r="U31" i="6"/>
  <c r="U34" i="6" s="1"/>
  <c r="DI18" i="4"/>
  <c r="DJ18" i="4" s="1"/>
  <c r="DK18" i="4" s="1"/>
  <c r="DL18" i="4" s="1"/>
  <c r="DR18" i="4"/>
  <c r="X91" i="14"/>
  <c r="X93" i="14" s="1"/>
  <c r="Y174" i="13"/>
  <c r="Y14" i="14"/>
  <c r="Y10" i="14" s="1"/>
  <c r="X175" i="13"/>
  <c r="BR127" i="5"/>
  <c r="CT12" i="4"/>
  <c r="CU12" i="4" s="1"/>
  <c r="Q40" i="6"/>
  <c r="O127" i="5"/>
  <c r="AA127" i="5"/>
  <c r="J130" i="7"/>
  <c r="DC12" i="4"/>
  <c r="CY12" i="4" s="1"/>
  <c r="J44" i="7"/>
  <c r="K43" i="7"/>
  <c r="R39" i="6"/>
  <c r="R40" i="6" s="1"/>
  <c r="K48" i="7"/>
  <c r="J58" i="7"/>
  <c r="J59" i="7" s="1"/>
  <c r="U64" i="7"/>
  <c r="U62" i="7"/>
  <c r="V63" i="7"/>
  <c r="S127" i="5"/>
  <c r="AM127" i="5"/>
  <c r="AE127" i="5"/>
  <c r="AU127" i="5"/>
  <c r="R127" i="5"/>
  <c r="H127" i="5"/>
  <c r="AF127" i="5"/>
  <c r="AN127" i="5"/>
  <c r="BM127" i="5"/>
  <c r="BQ127" i="5"/>
  <c r="L84" i="13"/>
  <c r="L87" i="13"/>
  <c r="L85" i="13"/>
  <c r="O236" i="42"/>
  <c r="O238" i="42" s="1"/>
  <c r="Q193" i="42"/>
  <c r="R189" i="42"/>
  <c r="R176" i="42"/>
  <c r="R175" i="42"/>
  <c r="R174" i="42"/>
  <c r="S173" i="42"/>
  <c r="R167" i="42"/>
  <c r="R169" i="42" s="1"/>
  <c r="S165" i="42"/>
  <c r="Q108" i="42"/>
  <c r="R104" i="42"/>
  <c r="Q120" i="42"/>
  <c r="Q148" i="42"/>
  <c r="R116" i="42"/>
  <c r="Q23" i="42"/>
  <c r="P27" i="42"/>
  <c r="P69" i="42"/>
  <c r="Q35" i="42"/>
  <c r="P39" i="42"/>
  <c r="N7" i="42"/>
  <c r="N9" i="42" s="1"/>
  <c r="O5" i="42"/>
  <c r="K57" i="42"/>
  <c r="K56" i="42" s="1"/>
  <c r="L60" i="42"/>
  <c r="P217" i="42"/>
  <c r="P190" i="42"/>
  <c r="P191" i="42" s="1"/>
  <c r="P192" i="42" s="1"/>
  <c r="O220" i="42"/>
  <c r="P214" i="42" s="1"/>
  <c r="L24" i="42"/>
  <c r="L25" i="42" s="1"/>
  <c r="L26" i="42" s="1"/>
  <c r="K93" i="42"/>
  <c r="K117" i="42" s="1"/>
  <c r="K118" i="42" s="1"/>
  <c r="K119" i="42" s="1"/>
  <c r="K92" i="42"/>
  <c r="K111" i="42" s="1"/>
  <c r="K112" i="42" s="1"/>
  <c r="K113" i="42" s="1"/>
  <c r="K91" i="42"/>
  <c r="K105" i="42" s="1"/>
  <c r="K106" i="42" s="1"/>
  <c r="K107" i="42" s="1"/>
  <c r="O232" i="42"/>
  <c r="O234" i="42" s="1"/>
  <c r="O208" i="42"/>
  <c r="O210" i="42" s="1"/>
  <c r="P204" i="42" s="1"/>
  <c r="P219" i="42"/>
  <c r="O216" i="42"/>
  <c r="O215" i="42" s="1"/>
  <c r="L68" i="42"/>
  <c r="L67" i="42" s="1"/>
  <c r="M71" i="42"/>
  <c r="L70" i="42"/>
  <c r="K48" i="42"/>
  <c r="K75" i="42"/>
  <c r="K77" i="42" s="1"/>
  <c r="K83" i="42" s="1"/>
  <c r="P229" i="42"/>
  <c r="O226" i="42"/>
  <c r="O225" i="42" s="1"/>
  <c r="O230" i="42" s="1"/>
  <c r="P224" i="42" s="1"/>
  <c r="R183" i="42"/>
  <c r="Q187" i="42"/>
  <c r="R195" i="42"/>
  <c r="Q227" i="42"/>
  <c r="Q199" i="42"/>
  <c r="Q172" i="42"/>
  <c r="Q196" i="42" s="1"/>
  <c r="Q171" i="42"/>
  <c r="Q170" i="42"/>
  <c r="S94" i="42"/>
  <c r="R97" i="42"/>
  <c r="R96" i="42"/>
  <c r="R95" i="42"/>
  <c r="Q114" i="42"/>
  <c r="R110" i="42"/>
  <c r="R13" i="42"/>
  <c r="Q16" i="42"/>
  <c r="Q15" i="42"/>
  <c r="Q14" i="42"/>
  <c r="Q29" i="42"/>
  <c r="P33" i="42"/>
  <c r="M12" i="42"/>
  <c r="M36" i="42" s="1"/>
  <c r="M37" i="42" s="1"/>
  <c r="M38" i="42" s="1"/>
  <c r="M11" i="42"/>
  <c r="M10" i="42"/>
  <c r="K59" i="42"/>
  <c r="K61" i="42" s="1"/>
  <c r="L55" i="42" s="1"/>
  <c r="P207" i="42"/>
  <c r="P184" i="42"/>
  <c r="P185" i="42" s="1"/>
  <c r="P186" i="42" s="1"/>
  <c r="P197" i="42"/>
  <c r="P198" i="42" s="1"/>
  <c r="L30" i="42"/>
  <c r="L31" i="42" s="1"/>
  <c r="L32" i="42" s="1"/>
  <c r="M86" i="42"/>
  <c r="L88" i="42"/>
  <c r="L90" i="42" s="1"/>
  <c r="P209" i="42"/>
  <c r="O206" i="42"/>
  <c r="O205" i="42" s="1"/>
  <c r="K46" i="42"/>
  <c r="K45" i="42" s="1"/>
  <c r="L49" i="42"/>
  <c r="N39" i="28"/>
  <c r="N38" i="28"/>
  <c r="C25" i="28" s="1"/>
  <c r="N21" i="28"/>
  <c r="N22" i="28" s="1"/>
  <c r="O2" i="28"/>
  <c r="L14" i="29"/>
  <c r="L21" i="29" s="1"/>
  <c r="L24" i="29" s="1"/>
  <c r="Q34" i="29"/>
  <c r="Q33" i="29"/>
  <c r="Q23" i="29"/>
  <c r="R2" i="29"/>
  <c r="W9" i="29"/>
  <c r="X7" i="29"/>
  <c r="W6" i="29"/>
  <c r="U15" i="29"/>
  <c r="M4" i="29"/>
  <c r="M10" i="29" s="1"/>
  <c r="M12" i="29" s="1"/>
  <c r="N3" i="29"/>
  <c r="S11" i="29"/>
  <c r="DX25" i="4"/>
  <c r="DO29" i="4"/>
  <c r="DO28" i="4"/>
  <c r="DT37" i="4"/>
  <c r="DT20" i="4" s="1"/>
  <c r="DY36" i="4"/>
  <c r="DX37" i="4"/>
  <c r="DX20" i="4" s="1"/>
  <c r="EC36" i="4"/>
  <c r="DL29" i="4"/>
  <c r="DL28" i="4"/>
  <c r="CO14" i="4"/>
  <c r="CP12" i="4"/>
  <c r="DI29" i="4"/>
  <c r="DI28" i="4"/>
  <c r="DN26" i="4"/>
  <c r="DS23" i="4"/>
  <c r="CM12" i="4"/>
  <c r="CM14" i="4" s="1"/>
  <c r="CL14" i="4"/>
  <c r="DU27" i="4"/>
  <c r="DZ25" i="4"/>
  <c r="DP26" i="4"/>
  <c r="DU23" i="4"/>
  <c r="DO26" i="4"/>
  <c r="DT23" i="4"/>
  <c r="DR26" i="4"/>
  <c r="DW23" i="4"/>
  <c r="DM29" i="4"/>
  <c r="DM5" i="4" s="1"/>
  <c r="DM28" i="4"/>
  <c r="DQ29" i="4"/>
  <c r="DQ28" i="4"/>
  <c r="DN28" i="4"/>
  <c r="DN29" i="4"/>
  <c r="DT27" i="4"/>
  <c r="DY25" i="4"/>
  <c r="DK29" i="4"/>
  <c r="DK28" i="4"/>
  <c r="CG17" i="4"/>
  <c r="CF15" i="4"/>
  <c r="DH11" i="4"/>
  <c r="DD11" i="4" s="1"/>
  <c r="DE11" i="4" s="1"/>
  <c r="DF11" i="4" s="1"/>
  <c r="DG11" i="4" s="1"/>
  <c r="DH6" i="4"/>
  <c r="DG5" i="4"/>
  <c r="DG6" i="4" s="1"/>
  <c r="DE5" i="4"/>
  <c r="DE6" i="4" s="1"/>
  <c r="DF5" i="4"/>
  <c r="DF6" i="4" s="1"/>
  <c r="DD5" i="4"/>
  <c r="DD6" i="4" s="1"/>
  <c r="CO17" i="4"/>
  <c r="CL17" i="4"/>
  <c r="CK15" i="4"/>
  <c r="CT17" i="4"/>
  <c r="DJ28" i="4"/>
  <c r="DJ29" i="4"/>
  <c r="CG14" i="4"/>
  <c r="CH12" i="4"/>
  <c r="CH14" i="4" s="1"/>
  <c r="DN19" i="4"/>
  <c r="DO19" i="4" s="1"/>
  <c r="DP19" i="4" s="1"/>
  <c r="DQ19" i="4" s="1"/>
  <c r="DW19" i="4"/>
  <c r="EG34" i="4"/>
  <c r="DV37" i="4"/>
  <c r="DV20" i="4" s="1"/>
  <c r="EA36" i="4"/>
  <c r="DZ37" i="4"/>
  <c r="DZ20" i="4" s="1"/>
  <c r="EE36" i="4"/>
  <c r="DP27" i="4"/>
  <c r="DW25" i="4"/>
  <c r="DR27" i="4"/>
  <c r="EA25" i="4"/>
  <c r="DQ26" i="4"/>
  <c r="DV23" i="4"/>
  <c r="M3" i="16"/>
  <c r="N1" i="16"/>
  <c r="G165" i="7"/>
  <c r="G167" i="7" s="1"/>
  <c r="G29" i="7"/>
  <c r="G30" i="7"/>
  <c r="G31" i="7"/>
  <c r="G130" i="7"/>
  <c r="J155" i="6"/>
  <c r="J162" i="6" s="1"/>
  <c r="F165" i="7"/>
  <c r="F167" i="7" s="1"/>
  <c r="F30" i="7"/>
  <c r="F31" i="7"/>
  <c r="F29" i="7"/>
  <c r="F130" i="7"/>
  <c r="F132" i="7" s="1"/>
  <c r="T91" i="7"/>
  <c r="U90" i="7"/>
  <c r="T89" i="7"/>
  <c r="T92" i="7"/>
  <c r="V160" i="7"/>
  <c r="S108" i="7"/>
  <c r="K16" i="7"/>
  <c r="K112" i="7" s="1"/>
  <c r="K117" i="7" s="1"/>
  <c r="K15" i="7"/>
  <c r="K14" i="7"/>
  <c r="K13" i="7"/>
  <c r="K19" i="7" s="1"/>
  <c r="K24" i="7" s="1"/>
  <c r="L50" i="7"/>
  <c r="L46" i="7"/>
  <c r="L42" i="7"/>
  <c r="L40" i="7"/>
  <c r="L51" i="7"/>
  <c r="L54" i="7"/>
  <c r="L49" i="7"/>
  <c r="L45" i="7"/>
  <c r="L41" i="7"/>
  <c r="L47" i="7"/>
  <c r="U76" i="7"/>
  <c r="V75" i="7"/>
  <c r="I144" i="7"/>
  <c r="I148" i="7" s="1"/>
  <c r="N26" i="7"/>
  <c r="K101" i="7"/>
  <c r="J103" i="7"/>
  <c r="J165" i="7"/>
  <c r="J167" i="7" s="1"/>
  <c r="J171" i="7" s="1"/>
  <c r="J31" i="7"/>
  <c r="J29" i="7"/>
  <c r="J30" i="7"/>
  <c r="K57" i="7"/>
  <c r="K56" i="7"/>
  <c r="K55" i="7"/>
  <c r="X70" i="7"/>
  <c r="V74" i="7"/>
  <c r="M27" i="7"/>
  <c r="S146" i="7"/>
  <c r="L8" i="7"/>
  <c r="L12" i="7" s="1"/>
  <c r="M7" i="7"/>
  <c r="K105" i="7"/>
  <c r="K107" i="7" s="1"/>
  <c r="L99" i="7"/>
  <c r="W85" i="7"/>
  <c r="X86" i="7"/>
  <c r="W88" i="7"/>
  <c r="N36" i="7"/>
  <c r="M35" i="7"/>
  <c r="M38" i="7"/>
  <c r="Q10" i="7"/>
  <c r="L97" i="7"/>
  <c r="M80" i="7"/>
  <c r="T28" i="7"/>
  <c r="I137" i="7"/>
  <c r="I109" i="7"/>
  <c r="K126" i="6"/>
  <c r="J127" i="6"/>
  <c r="L12" i="6"/>
  <c r="L11" i="6"/>
  <c r="L107" i="6" s="1"/>
  <c r="L112" i="6" s="1"/>
  <c r="L164" i="6" s="1"/>
  <c r="L170" i="6" s="1"/>
  <c r="L10" i="6"/>
  <c r="L9" i="6"/>
  <c r="L15" i="6" s="1"/>
  <c r="L20" i="6" s="1"/>
  <c r="L92" i="6"/>
  <c r="M75" i="6"/>
  <c r="N22" i="6"/>
  <c r="R24" i="6"/>
  <c r="X65" i="6"/>
  <c r="M8" i="6"/>
  <c r="N7" i="6"/>
  <c r="J148" i="6"/>
  <c r="J131" i="6"/>
  <c r="J133" i="6" s="1"/>
  <c r="J138" i="6"/>
  <c r="J140" i="6" s="1"/>
  <c r="T58" i="6"/>
  <c r="S37" i="6"/>
  <c r="S59" i="6"/>
  <c r="S38" i="6" s="1"/>
  <c r="S57" i="6"/>
  <c r="S36" i="6" s="1"/>
  <c r="K27" i="6"/>
  <c r="K25" i="6"/>
  <c r="K124" i="6"/>
  <c r="T150" i="6"/>
  <c r="U85" i="6"/>
  <c r="T84" i="6"/>
  <c r="T87" i="6"/>
  <c r="T103" i="6"/>
  <c r="K100" i="6"/>
  <c r="K102" i="6" s="1"/>
  <c r="K95" i="6"/>
  <c r="K101" i="6" s="1"/>
  <c r="K96" i="6"/>
  <c r="L94" i="6"/>
  <c r="M23" i="6"/>
  <c r="I131" i="6"/>
  <c r="I133" i="6" s="1"/>
  <c r="I134" i="6" s="1"/>
  <c r="I138" i="6"/>
  <c r="I140" i="6" s="1"/>
  <c r="I144" i="6" s="1"/>
  <c r="I155" i="6"/>
  <c r="I162" i="6" s="1"/>
  <c r="N19" i="6"/>
  <c r="O17" i="6"/>
  <c r="AE38" i="15"/>
  <c r="AE36" i="15" s="1"/>
  <c r="AE79" i="15" s="1"/>
  <c r="AD79" i="15"/>
  <c r="AJ38" i="15"/>
  <c r="AJ36" i="15" s="1"/>
  <c r="AJ79" i="15" s="1"/>
  <c r="AJ90" i="15" s="1"/>
  <c r="AI79" i="15"/>
  <c r="AI90" i="15" s="1"/>
  <c r="CX87" i="15"/>
  <c r="CX85" i="15"/>
  <c r="DC81" i="15"/>
  <c r="CX88" i="15"/>
  <c r="CX86" i="15"/>
  <c r="CX84" i="15"/>
  <c r="CX83" i="15"/>
  <c r="AS45" i="15"/>
  <c r="AS43" i="15"/>
  <c r="AS50" i="15"/>
  <c r="AS48" i="15"/>
  <c r="AS53" i="15"/>
  <c r="AR58" i="15"/>
  <c r="CD82" i="15"/>
  <c r="BY89" i="15"/>
  <c r="Y19" i="13" s="1"/>
  <c r="AZ70" i="15"/>
  <c r="AK59" i="15"/>
  <c r="AL59" i="15" s="1"/>
  <c r="AJ60" i="15"/>
  <c r="AK60" i="15" s="1"/>
  <c r="AP54" i="15"/>
  <c r="AQ54" i="15" s="1"/>
  <c r="AO55" i="15"/>
  <c r="AP55" i="15" s="1"/>
  <c r="X96" i="14"/>
  <c r="Z92" i="14"/>
  <c r="X78" i="14"/>
  <c r="Y62" i="14"/>
  <c r="J48" i="14"/>
  <c r="K45" i="14"/>
  <c r="K46" i="14" s="1"/>
  <c r="W76" i="14"/>
  <c r="AA95" i="14"/>
  <c r="AA97" i="14"/>
  <c r="Z106" i="13"/>
  <c r="L112" i="13"/>
  <c r="K120" i="13"/>
  <c r="L120" i="13" s="1"/>
  <c r="M120" i="13" s="1"/>
  <c r="N120" i="13" s="1"/>
  <c r="O120" i="13" s="1"/>
  <c r="P120" i="13" s="1"/>
  <c r="Q120" i="13" s="1"/>
  <c r="R120" i="13" s="1"/>
  <c r="S120" i="13" s="1"/>
  <c r="T120" i="13" s="1"/>
  <c r="U120" i="13" s="1"/>
  <c r="V120" i="13" s="1"/>
  <c r="W120" i="13" s="1"/>
  <c r="X120" i="13" s="1"/>
  <c r="Y120" i="13" s="1"/>
  <c r="Z120" i="13" s="1"/>
  <c r="AA120" i="13" s="1"/>
  <c r="AB120" i="13" s="1"/>
  <c r="AC120" i="13" s="1"/>
  <c r="AD120" i="13" s="1"/>
  <c r="Y56" i="13"/>
  <c r="AC160" i="13"/>
  <c r="AC6" i="14" s="1"/>
  <c r="EB59" i="5"/>
  <c r="Y161" i="13"/>
  <c r="Z159" i="13"/>
  <c r="Y14" i="13"/>
  <c r="Z158" i="13"/>
  <c r="Y15" i="13"/>
  <c r="W59" i="13"/>
  <c r="X54" i="13"/>
  <c r="Y74" i="13"/>
  <c r="AA68" i="13"/>
  <c r="Z16" i="13"/>
  <c r="Y66" i="13"/>
  <c r="Y77" i="13"/>
  <c r="Z31" i="13"/>
  <c r="AA55" i="13"/>
  <c r="CA9" i="43"/>
  <c r="BZ10" i="43"/>
  <c r="DM107" i="1"/>
  <c r="DM109" i="1"/>
  <c r="DH106" i="1"/>
  <c r="AB127" i="5"/>
  <c r="DR26" i="1"/>
  <c r="DL26" i="1"/>
  <c r="DJ26" i="1"/>
  <c r="DK26" i="1"/>
  <c r="DI26" i="1"/>
  <c r="S145" i="5"/>
  <c r="S102" i="5"/>
  <c r="AE145" i="5"/>
  <c r="AE102" i="5"/>
  <c r="AM145" i="5"/>
  <c r="AM102" i="5"/>
  <c r="AU145" i="5"/>
  <c r="AU148" i="5" s="1"/>
  <c r="AU102" i="5"/>
  <c r="BC145" i="5"/>
  <c r="BC102" i="5"/>
  <c r="BK145" i="5"/>
  <c r="BK102" i="5"/>
  <c r="BK68" i="5"/>
  <c r="N145" i="5"/>
  <c r="N102" i="5"/>
  <c r="AD145" i="5"/>
  <c r="AD102" i="5"/>
  <c r="AL145" i="5"/>
  <c r="AL102" i="5"/>
  <c r="AT145" i="5"/>
  <c r="AT102" i="5"/>
  <c r="BB145" i="5"/>
  <c r="BB102" i="5"/>
  <c r="BU127" i="5"/>
  <c r="BU145" i="5"/>
  <c r="BU102" i="5"/>
  <c r="BU68" i="5"/>
  <c r="D145" i="5"/>
  <c r="D102" i="5"/>
  <c r="BJ145" i="5"/>
  <c r="BJ148" i="5" s="1"/>
  <c r="BJ102" i="5"/>
  <c r="R145" i="5"/>
  <c r="R102" i="5"/>
  <c r="AV118" i="5"/>
  <c r="AV100" i="5"/>
  <c r="AV53" i="5"/>
  <c r="AV54" i="5" s="1"/>
  <c r="AV46" i="5"/>
  <c r="AV127" i="5" s="1"/>
  <c r="BL145" i="5"/>
  <c r="BL102" i="5"/>
  <c r="BL68" i="5"/>
  <c r="CX150" i="5"/>
  <c r="CR150" i="5"/>
  <c r="CP150" i="5"/>
  <c r="CO150" i="5"/>
  <c r="CQ150" i="5"/>
  <c r="M127" i="5"/>
  <c r="M145" i="5"/>
  <c r="M102" i="5"/>
  <c r="DW63" i="5"/>
  <c r="DR50" i="5"/>
  <c r="Z7" i="14" s="1"/>
  <c r="Z81" i="14" s="1"/>
  <c r="E145" i="5"/>
  <c r="E102" i="5"/>
  <c r="W127" i="5"/>
  <c r="W145" i="5"/>
  <c r="W102" i="5"/>
  <c r="I127" i="5"/>
  <c r="I145" i="5"/>
  <c r="I102" i="5"/>
  <c r="J127" i="5"/>
  <c r="J145" i="5"/>
  <c r="J102" i="5"/>
  <c r="V145" i="5"/>
  <c r="V148" i="5" s="1"/>
  <c r="V102" i="5"/>
  <c r="Q127" i="5"/>
  <c r="Q145" i="5"/>
  <c r="Q148" i="5" s="1"/>
  <c r="Q102" i="5"/>
  <c r="Y127" i="5"/>
  <c r="Y145" i="5"/>
  <c r="Y102" i="5"/>
  <c r="AG127" i="5"/>
  <c r="AG145" i="5"/>
  <c r="AG102" i="5"/>
  <c r="AO127" i="5"/>
  <c r="AO145" i="5"/>
  <c r="AO102" i="5"/>
  <c r="AW127" i="5"/>
  <c r="AW145" i="5"/>
  <c r="AW102" i="5"/>
  <c r="BE145" i="5"/>
  <c r="BE148" i="5" s="1"/>
  <c r="BE102" i="5"/>
  <c r="BM145" i="5"/>
  <c r="BM102" i="5"/>
  <c r="BM68" i="5"/>
  <c r="BH127" i="5"/>
  <c r="BH145" i="5"/>
  <c r="BH102" i="5"/>
  <c r="BP127" i="5"/>
  <c r="BP145" i="5"/>
  <c r="BP102" i="5"/>
  <c r="BP68" i="5"/>
  <c r="U145" i="5"/>
  <c r="U102" i="5"/>
  <c r="AC145" i="5"/>
  <c r="AC102" i="5"/>
  <c r="AK145" i="5"/>
  <c r="AK148" i="5" s="1"/>
  <c r="AK102" i="5"/>
  <c r="AS145" i="5"/>
  <c r="AS102" i="5"/>
  <c r="BA145" i="5"/>
  <c r="BA102" i="5"/>
  <c r="BI145" i="5"/>
  <c r="BI102" i="5"/>
  <c r="BQ145" i="5"/>
  <c r="BQ102" i="5"/>
  <c r="BQ68" i="5"/>
  <c r="H145" i="5"/>
  <c r="H102" i="5"/>
  <c r="P145" i="5"/>
  <c r="P102" i="5"/>
  <c r="X127" i="5"/>
  <c r="X145" i="5"/>
  <c r="X102" i="5"/>
  <c r="AF145" i="5"/>
  <c r="AF148" i="5" s="1"/>
  <c r="AF102" i="5"/>
  <c r="AN145" i="5"/>
  <c r="AN102" i="5"/>
  <c r="AZ118" i="5"/>
  <c r="AZ100" i="5"/>
  <c r="AZ53" i="5"/>
  <c r="AZ54" i="5" s="1"/>
  <c r="AZ46" i="5"/>
  <c r="AZ127" i="5" s="1"/>
  <c r="BR145" i="5"/>
  <c r="BR102" i="5"/>
  <c r="BR68" i="5"/>
  <c r="C145" i="5"/>
  <c r="C102" i="5"/>
  <c r="L145" i="5"/>
  <c r="L148" i="5" s="1"/>
  <c r="L102" i="5"/>
  <c r="T145" i="5"/>
  <c r="T102" i="5"/>
  <c r="AB145" i="5"/>
  <c r="AB102" i="5"/>
  <c r="AJ127" i="5"/>
  <c r="AJ145" i="5"/>
  <c r="AJ102" i="5"/>
  <c r="AR127" i="5"/>
  <c r="AR145" i="5"/>
  <c r="AR102" i="5"/>
  <c r="G145" i="5"/>
  <c r="G148" i="5" s="1"/>
  <c r="G102" i="5"/>
  <c r="O145" i="5"/>
  <c r="O102" i="5"/>
  <c r="AA145" i="5"/>
  <c r="AA148" i="5" s="1"/>
  <c r="AA102" i="5"/>
  <c r="AI127" i="5"/>
  <c r="AI145" i="5"/>
  <c r="AI102" i="5"/>
  <c r="AQ127" i="5"/>
  <c r="AQ145" i="5"/>
  <c r="AQ102" i="5"/>
  <c r="AY127" i="5"/>
  <c r="AY145" i="5"/>
  <c r="AY102" i="5"/>
  <c r="BG127" i="5"/>
  <c r="BG145" i="5"/>
  <c r="BG102" i="5"/>
  <c r="BO127" i="5"/>
  <c r="BO145" i="5"/>
  <c r="BO148" i="5" s="1"/>
  <c r="BO102" i="5"/>
  <c r="BO68" i="5"/>
  <c r="Z127" i="5"/>
  <c r="Z145" i="5"/>
  <c r="Z102" i="5"/>
  <c r="AH127" i="5"/>
  <c r="AH145" i="5"/>
  <c r="AH102" i="5"/>
  <c r="AP127" i="5"/>
  <c r="AP145" i="5"/>
  <c r="AP148" i="5" s="1"/>
  <c r="AP102" i="5"/>
  <c r="AX127" i="5"/>
  <c r="AX145" i="5"/>
  <c r="AX102" i="5"/>
  <c r="BF127" i="5"/>
  <c r="BF145" i="5"/>
  <c r="BF102" i="5"/>
  <c r="BN127" i="5"/>
  <c r="BN145" i="5"/>
  <c r="BN102" i="5"/>
  <c r="BN68" i="5"/>
  <c r="DW125" i="5"/>
  <c r="BP54" i="5"/>
  <c r="G144" i="7" l="1"/>
  <c r="G148" i="7" s="1"/>
  <c r="O240" i="42"/>
  <c r="O244" i="42" s="1"/>
  <c r="DH12" i="4"/>
  <c r="DD12" i="4" s="1"/>
  <c r="T48" i="6"/>
  <c r="S53" i="6"/>
  <c r="S54" i="6" s="1"/>
  <c r="T44" i="6"/>
  <c r="X94" i="14"/>
  <c r="DW18" i="4"/>
  <c r="DN18" i="4"/>
  <c r="DO18" i="4" s="1"/>
  <c r="DP18" i="4" s="1"/>
  <c r="DQ18" i="4" s="1"/>
  <c r="V34" i="6"/>
  <c r="V31" i="6"/>
  <c r="W32" i="6"/>
  <c r="U43" i="6"/>
  <c r="U42" i="6"/>
  <c r="U41" i="6"/>
  <c r="U47" i="6"/>
  <c r="U46" i="6"/>
  <c r="U45" i="6"/>
  <c r="U49" i="6"/>
  <c r="T50" i="6"/>
  <c r="T52" i="6"/>
  <c r="T51" i="6"/>
  <c r="V158" i="6"/>
  <c r="U160" i="6"/>
  <c r="L59" i="42"/>
  <c r="BA127" i="5"/>
  <c r="Y91" i="14"/>
  <c r="Y96" i="14" s="1"/>
  <c r="Z91" i="14" s="1"/>
  <c r="Z174" i="13"/>
  <c r="Z14" i="14"/>
  <c r="Z10" i="14" s="1"/>
  <c r="L72" i="42"/>
  <c r="M66" i="42" s="1"/>
  <c r="K165" i="6"/>
  <c r="K171" i="6" s="1"/>
  <c r="CT14" i="4"/>
  <c r="R35" i="6"/>
  <c r="K130" i="7"/>
  <c r="DC17" i="4"/>
  <c r="CY17" i="4" s="1"/>
  <c r="K155" i="6"/>
  <c r="K162" i="6" s="1"/>
  <c r="K58" i="7"/>
  <c r="K59" i="7" s="1"/>
  <c r="K44" i="7"/>
  <c r="L43" i="7"/>
  <c r="L39" i="7" s="1"/>
  <c r="L52" i="7"/>
  <c r="S39" i="6"/>
  <c r="S35" i="6" s="1"/>
  <c r="L48" i="7"/>
  <c r="K39" i="7"/>
  <c r="V62" i="7"/>
  <c r="W63" i="7"/>
  <c r="V64" i="7"/>
  <c r="K50" i="42"/>
  <c r="L44" i="42" s="1"/>
  <c r="L79" i="42" s="1"/>
  <c r="L81" i="42" s="1"/>
  <c r="P236" i="42"/>
  <c r="P238" i="42" s="1"/>
  <c r="P206" i="42"/>
  <c r="P205" i="42" s="1"/>
  <c r="Q209" i="42"/>
  <c r="M88" i="42"/>
  <c r="M90" i="42" s="1"/>
  <c r="N86" i="42"/>
  <c r="M47" i="42"/>
  <c r="M24" i="42"/>
  <c r="M25" i="42" s="1"/>
  <c r="M26" i="42" s="1"/>
  <c r="Q33" i="42"/>
  <c r="R29" i="42"/>
  <c r="R16" i="42"/>
  <c r="R15" i="42"/>
  <c r="R14" i="42"/>
  <c r="S13" i="42"/>
  <c r="S110" i="42"/>
  <c r="R114" i="42"/>
  <c r="S97" i="42"/>
  <c r="S96" i="42"/>
  <c r="S95" i="42"/>
  <c r="T94" i="42"/>
  <c r="Q217" i="42"/>
  <c r="Q190" i="42"/>
  <c r="Q191" i="42" s="1"/>
  <c r="Q192" i="42" s="1"/>
  <c r="P226" i="42"/>
  <c r="P225" i="42" s="1"/>
  <c r="Q229" i="42"/>
  <c r="K242" i="42"/>
  <c r="K245" i="42" s="1"/>
  <c r="P216" i="42"/>
  <c r="P215" i="42" s="1"/>
  <c r="Q219" i="42"/>
  <c r="P228" i="42"/>
  <c r="N12" i="42"/>
  <c r="N36" i="42" s="1"/>
  <c r="N37" i="42" s="1"/>
  <c r="N38" i="42" s="1"/>
  <c r="N11" i="42"/>
  <c r="N10" i="42"/>
  <c r="R172" i="42"/>
  <c r="R196" i="42" s="1"/>
  <c r="R171" i="42"/>
  <c r="R170" i="42"/>
  <c r="R187" i="42"/>
  <c r="S183" i="42"/>
  <c r="R227" i="42"/>
  <c r="R199" i="42"/>
  <c r="S195" i="42"/>
  <c r="M49" i="42"/>
  <c r="L46" i="42"/>
  <c r="L45" i="42" s="1"/>
  <c r="L93" i="42"/>
  <c r="L117" i="42" s="1"/>
  <c r="L118" i="42" s="1"/>
  <c r="L119" i="42" s="1"/>
  <c r="L150" i="42" s="1"/>
  <c r="L92" i="42"/>
  <c r="L91" i="42"/>
  <c r="P232" i="42"/>
  <c r="P234" i="42" s="1"/>
  <c r="P208" i="42"/>
  <c r="P210" i="42" s="1"/>
  <c r="Q204" i="42" s="1"/>
  <c r="M58" i="42"/>
  <c r="M30" i="42"/>
  <c r="M31" i="42" s="1"/>
  <c r="M32" i="42" s="1"/>
  <c r="Q27" i="42"/>
  <c r="R23" i="42"/>
  <c r="Q39" i="42"/>
  <c r="Q69" i="42"/>
  <c r="R35" i="42"/>
  <c r="S104" i="42"/>
  <c r="R108" i="42"/>
  <c r="R148" i="42"/>
  <c r="S116" i="42"/>
  <c r="R120" i="42"/>
  <c r="Q207" i="42"/>
  <c r="Q184" i="42"/>
  <c r="Q185" i="42" s="1"/>
  <c r="Q186" i="42" s="1"/>
  <c r="Q197" i="42"/>
  <c r="Q198" i="42" s="1"/>
  <c r="Q228" i="42"/>
  <c r="N71" i="42"/>
  <c r="M68" i="42"/>
  <c r="M70" i="42"/>
  <c r="L75" i="42"/>
  <c r="L77" i="42" s="1"/>
  <c r="L48" i="42"/>
  <c r="P218" i="42"/>
  <c r="P220" i="42" s="1"/>
  <c r="Q214" i="42" s="1"/>
  <c r="M60" i="42"/>
  <c r="L57" i="42"/>
  <c r="L56" i="42" s="1"/>
  <c r="L61" i="42" s="1"/>
  <c r="M55" i="42" s="1"/>
  <c r="P5" i="42"/>
  <c r="O7" i="42"/>
  <c r="O9" i="42" s="1"/>
  <c r="T165" i="42"/>
  <c r="S167" i="42"/>
  <c r="S169" i="42" s="1"/>
  <c r="T173" i="42"/>
  <c r="S176" i="42"/>
  <c r="S175" i="42"/>
  <c r="S174" i="42"/>
  <c r="R193" i="42"/>
  <c r="S189" i="42"/>
  <c r="O21" i="28"/>
  <c r="O22" i="28" s="1"/>
  <c r="P2" i="28"/>
  <c r="T11" i="29"/>
  <c r="N4" i="29"/>
  <c r="N10" i="29" s="1"/>
  <c r="N12" i="29" s="1"/>
  <c r="O3" i="29"/>
  <c r="M14" i="29"/>
  <c r="M21" i="29" s="1"/>
  <c r="M24" i="29" s="1"/>
  <c r="V15" i="29"/>
  <c r="Y7" i="29"/>
  <c r="X6" i="29"/>
  <c r="X9" i="29"/>
  <c r="R33" i="29"/>
  <c r="R23" i="29"/>
  <c r="R34" i="29"/>
  <c r="S2" i="29"/>
  <c r="DV26" i="4"/>
  <c r="EA23" i="4"/>
  <c r="DV27" i="4"/>
  <c r="DR28" i="4"/>
  <c r="DR29" i="4"/>
  <c r="DR5" i="4" s="1"/>
  <c r="DP29" i="4"/>
  <c r="DP28" i="4"/>
  <c r="CU17" i="4"/>
  <c r="CT15" i="4"/>
  <c r="CM17" i="4"/>
  <c r="CM15" i="4" s="1"/>
  <c r="CL15" i="4"/>
  <c r="CP17" i="4"/>
  <c r="CO15" i="4"/>
  <c r="ED25" i="4"/>
  <c r="DW26" i="4"/>
  <c r="EB23" i="4"/>
  <c r="DT26" i="4"/>
  <c r="DY23" i="4"/>
  <c r="DY27" i="4" s="1"/>
  <c r="DU26" i="4"/>
  <c r="DZ23" i="4"/>
  <c r="EE25" i="4"/>
  <c r="DZ27" i="4"/>
  <c r="DS26" i="4"/>
  <c r="DX23" i="4"/>
  <c r="CQ12" i="4"/>
  <c r="CP14" i="4"/>
  <c r="EH36" i="4"/>
  <c r="EH37" i="4" s="1"/>
  <c r="EH20" i="4" s="1"/>
  <c r="EC37" i="4"/>
  <c r="EC20" i="4" s="1"/>
  <c r="ED36" i="4"/>
  <c r="DY37" i="4"/>
  <c r="DY20" i="4" s="1"/>
  <c r="DX27" i="4"/>
  <c r="EC25" i="4"/>
  <c r="EA27" i="4"/>
  <c r="EF25" i="4"/>
  <c r="DW27" i="4"/>
  <c r="EB25" i="4"/>
  <c r="EJ36" i="4"/>
  <c r="EJ37" i="4" s="1"/>
  <c r="EJ20" i="4" s="1"/>
  <c r="EE37" i="4"/>
  <c r="EE20" i="4" s="1"/>
  <c r="EF36" i="4"/>
  <c r="EA37" i="4"/>
  <c r="EA20" i="4" s="1"/>
  <c r="EL34" i="4"/>
  <c r="EB19" i="4"/>
  <c r="DS19" i="4"/>
  <c r="DT19" i="4" s="1"/>
  <c r="DU19" i="4" s="1"/>
  <c r="DV19" i="4" s="1"/>
  <c r="CH17" i="4"/>
  <c r="CH15" i="4" s="1"/>
  <c r="CG15" i="4"/>
  <c r="DT29" i="4"/>
  <c r="DT28" i="4"/>
  <c r="DK5" i="4"/>
  <c r="DK6" i="4" s="1"/>
  <c r="DI5" i="4"/>
  <c r="DI6" i="4" s="1"/>
  <c r="DM11" i="4"/>
  <c r="DI11" i="4" s="1"/>
  <c r="DJ11" i="4" s="1"/>
  <c r="DK11" i="4" s="1"/>
  <c r="DL11" i="4" s="1"/>
  <c r="DM6" i="4"/>
  <c r="DL5" i="4"/>
  <c r="DL6" i="4" s="1"/>
  <c r="DJ5" i="4"/>
  <c r="DJ6" i="4" s="1"/>
  <c r="DU29" i="4"/>
  <c r="DU28" i="4"/>
  <c r="CU14" i="4"/>
  <c r="CV12" i="4"/>
  <c r="CY14" i="4"/>
  <c r="CZ12" i="4"/>
  <c r="DS27" i="4"/>
  <c r="N3" i="16"/>
  <c r="O1" i="16"/>
  <c r="G132" i="7"/>
  <c r="F133" i="7"/>
  <c r="F137" i="7"/>
  <c r="F139" i="7" s="1"/>
  <c r="F177" i="7"/>
  <c r="F171" i="7"/>
  <c r="G137" i="7"/>
  <c r="G177" i="7"/>
  <c r="M8" i="7"/>
  <c r="M12" i="7" s="1"/>
  <c r="N7" i="7"/>
  <c r="T146" i="7"/>
  <c r="W74" i="7"/>
  <c r="J144" i="7"/>
  <c r="J148" i="7" s="1"/>
  <c r="J151" i="7"/>
  <c r="J137" i="7"/>
  <c r="J109" i="7"/>
  <c r="O26" i="7"/>
  <c r="L57" i="7"/>
  <c r="L56" i="7"/>
  <c r="L55" i="7"/>
  <c r="U28" i="7"/>
  <c r="M97" i="7"/>
  <c r="N80" i="7"/>
  <c r="R10" i="7"/>
  <c r="M54" i="7"/>
  <c r="M51" i="7"/>
  <c r="M49" i="7"/>
  <c r="M47" i="7"/>
  <c r="M45" i="7"/>
  <c r="M41" i="7"/>
  <c r="M50" i="7"/>
  <c r="M46" i="7"/>
  <c r="M42" i="7"/>
  <c r="M40" i="7"/>
  <c r="O36" i="7"/>
  <c r="N35" i="7"/>
  <c r="N38" i="7"/>
  <c r="X85" i="7"/>
  <c r="X88" i="7"/>
  <c r="L100" i="7"/>
  <c r="M99" i="7"/>
  <c r="L105" i="7"/>
  <c r="L107" i="7" s="1"/>
  <c r="L106" i="7"/>
  <c r="L16" i="7"/>
  <c r="L112" i="7" s="1"/>
  <c r="L117" i="7" s="1"/>
  <c r="L15" i="7"/>
  <c r="L14" i="7"/>
  <c r="L13" i="7"/>
  <c r="L19" i="7" s="1"/>
  <c r="L24" i="7" s="1"/>
  <c r="N27" i="7"/>
  <c r="J158" i="7"/>
  <c r="J162" i="7" s="1"/>
  <c r="L101" i="7"/>
  <c r="K103" i="7"/>
  <c r="V76" i="7"/>
  <c r="W75" i="7"/>
  <c r="K165" i="7"/>
  <c r="K167" i="7" s="1"/>
  <c r="K31" i="7"/>
  <c r="K29" i="7"/>
  <c r="K30" i="7"/>
  <c r="T108" i="7"/>
  <c r="W160" i="7"/>
  <c r="U89" i="7"/>
  <c r="U91" i="7"/>
  <c r="V90" i="7"/>
  <c r="U92" i="7"/>
  <c r="N23" i="6"/>
  <c r="K97" i="6"/>
  <c r="L97" i="6" s="1"/>
  <c r="M97" i="6" s="1"/>
  <c r="N97" i="6" s="1"/>
  <c r="O97" i="6" s="1"/>
  <c r="P97" i="6" s="1"/>
  <c r="Q97" i="6" s="1"/>
  <c r="R97" i="6" s="1"/>
  <c r="S97" i="6" s="1"/>
  <c r="T97" i="6" s="1"/>
  <c r="U97" i="6" s="1"/>
  <c r="V97" i="6" s="1"/>
  <c r="W97" i="6" s="1"/>
  <c r="X97" i="6" s="1"/>
  <c r="K98" i="6"/>
  <c r="U103" i="6"/>
  <c r="U84" i="6"/>
  <c r="V85" i="6"/>
  <c r="U87" i="6"/>
  <c r="K140" i="6"/>
  <c r="J144" i="6"/>
  <c r="M12" i="6"/>
  <c r="M11" i="6"/>
  <c r="M107" i="6" s="1"/>
  <c r="M112" i="6" s="1"/>
  <c r="M164" i="6" s="1"/>
  <c r="M170" i="6" s="1"/>
  <c r="M10" i="6"/>
  <c r="M9" i="6"/>
  <c r="M15" i="6" s="1"/>
  <c r="M20" i="6" s="1"/>
  <c r="M124" i="6" s="1"/>
  <c r="O22" i="6"/>
  <c r="N75" i="6"/>
  <c r="M92" i="6"/>
  <c r="L27" i="6"/>
  <c r="L25" i="6"/>
  <c r="L124" i="6"/>
  <c r="P17" i="6"/>
  <c r="O19" i="6"/>
  <c r="L26" i="6"/>
  <c r="L95" i="6"/>
  <c r="L102" i="6"/>
  <c r="M94" i="6"/>
  <c r="L101" i="6"/>
  <c r="L98" i="6"/>
  <c r="U150" i="6"/>
  <c r="K138" i="6"/>
  <c r="K148" i="6"/>
  <c r="K152" i="6" s="1"/>
  <c r="BY5" i="43" s="1"/>
  <c r="T59" i="6"/>
  <c r="T38" i="6" s="1"/>
  <c r="T57" i="6"/>
  <c r="T36" i="6" s="1"/>
  <c r="U58" i="6"/>
  <c r="T37" i="6"/>
  <c r="J134" i="6"/>
  <c r="O7" i="6"/>
  <c r="N8" i="6"/>
  <c r="S24" i="6"/>
  <c r="K128" i="6"/>
  <c r="L126" i="6"/>
  <c r="BA70" i="15"/>
  <c r="AS58" i="15"/>
  <c r="AT53" i="15"/>
  <c r="AU53" i="15" s="1"/>
  <c r="AT48" i="15"/>
  <c r="AU48" i="15" s="1"/>
  <c r="AT50" i="15"/>
  <c r="AR79" i="15"/>
  <c r="AR90" i="15" s="1"/>
  <c r="AE76" i="15"/>
  <c r="AE78" i="15" s="1"/>
  <c r="AE40" i="15"/>
  <c r="AF38" i="15"/>
  <c r="AR54" i="15"/>
  <c r="AQ55" i="15"/>
  <c r="AM59" i="15"/>
  <c r="AL60" i="15"/>
  <c r="CI82" i="15"/>
  <c r="CD89" i="15"/>
  <c r="Z19" i="13" s="1"/>
  <c r="AU50" i="15"/>
  <c r="AT43" i="15"/>
  <c r="AT45" i="15"/>
  <c r="AU45" i="15" s="1"/>
  <c r="AS79" i="15"/>
  <c r="AS90" i="15" s="1"/>
  <c r="DH81" i="15"/>
  <c r="DC88" i="15"/>
  <c r="DC86" i="15"/>
  <c r="DC84" i="15"/>
  <c r="DC87" i="15"/>
  <c r="DC85" i="15"/>
  <c r="DC83" i="15"/>
  <c r="AJ76" i="15"/>
  <c r="AJ40" i="15"/>
  <c r="AK38" i="15"/>
  <c r="Y94" i="14"/>
  <c r="AB97" i="14"/>
  <c r="AB95" i="14"/>
  <c r="X76" i="14"/>
  <c r="L45" i="14"/>
  <c r="L46" i="14" s="1"/>
  <c r="K48" i="14"/>
  <c r="Y78" i="14"/>
  <c r="Z62" i="14"/>
  <c r="AA92" i="14"/>
  <c r="AB55" i="13"/>
  <c r="Z77" i="13"/>
  <c r="Z66" i="13"/>
  <c r="Z74" i="13"/>
  <c r="X59" i="13"/>
  <c r="Y54" i="13"/>
  <c r="Y175" i="13"/>
  <c r="AD160" i="13"/>
  <c r="AD6" i="14" s="1"/>
  <c r="EG59" i="5"/>
  <c r="AA31" i="13"/>
  <c r="AB68" i="13"/>
  <c r="AA16" i="13"/>
  <c r="AA158" i="13"/>
  <c r="Z15" i="13"/>
  <c r="Z161" i="13"/>
  <c r="Z14" i="13"/>
  <c r="AA159" i="13"/>
  <c r="Z56" i="13"/>
  <c r="M112" i="13"/>
  <c r="N112" i="13" s="1"/>
  <c r="L121" i="13"/>
  <c r="M121" i="13" s="1"/>
  <c r="AA106" i="13"/>
  <c r="CA10" i="43"/>
  <c r="CB9" i="43"/>
  <c r="DP26" i="1"/>
  <c r="DN26" i="1"/>
  <c r="DW26" i="1"/>
  <c r="DQ26" i="1"/>
  <c r="DO26" i="1"/>
  <c r="DM106" i="1"/>
  <c r="DR109" i="1"/>
  <c r="DR107" i="1"/>
  <c r="EB125" i="5"/>
  <c r="AZ145" i="5"/>
  <c r="AZ148" i="5" s="1"/>
  <c r="AZ102" i="5"/>
  <c r="BE127" i="5"/>
  <c r="EB63" i="5"/>
  <c r="EG63" i="5" s="1"/>
  <c r="EL63" i="5" s="1"/>
  <c r="DW50" i="5"/>
  <c r="AA7" i="14" s="1"/>
  <c r="AA81" i="14" s="1"/>
  <c r="CV150" i="5"/>
  <c r="CT150" i="5"/>
  <c r="CW150" i="5"/>
  <c r="DC150" i="5"/>
  <c r="CU150" i="5"/>
  <c r="AV145" i="5"/>
  <c r="AV102" i="5"/>
  <c r="P240" i="42" l="1"/>
  <c r="P244" i="42" s="1"/>
  <c r="M67" i="42"/>
  <c r="M72" i="42" s="1"/>
  <c r="N66" i="42" s="1"/>
  <c r="DH17" i="4"/>
  <c r="DD17" i="4" s="1"/>
  <c r="U44" i="6"/>
  <c r="T53" i="6"/>
  <c r="T54" i="6" s="1"/>
  <c r="U48" i="6"/>
  <c r="Z175" i="13"/>
  <c r="Y93" i="14"/>
  <c r="V45" i="6"/>
  <c r="V49" i="6"/>
  <c r="V41" i="6"/>
  <c r="V36" i="6"/>
  <c r="V37" i="6"/>
  <c r="V46" i="6"/>
  <c r="V43" i="6"/>
  <c r="V38" i="6"/>
  <c r="V47" i="6"/>
  <c r="V42" i="6"/>
  <c r="X32" i="6"/>
  <c r="W31" i="6"/>
  <c r="W34" i="6" s="1"/>
  <c r="EB18" i="4"/>
  <c r="DS18" i="4"/>
  <c r="DT18" i="4" s="1"/>
  <c r="DU18" i="4" s="1"/>
  <c r="DV18" i="4" s="1"/>
  <c r="W158" i="6"/>
  <c r="V160" i="6"/>
  <c r="U50" i="6"/>
  <c r="U51" i="6"/>
  <c r="U52" i="6"/>
  <c r="AA174" i="13"/>
  <c r="AA14" i="14"/>
  <c r="AA10" i="14" s="1"/>
  <c r="L83" i="42"/>
  <c r="CD21" i="1" s="1"/>
  <c r="CC21" i="1" s="1"/>
  <c r="L50" i="42"/>
  <c r="M44" i="42" s="1"/>
  <c r="M79" i="42" s="1"/>
  <c r="M81" i="42" s="1"/>
  <c r="L165" i="6"/>
  <c r="L171" i="6" s="1"/>
  <c r="S40" i="6"/>
  <c r="L130" i="7"/>
  <c r="M52" i="7"/>
  <c r="L44" i="7"/>
  <c r="DM12" i="4"/>
  <c r="DM17" i="4" s="1"/>
  <c r="L155" i="6"/>
  <c r="L162" i="6" s="1"/>
  <c r="CD33" i="4" s="1"/>
  <c r="CC33" i="4" s="1"/>
  <c r="CC40" i="4" s="1"/>
  <c r="CD34" i="4" s="1"/>
  <c r="T39" i="6"/>
  <c r="T35" i="6" s="1"/>
  <c r="L58" i="7"/>
  <c r="L59" i="7" s="1"/>
  <c r="M48" i="7"/>
  <c r="M43" i="7"/>
  <c r="M39" i="7" s="1"/>
  <c r="W64" i="7"/>
  <c r="W62" i="7"/>
  <c r="X63" i="7"/>
  <c r="P230" i="42"/>
  <c r="Q224" i="42" s="1"/>
  <c r="Q236" i="42" s="1"/>
  <c r="Q238" i="42" s="1"/>
  <c r="T183" i="42"/>
  <c r="S187" i="42"/>
  <c r="T195" i="42"/>
  <c r="S227" i="42"/>
  <c r="S199" i="42"/>
  <c r="S172" i="42"/>
  <c r="S196" i="42" s="1"/>
  <c r="S171" i="42"/>
  <c r="S170" i="42"/>
  <c r="P7" i="42"/>
  <c r="P9" i="42" s="1"/>
  <c r="Q5" i="42"/>
  <c r="M57" i="42"/>
  <c r="M56" i="42" s="1"/>
  <c r="N60" i="42"/>
  <c r="N68" i="42"/>
  <c r="O71" i="42"/>
  <c r="N70" i="42"/>
  <c r="Q232" i="42"/>
  <c r="Q234" i="42" s="1"/>
  <c r="Q208" i="42"/>
  <c r="Q210" i="42" s="1"/>
  <c r="R204" i="42" s="1"/>
  <c r="M59" i="42"/>
  <c r="L111" i="42"/>
  <c r="L112" i="42" s="1"/>
  <c r="L113" i="42" s="1"/>
  <c r="L140" i="42" s="1"/>
  <c r="R217" i="42"/>
  <c r="R190" i="42"/>
  <c r="R191" i="42" s="1"/>
  <c r="R192" i="42" s="1"/>
  <c r="N47" i="42"/>
  <c r="N24" i="42"/>
  <c r="N25" i="42" s="1"/>
  <c r="N26" i="42" s="1"/>
  <c r="R219" i="42"/>
  <c r="Q216" i="42"/>
  <c r="Q215" i="42" s="1"/>
  <c r="BX20" i="1"/>
  <c r="BX120" i="1" s="1"/>
  <c r="BY120" i="1" s="1"/>
  <c r="BY20" i="1"/>
  <c r="R229" i="42"/>
  <c r="R228" i="42" s="1"/>
  <c r="Q226" i="42"/>
  <c r="U94" i="42"/>
  <c r="T97" i="42"/>
  <c r="T96" i="42"/>
  <c r="T95" i="42"/>
  <c r="S114" i="42"/>
  <c r="T110" i="42"/>
  <c r="T13" i="42"/>
  <c r="S16" i="42"/>
  <c r="S15" i="42"/>
  <c r="S14" i="42"/>
  <c r="R33" i="42"/>
  <c r="S29" i="42"/>
  <c r="O86" i="42"/>
  <c r="N88" i="42"/>
  <c r="N90" i="42" s="1"/>
  <c r="R209" i="42"/>
  <c r="Q206" i="42"/>
  <c r="Q205" i="42" s="1"/>
  <c r="T189" i="42"/>
  <c r="S193" i="42"/>
  <c r="T176" i="42"/>
  <c r="T175" i="42"/>
  <c r="T174" i="42"/>
  <c r="U173" i="42"/>
  <c r="T167" i="42"/>
  <c r="T169" i="42" s="1"/>
  <c r="U165" i="42"/>
  <c r="O12" i="42"/>
  <c r="O36" i="42" s="1"/>
  <c r="O37" i="42" s="1"/>
  <c r="O38" i="42" s="1"/>
  <c r="O11" i="42"/>
  <c r="O10" i="42"/>
  <c r="L105" i="42"/>
  <c r="L106" i="42" s="1"/>
  <c r="L107" i="42" s="1"/>
  <c r="L130" i="42" s="1"/>
  <c r="M150" i="42"/>
  <c r="L147" i="42"/>
  <c r="L146" i="42" s="1"/>
  <c r="L149" i="42"/>
  <c r="L151" i="42" s="1"/>
  <c r="M145" i="42" s="1"/>
  <c r="M46" i="42"/>
  <c r="N49" i="42"/>
  <c r="R207" i="42"/>
  <c r="R184" i="42"/>
  <c r="R185" i="42" s="1"/>
  <c r="R186" i="42" s="1"/>
  <c r="R197" i="42"/>
  <c r="R198" i="42" s="1"/>
  <c r="N58" i="42"/>
  <c r="N59" i="42" s="1"/>
  <c r="N30" i="42"/>
  <c r="N31" i="42" s="1"/>
  <c r="N32" i="42" s="1"/>
  <c r="K247" i="42"/>
  <c r="K250" i="42"/>
  <c r="Q218" i="42"/>
  <c r="Q220" i="42" s="1"/>
  <c r="R214" i="42" s="1"/>
  <c r="S108" i="42"/>
  <c r="T104" i="42"/>
  <c r="S120" i="42"/>
  <c r="S148" i="42"/>
  <c r="T116" i="42"/>
  <c r="S23" i="42"/>
  <c r="R27" i="42"/>
  <c r="R69" i="42"/>
  <c r="S35" i="42"/>
  <c r="R39" i="42"/>
  <c r="M48" i="42"/>
  <c r="M75" i="42"/>
  <c r="M77" i="42" s="1"/>
  <c r="M93" i="42"/>
  <c r="M117" i="42" s="1"/>
  <c r="M118" i="42" s="1"/>
  <c r="M119" i="42" s="1"/>
  <c r="M92" i="42"/>
  <c r="M91" i="42"/>
  <c r="Q2" i="28"/>
  <c r="P21" i="28"/>
  <c r="P22" i="28" s="1"/>
  <c r="W15" i="29"/>
  <c r="O4" i="29"/>
  <c r="O10" i="29" s="1"/>
  <c r="O12" i="29" s="1"/>
  <c r="P3" i="29"/>
  <c r="U11" i="29"/>
  <c r="S34" i="29"/>
  <c r="S33" i="29"/>
  <c r="S23" i="29"/>
  <c r="T2" i="29"/>
  <c r="Y9" i="29"/>
  <c r="Y6" i="29"/>
  <c r="N14" i="29"/>
  <c r="N21" i="29" s="1"/>
  <c r="N24" i="29" s="1"/>
  <c r="DA12" i="4"/>
  <c r="CZ14" i="4"/>
  <c r="CW12" i="4"/>
  <c r="CW14" i="4" s="1"/>
  <c r="CV14" i="4"/>
  <c r="DE12" i="4"/>
  <c r="DD14" i="4"/>
  <c r="DX19" i="4"/>
  <c r="DY19" i="4" s="1"/>
  <c r="DZ19" i="4" s="1"/>
  <c r="EA19" i="4" s="1"/>
  <c r="EG19" i="4"/>
  <c r="EF37" i="4"/>
  <c r="EF20" i="4" s="1"/>
  <c r="EK36" i="4"/>
  <c r="EK37" i="4" s="1"/>
  <c r="EK20" i="4" s="1"/>
  <c r="DW29" i="4"/>
  <c r="DW5" i="4" s="1"/>
  <c r="DW28" i="4"/>
  <c r="EA29" i="4"/>
  <c r="EA28" i="4"/>
  <c r="DX29" i="4"/>
  <c r="DX28" i="4"/>
  <c r="CZ17" i="4"/>
  <c r="CY15" i="4"/>
  <c r="ED37" i="4"/>
  <c r="ED20" i="4" s="1"/>
  <c r="EI36" i="4"/>
  <c r="EI37" i="4" s="1"/>
  <c r="EI20" i="4" s="1"/>
  <c r="CQ14" i="4"/>
  <c r="CR12" i="4"/>
  <c r="CR14" i="4" s="1"/>
  <c r="EJ25" i="4"/>
  <c r="DY29" i="4"/>
  <c r="DY28" i="4"/>
  <c r="CQ17" i="4"/>
  <c r="CP15" i="4"/>
  <c r="CV17" i="4"/>
  <c r="CU15" i="4"/>
  <c r="EA26" i="4"/>
  <c r="EF23" i="4"/>
  <c r="DS29" i="4"/>
  <c r="DS28" i="4"/>
  <c r="EB27" i="4"/>
  <c r="EG25" i="4"/>
  <c r="EK25" i="4"/>
  <c r="EH25" i="4"/>
  <c r="DX26" i="4"/>
  <c r="EC23" i="4"/>
  <c r="DZ29" i="4"/>
  <c r="DZ28" i="4"/>
  <c r="DZ26" i="4"/>
  <c r="EE23" i="4"/>
  <c r="DY26" i="4"/>
  <c r="ED23" i="4"/>
  <c r="EB26" i="4"/>
  <c r="EG23" i="4"/>
  <c r="EI25" i="4"/>
  <c r="ED27" i="4"/>
  <c r="DR11" i="4"/>
  <c r="DN11" i="4" s="1"/>
  <c r="DO11" i="4" s="1"/>
  <c r="DP11" i="4" s="1"/>
  <c r="DQ11" i="4" s="1"/>
  <c r="DR6" i="4"/>
  <c r="DQ5" i="4"/>
  <c r="DQ6" i="4" s="1"/>
  <c r="DO5" i="4"/>
  <c r="DO6" i="4" s="1"/>
  <c r="DP5" i="4"/>
  <c r="DP6" i="4" s="1"/>
  <c r="DN5" i="4"/>
  <c r="DN6" i="4" s="1"/>
  <c r="DV29" i="4"/>
  <c r="DV28" i="4"/>
  <c r="O3" i="16"/>
  <c r="P1" i="16"/>
  <c r="F140" i="7"/>
  <c r="G139" i="7"/>
  <c r="G134" i="7"/>
  <c r="H132" i="7"/>
  <c r="V91" i="7"/>
  <c r="W90" i="7"/>
  <c r="V89" i="7"/>
  <c r="V92" i="7"/>
  <c r="X160" i="7"/>
  <c r="U108" i="7"/>
  <c r="K151" i="7"/>
  <c r="K144" i="7"/>
  <c r="K148" i="7" s="1"/>
  <c r="M101" i="7"/>
  <c r="L103" i="7"/>
  <c r="M106" i="7"/>
  <c r="M105" i="7"/>
  <c r="M107" i="7" s="1"/>
  <c r="M100" i="7"/>
  <c r="N99" i="7"/>
  <c r="N50" i="7"/>
  <c r="N46" i="7"/>
  <c r="N42" i="7"/>
  <c r="N40" i="7"/>
  <c r="N54" i="7"/>
  <c r="N41" i="7"/>
  <c r="N51" i="7"/>
  <c r="N47" i="7"/>
  <c r="N45" i="7"/>
  <c r="N49" i="7"/>
  <c r="P36" i="7"/>
  <c r="O35" i="7"/>
  <c r="O38" i="7"/>
  <c r="S10" i="7"/>
  <c r="N97" i="7"/>
  <c r="O80" i="7"/>
  <c r="V28" i="7"/>
  <c r="U146" i="7"/>
  <c r="N8" i="7"/>
  <c r="N12" i="7" s="1"/>
  <c r="O7" i="7"/>
  <c r="K158" i="7"/>
  <c r="K162" i="7" s="1"/>
  <c r="BY35" i="4" s="1"/>
  <c r="W76" i="7"/>
  <c r="X75" i="7"/>
  <c r="K137" i="7"/>
  <c r="K109" i="7"/>
  <c r="O27" i="7"/>
  <c r="L165" i="7"/>
  <c r="L167" i="7" s="1"/>
  <c r="L31" i="7"/>
  <c r="L29" i="7"/>
  <c r="L30" i="7"/>
  <c r="M57" i="7"/>
  <c r="M56" i="7"/>
  <c r="M55" i="7"/>
  <c r="P26" i="7"/>
  <c r="M16" i="7"/>
  <c r="M112" i="7" s="1"/>
  <c r="M117" i="7" s="1"/>
  <c r="M15" i="7"/>
  <c r="M14" i="7"/>
  <c r="M13" i="7"/>
  <c r="M19" i="7" s="1"/>
  <c r="M24" i="7" s="1"/>
  <c r="O8" i="6"/>
  <c r="P7" i="6"/>
  <c r="U59" i="6"/>
  <c r="U38" i="6" s="1"/>
  <c r="U57" i="6"/>
  <c r="U36" i="6" s="1"/>
  <c r="U37" i="6"/>
  <c r="L104" i="6"/>
  <c r="P22" i="6"/>
  <c r="M27" i="6"/>
  <c r="M25" i="6"/>
  <c r="W85" i="6"/>
  <c r="V84" i="6"/>
  <c r="V87" i="6"/>
  <c r="M26" i="6"/>
  <c r="M126" i="6"/>
  <c r="L128" i="6"/>
  <c r="T24" i="6"/>
  <c r="N12" i="6"/>
  <c r="N11" i="6"/>
  <c r="N107" i="6" s="1"/>
  <c r="N112" i="6" s="1"/>
  <c r="N10" i="6"/>
  <c r="N9" i="6"/>
  <c r="N15" i="6" s="1"/>
  <c r="N20" i="6" s="1"/>
  <c r="N26" i="6" s="1"/>
  <c r="BY15" i="43"/>
  <c r="BY16" i="43" s="1"/>
  <c r="BY19" i="43" s="1"/>
  <c r="BY20" i="43" s="1"/>
  <c r="BX5" i="43"/>
  <c r="V150" i="6"/>
  <c r="L131" i="6"/>
  <c r="M101" i="6"/>
  <c r="M102" i="6"/>
  <c r="M95" i="6"/>
  <c r="N94" i="6"/>
  <c r="Q17" i="6"/>
  <c r="P19" i="6"/>
  <c r="L148" i="6"/>
  <c r="L152" i="6" s="1"/>
  <c r="CD5" i="43" s="1"/>
  <c r="L138" i="6"/>
  <c r="N92" i="6"/>
  <c r="O75" i="6"/>
  <c r="K145" i="6"/>
  <c r="L140" i="6"/>
  <c r="V103" i="6"/>
  <c r="K131" i="6"/>
  <c r="K133" i="6" s="1"/>
  <c r="L133" i="6" s="1"/>
  <c r="K104" i="6"/>
  <c r="O23" i="6"/>
  <c r="AU43" i="15"/>
  <c r="DH87" i="15"/>
  <c r="DH85" i="15"/>
  <c r="DM81" i="15"/>
  <c r="DH88" i="15"/>
  <c r="DH86" i="15"/>
  <c r="DH84" i="15"/>
  <c r="DH83" i="15"/>
  <c r="CN82" i="15"/>
  <c r="CI89" i="15"/>
  <c r="AA19" i="13" s="1"/>
  <c r="AN59" i="15"/>
  <c r="AM60" i="15"/>
  <c r="AS54" i="15"/>
  <c r="AR55" i="15"/>
  <c r="AF76" i="15"/>
  <c r="AF40" i="15"/>
  <c r="BB70" i="15"/>
  <c r="AK76" i="15"/>
  <c r="AK40" i="15"/>
  <c r="AK36" i="15"/>
  <c r="AV48" i="15"/>
  <c r="AV50" i="15"/>
  <c r="AV53" i="15"/>
  <c r="AT58" i="15"/>
  <c r="AU58" i="15" s="1"/>
  <c r="Z94" i="14"/>
  <c r="Z96" i="14"/>
  <c r="Z93" i="14"/>
  <c r="AB92" i="14"/>
  <c r="AA62" i="14"/>
  <c r="Z78" i="14"/>
  <c r="L48" i="14"/>
  <c r="M45" i="14"/>
  <c r="M46" i="14" s="1"/>
  <c r="Y76" i="14"/>
  <c r="AC95" i="14"/>
  <c r="AC97" i="14"/>
  <c r="O112" i="13"/>
  <c r="AA56" i="13"/>
  <c r="AA161" i="13"/>
  <c r="AB159" i="13"/>
  <c r="AA14" i="13"/>
  <c r="AB158" i="13"/>
  <c r="AA15" i="13"/>
  <c r="AB16" i="13"/>
  <c r="AC68" i="13"/>
  <c r="Y59" i="13"/>
  <c r="Z54" i="13"/>
  <c r="AC55" i="13"/>
  <c r="AB106" i="13"/>
  <c r="N121" i="13"/>
  <c r="O121" i="13" s="1"/>
  <c r="P121" i="13" s="1"/>
  <c r="Q121" i="13" s="1"/>
  <c r="R121" i="13" s="1"/>
  <c r="S121" i="13" s="1"/>
  <c r="T121" i="13" s="1"/>
  <c r="U121" i="13" s="1"/>
  <c r="V121" i="13" s="1"/>
  <c r="W121" i="13" s="1"/>
  <c r="X121" i="13" s="1"/>
  <c r="Y121" i="13" s="1"/>
  <c r="Z121" i="13" s="1"/>
  <c r="AA121" i="13" s="1"/>
  <c r="AB121" i="13" s="1"/>
  <c r="AC121" i="13" s="1"/>
  <c r="AD121" i="13" s="1"/>
  <c r="M122" i="13"/>
  <c r="N122" i="13" s="1"/>
  <c r="O122" i="13" s="1"/>
  <c r="P122" i="13" s="1"/>
  <c r="Q122" i="13" s="1"/>
  <c r="R122" i="13" s="1"/>
  <c r="S122" i="13" s="1"/>
  <c r="T122" i="13" s="1"/>
  <c r="U122" i="13" s="1"/>
  <c r="V122" i="13" s="1"/>
  <c r="W122" i="13" s="1"/>
  <c r="X122" i="13" s="1"/>
  <c r="Y122" i="13" s="1"/>
  <c r="Z122" i="13" s="1"/>
  <c r="AA122" i="13" s="1"/>
  <c r="AB122" i="13" s="1"/>
  <c r="AC122" i="13" s="1"/>
  <c r="AD122" i="13" s="1"/>
  <c r="AB31" i="13"/>
  <c r="EL59" i="5"/>
  <c r="AA74" i="13"/>
  <c r="AA66" i="13"/>
  <c r="AA77" i="13"/>
  <c r="CB10" i="43"/>
  <c r="CC9" i="43"/>
  <c r="DW107" i="1"/>
  <c r="DW109" i="1"/>
  <c r="DR106" i="1"/>
  <c r="EB26" i="1"/>
  <c r="DV26" i="1"/>
  <c r="DT26" i="1"/>
  <c r="DU26" i="1"/>
  <c r="DS26" i="1"/>
  <c r="DH150" i="5"/>
  <c r="DB150" i="5"/>
  <c r="CZ150" i="5"/>
  <c r="DA150" i="5"/>
  <c r="CY150" i="5"/>
  <c r="EG125" i="5"/>
  <c r="M98" i="6" l="1"/>
  <c r="M104" i="6" s="1"/>
  <c r="CB5" i="43"/>
  <c r="CB15" i="43" s="1"/>
  <c r="CA5" i="43"/>
  <c r="CA15" i="43" s="1"/>
  <c r="BZ5" i="43"/>
  <c r="BZ15" i="43" s="1"/>
  <c r="V44" i="6"/>
  <c r="V48" i="6"/>
  <c r="V39" i="6"/>
  <c r="V35" i="6" s="1"/>
  <c r="U53" i="6"/>
  <c r="U54" i="6" s="1"/>
  <c r="DX18" i="4"/>
  <c r="DY18" i="4" s="1"/>
  <c r="DZ18" i="4" s="1"/>
  <c r="EA18" i="4" s="1"/>
  <c r="EG18" i="4"/>
  <c r="V52" i="6"/>
  <c r="V50" i="6"/>
  <c r="V51" i="6"/>
  <c r="Q240" i="42"/>
  <c r="Q244" i="42" s="1"/>
  <c r="X158" i="6"/>
  <c r="X160" i="6" s="1"/>
  <c r="W160" i="6"/>
  <c r="W43" i="6"/>
  <c r="W36" i="6"/>
  <c r="W42" i="6"/>
  <c r="W49" i="6"/>
  <c r="W41" i="6"/>
  <c r="W46" i="6"/>
  <c r="W37" i="6"/>
  <c r="W38" i="6"/>
  <c r="W45" i="6"/>
  <c r="W47" i="6"/>
  <c r="X31" i="6"/>
  <c r="X34" i="6" s="1"/>
  <c r="AA91" i="14"/>
  <c r="AB174" i="13"/>
  <c r="AB14" i="14"/>
  <c r="AB10" i="14" s="1"/>
  <c r="N67" i="42"/>
  <c r="N72" i="42" s="1"/>
  <c r="O66" i="42" s="1"/>
  <c r="L242" i="42"/>
  <c r="M83" i="42"/>
  <c r="M242" i="42" s="1"/>
  <c r="M45" i="42"/>
  <c r="M50" i="42" s="1"/>
  <c r="N44" i="42" s="1"/>
  <c r="DR12" i="4"/>
  <c r="DN12" i="4" s="1"/>
  <c r="M165" i="6"/>
  <c r="M171" i="6" s="1"/>
  <c r="N164" i="6"/>
  <c r="BX35" i="4"/>
  <c r="BX37" i="4" s="1"/>
  <c r="BV37" i="4" s="1"/>
  <c r="BV20" i="4" s="1"/>
  <c r="BV19" i="4" s="1"/>
  <c r="DI12" i="4"/>
  <c r="DJ12" i="4" s="1"/>
  <c r="M44" i="7"/>
  <c r="M58" i="7"/>
  <c r="M59" i="7" s="1"/>
  <c r="N52" i="7"/>
  <c r="M155" i="6"/>
  <c r="M162" i="6" s="1"/>
  <c r="CI33" i="4" s="1"/>
  <c r="T40" i="6"/>
  <c r="L158" i="7"/>
  <c r="L162" i="7" s="1"/>
  <c r="CD35" i="4" s="1"/>
  <c r="N43" i="7"/>
  <c r="N39" i="7" s="1"/>
  <c r="N48" i="7"/>
  <c r="U39" i="6"/>
  <c r="U35" i="6" s="1"/>
  <c r="X62" i="7"/>
  <c r="X64" i="7"/>
  <c r="BY110" i="1"/>
  <c r="M61" i="42"/>
  <c r="N55" i="42" s="1"/>
  <c r="M138" i="42"/>
  <c r="M111" i="42"/>
  <c r="M112" i="42" s="1"/>
  <c r="M113" i="42" s="1"/>
  <c r="R232" i="42"/>
  <c r="R234" i="42" s="1"/>
  <c r="R208" i="42"/>
  <c r="R210" i="42" s="1"/>
  <c r="S204" i="42" s="1"/>
  <c r="M130" i="42"/>
  <c r="L127" i="42"/>
  <c r="L126" i="42" s="1"/>
  <c r="O58" i="42"/>
  <c r="O30" i="42"/>
  <c r="O31" i="42" s="1"/>
  <c r="O32" i="42" s="1"/>
  <c r="V165" i="42"/>
  <c r="U167" i="42"/>
  <c r="U169" i="42" s="1"/>
  <c r="V173" i="42"/>
  <c r="U176" i="42"/>
  <c r="U175" i="42"/>
  <c r="U174" i="42"/>
  <c r="T193" i="42"/>
  <c r="U189" i="42"/>
  <c r="N93" i="42"/>
  <c r="N117" i="42" s="1"/>
  <c r="N118" i="42" s="1"/>
  <c r="N119" i="42" s="1"/>
  <c r="N92" i="42"/>
  <c r="N91" i="42"/>
  <c r="S27" i="42"/>
  <c r="T23" i="42"/>
  <c r="S39" i="42"/>
  <c r="S69" i="42"/>
  <c r="T35" i="42"/>
  <c r="U104" i="42"/>
  <c r="T108" i="42"/>
  <c r="T148" i="42"/>
  <c r="U116" i="42"/>
  <c r="T120" i="42"/>
  <c r="L139" i="42"/>
  <c r="P12" i="42"/>
  <c r="P36" i="42" s="1"/>
  <c r="P37" i="42" s="1"/>
  <c r="P38" i="42" s="1"/>
  <c r="P11" i="42"/>
  <c r="P10" i="42"/>
  <c r="S217" i="42"/>
  <c r="S190" i="42"/>
  <c r="S191" i="42" s="1"/>
  <c r="S192" i="42" s="1"/>
  <c r="M128" i="42"/>
  <c r="M105" i="42"/>
  <c r="M106" i="42" s="1"/>
  <c r="M107" i="42" s="1"/>
  <c r="K252" i="42"/>
  <c r="O49" i="42"/>
  <c r="N46" i="42"/>
  <c r="N150" i="42"/>
  <c r="M147" i="42"/>
  <c r="M146" i="42" s="1"/>
  <c r="M149" i="42"/>
  <c r="L129" i="42"/>
  <c r="L131" i="42" s="1"/>
  <c r="M125" i="42" s="1"/>
  <c r="L154" i="42"/>
  <c r="L156" i="42" s="1"/>
  <c r="L162" i="42" s="1"/>
  <c r="O47" i="42"/>
  <c r="O24" i="42"/>
  <c r="O25" i="42" s="1"/>
  <c r="O26" i="42" s="1"/>
  <c r="T172" i="42"/>
  <c r="T196" i="42" s="1"/>
  <c r="T171" i="42"/>
  <c r="T170" i="42"/>
  <c r="T187" i="42"/>
  <c r="U183" i="42"/>
  <c r="T227" i="42"/>
  <c r="T199" i="42"/>
  <c r="U195" i="42"/>
  <c r="R206" i="42"/>
  <c r="R205" i="42" s="1"/>
  <c r="S209" i="42"/>
  <c r="O88" i="42"/>
  <c r="O90" i="42" s="1"/>
  <c r="P86" i="42"/>
  <c r="S33" i="42"/>
  <c r="T29" i="42"/>
  <c r="T16" i="42"/>
  <c r="T15" i="42"/>
  <c r="T14" i="42"/>
  <c r="U13" i="42"/>
  <c r="U110" i="42"/>
  <c r="T114" i="42"/>
  <c r="U97" i="42"/>
  <c r="U96" i="42"/>
  <c r="U95" i="42"/>
  <c r="V94" i="42"/>
  <c r="R226" i="42"/>
  <c r="S229" i="42"/>
  <c r="S228" i="42" s="1"/>
  <c r="R216" i="42"/>
  <c r="R215" i="42" s="1"/>
  <c r="S219" i="42"/>
  <c r="N75" i="42"/>
  <c r="N77" i="42" s="1"/>
  <c r="N48" i="42"/>
  <c r="R218" i="42"/>
  <c r="R220" i="42" s="1"/>
  <c r="S214" i="42" s="1"/>
  <c r="M140" i="42"/>
  <c r="L137" i="42"/>
  <c r="L136" i="42" s="1"/>
  <c r="P71" i="42"/>
  <c r="O68" i="42"/>
  <c r="O70" i="42"/>
  <c r="O60" i="42"/>
  <c r="N57" i="42"/>
  <c r="R5" i="42"/>
  <c r="Q7" i="42"/>
  <c r="Q9" i="42" s="1"/>
  <c r="S207" i="42"/>
  <c r="S184" i="42"/>
  <c r="S185" i="42" s="1"/>
  <c r="S186" i="42" s="1"/>
  <c r="S197" i="42"/>
  <c r="S198" i="42" s="1"/>
  <c r="Q225" i="42"/>
  <c r="Q230" i="42" s="1"/>
  <c r="R224" i="42" s="1"/>
  <c r="Q21" i="28"/>
  <c r="Q22" i="28" s="1"/>
  <c r="R2" i="28"/>
  <c r="T33" i="29"/>
  <c r="T23" i="29"/>
  <c r="T34" i="29"/>
  <c r="U2" i="29"/>
  <c r="P4" i="29"/>
  <c r="P10" i="29" s="1"/>
  <c r="P12" i="29" s="1"/>
  <c r="Q3" i="29"/>
  <c r="V11" i="29"/>
  <c r="O14" i="29"/>
  <c r="O21" i="29" s="1"/>
  <c r="O24" i="29" s="1"/>
  <c r="X15" i="29"/>
  <c r="ED29" i="4"/>
  <c r="ED28" i="4"/>
  <c r="EG26" i="4"/>
  <c r="EL23" i="4"/>
  <c r="ED26" i="4"/>
  <c r="EI23" i="4"/>
  <c r="EI26" i="4" s="1"/>
  <c r="EE26" i="4"/>
  <c r="EJ23" i="4"/>
  <c r="EJ26" i="4" s="1"/>
  <c r="EC26" i="4"/>
  <c r="EH23" i="4"/>
  <c r="EH26" i="4" s="1"/>
  <c r="EG27" i="4"/>
  <c r="EL25" i="4"/>
  <c r="EF26" i="4"/>
  <c r="EK23" i="4"/>
  <c r="EK26" i="4" s="1"/>
  <c r="EJ27" i="4"/>
  <c r="EL19" i="4"/>
  <c r="EH19" i="4" s="1"/>
  <c r="EI19" i="4" s="1"/>
  <c r="EJ19" i="4" s="1"/>
  <c r="EK19" i="4" s="1"/>
  <c r="EC19" i="4"/>
  <c r="ED19" i="4" s="1"/>
  <c r="EE19" i="4" s="1"/>
  <c r="EF19" i="4" s="1"/>
  <c r="DI17" i="4"/>
  <c r="EI27" i="4"/>
  <c r="EC27" i="4"/>
  <c r="EF27" i="4"/>
  <c r="EB29" i="4"/>
  <c r="EB5" i="4" s="1"/>
  <c r="EB28" i="4"/>
  <c r="DE17" i="4"/>
  <c r="DD15" i="4"/>
  <c r="CW17" i="4"/>
  <c r="CW15" i="4" s="1"/>
  <c r="CV15" i="4"/>
  <c r="CR17" i="4"/>
  <c r="CR15" i="4" s="1"/>
  <c r="CQ15" i="4"/>
  <c r="EE27" i="4"/>
  <c r="DA17" i="4"/>
  <c r="CZ15" i="4"/>
  <c r="DU5" i="4"/>
  <c r="DU6" i="4" s="1"/>
  <c r="DS5" i="4"/>
  <c r="DS6" i="4" s="1"/>
  <c r="DW11" i="4"/>
  <c r="DS11" i="4" s="1"/>
  <c r="DT11" i="4" s="1"/>
  <c r="DU11" i="4" s="1"/>
  <c r="DV11" i="4" s="1"/>
  <c r="DW6" i="4"/>
  <c r="DV5" i="4"/>
  <c r="DV6" i="4" s="1"/>
  <c r="DT5" i="4"/>
  <c r="DT6" i="4" s="1"/>
  <c r="DE14" i="4"/>
  <c r="DF12" i="4"/>
  <c r="DA14" i="4"/>
  <c r="DB12" i="4"/>
  <c r="DB14" i="4" s="1"/>
  <c r="P3" i="16"/>
  <c r="Q1" i="16"/>
  <c r="I132" i="7"/>
  <c r="H134" i="7"/>
  <c r="G141" i="7"/>
  <c r="H139" i="7"/>
  <c r="X76" i="7"/>
  <c r="O8" i="7"/>
  <c r="O12" i="7" s="1"/>
  <c r="P7" i="7"/>
  <c r="V146" i="7"/>
  <c r="W28" i="7"/>
  <c r="O97" i="7"/>
  <c r="P80" i="7"/>
  <c r="T10" i="7"/>
  <c r="O54" i="7"/>
  <c r="O51" i="7"/>
  <c r="O47" i="7"/>
  <c r="O45" i="7"/>
  <c r="O40" i="7"/>
  <c r="O50" i="7"/>
  <c r="O46" i="7"/>
  <c r="O42" i="7"/>
  <c r="O49" i="7"/>
  <c r="O41" i="7"/>
  <c r="P35" i="7"/>
  <c r="Q36" i="7"/>
  <c r="P38" i="7"/>
  <c r="N57" i="7"/>
  <c r="N55" i="7"/>
  <c r="N56" i="7"/>
  <c r="N100" i="7"/>
  <c r="O99" i="7"/>
  <c r="N106" i="7"/>
  <c r="N105" i="7"/>
  <c r="N107" i="7" s="1"/>
  <c r="N101" i="7"/>
  <c r="M103" i="7"/>
  <c r="BW12" i="1"/>
  <c r="BW117" i="1" s="1"/>
  <c r="V108" i="7"/>
  <c r="W91" i="7"/>
  <c r="X90" i="7"/>
  <c r="W89" i="7"/>
  <c r="W92" i="7"/>
  <c r="M165" i="7"/>
  <c r="M167" i="7" s="1"/>
  <c r="M31" i="7"/>
  <c r="M29" i="7"/>
  <c r="M30" i="7"/>
  <c r="Q26" i="7"/>
  <c r="L151" i="7"/>
  <c r="L144" i="7"/>
  <c r="L148" i="7" s="1"/>
  <c r="CD14" i="1" s="1"/>
  <c r="CC14" i="1" s="1"/>
  <c r="P27" i="7"/>
  <c r="N15" i="7"/>
  <c r="N14" i="7"/>
  <c r="N13" i="7"/>
  <c r="N19" i="7" s="1"/>
  <c r="N24" i="7" s="1"/>
  <c r="N16" i="7"/>
  <c r="N112" i="7" s="1"/>
  <c r="N117" i="7" s="1"/>
  <c r="M130" i="7"/>
  <c r="L137" i="7"/>
  <c r="L109" i="7"/>
  <c r="W103" i="6"/>
  <c r="P75" i="6"/>
  <c r="O92" i="6"/>
  <c r="W150" i="6"/>
  <c r="M128" i="6"/>
  <c r="N126" i="6"/>
  <c r="X85" i="6"/>
  <c r="W84" i="6"/>
  <c r="W87" i="6" s="1"/>
  <c r="L135" i="6"/>
  <c r="M133" i="6"/>
  <c r="Q7" i="6"/>
  <c r="P8" i="6"/>
  <c r="P23" i="6"/>
  <c r="M140" i="6"/>
  <c r="L145" i="6"/>
  <c r="CD15" i="43"/>
  <c r="R17" i="6"/>
  <c r="Q19" i="6"/>
  <c r="N95" i="6"/>
  <c r="N101" i="6"/>
  <c r="N96" i="6"/>
  <c r="N98" i="6" s="1"/>
  <c r="O94" i="6"/>
  <c r="N100" i="6"/>
  <c r="N102" i="6" s="1"/>
  <c r="BX15" i="43"/>
  <c r="BX16" i="43" s="1"/>
  <c r="BX19" i="43" s="1"/>
  <c r="BX20" i="43" s="1"/>
  <c r="N27" i="6"/>
  <c r="N25" i="6"/>
  <c r="N124" i="6"/>
  <c r="U24" i="6"/>
  <c r="M138" i="6"/>
  <c r="M148" i="6"/>
  <c r="M152" i="6" s="1"/>
  <c r="CI5" i="43" s="1"/>
  <c r="Q22" i="6"/>
  <c r="O12" i="6"/>
  <c r="O11" i="6"/>
  <c r="O107" i="6" s="1"/>
  <c r="O112" i="6" s="1"/>
  <c r="O164" i="6" s="1"/>
  <c r="O170" i="6" s="1"/>
  <c r="O10" i="6"/>
  <c r="O9" i="6"/>
  <c r="O15" i="6" s="1"/>
  <c r="O20" i="6" s="1"/>
  <c r="AW53" i="15"/>
  <c r="AW50" i="15"/>
  <c r="AW48" i="15"/>
  <c r="AV58" i="15"/>
  <c r="AK84" i="15"/>
  <c r="AK89" i="15" s="1"/>
  <c r="AK79" i="15"/>
  <c r="AL38" i="15"/>
  <c r="AK78" i="15"/>
  <c r="BC70" i="15"/>
  <c r="AT79" i="15"/>
  <c r="AT90" i="15" s="1"/>
  <c r="AF78" i="15"/>
  <c r="BT36" i="5"/>
  <c r="AT54" i="15"/>
  <c r="AS55" i="15"/>
  <c r="AO59" i="15"/>
  <c r="AN60" i="15"/>
  <c r="CS82" i="15"/>
  <c r="CN89" i="15"/>
  <c r="AB19" i="13" s="1"/>
  <c r="DR81" i="15"/>
  <c r="DM88" i="15"/>
  <c r="DM86" i="15"/>
  <c r="DM84" i="15"/>
  <c r="DM87" i="15"/>
  <c r="DM85" i="15"/>
  <c r="DM83" i="15"/>
  <c r="AU85" i="15"/>
  <c r="AU89" i="15" s="1"/>
  <c r="S19" i="13" s="1"/>
  <c r="AV43" i="15"/>
  <c r="AV45" i="15"/>
  <c r="AU79" i="15"/>
  <c r="AA96" i="14"/>
  <c r="AA94" i="14"/>
  <c r="AA93" i="14"/>
  <c r="AA78" i="14"/>
  <c r="AB62" i="14"/>
  <c r="AC92" i="14"/>
  <c r="AD97" i="14"/>
  <c r="AD95" i="14"/>
  <c r="Z76" i="14"/>
  <c r="N45" i="14"/>
  <c r="N46" i="14" s="1"/>
  <c r="M48" i="14"/>
  <c r="AC106" i="13"/>
  <c r="AD55" i="13"/>
  <c r="AD68" i="13"/>
  <c r="AC16" i="13"/>
  <c r="AC158" i="13"/>
  <c r="AB15" i="13"/>
  <c r="AC159" i="13"/>
  <c r="AB14" i="13"/>
  <c r="AB161" i="13"/>
  <c r="P112" i="13"/>
  <c r="O141" i="13"/>
  <c r="AB77" i="13"/>
  <c r="AB66" i="13"/>
  <c r="AB74" i="13"/>
  <c r="AC31" i="13"/>
  <c r="Z59" i="13"/>
  <c r="AA54" i="13"/>
  <c r="AA175" i="13"/>
  <c r="AB56" i="13"/>
  <c r="N141" i="13"/>
  <c r="CC10" i="43"/>
  <c r="CD9" i="43"/>
  <c r="DZ26" i="1"/>
  <c r="DX26" i="1"/>
  <c r="EG26" i="1"/>
  <c r="EA26" i="1"/>
  <c r="DY26" i="1"/>
  <c r="DW106" i="1"/>
  <c r="EB109" i="1"/>
  <c r="EB107" i="1"/>
  <c r="EL125" i="5"/>
  <c r="DF150" i="5"/>
  <c r="DD150" i="5"/>
  <c r="DM150" i="5"/>
  <c r="DE150" i="5"/>
  <c r="DG150" i="5"/>
  <c r="M131" i="6" l="1"/>
  <c r="M135" i="6" s="1"/>
  <c r="CC5" i="43"/>
  <c r="CC15" i="43" s="1"/>
  <c r="CC16" i="43" s="1"/>
  <c r="CC19" i="43" s="1"/>
  <c r="CC35" i="4"/>
  <c r="CC37" i="4" s="1"/>
  <c r="CC20" i="4" s="1"/>
  <c r="CC21" i="4" s="1"/>
  <c r="BZ16" i="43"/>
  <c r="BZ19" i="43" s="1"/>
  <c r="CA16" i="43"/>
  <c r="CA19" i="43" s="1"/>
  <c r="CB16" i="43"/>
  <c r="CB19" i="43" s="1"/>
  <c r="L141" i="42"/>
  <c r="M135" i="42" s="1"/>
  <c r="V40" i="6"/>
  <c r="W44" i="6"/>
  <c r="W39" i="6"/>
  <c r="W35" i="6" s="1"/>
  <c r="W48" i="6"/>
  <c r="V53" i="6"/>
  <c r="V54" i="6" s="1"/>
  <c r="CI21" i="1"/>
  <c r="X47" i="6"/>
  <c r="X41" i="6"/>
  <c r="X38" i="6"/>
  <c r="X46" i="6"/>
  <c r="X37" i="6"/>
  <c r="X45" i="6"/>
  <c r="X42" i="6"/>
  <c r="X49" i="6"/>
  <c r="X43" i="6"/>
  <c r="X36" i="6"/>
  <c r="EC18" i="4"/>
  <c r="ED18" i="4" s="1"/>
  <c r="EE18" i="4" s="1"/>
  <c r="EF18" i="4" s="1"/>
  <c r="EL18" i="4"/>
  <c r="EH18" i="4" s="1"/>
  <c r="EI18" i="4" s="1"/>
  <c r="EJ18" i="4" s="1"/>
  <c r="EK18" i="4" s="1"/>
  <c r="EK27" i="4"/>
  <c r="EK29" i="4" s="1"/>
  <c r="M151" i="42"/>
  <c r="N145" i="42" s="1"/>
  <c r="W52" i="6"/>
  <c r="W50" i="6"/>
  <c r="W51" i="6"/>
  <c r="AB91" i="14"/>
  <c r="AB93" i="14" s="1"/>
  <c r="BY20" i="4"/>
  <c r="BX20" i="4" s="1"/>
  <c r="BX19" i="4" s="1"/>
  <c r="BY19" i="4" s="1"/>
  <c r="BX5" i="5"/>
  <c r="AB175" i="13"/>
  <c r="AC174" i="13"/>
  <c r="AC14" i="14"/>
  <c r="AC10" i="14" s="1"/>
  <c r="O67" i="42"/>
  <c r="O72" i="42" s="1"/>
  <c r="P66" i="42" s="1"/>
  <c r="N45" i="42"/>
  <c r="N50" i="42" s="1"/>
  <c r="O44" i="42" s="1"/>
  <c r="DI14" i="4"/>
  <c r="U40" i="6"/>
  <c r="DR17" i="4"/>
  <c r="DN17" i="4" s="1"/>
  <c r="N165" i="6"/>
  <c r="N171" i="6" s="1"/>
  <c r="N170" i="6"/>
  <c r="N155" i="6"/>
  <c r="N162" i="6" s="1"/>
  <c r="CN33" i="4" s="1"/>
  <c r="O48" i="7"/>
  <c r="EL27" i="4"/>
  <c r="EL28" i="4" s="1"/>
  <c r="N130" i="7"/>
  <c r="O52" i="7"/>
  <c r="N44" i="7"/>
  <c r="O43" i="7"/>
  <c r="O39" i="7" s="1"/>
  <c r="N58" i="7"/>
  <c r="N59" i="7" s="1"/>
  <c r="S210" i="42"/>
  <c r="T204" i="42" s="1"/>
  <c r="R225" i="42"/>
  <c r="R230" i="42" s="1"/>
  <c r="S224" i="42" s="1"/>
  <c r="S232" i="42"/>
  <c r="S234" i="42" s="1"/>
  <c r="S208" i="42"/>
  <c r="R7" i="42"/>
  <c r="R9" i="42" s="1"/>
  <c r="S5" i="42"/>
  <c r="O57" i="42"/>
  <c r="P60" i="42"/>
  <c r="U108" i="42"/>
  <c r="V104" i="42"/>
  <c r="U120" i="42"/>
  <c r="U148" i="42"/>
  <c r="V116" i="42"/>
  <c r="U23" i="42"/>
  <c r="T27" i="42"/>
  <c r="T69" i="42"/>
  <c r="U35" i="42"/>
  <c r="T39" i="42"/>
  <c r="O93" i="42"/>
  <c r="O117" i="42" s="1"/>
  <c r="O118" i="42" s="1"/>
  <c r="O119" i="42" s="1"/>
  <c r="O92" i="42"/>
  <c r="O91" i="42"/>
  <c r="T207" i="42"/>
  <c r="T184" i="42"/>
  <c r="T185" i="42" s="1"/>
  <c r="T186" i="42" s="1"/>
  <c r="T197" i="42"/>
  <c r="T198" i="42" s="1"/>
  <c r="O48" i="42"/>
  <c r="O75" i="42"/>
  <c r="O77" i="42" s="1"/>
  <c r="M158" i="42"/>
  <c r="M160" i="42" s="1"/>
  <c r="K253" i="42"/>
  <c r="K259" i="42"/>
  <c r="M154" i="42"/>
  <c r="M156" i="42" s="1"/>
  <c r="M129" i="42"/>
  <c r="S218" i="42"/>
  <c r="S220" i="42" s="1"/>
  <c r="T214" i="42" s="1"/>
  <c r="P58" i="42"/>
  <c r="P30" i="42"/>
  <c r="P31" i="42" s="1"/>
  <c r="P32" i="42" s="1"/>
  <c r="N128" i="42"/>
  <c r="N105" i="42"/>
  <c r="N106" i="42" s="1"/>
  <c r="N107" i="42" s="1"/>
  <c r="U193" i="42"/>
  <c r="V189" i="42"/>
  <c r="V176" i="42"/>
  <c r="V175" i="42"/>
  <c r="V174" i="42"/>
  <c r="W173" i="42"/>
  <c r="V167" i="42"/>
  <c r="V169" i="42" s="1"/>
  <c r="W165" i="42"/>
  <c r="O59" i="42"/>
  <c r="M139" i="42"/>
  <c r="R236" i="42"/>
  <c r="R238" i="42" s="1"/>
  <c r="Q12" i="42"/>
  <c r="Q36" i="42" s="1"/>
  <c r="Q37" i="42" s="1"/>
  <c r="Q38" i="42" s="1"/>
  <c r="Q11" i="42"/>
  <c r="Q10" i="42"/>
  <c r="P68" i="42"/>
  <c r="Q71" i="42"/>
  <c r="N140" i="42"/>
  <c r="M137" i="42"/>
  <c r="T219" i="42"/>
  <c r="S216" i="42"/>
  <c r="S215" i="42" s="1"/>
  <c r="T229" i="42"/>
  <c r="S226" i="42"/>
  <c r="W94" i="42"/>
  <c r="V97" i="42"/>
  <c r="V96" i="42"/>
  <c r="V95" i="42"/>
  <c r="U114" i="42"/>
  <c r="V110" i="42"/>
  <c r="V13" i="42"/>
  <c r="U16" i="42"/>
  <c r="U15" i="42"/>
  <c r="U14" i="42"/>
  <c r="T33" i="42"/>
  <c r="U29" i="42"/>
  <c r="Q86" i="42"/>
  <c r="P88" i="42"/>
  <c r="P90" i="42" s="1"/>
  <c r="T209" i="42"/>
  <c r="S206" i="42"/>
  <c r="S205" i="42" s="1"/>
  <c r="T228" i="42"/>
  <c r="T217" i="42"/>
  <c r="T218" i="42" s="1"/>
  <c r="T190" i="42"/>
  <c r="T191" i="42" s="1"/>
  <c r="T192" i="42" s="1"/>
  <c r="L243" i="42"/>
  <c r="L245" i="42" s="1"/>
  <c r="CD22" i="1"/>
  <c r="O150" i="42"/>
  <c r="N147" i="42"/>
  <c r="N149" i="42"/>
  <c r="O46" i="42"/>
  <c r="P49" i="42"/>
  <c r="P47" i="42"/>
  <c r="P24" i="42"/>
  <c r="P25" i="42" s="1"/>
  <c r="P26" i="42" s="1"/>
  <c r="N138" i="42"/>
  <c r="N139" i="42" s="1"/>
  <c r="N111" i="42"/>
  <c r="N112" i="42" s="1"/>
  <c r="N113" i="42" s="1"/>
  <c r="V183" i="42"/>
  <c r="U187" i="42"/>
  <c r="V195" i="42"/>
  <c r="U227" i="42"/>
  <c r="U199" i="42"/>
  <c r="U172" i="42"/>
  <c r="U196" i="42" s="1"/>
  <c r="U171" i="42"/>
  <c r="U170" i="42"/>
  <c r="N130" i="42"/>
  <c r="M127" i="42"/>
  <c r="M126" i="42" s="1"/>
  <c r="R240" i="42"/>
  <c r="R244" i="42" s="1"/>
  <c r="N56" i="42"/>
  <c r="N61" i="42" s="1"/>
  <c r="O55" i="42" s="1"/>
  <c r="N79" i="42"/>
  <c r="N81" i="42" s="1"/>
  <c r="N83" i="42" s="1"/>
  <c r="R21" i="28"/>
  <c r="R22" i="28" s="1"/>
  <c r="S2" i="28"/>
  <c r="W11" i="29"/>
  <c r="Q4" i="29"/>
  <c r="Q10" i="29" s="1"/>
  <c r="Q12" i="29" s="1"/>
  <c r="R3" i="29"/>
  <c r="U34" i="29"/>
  <c r="U33" i="29"/>
  <c r="U23" i="29"/>
  <c r="V2" i="29"/>
  <c r="Y15" i="29"/>
  <c r="P14" i="29"/>
  <c r="P21" i="29" s="1"/>
  <c r="P24" i="29" s="1"/>
  <c r="EE29" i="4"/>
  <c r="EE28" i="4"/>
  <c r="DF17" i="4"/>
  <c r="DE15" i="4"/>
  <c r="EB11" i="4"/>
  <c r="DX11" i="4" s="1"/>
  <c r="DY11" i="4" s="1"/>
  <c r="DZ11" i="4" s="1"/>
  <c r="EA11" i="4" s="1"/>
  <c r="EB6" i="4"/>
  <c r="EA5" i="4"/>
  <c r="EA6" i="4" s="1"/>
  <c r="DY5" i="4"/>
  <c r="DY6" i="4" s="1"/>
  <c r="DZ5" i="4"/>
  <c r="DZ6" i="4" s="1"/>
  <c r="DX5" i="4"/>
  <c r="DX6" i="4" s="1"/>
  <c r="EC29" i="4"/>
  <c r="EC28" i="4"/>
  <c r="EJ29" i="4"/>
  <c r="EJ28" i="4"/>
  <c r="EK28" i="4"/>
  <c r="EL26" i="4"/>
  <c r="DK12" i="4"/>
  <c r="DJ14" i="4"/>
  <c r="DG12" i="4"/>
  <c r="DG14" i="4" s="1"/>
  <c r="DF14" i="4"/>
  <c r="DW12" i="4"/>
  <c r="DB17" i="4"/>
  <c r="DB15" i="4" s="1"/>
  <c r="DA15" i="4"/>
  <c r="EF29" i="4"/>
  <c r="EF28" i="4"/>
  <c r="EI29" i="4"/>
  <c r="EI28" i="4"/>
  <c r="DO12" i="4"/>
  <c r="DN14" i="4"/>
  <c r="DJ17" i="4"/>
  <c r="DI15" i="4"/>
  <c r="EG29" i="4"/>
  <c r="EG5" i="4" s="1"/>
  <c r="EG28" i="4"/>
  <c r="EH27" i="4"/>
  <c r="Q3" i="16"/>
  <c r="R1" i="16"/>
  <c r="I139" i="7"/>
  <c r="H141" i="7"/>
  <c r="I134" i="7"/>
  <c r="J132" i="7"/>
  <c r="R26" i="7"/>
  <c r="M151" i="7"/>
  <c r="M144" i="7"/>
  <c r="M148" i="7" s="1"/>
  <c r="CI14" i="1" s="1"/>
  <c r="X91" i="7"/>
  <c r="X89" i="7"/>
  <c r="X92" i="7"/>
  <c r="BV12" i="1"/>
  <c r="M137" i="7"/>
  <c r="M109" i="7"/>
  <c r="R36" i="7"/>
  <c r="Q35" i="7"/>
  <c r="Q38" i="7"/>
  <c r="O57" i="7"/>
  <c r="O56" i="7"/>
  <c r="O55" i="7"/>
  <c r="W146" i="7"/>
  <c r="O16" i="7"/>
  <c r="O112" i="7" s="1"/>
  <c r="O117" i="7" s="1"/>
  <c r="O15" i="7"/>
  <c r="O14" i="7"/>
  <c r="O13" i="7"/>
  <c r="O19" i="7" s="1"/>
  <c r="O24" i="7" s="1"/>
  <c r="N165" i="7"/>
  <c r="N167" i="7" s="1"/>
  <c r="N31" i="7"/>
  <c r="N29" i="7"/>
  <c r="N30" i="7"/>
  <c r="Q27" i="7"/>
  <c r="M158" i="7"/>
  <c r="M162" i="7" s="1"/>
  <c r="CI35" i="4" s="1"/>
  <c r="CI37" i="4" s="1"/>
  <c r="CI20" i="4" s="1"/>
  <c r="CI21" i="4" s="1"/>
  <c r="CI4" i="4" s="1"/>
  <c r="W108" i="7"/>
  <c r="O101" i="7"/>
  <c r="N103" i="7"/>
  <c r="O106" i="7"/>
  <c r="O105" i="7"/>
  <c r="O107" i="7" s="1"/>
  <c r="O100" i="7"/>
  <c r="P99" i="7"/>
  <c r="P50" i="7"/>
  <c r="P46" i="7"/>
  <c r="P42" i="7"/>
  <c r="P40" i="7"/>
  <c r="P51" i="7"/>
  <c r="P54" i="7"/>
  <c r="P45" i="7"/>
  <c r="P41" i="7"/>
  <c r="P47" i="7"/>
  <c r="P49" i="7"/>
  <c r="U10" i="7"/>
  <c r="Q80" i="7"/>
  <c r="P94" i="7"/>
  <c r="X28" i="7"/>
  <c r="P8" i="7"/>
  <c r="P12" i="7" s="1"/>
  <c r="Q7" i="7"/>
  <c r="R22" i="6"/>
  <c r="CI15" i="43"/>
  <c r="V24" i="6"/>
  <c r="N131" i="6"/>
  <c r="Q23" i="6"/>
  <c r="P12" i="6"/>
  <c r="P11" i="6"/>
  <c r="P107" i="6" s="1"/>
  <c r="P112" i="6" s="1"/>
  <c r="P164" i="6" s="1"/>
  <c r="P170" i="6" s="1"/>
  <c r="P10" i="6"/>
  <c r="P9" i="6"/>
  <c r="P15" i="6" s="1"/>
  <c r="P20" i="6" s="1"/>
  <c r="N133" i="6"/>
  <c r="X84" i="6"/>
  <c r="X87" i="6" s="1"/>
  <c r="N128" i="6"/>
  <c r="O126" i="6"/>
  <c r="X150" i="6"/>
  <c r="P89" i="6"/>
  <c r="Q75" i="6"/>
  <c r="O27" i="6"/>
  <c r="O25" i="6"/>
  <c r="N148" i="6"/>
  <c r="N152" i="6" s="1"/>
  <c r="CN5" i="43" s="1"/>
  <c r="N138" i="6"/>
  <c r="O101" i="6"/>
  <c r="O100" i="6"/>
  <c r="O102" i="6" s="1"/>
  <c r="O96" i="6"/>
  <c r="O95" i="6"/>
  <c r="P94" i="6"/>
  <c r="N104" i="6"/>
  <c r="R19" i="6"/>
  <c r="S17" i="6"/>
  <c r="M145" i="6"/>
  <c r="N140" i="6"/>
  <c r="O26" i="6"/>
  <c r="Q8" i="6"/>
  <c r="R7" i="6"/>
  <c r="X103" i="6"/>
  <c r="O124" i="6"/>
  <c r="AE89" i="15"/>
  <c r="AE84" i="15" s="1"/>
  <c r="AE90" i="15" s="1"/>
  <c r="BT37" i="5"/>
  <c r="BS37" i="5" s="1"/>
  <c r="AF75" i="15"/>
  <c r="P92" i="13"/>
  <c r="BS36" i="5"/>
  <c r="BD70" i="15"/>
  <c r="AK75" i="15"/>
  <c r="AI75" i="15"/>
  <c r="AI77" i="15" s="1"/>
  <c r="AI78" i="15" s="1"/>
  <c r="AL78" i="15"/>
  <c r="AL40" i="15"/>
  <c r="AL36" i="15"/>
  <c r="AC89" i="15"/>
  <c r="AC84" i="15" s="1"/>
  <c r="AC90" i="15" s="1"/>
  <c r="AW58" i="15"/>
  <c r="AX48" i="15"/>
  <c r="AX50" i="15"/>
  <c r="AX53" i="15"/>
  <c r="AU90" i="15"/>
  <c r="S26" i="13" s="1"/>
  <c r="AW45" i="15"/>
  <c r="AW43" i="15"/>
  <c r="AV79" i="15"/>
  <c r="AV90" i="15" s="1"/>
  <c r="DR87" i="15"/>
  <c r="DR85" i="15"/>
  <c r="DW81" i="15"/>
  <c r="DR88" i="15"/>
  <c r="DR86" i="15"/>
  <c r="DR84" i="15"/>
  <c r="DR83" i="15"/>
  <c r="CX82" i="15"/>
  <c r="CS89" i="15"/>
  <c r="AC19" i="13" s="1"/>
  <c r="AP59" i="15"/>
  <c r="AQ59" i="15" s="1"/>
  <c r="AO60" i="15"/>
  <c r="AP60" i="15" s="1"/>
  <c r="AU54" i="15"/>
  <c r="AV54" i="15" s="1"/>
  <c r="AT55" i="15"/>
  <c r="AU55" i="15" s="1"/>
  <c r="AK90" i="15"/>
  <c r="AB94" i="14"/>
  <c r="AB96" i="14"/>
  <c r="N48" i="14"/>
  <c r="O45" i="14"/>
  <c r="O46" i="14" s="1"/>
  <c r="AA76" i="14"/>
  <c r="AD92" i="14"/>
  <c r="AB78" i="14"/>
  <c r="AC62" i="14"/>
  <c r="AC56" i="13"/>
  <c r="AA59" i="13"/>
  <c r="AB54" i="13"/>
  <c r="AD31" i="13"/>
  <c r="O144" i="13"/>
  <c r="O142" i="13"/>
  <c r="AD106" i="13"/>
  <c r="N144" i="13"/>
  <c r="N142" i="13"/>
  <c r="AC74" i="13"/>
  <c r="AC66" i="13"/>
  <c r="AC77" i="13"/>
  <c r="P141" i="13"/>
  <c r="Q112" i="13"/>
  <c r="AC161" i="13"/>
  <c r="AD159" i="13"/>
  <c r="AC14" i="13"/>
  <c r="AD158" i="13"/>
  <c r="AD15" i="13" s="1"/>
  <c r="AC15" i="13"/>
  <c r="AD16" i="13"/>
  <c r="CD16" i="43"/>
  <c r="CD19" i="43" s="1"/>
  <c r="CD51" i="1" s="1"/>
  <c r="CE9" i="43"/>
  <c r="EG107" i="1"/>
  <c r="EG109" i="1"/>
  <c r="EB106" i="1"/>
  <c r="EL26" i="1"/>
  <c r="EF26" i="1"/>
  <c r="ED26" i="1"/>
  <c r="EE26" i="1"/>
  <c r="EC26" i="1"/>
  <c r="DR150" i="5"/>
  <c r="DL150" i="5"/>
  <c r="DJ150" i="5"/>
  <c r="DI150" i="5"/>
  <c r="DK150" i="5"/>
  <c r="CD5" i="5" l="1"/>
  <c r="O98" i="6"/>
  <c r="O104" i="6" s="1"/>
  <c r="N146" i="42"/>
  <c r="M136" i="42"/>
  <c r="CD20" i="1"/>
  <c r="CC22" i="1"/>
  <c r="CC20" i="1" s="1"/>
  <c r="W53" i="6"/>
  <c r="W54" i="6" s="1"/>
  <c r="X39" i="6"/>
  <c r="X35" i="6" s="1"/>
  <c r="W40" i="6"/>
  <c r="X44" i="6"/>
  <c r="X48" i="6"/>
  <c r="AC91" i="14"/>
  <c r="AC96" i="14" s="1"/>
  <c r="U197" i="42"/>
  <c r="U198" i="42" s="1"/>
  <c r="N151" i="42"/>
  <c r="O145" i="42" s="1"/>
  <c r="P59" i="42"/>
  <c r="X50" i="6"/>
  <c r="X52" i="6"/>
  <c r="X51" i="6"/>
  <c r="BY51" i="1"/>
  <c r="BY5" i="5" s="1"/>
  <c r="BX4" i="4"/>
  <c r="BX4" i="5" s="1"/>
  <c r="BY4" i="4"/>
  <c r="EL29" i="4"/>
  <c r="EL5" i="4" s="1"/>
  <c r="EL6" i="4" s="1"/>
  <c r="BT38" i="5"/>
  <c r="BT42" i="5" s="1"/>
  <c r="BT44" i="5" s="1"/>
  <c r="AD174" i="13"/>
  <c r="AD14" i="14"/>
  <c r="AD10" i="14" s="1"/>
  <c r="N166" i="6"/>
  <c r="O165" i="6"/>
  <c r="O171" i="6" s="1"/>
  <c r="M162" i="42"/>
  <c r="M243" i="42" s="1"/>
  <c r="M245" i="42" s="1"/>
  <c r="EB12" i="4"/>
  <c r="DX12" i="4" s="1"/>
  <c r="O44" i="7"/>
  <c r="P43" i="7"/>
  <c r="P39" i="7" s="1"/>
  <c r="P52" i="7"/>
  <c r="P48" i="7"/>
  <c r="CH4" i="4"/>
  <c r="CH49" i="1" s="1"/>
  <c r="CG4" i="4"/>
  <c r="CG49" i="1" s="1"/>
  <c r="CI49" i="1"/>
  <c r="CI4" i="5" s="1"/>
  <c r="CE4" i="4"/>
  <c r="CE49" i="1" s="1"/>
  <c r="CF4" i="4"/>
  <c r="CF49" i="1" s="1"/>
  <c r="O58" i="7"/>
  <c r="O59" i="7" s="1"/>
  <c r="O45" i="42"/>
  <c r="O50" i="42" s="1"/>
  <c r="P44" i="42" s="1"/>
  <c r="BV117" i="1"/>
  <c r="U2" i="16"/>
  <c r="O56" i="42"/>
  <c r="O61" i="42" s="1"/>
  <c r="P55" i="42" s="1"/>
  <c r="O79" i="42"/>
  <c r="O81" i="42" s="1"/>
  <c r="O83" i="42" s="1"/>
  <c r="M141" i="42"/>
  <c r="N135" i="42" s="1"/>
  <c r="T220" i="42"/>
  <c r="U214" i="42" s="1"/>
  <c r="N242" i="42"/>
  <c r="CN21" i="1"/>
  <c r="M131" i="42"/>
  <c r="N125" i="42" s="1"/>
  <c r="U207" i="42"/>
  <c r="U184" i="42"/>
  <c r="U185" i="42" s="1"/>
  <c r="U186" i="42" s="1"/>
  <c r="Q49" i="42"/>
  <c r="P46" i="42"/>
  <c r="P150" i="42"/>
  <c r="O147" i="42"/>
  <c r="O149" i="42"/>
  <c r="L250" i="42"/>
  <c r="L247" i="42"/>
  <c r="P93" i="42"/>
  <c r="P117" i="42" s="1"/>
  <c r="P118" i="42" s="1"/>
  <c r="P119" i="42" s="1"/>
  <c r="P92" i="42"/>
  <c r="P91" i="42"/>
  <c r="U27" i="42"/>
  <c r="V23" i="42"/>
  <c r="U39" i="42"/>
  <c r="U69" i="42"/>
  <c r="V35" i="42"/>
  <c r="W104" i="42"/>
  <c r="V108" i="42"/>
  <c r="V148" i="42"/>
  <c r="W116" i="42"/>
  <c r="V120" i="42"/>
  <c r="R71" i="42"/>
  <c r="Q68" i="42"/>
  <c r="Q47" i="42"/>
  <c r="Q24" i="42"/>
  <c r="Q25" i="42" s="1"/>
  <c r="Q26" i="42" s="1"/>
  <c r="V172" i="42"/>
  <c r="V196" i="42" s="1"/>
  <c r="V171" i="42"/>
  <c r="V170" i="42"/>
  <c r="V187" i="42"/>
  <c r="W183" i="42"/>
  <c r="V227" i="42"/>
  <c r="V199" i="42"/>
  <c r="W195" i="42"/>
  <c r="N129" i="42"/>
  <c r="N154" i="42"/>
  <c r="N156" i="42" s="1"/>
  <c r="T232" i="42"/>
  <c r="T234" i="42" s="1"/>
  <c r="T208" i="42"/>
  <c r="T210" i="42" s="1"/>
  <c r="U204" i="42" s="1"/>
  <c r="O138" i="42"/>
  <c r="O111" i="42"/>
  <c r="O112" i="42" s="1"/>
  <c r="O113" i="42" s="1"/>
  <c r="R12" i="42"/>
  <c r="R36" i="42" s="1"/>
  <c r="R37" i="42" s="1"/>
  <c r="R38" i="42" s="1"/>
  <c r="R11" i="42"/>
  <c r="R10" i="42"/>
  <c r="S225" i="42"/>
  <c r="S230" i="42" s="1"/>
  <c r="T224" i="42" s="1"/>
  <c r="O130" i="42"/>
  <c r="N127" i="42"/>
  <c r="U217" i="42"/>
  <c r="U190" i="42"/>
  <c r="U191" i="42" s="1"/>
  <c r="U192" i="42" s="1"/>
  <c r="P75" i="42"/>
  <c r="P77" i="42" s="1"/>
  <c r="P48" i="42"/>
  <c r="T206" i="42"/>
  <c r="T205" i="42" s="1"/>
  <c r="U209" i="42"/>
  <c r="Q88" i="42"/>
  <c r="Q90" i="42" s="1"/>
  <c r="R86" i="42"/>
  <c r="U33" i="42"/>
  <c r="V29" i="42"/>
  <c r="V16" i="42"/>
  <c r="V15" i="42"/>
  <c r="V14" i="42"/>
  <c r="W13" i="42"/>
  <c r="W110" i="42"/>
  <c r="V114" i="42"/>
  <c r="W97" i="42"/>
  <c r="W96" i="42"/>
  <c r="W95" i="42"/>
  <c r="X94" i="42"/>
  <c r="T226" i="42"/>
  <c r="U229" i="42"/>
  <c r="T216" i="42"/>
  <c r="T215" i="42" s="1"/>
  <c r="U219" i="42"/>
  <c r="O140" i="42"/>
  <c r="N137" i="42"/>
  <c r="Q58" i="42"/>
  <c r="Q30" i="42"/>
  <c r="Q31" i="42" s="1"/>
  <c r="Q32" i="42" s="1"/>
  <c r="X165" i="42"/>
  <c r="X167" i="42" s="1"/>
  <c r="X169" i="42" s="1"/>
  <c r="W167" i="42"/>
  <c r="W169" i="42" s="1"/>
  <c r="X173" i="42"/>
  <c r="W176" i="42"/>
  <c r="W175" i="42"/>
  <c r="W174" i="42"/>
  <c r="V193" i="42"/>
  <c r="W189" i="42"/>
  <c r="O128" i="42"/>
  <c r="O105" i="42"/>
  <c r="O106" i="42" s="1"/>
  <c r="O107" i="42" s="1"/>
  <c r="Q60" i="42"/>
  <c r="P57" i="42"/>
  <c r="T5" i="42"/>
  <c r="S7" i="42"/>
  <c r="S9" i="42" s="1"/>
  <c r="S236" i="42"/>
  <c r="S238" i="42" s="1"/>
  <c r="S240" i="42" s="1"/>
  <c r="S244" i="42" s="1"/>
  <c r="P70" i="42"/>
  <c r="P67" i="42"/>
  <c r="S21" i="28"/>
  <c r="S22" i="28" s="1"/>
  <c r="T2" i="28"/>
  <c r="T21" i="28" s="1"/>
  <c r="T22" i="28" s="1"/>
  <c r="V33" i="29"/>
  <c r="V23" i="29"/>
  <c r="V34" i="29"/>
  <c r="W2" i="29"/>
  <c r="R4" i="29"/>
  <c r="R10" i="29" s="1"/>
  <c r="R12" i="29" s="1"/>
  <c r="S3" i="29"/>
  <c r="X11" i="29"/>
  <c r="Q14" i="29"/>
  <c r="Q21" i="29" s="1"/>
  <c r="Q24" i="29" s="1"/>
  <c r="DS12" i="4"/>
  <c r="DW17" i="4"/>
  <c r="DK14" i="4"/>
  <c r="DL12" i="4"/>
  <c r="DL14" i="4" s="1"/>
  <c r="DO17" i="4"/>
  <c r="DN15" i="4"/>
  <c r="EH29" i="4"/>
  <c r="EH28" i="4"/>
  <c r="EE5" i="4"/>
  <c r="EE6" i="4" s="1"/>
  <c r="EC5" i="4"/>
  <c r="EC6" i="4" s="1"/>
  <c r="EG11" i="4"/>
  <c r="EC11" i="4" s="1"/>
  <c r="ED11" i="4" s="1"/>
  <c r="EE11" i="4" s="1"/>
  <c r="EF11" i="4" s="1"/>
  <c r="EG6" i="4"/>
  <c r="EF5" i="4"/>
  <c r="EF6" i="4" s="1"/>
  <c r="ED5" i="4"/>
  <c r="ED6" i="4" s="1"/>
  <c r="DK17" i="4"/>
  <c r="DJ15" i="4"/>
  <c r="DO14" i="4"/>
  <c r="DP12" i="4"/>
  <c r="DG17" i="4"/>
  <c r="DG15" i="4" s="1"/>
  <c r="DF15" i="4"/>
  <c r="R3" i="16"/>
  <c r="S1" i="16"/>
  <c r="I177" i="7"/>
  <c r="K132" i="7"/>
  <c r="J134" i="7"/>
  <c r="O155" i="6"/>
  <c r="O162" i="6" s="1"/>
  <c r="CS33" i="4" s="1"/>
  <c r="H177" i="7"/>
  <c r="J139" i="7"/>
  <c r="I141" i="7"/>
  <c r="Q8" i="7"/>
  <c r="Q12" i="7" s="1"/>
  <c r="R7" i="7"/>
  <c r="P95" i="7"/>
  <c r="Q94" i="7"/>
  <c r="P96" i="7"/>
  <c r="P97" i="7" s="1"/>
  <c r="P100" i="7"/>
  <c r="Q99" i="7"/>
  <c r="P105" i="7"/>
  <c r="P107" i="7" s="1"/>
  <c r="P106" i="7"/>
  <c r="P101" i="7"/>
  <c r="O103" i="7"/>
  <c r="N151" i="7"/>
  <c r="N144" i="7"/>
  <c r="N148" i="7" s="1"/>
  <c r="CN14" i="1" s="1"/>
  <c r="O165" i="7"/>
  <c r="O167" i="7" s="1"/>
  <c r="O31" i="7"/>
  <c r="O29" i="7"/>
  <c r="O30" i="7"/>
  <c r="X146" i="7"/>
  <c r="O130" i="7"/>
  <c r="Q54" i="7"/>
  <c r="Q51" i="7"/>
  <c r="Q47" i="7"/>
  <c r="Q45" i="7"/>
  <c r="Q50" i="7"/>
  <c r="Q46" i="7"/>
  <c r="Q42" i="7"/>
  <c r="Q40" i="7"/>
  <c r="Q41" i="7"/>
  <c r="Q49" i="7"/>
  <c r="S36" i="7"/>
  <c r="R35" i="7"/>
  <c r="R38" i="7"/>
  <c r="CH14" i="1"/>
  <c r="CF14" i="1"/>
  <c r="CG14" i="1"/>
  <c r="CE14" i="1"/>
  <c r="S26" i="7"/>
  <c r="P16" i="7"/>
  <c r="P112" i="7" s="1"/>
  <c r="P117" i="7" s="1"/>
  <c r="P15" i="7"/>
  <c r="P14" i="7"/>
  <c r="P13" i="7"/>
  <c r="P19" i="7" s="1"/>
  <c r="P24" i="7" s="1"/>
  <c r="R80" i="7"/>
  <c r="V10" i="7"/>
  <c r="P57" i="7"/>
  <c r="P56" i="7"/>
  <c r="P55" i="7"/>
  <c r="N137" i="7"/>
  <c r="N109" i="7"/>
  <c r="X108" i="7"/>
  <c r="R27" i="7"/>
  <c r="N158" i="7"/>
  <c r="N162" i="7" s="1"/>
  <c r="CN35" i="4" s="1"/>
  <c r="CN37" i="4" s="1"/>
  <c r="CN20" i="4" s="1"/>
  <c r="CN21" i="4" s="1"/>
  <c r="CN4" i="4" s="1"/>
  <c r="Q12" i="6"/>
  <c r="Q11" i="6"/>
  <c r="Q107" i="6" s="1"/>
  <c r="Q112" i="6" s="1"/>
  <c r="Q164" i="6" s="1"/>
  <c r="Q170" i="6" s="1"/>
  <c r="Q10" i="6"/>
  <c r="Q9" i="6"/>
  <c r="Q15" i="6" s="1"/>
  <c r="Q20" i="6" s="1"/>
  <c r="Q26" i="6" s="1"/>
  <c r="N145" i="6"/>
  <c r="O140" i="6"/>
  <c r="T17" i="6"/>
  <c r="S19" i="6"/>
  <c r="O131" i="6"/>
  <c r="CN15" i="43"/>
  <c r="P90" i="6"/>
  <c r="Q89" i="6"/>
  <c r="P91" i="6"/>
  <c r="P92" i="6" s="1"/>
  <c r="O128" i="6"/>
  <c r="P126" i="6"/>
  <c r="R23" i="6"/>
  <c r="S22" i="6"/>
  <c r="S7" i="6"/>
  <c r="R8" i="6"/>
  <c r="P95" i="6"/>
  <c r="P100" i="6"/>
  <c r="P102" i="6" s="1"/>
  <c r="Q94" i="6"/>
  <c r="P96" i="6"/>
  <c r="P98" i="6" s="1"/>
  <c r="P101" i="6"/>
  <c r="O148" i="6"/>
  <c r="O152" i="6" s="1"/>
  <c r="CS5" i="43" s="1"/>
  <c r="O138" i="6"/>
  <c r="R75" i="6"/>
  <c r="N135" i="6"/>
  <c r="O133" i="6"/>
  <c r="P27" i="6"/>
  <c r="P25" i="6"/>
  <c r="P124" i="6"/>
  <c r="P26" i="6"/>
  <c r="W24" i="6"/>
  <c r="AW54" i="15"/>
  <c r="AV55" i="15"/>
  <c r="AR59" i="15"/>
  <c r="AQ60" i="15"/>
  <c r="DC82" i="15"/>
  <c r="CX89" i="15"/>
  <c r="AD19" i="13" s="1"/>
  <c r="AL31" i="15"/>
  <c r="AM38" i="15"/>
  <c r="AE75" i="15"/>
  <c r="BS38" i="5"/>
  <c r="EB81" i="15"/>
  <c r="DW88" i="15"/>
  <c r="DW86" i="15"/>
  <c r="DW84" i="15"/>
  <c r="DW87" i="15"/>
  <c r="DW85" i="15"/>
  <c r="DW83" i="15"/>
  <c r="AX45" i="15"/>
  <c r="AX46" i="15"/>
  <c r="AZ46" i="15" s="1"/>
  <c r="AZ73" i="15" s="1"/>
  <c r="AW79" i="15"/>
  <c r="AW90" i="15" s="1"/>
  <c r="AY53" i="15"/>
  <c r="AZ53" i="15" s="1"/>
  <c r="AY50" i="15"/>
  <c r="AZ50" i="15" s="1"/>
  <c r="AY48" i="15"/>
  <c r="AX58" i="15"/>
  <c r="BX36" i="5"/>
  <c r="AJ75" i="15" s="1"/>
  <c r="AJ77" i="15" s="1"/>
  <c r="AJ78" i="15" s="1"/>
  <c r="AH75" i="15"/>
  <c r="AH77" i="15" s="1"/>
  <c r="AH78" i="15" s="1"/>
  <c r="BE70" i="15"/>
  <c r="AC94" i="14"/>
  <c r="AC78" i="14"/>
  <c r="AD62" i="14"/>
  <c r="AB76" i="14"/>
  <c r="P45" i="14"/>
  <c r="P46" i="14" s="1"/>
  <c r="O48" i="14"/>
  <c r="AD161" i="13"/>
  <c r="AD14" i="13"/>
  <c r="AD175" i="13" s="1"/>
  <c r="R112" i="13"/>
  <c r="AD77" i="13"/>
  <c r="AD66" i="13"/>
  <c r="AD74" i="13"/>
  <c r="AB59" i="13"/>
  <c r="AC54" i="13"/>
  <c r="AC175" i="13"/>
  <c r="P144" i="13"/>
  <c r="P142" i="13"/>
  <c r="AD56" i="13"/>
  <c r="CE25" i="43"/>
  <c r="CE16" i="43"/>
  <c r="CE10" i="43"/>
  <c r="CF9" i="43"/>
  <c r="EG106" i="1"/>
  <c r="EL109" i="1"/>
  <c r="EL107" i="1"/>
  <c r="EJ26" i="1"/>
  <c r="EH26" i="1"/>
  <c r="EK26" i="1"/>
  <c r="EI26" i="1"/>
  <c r="DP150" i="5"/>
  <c r="DN150" i="5"/>
  <c r="DQ150" i="5"/>
  <c r="DW150" i="5"/>
  <c r="DO150" i="5"/>
  <c r="O146" i="42" l="1"/>
  <c r="O151" i="42" s="1"/>
  <c r="P145" i="42" s="1"/>
  <c r="BZ5" i="5"/>
  <c r="X40" i="6"/>
  <c r="X53" i="6"/>
  <c r="X54" i="6" s="1"/>
  <c r="AC93" i="14"/>
  <c r="AX43" i="15"/>
  <c r="O139" i="42"/>
  <c r="AD91" i="14"/>
  <c r="EK5" i="4"/>
  <c r="EK6" i="4" s="1"/>
  <c r="EL11" i="4"/>
  <c r="EH11" i="4" s="1"/>
  <c r="EI11" i="4" s="1"/>
  <c r="EJ11" i="4" s="1"/>
  <c r="EK11" i="4" s="1"/>
  <c r="EJ5" i="4"/>
  <c r="EJ6" i="4" s="1"/>
  <c r="EI5" i="4"/>
  <c r="EI6" i="4" s="1"/>
  <c r="BY4" i="5"/>
  <c r="EH5" i="4"/>
  <c r="BT40" i="5"/>
  <c r="BT52" i="5" s="1"/>
  <c r="BT53" i="5" s="1"/>
  <c r="BT54" i="5" s="1"/>
  <c r="P165" i="6"/>
  <c r="P171" i="6" s="1"/>
  <c r="CI22" i="1"/>
  <c r="CI20" i="1" s="1"/>
  <c r="EB17" i="4"/>
  <c r="DX17" i="4" s="1"/>
  <c r="P130" i="7"/>
  <c r="P72" i="42"/>
  <c r="Q66" i="42" s="1"/>
  <c r="Q70" i="42" s="1"/>
  <c r="Q43" i="7"/>
  <c r="Q39" i="7" s="1"/>
  <c r="Q52" i="7"/>
  <c r="Q124" i="6"/>
  <c r="P44" i="7"/>
  <c r="Q48" i="7"/>
  <c r="EH6" i="4"/>
  <c r="CM4" i="4"/>
  <c r="CM49" i="1" s="1"/>
  <c r="CJ4" i="4"/>
  <c r="CJ49" i="1" s="1"/>
  <c r="CN49" i="1"/>
  <c r="CN4" i="5" s="1"/>
  <c r="CK4" i="4"/>
  <c r="CK49" i="1" s="1"/>
  <c r="CL4" i="4"/>
  <c r="CL49" i="1" s="1"/>
  <c r="C29" i="28"/>
  <c r="P58" i="7"/>
  <c r="P59" i="7" s="1"/>
  <c r="T225" i="42"/>
  <c r="T230" i="42" s="1"/>
  <c r="U224" i="42" s="1"/>
  <c r="U236" i="42" s="1"/>
  <c r="U238" i="42" s="1"/>
  <c r="T236" i="42"/>
  <c r="T238" i="42" s="1"/>
  <c r="P56" i="42"/>
  <c r="P61" i="42" s="1"/>
  <c r="Q55" i="42" s="1"/>
  <c r="S12" i="42"/>
  <c r="S36" i="42" s="1"/>
  <c r="S37" i="42" s="1"/>
  <c r="S38" i="42" s="1"/>
  <c r="S11" i="42"/>
  <c r="S10" i="42"/>
  <c r="X183" i="42"/>
  <c r="W187" i="42"/>
  <c r="X195" i="42"/>
  <c r="W227" i="42"/>
  <c r="W199" i="42"/>
  <c r="W172" i="42"/>
  <c r="W196" i="42" s="1"/>
  <c r="W197" i="42" s="1"/>
  <c r="W198" i="42" s="1"/>
  <c r="W171" i="42"/>
  <c r="W170" i="42"/>
  <c r="V219" i="42"/>
  <c r="U216" i="42"/>
  <c r="U215" i="42" s="1"/>
  <c r="V229" i="42"/>
  <c r="V228" i="42" s="1"/>
  <c r="U226" i="42"/>
  <c r="X97" i="42"/>
  <c r="X96" i="42"/>
  <c r="X114" i="42" s="1"/>
  <c r="X95" i="42"/>
  <c r="X108" i="42" s="1"/>
  <c r="W114" i="42"/>
  <c r="X110" i="42"/>
  <c r="X13" i="42"/>
  <c r="W16" i="42"/>
  <c r="W15" i="42"/>
  <c r="W14" i="42"/>
  <c r="V33" i="42"/>
  <c r="W29" i="42"/>
  <c r="S86" i="42"/>
  <c r="R88" i="42"/>
  <c r="R90" i="42" s="1"/>
  <c r="V209" i="42"/>
  <c r="U206" i="42"/>
  <c r="U205" i="42" s="1"/>
  <c r="U218" i="42"/>
  <c r="P130" i="42"/>
  <c r="O127" i="42"/>
  <c r="R58" i="42"/>
  <c r="R30" i="42"/>
  <c r="R31" i="42" s="1"/>
  <c r="R32" i="42" s="1"/>
  <c r="T240" i="42"/>
  <c r="T244" i="42" s="1"/>
  <c r="V217" i="42"/>
  <c r="V218" i="42" s="1"/>
  <c r="V190" i="42"/>
  <c r="V191" i="42" s="1"/>
  <c r="V192" i="42" s="1"/>
  <c r="P128" i="42"/>
  <c r="P105" i="42"/>
  <c r="P106" i="42" s="1"/>
  <c r="P107" i="42" s="1"/>
  <c r="Q150" i="42"/>
  <c r="P147" i="42"/>
  <c r="P149" i="42"/>
  <c r="Q46" i="42"/>
  <c r="R49" i="42"/>
  <c r="P79" i="42"/>
  <c r="P81" i="42" s="1"/>
  <c r="P83" i="42" s="1"/>
  <c r="P45" i="42"/>
  <c r="P50" i="42" s="1"/>
  <c r="Q44" i="42" s="1"/>
  <c r="N136" i="42"/>
  <c r="N141" i="42" s="1"/>
  <c r="O135" i="42" s="1"/>
  <c r="T7" i="42"/>
  <c r="T9" i="42" s="1"/>
  <c r="U5" i="42"/>
  <c r="Q57" i="42"/>
  <c r="R60" i="42"/>
  <c r="O154" i="42"/>
  <c r="O156" i="42" s="1"/>
  <c r="O129" i="42"/>
  <c r="X189" i="42"/>
  <c r="W193" i="42"/>
  <c r="X176" i="42"/>
  <c r="X175" i="42"/>
  <c r="X193" i="42" s="1"/>
  <c r="X174" i="42"/>
  <c r="X187" i="42" s="1"/>
  <c r="X172" i="42"/>
  <c r="X196" i="42" s="1"/>
  <c r="X171" i="42"/>
  <c r="X170" i="42"/>
  <c r="Q59" i="42"/>
  <c r="P140" i="42"/>
  <c r="O137" i="42"/>
  <c r="W108" i="42"/>
  <c r="X104" i="42"/>
  <c r="W120" i="42"/>
  <c r="W148" i="42"/>
  <c r="X116" i="42"/>
  <c r="W23" i="42"/>
  <c r="V27" i="42"/>
  <c r="V69" i="42"/>
  <c r="W35" i="42"/>
  <c r="V39" i="42"/>
  <c r="Q93" i="42"/>
  <c r="Q117" i="42" s="1"/>
  <c r="Q118" i="42" s="1"/>
  <c r="Q119" i="42" s="1"/>
  <c r="Q92" i="42"/>
  <c r="Q91" i="42"/>
  <c r="R47" i="42"/>
  <c r="R24" i="42"/>
  <c r="R25" i="42" s="1"/>
  <c r="R26" i="42" s="1"/>
  <c r="O242" i="42"/>
  <c r="CS21" i="1"/>
  <c r="M247" i="42"/>
  <c r="M250" i="42"/>
  <c r="V207" i="42"/>
  <c r="V184" i="42"/>
  <c r="V185" i="42" s="1"/>
  <c r="V186" i="42" s="1"/>
  <c r="V197" i="42"/>
  <c r="V198" i="42" s="1"/>
  <c r="Q48" i="42"/>
  <c r="Q75" i="42"/>
  <c r="Q77" i="42" s="1"/>
  <c r="R68" i="42"/>
  <c r="S71" i="42"/>
  <c r="P138" i="42"/>
  <c r="P111" i="42"/>
  <c r="P112" i="42" s="1"/>
  <c r="P113" i="42" s="1"/>
  <c r="L252" i="42"/>
  <c r="U228" i="42"/>
  <c r="U232" i="42"/>
  <c r="U234" i="42" s="1"/>
  <c r="U208" i="42"/>
  <c r="U210" i="42" s="1"/>
  <c r="V204" i="42" s="1"/>
  <c r="N158" i="42"/>
  <c r="N160" i="42" s="1"/>
  <c r="N162" i="42" s="1"/>
  <c r="N126" i="42"/>
  <c r="N131" i="42" s="1"/>
  <c r="O125" i="42" s="1"/>
  <c r="U220" i="42"/>
  <c r="V214" i="42" s="1"/>
  <c r="R14" i="29"/>
  <c r="R21" i="29" s="1"/>
  <c r="R24" i="29" s="1"/>
  <c r="Y11" i="29"/>
  <c r="S4" i="29"/>
  <c r="S10" i="29" s="1"/>
  <c r="S12" i="29" s="1"/>
  <c r="T3" i="29"/>
  <c r="W34" i="29"/>
  <c r="W33" i="29"/>
  <c r="W23" i="29"/>
  <c r="X2" i="29"/>
  <c r="DY12" i="4"/>
  <c r="DX14" i="4"/>
  <c r="DL17" i="4"/>
  <c r="DL15" i="4" s="1"/>
  <c r="DK15" i="4"/>
  <c r="DS17" i="4"/>
  <c r="DQ12" i="4"/>
  <c r="DQ14" i="4" s="1"/>
  <c r="DP14" i="4"/>
  <c r="EG12" i="4"/>
  <c r="DP17" i="4"/>
  <c r="DO15" i="4"/>
  <c r="DS14" i="4"/>
  <c r="DT12" i="4"/>
  <c r="S3" i="16"/>
  <c r="T1" i="16"/>
  <c r="J177" i="7"/>
  <c r="P155" i="6"/>
  <c r="P162" i="6" s="1"/>
  <c r="CX33" i="4" s="1"/>
  <c r="J141" i="7"/>
  <c r="J153" i="7"/>
  <c r="J155" i="7" s="1"/>
  <c r="K139" i="7"/>
  <c r="K134" i="7"/>
  <c r="L132" i="7"/>
  <c r="S27" i="7"/>
  <c r="R50" i="7"/>
  <c r="R46" i="7"/>
  <c r="R42" i="7"/>
  <c r="R40" i="7"/>
  <c r="R54" i="7"/>
  <c r="R51" i="7"/>
  <c r="R47" i="7"/>
  <c r="R45" i="7"/>
  <c r="R41" i="7"/>
  <c r="R49" i="7"/>
  <c r="T36" i="7"/>
  <c r="S35" i="7"/>
  <c r="S38" i="7"/>
  <c r="O151" i="7"/>
  <c r="O144" i="7"/>
  <c r="O148" i="7" s="1"/>
  <c r="CS14" i="1" s="1"/>
  <c r="CM14" i="1"/>
  <c r="CJ14" i="1"/>
  <c r="CL14" i="1"/>
  <c r="CK14" i="1"/>
  <c r="O137" i="7"/>
  <c r="O109" i="7"/>
  <c r="Q95" i="7"/>
  <c r="R94" i="7"/>
  <c r="Q96" i="7"/>
  <c r="Q97" i="7" s="1"/>
  <c r="Q16" i="7"/>
  <c r="Q112" i="7" s="1"/>
  <c r="Q117" i="7" s="1"/>
  <c r="Q15" i="7"/>
  <c r="Q14" i="7"/>
  <c r="Q13" i="7"/>
  <c r="Q19" i="7" s="1"/>
  <c r="Q24" i="7" s="1"/>
  <c r="W10" i="7"/>
  <c r="S80" i="7"/>
  <c r="P165" i="7"/>
  <c r="P167" i="7" s="1"/>
  <c r="P31" i="7"/>
  <c r="P29" i="7"/>
  <c r="P30" i="7"/>
  <c r="T26" i="7"/>
  <c r="Q57" i="7"/>
  <c r="Q55" i="7"/>
  <c r="Q56" i="7"/>
  <c r="O158" i="7"/>
  <c r="O162" i="7" s="1"/>
  <c r="CS35" i="4" s="1"/>
  <c r="CS37" i="4" s="1"/>
  <c r="CS20" i="4" s="1"/>
  <c r="CS21" i="4" s="1"/>
  <c r="CS4" i="4" s="1"/>
  <c r="Q101" i="7"/>
  <c r="P103" i="7"/>
  <c r="Q106" i="7"/>
  <c r="Q105" i="7"/>
  <c r="Q107" i="7" s="1"/>
  <c r="Q100" i="7"/>
  <c r="R99" i="7"/>
  <c r="R8" i="7"/>
  <c r="R12" i="7" s="1"/>
  <c r="S7" i="7"/>
  <c r="P138" i="6"/>
  <c r="P148" i="6"/>
  <c r="P152" i="6" s="1"/>
  <c r="CX5" i="43" s="1"/>
  <c r="P131" i="6"/>
  <c r="P104" i="6"/>
  <c r="R12" i="6"/>
  <c r="R11" i="6"/>
  <c r="R107" i="6" s="1"/>
  <c r="R112" i="6" s="1"/>
  <c r="R164" i="6" s="1"/>
  <c r="R170" i="6" s="1"/>
  <c r="R10" i="6"/>
  <c r="R9" i="6"/>
  <c r="R15" i="6" s="1"/>
  <c r="R20" i="6" s="1"/>
  <c r="R26" i="6" s="1"/>
  <c r="T22" i="6"/>
  <c r="Q126" i="6"/>
  <c r="P128" i="6"/>
  <c r="O145" i="6"/>
  <c r="P140" i="6"/>
  <c r="Q27" i="6"/>
  <c r="Q25" i="6"/>
  <c r="X24" i="6"/>
  <c r="O135" i="6"/>
  <c r="P133" i="6"/>
  <c r="S75" i="6"/>
  <c r="CS15" i="43"/>
  <c r="Q101" i="6"/>
  <c r="Q100" i="6"/>
  <c r="Q102" i="6" s="1"/>
  <c r="Q96" i="6"/>
  <c r="Q98" i="6" s="1"/>
  <c r="R94" i="6"/>
  <c r="Q95" i="6"/>
  <c r="S8" i="6"/>
  <c r="T7" i="6"/>
  <c r="S23" i="6"/>
  <c r="Q90" i="6"/>
  <c r="R89" i="6"/>
  <c r="Q91" i="6"/>
  <c r="Q92" i="6" s="1"/>
  <c r="U17" i="6"/>
  <c r="T19" i="6"/>
  <c r="P166" i="13"/>
  <c r="P167" i="13" s="1"/>
  <c r="P168" i="13" s="1"/>
  <c r="P169" i="13" s="1"/>
  <c r="P163" i="13" s="1"/>
  <c r="BT67" i="5"/>
  <c r="BT100" i="5" s="1"/>
  <c r="BF70" i="15"/>
  <c r="AY58" i="15"/>
  <c r="AZ58" i="15" s="1"/>
  <c r="AZ48" i="15"/>
  <c r="BA53" i="15"/>
  <c r="AY45" i="15"/>
  <c r="AX79" i="15"/>
  <c r="AX90" i="15" s="1"/>
  <c r="EB87" i="15"/>
  <c r="EB85" i="15"/>
  <c r="EG81" i="15"/>
  <c r="EB88" i="15"/>
  <c r="EB86" i="15"/>
  <c r="EB84" i="15"/>
  <c r="EB83" i="15"/>
  <c r="AL79" i="15"/>
  <c r="AL90" i="15" s="1"/>
  <c r="AM31" i="15"/>
  <c r="AM33" i="15"/>
  <c r="DH82" i="15"/>
  <c r="DC89" i="15"/>
  <c r="AS59" i="15"/>
  <c r="AR60" i="15"/>
  <c r="AR78" i="15" s="1"/>
  <c r="AX54" i="15"/>
  <c r="AW55" i="15"/>
  <c r="P49" i="13"/>
  <c r="BT46" i="5"/>
  <c r="BT127" i="5" s="1"/>
  <c r="BT118" i="5"/>
  <c r="BS118" i="5" s="1"/>
  <c r="T37" i="14"/>
  <c r="T36" i="14"/>
  <c r="BS42" i="5"/>
  <c r="BS44" i="5" s="1"/>
  <c r="BS40" i="5"/>
  <c r="BS52" i="5" s="1"/>
  <c r="AM78" i="15"/>
  <c r="AM40" i="15"/>
  <c r="AP38" i="15"/>
  <c r="AM36" i="15"/>
  <c r="AQ78" i="15"/>
  <c r="AD96" i="14"/>
  <c r="AD94" i="14"/>
  <c r="AD93" i="14"/>
  <c r="AD78" i="14"/>
  <c r="P48" i="14"/>
  <c r="AC76" i="14"/>
  <c r="AC59" i="13"/>
  <c r="AD54" i="13"/>
  <c r="S112" i="13"/>
  <c r="CF25" i="43"/>
  <c r="CF16" i="43"/>
  <c r="CF10" i="43"/>
  <c r="CG9" i="43"/>
  <c r="EL106" i="1"/>
  <c r="EB150" i="5"/>
  <c r="DV150" i="5"/>
  <c r="DT150" i="5"/>
  <c r="DU150" i="5"/>
  <c r="DS150" i="5"/>
  <c r="P72" i="14" l="1"/>
  <c r="EL12" i="4"/>
  <c r="EL17" i="4" s="1"/>
  <c r="EH17" i="4" s="1"/>
  <c r="CC51" i="1"/>
  <c r="CA5" i="5"/>
  <c r="U240" i="42"/>
  <c r="U244" i="42" s="1"/>
  <c r="Q130" i="7"/>
  <c r="Q165" i="6"/>
  <c r="Q171" i="6" s="1"/>
  <c r="Q44" i="7"/>
  <c r="Q67" i="42"/>
  <c r="Q72" i="42" s="1"/>
  <c r="R66" i="42" s="1"/>
  <c r="Q58" i="7"/>
  <c r="Q59" i="7" s="1"/>
  <c r="R48" i="7"/>
  <c r="R43" i="7"/>
  <c r="R39" i="7" s="1"/>
  <c r="CQ4" i="4"/>
  <c r="CS49" i="1"/>
  <c r="CS4" i="5" s="1"/>
  <c r="CR4" i="4"/>
  <c r="CP4" i="4"/>
  <c r="CO4" i="4"/>
  <c r="Q155" i="6"/>
  <c r="Q162" i="6" s="1"/>
  <c r="DC33" i="4" s="1"/>
  <c r="R52" i="7"/>
  <c r="N243" i="42"/>
  <c r="N245" i="42" s="1"/>
  <c r="CN22" i="1"/>
  <c r="CN20" i="1" s="1"/>
  <c r="O136" i="42"/>
  <c r="O141" i="42" s="1"/>
  <c r="P135" i="42" s="1"/>
  <c r="O126" i="42"/>
  <c r="O131" i="42" s="1"/>
  <c r="P125" i="42" s="1"/>
  <c r="O158" i="42"/>
  <c r="O160" i="42" s="1"/>
  <c r="O162" i="42" s="1"/>
  <c r="T71" i="42"/>
  <c r="S68" i="42"/>
  <c r="V232" i="42"/>
  <c r="V234" i="42" s="1"/>
  <c r="V208" i="42"/>
  <c r="V210" i="42" s="1"/>
  <c r="W204" i="42" s="1"/>
  <c r="Q128" i="42"/>
  <c r="Q105" i="42"/>
  <c r="Q106" i="42" s="1"/>
  <c r="Q107" i="42" s="1"/>
  <c r="Q140" i="42"/>
  <c r="P137" i="42"/>
  <c r="X207" i="42"/>
  <c r="X184" i="42"/>
  <c r="X185" i="42" s="1"/>
  <c r="X186" i="42" s="1"/>
  <c r="S60" i="42"/>
  <c r="R57" i="42"/>
  <c r="V5" i="42"/>
  <c r="U7" i="42"/>
  <c r="U9" i="42" s="1"/>
  <c r="Q79" i="42"/>
  <c r="Q81" i="42" s="1"/>
  <c r="Q83" i="42" s="1"/>
  <c r="Q45" i="42"/>
  <c r="Q50" i="42" s="1"/>
  <c r="R44" i="42" s="1"/>
  <c r="S49" i="42"/>
  <c r="R46" i="42"/>
  <c r="R150" i="42"/>
  <c r="Q147" i="42"/>
  <c r="Q149" i="42"/>
  <c r="P129" i="42"/>
  <c r="P154" i="42"/>
  <c r="P156" i="42" s="1"/>
  <c r="Q130" i="42"/>
  <c r="P127" i="42"/>
  <c r="P242" i="42"/>
  <c r="CX21" i="1"/>
  <c r="V206" i="42"/>
  <c r="V205" i="42" s="1"/>
  <c r="W209" i="42"/>
  <c r="S88" i="42"/>
  <c r="S90" i="42" s="1"/>
  <c r="T86" i="42"/>
  <c r="W33" i="42"/>
  <c r="X29" i="42"/>
  <c r="X16" i="42"/>
  <c r="X15" i="42"/>
  <c r="X33" i="42" s="1"/>
  <c r="X14" i="42"/>
  <c r="X27" i="42" s="1"/>
  <c r="W207" i="42"/>
  <c r="W184" i="42"/>
  <c r="W185" i="42" s="1"/>
  <c r="W186" i="42" s="1"/>
  <c r="S47" i="42"/>
  <c r="S24" i="42"/>
  <c r="S25" i="42" s="1"/>
  <c r="S26" i="42" s="1"/>
  <c r="Q56" i="42"/>
  <c r="Q61" i="42" s="1"/>
  <c r="R55" i="42" s="1"/>
  <c r="U225" i="42"/>
  <c r="U230" i="42" s="1"/>
  <c r="V224" i="42" s="1"/>
  <c r="V220" i="42"/>
  <c r="W214" i="42" s="1"/>
  <c r="L253" i="42"/>
  <c r="CD120" i="1"/>
  <c r="CD110" i="1" s="1"/>
  <c r="L259" i="42"/>
  <c r="P139" i="42"/>
  <c r="M252" i="42"/>
  <c r="R75" i="42"/>
  <c r="R77" i="42" s="1"/>
  <c r="R48" i="42"/>
  <c r="Q138" i="42"/>
  <c r="Q139" i="42" s="1"/>
  <c r="Q111" i="42"/>
  <c r="Q112" i="42" s="1"/>
  <c r="Q113" i="42" s="1"/>
  <c r="X217" i="42"/>
  <c r="X190" i="42"/>
  <c r="X191" i="42" s="1"/>
  <c r="X192" i="42" s="1"/>
  <c r="X227" i="42"/>
  <c r="X199" i="42"/>
  <c r="X197" i="42" s="1"/>
  <c r="X198" i="42" s="1"/>
  <c r="T12" i="42"/>
  <c r="T36" i="42" s="1"/>
  <c r="T37" i="42" s="1"/>
  <c r="T38" i="42" s="1"/>
  <c r="T11" i="42"/>
  <c r="T10" i="42"/>
  <c r="R59" i="42"/>
  <c r="R93" i="42"/>
  <c r="R117" i="42" s="1"/>
  <c r="R118" i="42" s="1"/>
  <c r="R119" i="42" s="1"/>
  <c r="R92" i="42"/>
  <c r="R91" i="42"/>
  <c r="W27" i="42"/>
  <c r="X23" i="42"/>
  <c r="W39" i="42"/>
  <c r="W69" i="42"/>
  <c r="X35" i="42"/>
  <c r="X148" i="42"/>
  <c r="X120" i="42"/>
  <c r="V226" i="42"/>
  <c r="W229" i="42"/>
  <c r="V216" i="42"/>
  <c r="V215" i="42" s="1"/>
  <c r="W219" i="42"/>
  <c r="W217" i="42"/>
  <c r="W190" i="42"/>
  <c r="W191" i="42" s="1"/>
  <c r="W192" i="42" s="1"/>
  <c r="S58" i="42"/>
  <c r="S59" i="42" s="1"/>
  <c r="S30" i="42"/>
  <c r="S31" i="42" s="1"/>
  <c r="S32" i="42" s="1"/>
  <c r="P146" i="42"/>
  <c r="P151" i="42" s="1"/>
  <c r="Q145" i="42" s="1"/>
  <c r="X33" i="29"/>
  <c r="X23" i="29"/>
  <c r="X34" i="29"/>
  <c r="Y2" i="29"/>
  <c r="T4" i="29"/>
  <c r="T10" i="29" s="1"/>
  <c r="T12" i="29" s="1"/>
  <c r="U3" i="29"/>
  <c r="S14" i="29"/>
  <c r="S21" i="29" s="1"/>
  <c r="S24" i="29" s="1"/>
  <c r="DQ17" i="4"/>
  <c r="DQ15" i="4" s="1"/>
  <c r="DP15" i="4"/>
  <c r="DU12" i="4"/>
  <c r="DT14" i="4"/>
  <c r="EC12" i="4"/>
  <c r="EG17" i="4"/>
  <c r="DY17" i="4"/>
  <c r="DX15" i="4"/>
  <c r="DT17" i="4"/>
  <c r="DS15" i="4"/>
  <c r="DY14" i="4"/>
  <c r="DZ12" i="4"/>
  <c r="T3" i="16"/>
  <c r="U1" i="16"/>
  <c r="U3" i="16" s="1"/>
  <c r="Q131" i="6"/>
  <c r="K153" i="7"/>
  <c r="L139" i="7"/>
  <c r="K141" i="7"/>
  <c r="M132" i="7"/>
  <c r="L134" i="7"/>
  <c r="CD6" i="1" s="1"/>
  <c r="S8" i="7"/>
  <c r="S12" i="7" s="1"/>
  <c r="T7" i="7"/>
  <c r="R100" i="7"/>
  <c r="S99" i="7"/>
  <c r="R106" i="7"/>
  <c r="R105" i="7"/>
  <c r="R107" i="7" s="1"/>
  <c r="R101" i="7"/>
  <c r="Q103" i="7"/>
  <c r="U26" i="7"/>
  <c r="P151" i="7"/>
  <c r="P144" i="7"/>
  <c r="P148" i="7" s="1"/>
  <c r="CX14" i="1" s="1"/>
  <c r="T80" i="7"/>
  <c r="X10" i="7"/>
  <c r="R95" i="7"/>
  <c r="S94" i="7"/>
  <c r="R96" i="7"/>
  <c r="R97" i="7" s="1"/>
  <c r="R15" i="7"/>
  <c r="R14" i="7"/>
  <c r="R13" i="7"/>
  <c r="R19" i="7" s="1"/>
  <c r="R24" i="7" s="1"/>
  <c r="R16" i="7"/>
  <c r="R112" i="7" s="1"/>
  <c r="R117" i="7" s="1"/>
  <c r="P137" i="7"/>
  <c r="P109" i="7"/>
  <c r="P158" i="7"/>
  <c r="P162" i="7" s="1"/>
  <c r="CX35" i="4" s="1"/>
  <c r="CX37" i="4" s="1"/>
  <c r="CX20" i="4" s="1"/>
  <c r="CX21" i="4" s="1"/>
  <c r="CX4" i="4" s="1"/>
  <c r="Q165" i="7"/>
  <c r="Q167" i="7" s="1"/>
  <c r="Q31" i="7"/>
  <c r="Q29" i="7"/>
  <c r="Q30" i="7"/>
  <c r="CR14" i="1"/>
  <c r="CP14" i="1"/>
  <c r="CQ14" i="1"/>
  <c r="CO14" i="1"/>
  <c r="S54" i="7"/>
  <c r="S51" i="7"/>
  <c r="S47" i="7"/>
  <c r="S45" i="7"/>
  <c r="S40" i="7"/>
  <c r="S50" i="7"/>
  <c r="S46" i="7"/>
  <c r="S42" i="7"/>
  <c r="S41" i="7"/>
  <c r="S49" i="7"/>
  <c r="T35" i="7"/>
  <c r="U36" i="7"/>
  <c r="T38" i="7"/>
  <c r="R57" i="7"/>
  <c r="R56" i="7"/>
  <c r="R55" i="7"/>
  <c r="T27" i="7"/>
  <c r="T23" i="6"/>
  <c r="S12" i="6"/>
  <c r="S11" i="6"/>
  <c r="S107" i="6" s="1"/>
  <c r="S112" i="6" s="1"/>
  <c r="S164" i="6" s="1"/>
  <c r="S170" i="6" s="1"/>
  <c r="S10" i="6"/>
  <c r="S9" i="6"/>
  <c r="S15" i="6" s="1"/>
  <c r="S20" i="6" s="1"/>
  <c r="S26" i="6" s="1"/>
  <c r="R95" i="6"/>
  <c r="S94" i="6"/>
  <c r="R101" i="6"/>
  <c r="R96" i="6"/>
  <c r="R98" i="6" s="1"/>
  <c r="R100" i="6"/>
  <c r="R102" i="6" s="1"/>
  <c r="Q140" i="6"/>
  <c r="P145" i="6"/>
  <c r="Q128" i="6"/>
  <c r="R126" i="6"/>
  <c r="U22" i="6"/>
  <c r="R27" i="6"/>
  <c r="R25" i="6"/>
  <c r="R124" i="6"/>
  <c r="CX15" i="43"/>
  <c r="V17" i="6"/>
  <c r="U19" i="6"/>
  <c r="R90" i="6"/>
  <c r="S89" i="6"/>
  <c r="R91" i="6"/>
  <c r="R92" i="6" s="1"/>
  <c r="U7" i="6"/>
  <c r="T8" i="6"/>
  <c r="Q104" i="6"/>
  <c r="T75" i="6"/>
  <c r="P135" i="6"/>
  <c r="Q133" i="6"/>
  <c r="Q138" i="6"/>
  <c r="Q148" i="6"/>
  <c r="Q152" i="6" s="1"/>
  <c r="DC5" i="43" s="1"/>
  <c r="S124" i="6"/>
  <c r="AP40" i="15"/>
  <c r="R14" i="14" s="1"/>
  <c r="R10" i="14" s="1"/>
  <c r="BS53" i="5"/>
  <c r="BS100" i="5"/>
  <c r="BS46" i="5"/>
  <c r="P85" i="13"/>
  <c r="P87" i="13"/>
  <c r="P84" i="13"/>
  <c r="AY54" i="15"/>
  <c r="AX55" i="15"/>
  <c r="AT59" i="15"/>
  <c r="AS60" i="15"/>
  <c r="DM82" i="15"/>
  <c r="DH89" i="15"/>
  <c r="AM79" i="15"/>
  <c r="AM90" i="15" s="1"/>
  <c r="AN31" i="15"/>
  <c r="AN33" i="15"/>
  <c r="AN78" i="15" s="1"/>
  <c r="EL81" i="15"/>
  <c r="EG88" i="15"/>
  <c r="EG86" i="15"/>
  <c r="EG84" i="15"/>
  <c r="EG87" i="15"/>
  <c r="EG85" i="15"/>
  <c r="EG83" i="15"/>
  <c r="AZ45" i="15"/>
  <c r="BA50" i="15"/>
  <c r="BA48" i="15"/>
  <c r="AZ79" i="15"/>
  <c r="AZ90" i="15" s="1"/>
  <c r="T26" i="13" s="1"/>
  <c r="BA58" i="15"/>
  <c r="BT145" i="5"/>
  <c r="BT148" i="5" s="1"/>
  <c r="BT102" i="5"/>
  <c r="AN41" i="15"/>
  <c r="AP41" i="15" s="1"/>
  <c r="AN36" i="15"/>
  <c r="AO36" i="15" s="1"/>
  <c r="BB53" i="15"/>
  <c r="AY79" i="15"/>
  <c r="AY90" i="15" s="1"/>
  <c r="BG70" i="15"/>
  <c r="AD76" i="14"/>
  <c r="T112" i="13"/>
  <c r="AD59" i="13"/>
  <c r="CG25" i="43"/>
  <c r="CG16" i="43"/>
  <c r="CG10" i="43"/>
  <c r="CH9" i="43"/>
  <c r="DZ150" i="5"/>
  <c r="DX150" i="5"/>
  <c r="EG150" i="5"/>
  <c r="DY150" i="5"/>
  <c r="EA150" i="5"/>
  <c r="BS127" i="5" l="1"/>
  <c r="EH12" i="4"/>
  <c r="EH14" i="4" s="1"/>
  <c r="CC5" i="5"/>
  <c r="CB5" i="5"/>
  <c r="BZ110" i="1"/>
  <c r="BZ120" i="1" s="1"/>
  <c r="BZ121" i="1" s="1"/>
  <c r="CC110" i="1"/>
  <c r="CC120" i="1" s="1"/>
  <c r="CB110" i="1"/>
  <c r="CB120" i="1" s="1"/>
  <c r="CA110" i="1"/>
  <c r="CA120" i="1" s="1"/>
  <c r="R165" i="6"/>
  <c r="R171" i="6" s="1"/>
  <c r="S48" i="7"/>
  <c r="R70" i="42"/>
  <c r="R67" i="42"/>
  <c r="R130" i="7"/>
  <c r="S43" i="7"/>
  <c r="S39" i="7" s="1"/>
  <c r="S52" i="7"/>
  <c r="R44" i="7"/>
  <c r="CU4" i="4"/>
  <c r="CW4" i="4"/>
  <c r="CX49" i="1"/>
  <c r="CX4" i="5" s="1"/>
  <c r="CV4" i="4"/>
  <c r="CT4" i="4"/>
  <c r="R58" i="7"/>
  <c r="R59" i="7" s="1"/>
  <c r="R56" i="42"/>
  <c r="R61" i="42" s="1"/>
  <c r="S55" i="42" s="1"/>
  <c r="V225" i="42"/>
  <c r="V230" i="42" s="1"/>
  <c r="W224" i="42" s="1"/>
  <c r="V236" i="42"/>
  <c r="V238" i="42" s="1"/>
  <c r="Q242" i="42"/>
  <c r="DC21" i="1"/>
  <c r="P136" i="42"/>
  <c r="P141" i="42" s="1"/>
  <c r="Q135" i="42" s="1"/>
  <c r="Q146" i="42"/>
  <c r="Q151" i="42" s="1"/>
  <c r="R145" i="42" s="1"/>
  <c r="X219" i="42"/>
  <c r="X216" i="42" s="1"/>
  <c r="W216" i="42"/>
  <c r="X229" i="42"/>
  <c r="X226" i="42" s="1"/>
  <c r="W226" i="42"/>
  <c r="R138" i="42"/>
  <c r="R111" i="42"/>
  <c r="R112" i="42" s="1"/>
  <c r="R113" i="42" s="1"/>
  <c r="T58" i="42"/>
  <c r="T30" i="42"/>
  <c r="T31" i="42" s="1"/>
  <c r="T32" i="42" s="1"/>
  <c r="O243" i="42"/>
  <c r="O245" i="42" s="1"/>
  <c r="CS22" i="1"/>
  <c r="CS20" i="1" s="1"/>
  <c r="X228" i="42"/>
  <c r="W228" i="42"/>
  <c r="W232" i="42"/>
  <c r="W234" i="42" s="1"/>
  <c r="W208" i="42"/>
  <c r="W210" i="42" s="1"/>
  <c r="X204" i="42" s="1"/>
  <c r="U86" i="42"/>
  <c r="T88" i="42"/>
  <c r="T90" i="42" s="1"/>
  <c r="X209" i="42"/>
  <c r="X206" i="42" s="1"/>
  <c r="W206" i="42"/>
  <c r="W205" i="42" s="1"/>
  <c r="S150" i="42"/>
  <c r="R147" i="42"/>
  <c r="R149" i="42"/>
  <c r="S46" i="42"/>
  <c r="T49" i="42"/>
  <c r="R79" i="42"/>
  <c r="R81" i="42" s="1"/>
  <c r="R83" i="42" s="1"/>
  <c r="R45" i="42"/>
  <c r="R50" i="42" s="1"/>
  <c r="S44" i="42" s="1"/>
  <c r="U12" i="42"/>
  <c r="U36" i="42" s="1"/>
  <c r="U37" i="42" s="1"/>
  <c r="U38" i="42" s="1"/>
  <c r="U11" i="42"/>
  <c r="U10" i="42"/>
  <c r="X232" i="42"/>
  <c r="X234" i="42" s="1"/>
  <c r="R140" i="42"/>
  <c r="Q137" i="42"/>
  <c r="Q154" i="42"/>
  <c r="Q156" i="42" s="1"/>
  <c r="Q129" i="42"/>
  <c r="T68" i="42"/>
  <c r="U71" i="42"/>
  <c r="N250" i="42"/>
  <c r="N247" i="42"/>
  <c r="W218" i="42"/>
  <c r="R128" i="42"/>
  <c r="R105" i="42"/>
  <c r="R106" i="42" s="1"/>
  <c r="R107" i="42" s="1"/>
  <c r="T47" i="42"/>
  <c r="T24" i="42"/>
  <c r="T25" i="42" s="1"/>
  <c r="T26" i="42" s="1"/>
  <c r="M253" i="42"/>
  <c r="CI120" i="1"/>
  <c r="CI110" i="1" s="1"/>
  <c r="M259" i="42"/>
  <c r="W220" i="42"/>
  <c r="X214" i="42" s="1"/>
  <c r="W215" i="42"/>
  <c r="S48" i="42"/>
  <c r="S75" i="42"/>
  <c r="S77" i="42" s="1"/>
  <c r="X69" i="42"/>
  <c r="X39" i="42"/>
  <c r="S93" i="42"/>
  <c r="S117" i="42" s="1"/>
  <c r="S118" i="42" s="1"/>
  <c r="S119" i="42" s="1"/>
  <c r="S92" i="42"/>
  <c r="S91" i="42"/>
  <c r="R130" i="42"/>
  <c r="Q127" i="42"/>
  <c r="V7" i="42"/>
  <c r="V9" i="42" s="1"/>
  <c r="W5" i="42"/>
  <c r="S57" i="42"/>
  <c r="T60" i="42"/>
  <c r="V240" i="42"/>
  <c r="V244" i="42" s="1"/>
  <c r="P158" i="42"/>
  <c r="P160" i="42" s="1"/>
  <c r="P162" i="42" s="1"/>
  <c r="P126" i="42"/>
  <c r="P131" i="42" s="1"/>
  <c r="Q125" i="42" s="1"/>
  <c r="U4" i="29"/>
  <c r="U10" i="29" s="1"/>
  <c r="U12" i="29" s="1"/>
  <c r="V3" i="29"/>
  <c r="Y34" i="29"/>
  <c r="Y33" i="29"/>
  <c r="Y23" i="29"/>
  <c r="Z2" i="29"/>
  <c r="Z23" i="29" s="1"/>
  <c r="T14" i="29"/>
  <c r="T21" i="29" s="1"/>
  <c r="T24" i="29" s="1"/>
  <c r="EA12" i="4"/>
  <c r="EA14" i="4" s="1"/>
  <c r="DZ14" i="4"/>
  <c r="EC17" i="4"/>
  <c r="DU17" i="4"/>
  <c r="DT15" i="4"/>
  <c r="DZ17" i="4"/>
  <c r="DY15" i="4"/>
  <c r="EC14" i="4"/>
  <c r="ED12" i="4"/>
  <c r="DU14" i="4"/>
  <c r="DV12" i="4"/>
  <c r="DV14" i="4" s="1"/>
  <c r="EI17" i="4"/>
  <c r="M134" i="7"/>
  <c r="CI6" i="1" s="1"/>
  <c r="CE6" i="1" s="1"/>
  <c r="N132" i="7"/>
  <c r="L153" i="7"/>
  <c r="M139" i="7"/>
  <c r="L141" i="7"/>
  <c r="CD10" i="1" s="1"/>
  <c r="CC6" i="1"/>
  <c r="CB6" i="1"/>
  <c r="K154" i="7"/>
  <c r="K155" i="7"/>
  <c r="CA6" i="1"/>
  <c r="BV4" i="1"/>
  <c r="BV115" i="1" s="1"/>
  <c r="BV121" i="1" s="1"/>
  <c r="BV111" i="1" s="1"/>
  <c r="T50" i="7"/>
  <c r="T46" i="7"/>
  <c r="T42" i="7"/>
  <c r="T40" i="7"/>
  <c r="T51" i="7"/>
  <c r="T54" i="7"/>
  <c r="T45" i="7"/>
  <c r="T47" i="7"/>
  <c r="T41" i="7"/>
  <c r="T49" i="7"/>
  <c r="Q151" i="7"/>
  <c r="Q144" i="7"/>
  <c r="Q148" i="7" s="1"/>
  <c r="DC14" i="1" s="1"/>
  <c r="U80" i="7"/>
  <c r="CW14" i="1"/>
  <c r="CT14" i="1"/>
  <c r="CV14" i="1"/>
  <c r="CU14" i="1"/>
  <c r="V26" i="7"/>
  <c r="S101" i="7"/>
  <c r="R103" i="7"/>
  <c r="S106" i="7"/>
  <c r="S105" i="7"/>
  <c r="S107" i="7" s="1"/>
  <c r="T99" i="7"/>
  <c r="S100" i="7"/>
  <c r="T8" i="7"/>
  <c r="T12" i="7" s="1"/>
  <c r="U7" i="7"/>
  <c r="U27" i="7"/>
  <c r="V36" i="7"/>
  <c r="U35" i="7"/>
  <c r="U38" i="7"/>
  <c r="S55" i="7"/>
  <c r="S56" i="7"/>
  <c r="S57" i="7"/>
  <c r="Q158" i="7"/>
  <c r="Q162" i="7" s="1"/>
  <c r="DC35" i="4" s="1"/>
  <c r="DC37" i="4" s="1"/>
  <c r="DC20" i="4" s="1"/>
  <c r="DC21" i="4" s="1"/>
  <c r="DC4" i="4" s="1"/>
  <c r="R165" i="7"/>
  <c r="R167" i="7" s="1"/>
  <c r="R31" i="7"/>
  <c r="R29" i="7"/>
  <c r="R30" i="7"/>
  <c r="S95" i="7"/>
  <c r="T94" i="7"/>
  <c r="S96" i="7"/>
  <c r="S97" i="7" s="1"/>
  <c r="Q137" i="7"/>
  <c r="Q109" i="7"/>
  <c r="S16" i="7"/>
  <c r="S112" i="7" s="1"/>
  <c r="S117" i="7" s="1"/>
  <c r="S15" i="7"/>
  <c r="S14" i="7"/>
  <c r="S13" i="7"/>
  <c r="S19" i="7" s="1"/>
  <c r="S24" i="7" s="1"/>
  <c r="Q135" i="6"/>
  <c r="R133" i="6"/>
  <c r="U8" i="6"/>
  <c r="V7" i="6"/>
  <c r="S90" i="6"/>
  <c r="T89" i="6"/>
  <c r="S91" i="6"/>
  <c r="S92" i="6" s="1"/>
  <c r="R155" i="6"/>
  <c r="R162" i="6" s="1"/>
  <c r="DH33" i="4" s="1"/>
  <c r="Q145" i="6"/>
  <c r="R140" i="6"/>
  <c r="R131" i="6"/>
  <c r="S101" i="6"/>
  <c r="S100" i="6"/>
  <c r="S102" i="6" s="1"/>
  <c r="S96" i="6"/>
  <c r="S98" i="6" s="1"/>
  <c r="S95" i="6"/>
  <c r="T94" i="6"/>
  <c r="R104" i="6"/>
  <c r="DC15" i="43"/>
  <c r="U75" i="6"/>
  <c r="T12" i="6"/>
  <c r="T11" i="6"/>
  <c r="T107" i="6" s="1"/>
  <c r="T112" i="6" s="1"/>
  <c r="T164" i="6" s="1"/>
  <c r="T170" i="6" s="1"/>
  <c r="T10" i="6"/>
  <c r="T9" i="6"/>
  <c r="T15" i="6" s="1"/>
  <c r="T20" i="6" s="1"/>
  <c r="T26" i="6" s="1"/>
  <c r="V19" i="6"/>
  <c r="W17" i="6"/>
  <c r="R138" i="6"/>
  <c r="R148" i="6"/>
  <c r="R152" i="6" s="1"/>
  <c r="DH5" i="43" s="1"/>
  <c r="V22" i="6"/>
  <c r="S126" i="6"/>
  <c r="R128" i="6"/>
  <c r="S27" i="6"/>
  <c r="S25" i="6"/>
  <c r="U23" i="6"/>
  <c r="DR82" i="15"/>
  <c r="DM89" i="15"/>
  <c r="AU59" i="15"/>
  <c r="AV59" i="15" s="1"/>
  <c r="AT60" i="15"/>
  <c r="AT78" i="15" s="1"/>
  <c r="AZ54" i="15"/>
  <c r="BA54" i="15" s="1"/>
  <c r="AY55" i="15"/>
  <c r="BS54" i="5"/>
  <c r="BH70" i="15"/>
  <c r="BC53" i="15"/>
  <c r="AP73" i="15"/>
  <c r="AP36" i="15"/>
  <c r="BB58" i="15"/>
  <c r="BB48" i="15"/>
  <c r="BB50" i="15"/>
  <c r="BA79" i="15"/>
  <c r="BA90" i="15" s="1"/>
  <c r="EL87" i="15"/>
  <c r="EL85" i="15"/>
  <c r="EQ81" i="15"/>
  <c r="EL88" i="15"/>
  <c r="EL86" i="15"/>
  <c r="EL84" i="15"/>
  <c r="EL83" i="15"/>
  <c r="AN79" i="15"/>
  <c r="AN90" i="15" s="1"/>
  <c r="AO31" i="15"/>
  <c r="AO79" i="15" s="1"/>
  <c r="AO90" i="15" s="1"/>
  <c r="AO33" i="15"/>
  <c r="AS78" i="15"/>
  <c r="AZ55" i="15"/>
  <c r="BS102" i="5"/>
  <c r="BS145" i="5"/>
  <c r="BS68" i="5"/>
  <c r="U112" i="13"/>
  <c r="CH25" i="43"/>
  <c r="CI9" i="43"/>
  <c r="CH16" i="43"/>
  <c r="CH10" i="43"/>
  <c r="EL150" i="5"/>
  <c r="EF150" i="5"/>
  <c r="ED150" i="5"/>
  <c r="EC150" i="5"/>
  <c r="EE150" i="5"/>
  <c r="EH15" i="4" l="1"/>
  <c r="EI12" i="4"/>
  <c r="EI14" i="4" s="1"/>
  <c r="X208" i="42"/>
  <c r="AU60" i="15"/>
  <c r="R72" i="42"/>
  <c r="S66" i="42" s="1"/>
  <c r="S70" i="42" s="1"/>
  <c r="S165" i="6"/>
  <c r="S171" i="6" s="1"/>
  <c r="C27" i="29"/>
  <c r="S44" i="7"/>
  <c r="S58" i="7"/>
  <c r="S59" i="7" s="1"/>
  <c r="S155" i="6"/>
  <c r="S162" i="6" s="1"/>
  <c r="DM33" i="4" s="1"/>
  <c r="T43" i="7"/>
  <c r="T39" i="7" s="1"/>
  <c r="R158" i="7"/>
  <c r="R162" i="7" s="1"/>
  <c r="DH35" i="4" s="1"/>
  <c r="DH37" i="4" s="1"/>
  <c r="DH20" i="4" s="1"/>
  <c r="DH21" i="4" s="1"/>
  <c r="DH4" i="4" s="1"/>
  <c r="DA4" i="4"/>
  <c r="DC49" i="1"/>
  <c r="DC4" i="5" s="1"/>
  <c r="CY4" i="4"/>
  <c r="DB4" i="4"/>
  <c r="CZ4" i="4"/>
  <c r="T48" i="7"/>
  <c r="T52" i="7"/>
  <c r="CH6" i="1"/>
  <c r="CG6" i="1"/>
  <c r="CF6" i="1"/>
  <c r="N252" i="42"/>
  <c r="CN120" i="1" s="1"/>
  <c r="CN110" i="1" s="1"/>
  <c r="Q126" i="42"/>
  <c r="Q158" i="42"/>
  <c r="Q160" i="42" s="1"/>
  <c r="Q162" i="42" s="1"/>
  <c r="Q131" i="42"/>
  <c r="R125" i="42" s="1"/>
  <c r="R242" i="42"/>
  <c r="DH21" i="1"/>
  <c r="X210" i="42"/>
  <c r="X205" i="42"/>
  <c r="P243" i="42"/>
  <c r="P245" i="42" s="1"/>
  <c r="CX22" i="1"/>
  <c r="CX20" i="1" s="1"/>
  <c r="S45" i="42"/>
  <c r="S50" i="42" s="1"/>
  <c r="T44" i="42" s="1"/>
  <c r="S56" i="42"/>
  <c r="S61" i="42" s="1"/>
  <c r="T55" i="42" s="1"/>
  <c r="U60" i="42"/>
  <c r="T57" i="42"/>
  <c r="X5" i="42"/>
  <c r="X7" i="42" s="1"/>
  <c r="X9" i="42" s="1"/>
  <c r="W7" i="42"/>
  <c r="W9" i="42" s="1"/>
  <c r="S138" i="42"/>
  <c r="S111" i="42"/>
  <c r="S112" i="42" s="1"/>
  <c r="S113" i="42" s="1"/>
  <c r="S140" i="42"/>
  <c r="R137" i="42"/>
  <c r="U58" i="42"/>
  <c r="U59" i="42" s="1"/>
  <c r="U30" i="42"/>
  <c r="U31" i="42" s="1"/>
  <c r="U32" i="42" s="1"/>
  <c r="T93" i="42"/>
  <c r="T117" i="42" s="1"/>
  <c r="T118" i="42" s="1"/>
  <c r="T119" i="42" s="1"/>
  <c r="T92" i="42"/>
  <c r="T91" i="42"/>
  <c r="O250" i="42"/>
  <c r="O247" i="42"/>
  <c r="T59" i="42"/>
  <c r="R139" i="42"/>
  <c r="R146" i="42"/>
  <c r="R151" i="42" s="1"/>
  <c r="S145" i="42" s="1"/>
  <c r="Q136" i="42"/>
  <c r="Q141" i="42" s="1"/>
  <c r="R135" i="42" s="1"/>
  <c r="W225" i="42"/>
  <c r="W230" i="42" s="1"/>
  <c r="X224" i="42" s="1"/>
  <c r="V12" i="42"/>
  <c r="V36" i="42" s="1"/>
  <c r="V37" i="42" s="1"/>
  <c r="V38" i="42" s="1"/>
  <c r="V11" i="42"/>
  <c r="V10" i="42"/>
  <c r="S130" i="42"/>
  <c r="R127" i="42"/>
  <c r="S128" i="42"/>
  <c r="S105" i="42"/>
  <c r="S106" i="42" s="1"/>
  <c r="S107" i="42" s="1"/>
  <c r="X215" i="42"/>
  <c r="T75" i="42"/>
  <c r="T77" i="42" s="1"/>
  <c r="T48" i="42"/>
  <c r="R129" i="42"/>
  <c r="R154" i="42"/>
  <c r="R156" i="42" s="1"/>
  <c r="V71" i="42"/>
  <c r="U68" i="42"/>
  <c r="U47" i="42"/>
  <c r="U24" i="42"/>
  <c r="U25" i="42" s="1"/>
  <c r="U26" i="42" s="1"/>
  <c r="U49" i="42"/>
  <c r="T46" i="42"/>
  <c r="T150" i="42"/>
  <c r="S147" i="42"/>
  <c r="S149" i="42"/>
  <c r="U88" i="42"/>
  <c r="U90" i="42" s="1"/>
  <c r="V86" i="42"/>
  <c r="X218" i="42"/>
  <c r="X220" i="42" s="1"/>
  <c r="W236" i="42"/>
  <c r="W238" i="42" s="1"/>
  <c r="W240" i="42" s="1"/>
  <c r="W244" i="42" s="1"/>
  <c r="V4" i="29"/>
  <c r="V10" i="29" s="1"/>
  <c r="V12" i="29" s="1"/>
  <c r="W3" i="29"/>
  <c r="U14" i="29"/>
  <c r="U21" i="29" s="1"/>
  <c r="U24" i="29" s="1"/>
  <c r="EJ17" i="4"/>
  <c r="EA17" i="4"/>
  <c r="EA15" i="4" s="1"/>
  <c r="DZ15" i="4"/>
  <c r="DV17" i="4"/>
  <c r="DV15" i="4" s="1"/>
  <c r="DU15" i="4"/>
  <c r="EE12" i="4"/>
  <c r="ED14" i="4"/>
  <c r="ED17" i="4"/>
  <c r="EC15" i="4"/>
  <c r="M153" i="7"/>
  <c r="M141" i="7"/>
  <c r="CI10" i="1" s="1"/>
  <c r="CE10" i="1" s="1"/>
  <c r="N139" i="7"/>
  <c r="N134" i="7"/>
  <c r="CN6" i="1" s="1"/>
  <c r="CJ6" i="1" s="1"/>
  <c r="O132" i="7"/>
  <c r="BY47" i="43"/>
  <c r="BY16" i="1"/>
  <c r="BY119" i="1" s="1"/>
  <c r="L155" i="7"/>
  <c r="L154" i="7"/>
  <c r="S165" i="7"/>
  <c r="S167" i="7" s="1"/>
  <c r="S31" i="7"/>
  <c r="S29" i="7"/>
  <c r="S30" i="7"/>
  <c r="T95" i="7"/>
  <c r="U94" i="7"/>
  <c r="T96" i="7"/>
  <c r="T97" i="7" s="1"/>
  <c r="U54" i="7"/>
  <c r="U51" i="7"/>
  <c r="U47" i="7"/>
  <c r="U45" i="7"/>
  <c r="U50" i="7"/>
  <c r="U46" i="7"/>
  <c r="U42" i="7"/>
  <c r="U40" i="7"/>
  <c r="U41" i="7"/>
  <c r="U49" i="7"/>
  <c r="W36" i="7"/>
  <c r="V35" i="7"/>
  <c r="V38" i="7"/>
  <c r="V27" i="7"/>
  <c r="U8" i="7"/>
  <c r="U12" i="7" s="1"/>
  <c r="V7" i="7"/>
  <c r="T101" i="7"/>
  <c r="S103" i="7"/>
  <c r="W26" i="7"/>
  <c r="V80" i="7"/>
  <c r="R151" i="7"/>
  <c r="R144" i="7"/>
  <c r="R148" i="7" s="1"/>
  <c r="DH14" i="1" s="1"/>
  <c r="T16" i="7"/>
  <c r="T112" i="7" s="1"/>
  <c r="T117" i="7" s="1"/>
  <c r="T15" i="7"/>
  <c r="T14" i="7"/>
  <c r="T13" i="7"/>
  <c r="T19" i="7" s="1"/>
  <c r="T24" i="7" s="1"/>
  <c r="T100" i="7"/>
  <c r="U99" i="7"/>
  <c r="T105" i="7"/>
  <c r="T107" i="7" s="1"/>
  <c r="T106" i="7"/>
  <c r="R137" i="7"/>
  <c r="R109" i="7"/>
  <c r="DB14" i="1"/>
  <c r="CZ14" i="1"/>
  <c r="DA14" i="1"/>
  <c r="CY14" i="1"/>
  <c r="S130" i="7"/>
  <c r="T56" i="7"/>
  <c r="T55" i="7"/>
  <c r="T57" i="7"/>
  <c r="S148" i="6"/>
  <c r="S152" i="6" s="1"/>
  <c r="DM5" i="43" s="1"/>
  <c r="S138" i="6"/>
  <c r="S128" i="6"/>
  <c r="T126" i="6"/>
  <c r="W22" i="6"/>
  <c r="DH15" i="43"/>
  <c r="X17" i="6"/>
  <c r="X19" i="6" s="1"/>
  <c r="W19" i="6"/>
  <c r="T27" i="6"/>
  <c r="T25" i="6"/>
  <c r="T124" i="6"/>
  <c r="V75" i="6"/>
  <c r="S131" i="6"/>
  <c r="R145" i="6"/>
  <c r="S140" i="6"/>
  <c r="U12" i="6"/>
  <c r="U11" i="6"/>
  <c r="U107" i="6" s="1"/>
  <c r="U112" i="6" s="1"/>
  <c r="U164" i="6" s="1"/>
  <c r="U170" i="6" s="1"/>
  <c r="U10" i="6"/>
  <c r="U9" i="6"/>
  <c r="U15" i="6" s="1"/>
  <c r="U20" i="6" s="1"/>
  <c r="U26" i="6" s="1"/>
  <c r="V23" i="6"/>
  <c r="T95" i="6"/>
  <c r="U94" i="6"/>
  <c r="T100" i="6"/>
  <c r="T102" i="6" s="1"/>
  <c r="T101" i="6"/>
  <c r="T96" i="6"/>
  <c r="T98" i="6" s="1"/>
  <c r="S104" i="6"/>
  <c r="T90" i="6"/>
  <c r="U89" i="6"/>
  <c r="T91" i="6"/>
  <c r="T92" i="6" s="1"/>
  <c r="W7" i="6"/>
  <c r="V8" i="6"/>
  <c r="S133" i="6"/>
  <c r="R135" i="6"/>
  <c r="AU78" i="15"/>
  <c r="CI36" i="5"/>
  <c r="AU75" i="15" s="1"/>
  <c r="AO78" i="15"/>
  <c r="AP33" i="15"/>
  <c r="BC58" i="15"/>
  <c r="AP84" i="15"/>
  <c r="AP89" i="15" s="1"/>
  <c r="R19" i="13" s="1"/>
  <c r="AP79" i="15"/>
  <c r="AP90" i="15" s="1"/>
  <c r="R26" i="13" s="1"/>
  <c r="BD53" i="15"/>
  <c r="BE53" i="15" s="1"/>
  <c r="BI70" i="15"/>
  <c r="BB54" i="15"/>
  <c r="BA55" i="15"/>
  <c r="AW59" i="15"/>
  <c r="AV60" i="15"/>
  <c r="DW82" i="15"/>
  <c r="DR89" i="15"/>
  <c r="EV81" i="15"/>
  <c r="EQ88" i="15"/>
  <c r="EQ86" i="15"/>
  <c r="EQ84" i="15"/>
  <c r="EQ87" i="15"/>
  <c r="EQ85" i="15"/>
  <c r="EQ83" i="15"/>
  <c r="BC50" i="15"/>
  <c r="BC48" i="15"/>
  <c r="BB79" i="15"/>
  <c r="BB90" i="15" s="1"/>
  <c r="R37" i="14"/>
  <c r="R36" i="14"/>
  <c r="V112" i="13"/>
  <c r="CI16" i="43"/>
  <c r="CI19" i="43" s="1"/>
  <c r="CI51" i="1" s="1"/>
  <c r="CI5" i="5" s="1"/>
  <c r="CJ9" i="43"/>
  <c r="EJ150" i="5"/>
  <c r="EH150" i="5"/>
  <c r="EK150" i="5"/>
  <c r="EI150" i="5"/>
  <c r="CC10" i="1" l="1"/>
  <c r="CH10" i="1" s="1"/>
  <c r="EI15" i="4"/>
  <c r="EJ12" i="4"/>
  <c r="EK12" i="4" s="1"/>
  <c r="EK14" i="4" s="1"/>
  <c r="CC47" i="43"/>
  <c r="CC16" i="1"/>
  <c r="S79" i="42"/>
  <c r="S81" i="42" s="1"/>
  <c r="S83" i="42" s="1"/>
  <c r="S242" i="42" s="1"/>
  <c r="S67" i="42"/>
  <c r="S72" i="42" s="1"/>
  <c r="T66" i="42" s="1"/>
  <c r="T67" i="42" s="1"/>
  <c r="T165" i="6"/>
  <c r="T171" i="6" s="1"/>
  <c r="T130" i="7"/>
  <c r="CG10" i="1"/>
  <c r="T155" i="6"/>
  <c r="T162" i="6" s="1"/>
  <c r="DR33" i="4" s="1"/>
  <c r="U43" i="7"/>
  <c r="U39" i="7" s="1"/>
  <c r="U48" i="7"/>
  <c r="T44" i="7"/>
  <c r="U52" i="7"/>
  <c r="DG4" i="4"/>
  <c r="DD4" i="4"/>
  <c r="DE4" i="4"/>
  <c r="DH49" i="1"/>
  <c r="DH4" i="5" s="1"/>
  <c r="DF4" i="4"/>
  <c r="T58" i="7"/>
  <c r="T59" i="7" s="1"/>
  <c r="T131" i="6"/>
  <c r="CL6" i="1"/>
  <c r="N253" i="42"/>
  <c r="N259" i="42"/>
  <c r="O252" i="42"/>
  <c r="CS120" i="1" s="1"/>
  <c r="CS110" i="1" s="1"/>
  <c r="T56" i="42"/>
  <c r="T61" i="42" s="1"/>
  <c r="U55" i="42" s="1"/>
  <c r="U93" i="42"/>
  <c r="U117" i="42" s="1"/>
  <c r="U118" i="42" s="1"/>
  <c r="U119" i="42" s="1"/>
  <c r="U92" i="42"/>
  <c r="U91" i="42"/>
  <c r="V47" i="42"/>
  <c r="V24" i="42"/>
  <c r="V25" i="42" s="1"/>
  <c r="V26" i="42" s="1"/>
  <c r="X225" i="42"/>
  <c r="X230" i="42" s="1"/>
  <c r="R136" i="42"/>
  <c r="R141" i="42" s="1"/>
  <c r="S135" i="42" s="1"/>
  <c r="S146" i="42"/>
  <c r="S151" i="42" s="1"/>
  <c r="T145" i="42" s="1"/>
  <c r="T138" i="42"/>
  <c r="T111" i="42"/>
  <c r="T112" i="42" s="1"/>
  <c r="T113" i="42" s="1"/>
  <c r="T140" i="42"/>
  <c r="S137" i="42"/>
  <c r="W12" i="42"/>
  <c r="W36" i="42" s="1"/>
  <c r="W37" i="42" s="1"/>
  <c r="W38" i="42" s="1"/>
  <c r="W11" i="42"/>
  <c r="W10" i="42"/>
  <c r="T45" i="42"/>
  <c r="T50" i="42" s="1"/>
  <c r="U44" i="42" s="1"/>
  <c r="X236" i="42"/>
  <c r="X238" i="42" s="1"/>
  <c r="X240" i="42" s="1"/>
  <c r="X244" i="42" s="1"/>
  <c r="W86" i="42"/>
  <c r="V88" i="42"/>
  <c r="V90" i="42" s="1"/>
  <c r="U150" i="42"/>
  <c r="T147" i="42"/>
  <c r="T149" i="42"/>
  <c r="U46" i="42"/>
  <c r="V49" i="42"/>
  <c r="U48" i="42"/>
  <c r="U75" i="42"/>
  <c r="U77" i="42" s="1"/>
  <c r="V68" i="42"/>
  <c r="W71" i="42"/>
  <c r="S154" i="42"/>
  <c r="S156" i="42" s="1"/>
  <c r="S129" i="42"/>
  <c r="T130" i="42"/>
  <c r="S127" i="42"/>
  <c r="V58" i="42"/>
  <c r="V30" i="42"/>
  <c r="V31" i="42" s="1"/>
  <c r="V32" i="42" s="1"/>
  <c r="T128" i="42"/>
  <c r="T105" i="42"/>
  <c r="T106" i="42" s="1"/>
  <c r="T107" i="42" s="1"/>
  <c r="Q243" i="42"/>
  <c r="Q245" i="42" s="1"/>
  <c r="DC22" i="1"/>
  <c r="DC20" i="1" s="1"/>
  <c r="S139" i="42"/>
  <c r="X12" i="42"/>
  <c r="X36" i="42" s="1"/>
  <c r="X37" i="42" s="1"/>
  <c r="X38" i="42" s="1"/>
  <c r="X11" i="42"/>
  <c r="X10" i="42"/>
  <c r="U57" i="42"/>
  <c r="V60" i="42"/>
  <c r="P250" i="42"/>
  <c r="P247" i="42"/>
  <c r="R158" i="42"/>
  <c r="R160" i="42" s="1"/>
  <c r="R162" i="42" s="1"/>
  <c r="R126" i="42"/>
  <c r="R131" i="42" s="1"/>
  <c r="S125" i="42" s="1"/>
  <c r="V14" i="29"/>
  <c r="V21" i="29" s="1"/>
  <c r="V24" i="29" s="1"/>
  <c r="W4" i="29"/>
  <c r="W10" i="29" s="1"/>
  <c r="W12" i="29" s="1"/>
  <c r="X3" i="29"/>
  <c r="EE17" i="4"/>
  <c r="ED15" i="4"/>
  <c r="EE14" i="4"/>
  <c r="EF12" i="4"/>
  <c r="EF14" i="4" s="1"/>
  <c r="EK17" i="4"/>
  <c r="P132" i="7"/>
  <c r="O134" i="7"/>
  <c r="CS6" i="1" s="1"/>
  <c r="CO6" i="1" s="1"/>
  <c r="N141" i="7"/>
  <c r="CN10" i="1" s="1"/>
  <c r="CJ10" i="1" s="1"/>
  <c r="N153" i="7"/>
  <c r="O139" i="7"/>
  <c r="M154" i="7"/>
  <c r="M155" i="7"/>
  <c r="CI18" i="1" s="1"/>
  <c r="CF10" i="1"/>
  <c r="U124" i="6"/>
  <c r="CD47" i="43"/>
  <c r="CD16" i="1"/>
  <c r="CD119" i="1" s="1"/>
  <c r="BX47" i="43"/>
  <c r="BX4" i="43" s="1"/>
  <c r="BX10" i="43" s="1"/>
  <c r="BX16" i="1"/>
  <c r="BX119" i="1" s="1"/>
  <c r="BY4" i="43"/>
  <c r="BY10" i="43" s="1"/>
  <c r="BY6" i="43"/>
  <c r="BY7" i="43" s="1"/>
  <c r="BX7" i="43" s="1"/>
  <c r="CM6" i="1"/>
  <c r="CK6" i="1"/>
  <c r="DG14" i="1"/>
  <c r="DD14" i="1"/>
  <c r="DF14" i="1"/>
  <c r="DE14" i="1"/>
  <c r="W80" i="7"/>
  <c r="X26" i="7"/>
  <c r="S137" i="7"/>
  <c r="S109" i="7"/>
  <c r="V8" i="7"/>
  <c r="V12" i="7" s="1"/>
  <c r="W7" i="7"/>
  <c r="W27" i="7"/>
  <c r="V50" i="7"/>
  <c r="V46" i="7"/>
  <c r="V42" i="7"/>
  <c r="V40" i="7"/>
  <c r="V54" i="7"/>
  <c r="V51" i="7"/>
  <c r="V47" i="7"/>
  <c r="V45" i="7"/>
  <c r="V41" i="7"/>
  <c r="V49" i="7"/>
  <c r="X36" i="7"/>
  <c r="W35" i="7"/>
  <c r="W38" i="7"/>
  <c r="U95" i="7"/>
  <c r="V94" i="7"/>
  <c r="U96" i="7"/>
  <c r="U97" i="7" s="1"/>
  <c r="S151" i="7"/>
  <c r="S144" i="7"/>
  <c r="S148" i="7" s="1"/>
  <c r="DM14" i="1" s="1"/>
  <c r="U106" i="7"/>
  <c r="U105" i="7"/>
  <c r="U107" i="7" s="1"/>
  <c r="U100" i="7"/>
  <c r="V99" i="7"/>
  <c r="T165" i="7"/>
  <c r="T167" i="7" s="1"/>
  <c r="T31" i="7"/>
  <c r="T29" i="7"/>
  <c r="T30" i="7"/>
  <c r="U101" i="7"/>
  <c r="T103" i="7"/>
  <c r="U16" i="7"/>
  <c r="U112" i="7" s="1"/>
  <c r="U117" i="7" s="1"/>
  <c r="U15" i="7"/>
  <c r="U14" i="7"/>
  <c r="U13" i="7"/>
  <c r="U19" i="7" s="1"/>
  <c r="U24" i="7" s="1"/>
  <c r="U56" i="7"/>
  <c r="U55" i="7"/>
  <c r="U57" i="7"/>
  <c r="S158" i="7"/>
  <c r="S162" i="7" s="1"/>
  <c r="DM35" i="4" s="1"/>
  <c r="DM37" i="4" s="1"/>
  <c r="DM20" i="4" s="1"/>
  <c r="DM21" i="4" s="1"/>
  <c r="DM4" i="4" s="1"/>
  <c r="V12" i="6"/>
  <c r="V11" i="6"/>
  <c r="V107" i="6" s="1"/>
  <c r="V112" i="6" s="1"/>
  <c r="V164" i="6" s="1"/>
  <c r="V170" i="6" s="1"/>
  <c r="V10" i="6"/>
  <c r="V9" i="6"/>
  <c r="V15" i="6" s="1"/>
  <c r="V20" i="6" s="1"/>
  <c r="V124" i="6" s="1"/>
  <c r="W23" i="6"/>
  <c r="X22" i="6"/>
  <c r="DM15" i="43"/>
  <c r="S135" i="6"/>
  <c r="T133" i="6"/>
  <c r="W8" i="6"/>
  <c r="X7" i="6"/>
  <c r="X8" i="6" s="1"/>
  <c r="V89" i="6"/>
  <c r="U90" i="6"/>
  <c r="U91" i="6"/>
  <c r="U92" i="6" s="1"/>
  <c r="U101" i="6"/>
  <c r="U100" i="6"/>
  <c r="U102" i="6" s="1"/>
  <c r="U96" i="6"/>
  <c r="U95" i="6"/>
  <c r="V94" i="6"/>
  <c r="T104" i="6"/>
  <c r="U27" i="6"/>
  <c r="U25" i="6"/>
  <c r="S145" i="6"/>
  <c r="T140" i="6"/>
  <c r="W75" i="6"/>
  <c r="T138" i="6"/>
  <c r="T148" i="6"/>
  <c r="T152" i="6" s="1"/>
  <c r="DR5" i="43" s="1"/>
  <c r="U126" i="6"/>
  <c r="T128" i="6"/>
  <c r="BD48" i="15"/>
  <c r="BD50" i="15"/>
  <c r="BC79" i="15"/>
  <c r="BC90" i="15" s="1"/>
  <c r="EV87" i="15"/>
  <c r="EV85" i="15"/>
  <c r="FA81" i="15"/>
  <c r="EV88" i="15"/>
  <c r="EV86" i="15"/>
  <c r="EV84" i="15"/>
  <c r="EV83" i="15"/>
  <c r="AV78" i="15"/>
  <c r="BJ70" i="15"/>
  <c r="EB82" i="15"/>
  <c r="DW89" i="15"/>
  <c r="AX59" i="15"/>
  <c r="AW60" i="15"/>
  <c r="AW78" i="15" s="1"/>
  <c r="BC54" i="15"/>
  <c r="BB55" i="15"/>
  <c r="BF53" i="15"/>
  <c r="AD89" i="15"/>
  <c r="AD84" i="15" s="1"/>
  <c r="AD90" i="15" s="1"/>
  <c r="BD58" i="15"/>
  <c r="BE58" i="15" s="1"/>
  <c r="AP78" i="15"/>
  <c r="CD36" i="5"/>
  <c r="W112" i="13"/>
  <c r="CJ25" i="43"/>
  <c r="CJ16" i="43"/>
  <c r="CJ10" i="43"/>
  <c r="CK9" i="43"/>
  <c r="CE51" i="1"/>
  <c r="CF51" i="1" s="1"/>
  <c r="CG51" i="1" s="1"/>
  <c r="CH51" i="1" s="1"/>
  <c r="U98" i="6" l="1"/>
  <c r="U104" i="6" s="1"/>
  <c r="T79" i="42"/>
  <c r="T81" i="42" s="1"/>
  <c r="T83" i="42" s="1"/>
  <c r="DR21" i="1" s="1"/>
  <c r="T70" i="42"/>
  <c r="T72" i="42" s="1"/>
  <c r="U66" i="42" s="1"/>
  <c r="U67" i="42" s="1"/>
  <c r="AP75" i="15"/>
  <c r="CA36" i="5"/>
  <c r="AM75" i="15" s="1"/>
  <c r="AL75" i="15"/>
  <c r="CB36" i="5"/>
  <c r="AN75" i="15" s="1"/>
  <c r="EK15" i="4"/>
  <c r="EJ15" i="4"/>
  <c r="EJ14" i="4"/>
  <c r="CC119" i="1"/>
  <c r="DM21" i="1"/>
  <c r="V59" i="42"/>
  <c r="U165" i="6"/>
  <c r="U171" i="6" s="1"/>
  <c r="CP6" i="1"/>
  <c r="U58" i="7"/>
  <c r="U59" i="7" s="1"/>
  <c r="U44" i="7"/>
  <c r="V48" i="7"/>
  <c r="V43" i="7"/>
  <c r="V39" i="7" s="1"/>
  <c r="CM10" i="1"/>
  <c r="DK4" i="4"/>
  <c r="DM49" i="1"/>
  <c r="DM4" i="5" s="1"/>
  <c r="DI4" i="4"/>
  <c r="DL4" i="4"/>
  <c r="DJ4" i="4"/>
  <c r="V52" i="7"/>
  <c r="CK10" i="1"/>
  <c r="V26" i="6"/>
  <c r="U70" i="42"/>
  <c r="U72" i="42" s="1"/>
  <c r="V66" i="42" s="1"/>
  <c r="V70" i="42" s="1"/>
  <c r="CR6" i="1"/>
  <c r="O259" i="42"/>
  <c r="O253" i="42"/>
  <c r="P252" i="42"/>
  <c r="CX120" i="1" s="1"/>
  <c r="CX110" i="1" s="1"/>
  <c r="R243" i="42"/>
  <c r="R245" i="42" s="1"/>
  <c r="DH22" i="1"/>
  <c r="DH20" i="1" s="1"/>
  <c r="S126" i="42"/>
  <c r="S131" i="42" s="1"/>
  <c r="T125" i="42" s="1"/>
  <c r="S158" i="42"/>
  <c r="S160" i="42" s="1"/>
  <c r="S162" i="42" s="1"/>
  <c r="U79" i="42"/>
  <c r="U81" i="42" s="1"/>
  <c r="U83" i="42" s="1"/>
  <c r="U45" i="42"/>
  <c r="U50" i="42" s="1"/>
  <c r="V44" i="42" s="1"/>
  <c r="X58" i="42"/>
  <c r="X30" i="42"/>
  <c r="X31" i="42" s="1"/>
  <c r="X32" i="42" s="1"/>
  <c r="Q250" i="42"/>
  <c r="Q247" i="42"/>
  <c r="T129" i="42"/>
  <c r="T154" i="42"/>
  <c r="T156" i="42" s="1"/>
  <c r="U130" i="42"/>
  <c r="T127" i="42"/>
  <c r="X71" i="42"/>
  <c r="X68" i="42" s="1"/>
  <c r="W68" i="42"/>
  <c r="W49" i="42"/>
  <c r="V46" i="42"/>
  <c r="V150" i="42"/>
  <c r="U147" i="42"/>
  <c r="U149" i="42"/>
  <c r="W88" i="42"/>
  <c r="W90" i="42" s="1"/>
  <c r="X86" i="42"/>
  <c r="X88" i="42" s="1"/>
  <c r="X90" i="42" s="1"/>
  <c r="W58" i="42"/>
  <c r="W30" i="42"/>
  <c r="W31" i="42" s="1"/>
  <c r="W32" i="42" s="1"/>
  <c r="T146" i="42"/>
  <c r="T151" i="42" s="1"/>
  <c r="U145" i="42" s="1"/>
  <c r="S136" i="42"/>
  <c r="S141" i="42" s="1"/>
  <c r="T135" i="42" s="1"/>
  <c r="V75" i="42"/>
  <c r="V77" i="42" s="1"/>
  <c r="V48" i="42"/>
  <c r="U128" i="42"/>
  <c r="U105" i="42"/>
  <c r="U106" i="42" s="1"/>
  <c r="U107" i="42" s="1"/>
  <c r="U56" i="42"/>
  <c r="U61" i="42" s="1"/>
  <c r="V55" i="42" s="1"/>
  <c r="W60" i="42"/>
  <c r="V57" i="42"/>
  <c r="X47" i="42"/>
  <c r="X24" i="42"/>
  <c r="X25" i="42" s="1"/>
  <c r="X26" i="42" s="1"/>
  <c r="V93" i="42"/>
  <c r="V117" i="42" s="1"/>
  <c r="V118" i="42" s="1"/>
  <c r="V119" i="42" s="1"/>
  <c r="V92" i="42"/>
  <c r="V91" i="42"/>
  <c r="W47" i="42"/>
  <c r="W24" i="42"/>
  <c r="W25" i="42" s="1"/>
  <c r="W26" i="42" s="1"/>
  <c r="U140" i="42"/>
  <c r="T137" i="42"/>
  <c r="T139" i="42"/>
  <c r="U138" i="42"/>
  <c r="U111" i="42"/>
  <c r="U112" i="42" s="1"/>
  <c r="U113" i="42" s="1"/>
  <c r="X4" i="29"/>
  <c r="X10" i="29" s="1"/>
  <c r="X12" i="29" s="1"/>
  <c r="Y3" i="29"/>
  <c r="Y4" i="29" s="1"/>
  <c r="Y10" i="29" s="1"/>
  <c r="Y12" i="29" s="1"/>
  <c r="W14" i="29"/>
  <c r="W21" i="29" s="1"/>
  <c r="W24" i="29" s="1"/>
  <c r="EF17" i="4"/>
  <c r="EF15" i="4" s="1"/>
  <c r="EE15" i="4"/>
  <c r="U155" i="6"/>
  <c r="U162" i="6" s="1"/>
  <c r="DW33" i="4" s="1"/>
  <c r="CD4" i="43"/>
  <c r="CD10" i="43" s="1"/>
  <c r="CD6" i="43"/>
  <c r="N154" i="7"/>
  <c r="N155" i="7"/>
  <c r="CN18" i="1" s="1"/>
  <c r="CL10" i="1"/>
  <c r="BX6" i="43"/>
  <c r="BX24" i="43" s="1"/>
  <c r="BX25" i="43" s="1"/>
  <c r="BY24" i="43"/>
  <c r="BY25" i="43" s="1"/>
  <c r="BY28" i="43" s="1"/>
  <c r="BY29" i="43" s="1"/>
  <c r="CI16" i="1"/>
  <c r="CI119" i="1" s="1"/>
  <c r="CI47" i="43"/>
  <c r="O141" i="7"/>
  <c r="CS10" i="1" s="1"/>
  <c r="CO10" i="1" s="1"/>
  <c r="P139" i="7"/>
  <c r="O153" i="7"/>
  <c r="P134" i="7"/>
  <c r="CX6" i="1" s="1"/>
  <c r="CT6" i="1" s="1"/>
  <c r="Q132" i="7"/>
  <c r="CQ6" i="1"/>
  <c r="U165" i="7"/>
  <c r="U167" i="7" s="1"/>
  <c r="U31" i="7"/>
  <c r="U29" i="7"/>
  <c r="U30" i="7"/>
  <c r="T137" i="7"/>
  <c r="T109" i="7"/>
  <c r="T151" i="7"/>
  <c r="T144" i="7"/>
  <c r="T148" i="7" s="1"/>
  <c r="DR14" i="1" s="1"/>
  <c r="V100" i="7"/>
  <c r="W99" i="7"/>
  <c r="V106" i="7"/>
  <c r="V105" i="7"/>
  <c r="V107" i="7" s="1"/>
  <c r="DL14" i="1"/>
  <c r="DJ14" i="1"/>
  <c r="DK14" i="1"/>
  <c r="DI14" i="1"/>
  <c r="W54" i="7"/>
  <c r="W51" i="7"/>
  <c r="W47" i="7"/>
  <c r="W45" i="7"/>
  <c r="W40" i="7"/>
  <c r="W50" i="7"/>
  <c r="W46" i="7"/>
  <c r="W42" i="7"/>
  <c r="W41" i="7"/>
  <c r="W49" i="7"/>
  <c r="X35" i="7"/>
  <c r="X38" i="7"/>
  <c r="V55" i="7"/>
  <c r="V56" i="7"/>
  <c r="V57" i="7"/>
  <c r="W8" i="7"/>
  <c r="W12" i="7" s="1"/>
  <c r="X7" i="7"/>
  <c r="X8" i="7" s="1"/>
  <c r="X12" i="7" s="1"/>
  <c r="V101" i="7"/>
  <c r="U103" i="7"/>
  <c r="T158" i="7"/>
  <c r="T162" i="7" s="1"/>
  <c r="DR35" i="4" s="1"/>
  <c r="DR37" i="4" s="1"/>
  <c r="DR20" i="4" s="1"/>
  <c r="DR21" i="4" s="1"/>
  <c r="DR4" i="4" s="1"/>
  <c r="V95" i="7"/>
  <c r="W94" i="7"/>
  <c r="V96" i="7"/>
  <c r="V97" i="7" s="1"/>
  <c r="U130" i="7"/>
  <c r="X27" i="7"/>
  <c r="V15" i="7"/>
  <c r="V14" i="7"/>
  <c r="V13" i="7"/>
  <c r="V19" i="7" s="1"/>
  <c r="V24" i="7" s="1"/>
  <c r="V16" i="7"/>
  <c r="V112" i="7" s="1"/>
  <c r="V117" i="7" s="1"/>
  <c r="X80" i="7"/>
  <c r="U128" i="6"/>
  <c r="V126" i="6"/>
  <c r="DR15" i="43"/>
  <c r="X75" i="6"/>
  <c r="U140" i="6"/>
  <c r="T145" i="6"/>
  <c r="U138" i="6"/>
  <c r="U148" i="6"/>
  <c r="U152" i="6" s="1"/>
  <c r="DW5" i="43" s="1"/>
  <c r="V95" i="6"/>
  <c r="W94" i="6"/>
  <c r="V101" i="6"/>
  <c r="V96" i="6"/>
  <c r="V100" i="6"/>
  <c r="V102" i="6" s="1"/>
  <c r="V90" i="6"/>
  <c r="W89" i="6"/>
  <c r="V91" i="6"/>
  <c r="V92" i="6" s="1"/>
  <c r="W12" i="6"/>
  <c r="W11" i="6"/>
  <c r="W107" i="6" s="1"/>
  <c r="W112" i="6" s="1"/>
  <c r="W164" i="6" s="1"/>
  <c r="W170" i="6" s="1"/>
  <c r="W10" i="6"/>
  <c r="W9" i="6"/>
  <c r="W15" i="6" s="1"/>
  <c r="W20" i="6" s="1"/>
  <c r="X23" i="6"/>
  <c r="X12" i="6"/>
  <c r="X11" i="6"/>
  <c r="X107" i="6" s="1"/>
  <c r="X112" i="6" s="1"/>
  <c r="X164" i="6" s="1"/>
  <c r="X170" i="6" s="1"/>
  <c r="X10" i="6"/>
  <c r="X9" i="6"/>
  <c r="X15" i="6" s="1"/>
  <c r="X20" i="6" s="1"/>
  <c r="X27" i="6" s="1"/>
  <c r="T135" i="6"/>
  <c r="U133" i="6"/>
  <c r="V27" i="6"/>
  <c r="V25" i="6"/>
  <c r="BF58" i="15"/>
  <c r="BE48" i="15"/>
  <c r="BD79" i="15"/>
  <c r="BD90" i="15" s="1"/>
  <c r="BG53" i="15"/>
  <c r="BD54" i="15"/>
  <c r="BC55" i="15"/>
  <c r="AY59" i="15"/>
  <c r="AX60" i="15"/>
  <c r="AX78" i="15" s="1"/>
  <c r="EG82" i="15"/>
  <c r="EB89" i="15"/>
  <c r="BK70" i="15"/>
  <c r="FF81" i="15"/>
  <c r="FA88" i="15"/>
  <c r="FA86" i="15"/>
  <c r="FA84" i="15"/>
  <c r="FA87" i="15"/>
  <c r="FA85" i="15"/>
  <c r="FA83" i="15"/>
  <c r="BE50" i="15"/>
  <c r="X112" i="13"/>
  <c r="CK25" i="43"/>
  <c r="CK10" i="43"/>
  <c r="CK16" i="43"/>
  <c r="CL9" i="43"/>
  <c r="T242" i="42" l="1"/>
  <c r="U131" i="6"/>
  <c r="U135" i="6" s="1"/>
  <c r="V98" i="6"/>
  <c r="V131" i="6" s="1"/>
  <c r="CC36" i="5"/>
  <c r="AO75" i="15" s="1"/>
  <c r="CD24" i="43"/>
  <c r="CD25" i="43" s="1"/>
  <c r="CD28" i="43" s="1"/>
  <c r="CA6" i="43"/>
  <c r="CA24" i="43" s="1"/>
  <c r="CB6" i="43"/>
  <c r="CB24" i="43" s="1"/>
  <c r="BZ6" i="43"/>
  <c r="U139" i="42"/>
  <c r="V165" i="6"/>
  <c r="V171" i="6" s="1"/>
  <c r="W52" i="7"/>
  <c r="V44" i="7"/>
  <c r="W43" i="7"/>
  <c r="W39" i="7" s="1"/>
  <c r="DQ4" i="4"/>
  <c r="DN4" i="4"/>
  <c r="DR49" i="1"/>
  <c r="DR4" i="5" s="1"/>
  <c r="DO4" i="4"/>
  <c r="DP4" i="4"/>
  <c r="V58" i="7"/>
  <c r="V59" i="7" s="1"/>
  <c r="W48" i="7"/>
  <c r="U158" i="7"/>
  <c r="U162" i="7" s="1"/>
  <c r="DW35" i="4" s="1"/>
  <c r="DW37" i="4" s="1"/>
  <c r="DW20" i="4" s="1"/>
  <c r="DW21" i="4" s="1"/>
  <c r="DW4" i="4" s="1"/>
  <c r="CV6" i="1"/>
  <c r="V67" i="42"/>
  <c r="V72" i="42" s="1"/>
  <c r="W66" i="42" s="1"/>
  <c r="P259" i="42"/>
  <c r="P253" i="42"/>
  <c r="Q252" i="42"/>
  <c r="Q259" i="42" s="1"/>
  <c r="U146" i="42"/>
  <c r="U151" i="42" s="1"/>
  <c r="V145" i="42" s="1"/>
  <c r="T136" i="42"/>
  <c r="T141" i="42" s="1"/>
  <c r="U135" i="42" s="1"/>
  <c r="V79" i="42"/>
  <c r="V81" i="42" s="1"/>
  <c r="V83" i="42" s="1"/>
  <c r="V45" i="42"/>
  <c r="V50" i="42" s="1"/>
  <c r="W44" i="42" s="1"/>
  <c r="V128" i="42"/>
  <c r="V105" i="42"/>
  <c r="V106" i="42" s="1"/>
  <c r="V107" i="42" s="1"/>
  <c r="X75" i="42"/>
  <c r="X77" i="42" s="1"/>
  <c r="W57" i="42"/>
  <c r="X60" i="42"/>
  <c r="X57" i="42" s="1"/>
  <c r="V56" i="42"/>
  <c r="V61" i="42" s="1"/>
  <c r="W55" i="42" s="1"/>
  <c r="U154" i="42"/>
  <c r="U156" i="42" s="1"/>
  <c r="U129" i="42"/>
  <c r="W59" i="42"/>
  <c r="W93" i="42"/>
  <c r="W117" i="42" s="1"/>
  <c r="W118" i="42" s="1"/>
  <c r="W119" i="42" s="1"/>
  <c r="W92" i="42"/>
  <c r="W91" i="42"/>
  <c r="U242" i="42"/>
  <c r="DW21" i="1"/>
  <c r="V140" i="42"/>
  <c r="U137" i="42"/>
  <c r="W48" i="42"/>
  <c r="W75" i="42"/>
  <c r="W77" i="42" s="1"/>
  <c r="V138" i="42"/>
  <c r="V139" i="42" s="1"/>
  <c r="V111" i="42"/>
  <c r="V112" i="42" s="1"/>
  <c r="V113" i="42" s="1"/>
  <c r="X93" i="42"/>
  <c r="X117" i="42" s="1"/>
  <c r="X118" i="42" s="1"/>
  <c r="X119" i="42" s="1"/>
  <c r="X92" i="42"/>
  <c r="X91" i="42"/>
  <c r="W150" i="42"/>
  <c r="V147" i="42"/>
  <c r="V149" i="42"/>
  <c r="W46" i="42"/>
  <c r="X49" i="42"/>
  <c r="X46" i="42" s="1"/>
  <c r="S243" i="42"/>
  <c r="S245" i="42" s="1"/>
  <c r="DM22" i="1"/>
  <c r="DM20" i="1" s="1"/>
  <c r="V130" i="42"/>
  <c r="U127" i="42"/>
  <c r="X59" i="42"/>
  <c r="T158" i="42"/>
  <c r="T160" i="42" s="1"/>
  <c r="T162" i="42" s="1"/>
  <c r="T126" i="42"/>
  <c r="T131" i="42" s="1"/>
  <c r="U125" i="42" s="1"/>
  <c r="R250" i="42"/>
  <c r="R247" i="42"/>
  <c r="Y14" i="29"/>
  <c r="Y21" i="29" s="1"/>
  <c r="X14" i="29"/>
  <c r="X21" i="29" s="1"/>
  <c r="X24" i="29" s="1"/>
  <c r="V155" i="6"/>
  <c r="V162" i="6" s="1"/>
  <c r="EB33" i="4" s="1"/>
  <c r="X124" i="6"/>
  <c r="CR10" i="1"/>
  <c r="P141" i="7"/>
  <c r="CX10" i="1" s="1"/>
  <c r="CT10" i="1" s="1"/>
  <c r="P153" i="7"/>
  <c r="Q139" i="7"/>
  <c r="CI4" i="43"/>
  <c r="CI10" i="43" s="1"/>
  <c r="CI6" i="43"/>
  <c r="CI24" i="43" s="1"/>
  <c r="CI25" i="43" s="1"/>
  <c r="CI28" i="43" s="1"/>
  <c r="CW6" i="1"/>
  <c r="CN47" i="43"/>
  <c r="CN16" i="1"/>
  <c r="CN119" i="1" s="1"/>
  <c r="CP10" i="1"/>
  <c r="CU6" i="1"/>
  <c r="R132" i="7"/>
  <c r="Q134" i="7"/>
  <c r="DC6" i="1" s="1"/>
  <c r="CY6" i="1" s="1"/>
  <c r="O154" i="7"/>
  <c r="O155" i="7"/>
  <c r="CS18" i="1" s="1"/>
  <c r="CQ10" i="1"/>
  <c r="CD7" i="43"/>
  <c r="W95" i="7"/>
  <c r="X94" i="7"/>
  <c r="W96" i="7"/>
  <c r="W97" i="7" s="1"/>
  <c r="W101" i="7"/>
  <c r="V103" i="7"/>
  <c r="X16" i="7"/>
  <c r="X112" i="7" s="1"/>
  <c r="X117" i="7" s="1"/>
  <c r="X15" i="7"/>
  <c r="X14" i="7"/>
  <c r="X13" i="7"/>
  <c r="X19" i="7" s="1"/>
  <c r="X24" i="7" s="1"/>
  <c r="X30" i="7" s="1"/>
  <c r="X50" i="7"/>
  <c r="X46" i="7"/>
  <c r="X42" i="7"/>
  <c r="X40" i="7"/>
  <c r="X51" i="7"/>
  <c r="X54" i="7"/>
  <c r="X45" i="7"/>
  <c r="X47" i="7"/>
  <c r="X41" i="7"/>
  <c r="X49" i="7"/>
  <c r="W56" i="7"/>
  <c r="W55" i="7"/>
  <c r="W57" i="7"/>
  <c r="V165" i="7"/>
  <c r="V167" i="7" s="1"/>
  <c r="V31" i="7"/>
  <c r="V29" i="7"/>
  <c r="V30" i="7"/>
  <c r="U137" i="7"/>
  <c r="U109" i="7"/>
  <c r="W16" i="7"/>
  <c r="W112" i="7" s="1"/>
  <c r="W117" i="7" s="1"/>
  <c r="W15" i="7"/>
  <c r="W14" i="7"/>
  <c r="W13" i="7"/>
  <c r="W19" i="7" s="1"/>
  <c r="W24" i="7" s="1"/>
  <c r="V130" i="7"/>
  <c r="W106" i="7"/>
  <c r="W105" i="7"/>
  <c r="W107" i="7" s="1"/>
  <c r="W100" i="7"/>
  <c r="X99" i="7"/>
  <c r="DQ14" i="1"/>
  <c r="DN14" i="1"/>
  <c r="DP14" i="1"/>
  <c r="DO14" i="1"/>
  <c r="U151" i="7"/>
  <c r="U144" i="7"/>
  <c r="U148" i="7" s="1"/>
  <c r="DW14" i="1" s="1"/>
  <c r="V133" i="6"/>
  <c r="X148" i="6"/>
  <c r="X152" i="6" s="1"/>
  <c r="EL5" i="43" s="1"/>
  <c r="X26" i="6"/>
  <c r="W27" i="6"/>
  <c r="W25" i="6"/>
  <c r="W124" i="6"/>
  <c r="W101" i="6"/>
  <c r="W100" i="6"/>
  <c r="W102" i="6" s="1"/>
  <c r="W96" i="6"/>
  <c r="W98" i="6" s="1"/>
  <c r="W95" i="6"/>
  <c r="X94" i="6"/>
  <c r="U145" i="6"/>
  <c r="V140" i="6"/>
  <c r="V148" i="6"/>
  <c r="V152" i="6" s="1"/>
  <c r="EB5" i="43" s="1"/>
  <c r="V138" i="6"/>
  <c r="X25" i="6"/>
  <c r="W26" i="6"/>
  <c r="W90" i="6"/>
  <c r="X89" i="6"/>
  <c r="W91" i="6"/>
  <c r="W92" i="6" s="1"/>
  <c r="DW15" i="43"/>
  <c r="W126" i="6"/>
  <c r="V128" i="6"/>
  <c r="FF87" i="15"/>
  <c r="FF85" i="15"/>
  <c r="FK81" i="15"/>
  <c r="FF88" i="15"/>
  <c r="FF86" i="15"/>
  <c r="FF84" i="15"/>
  <c r="FF83" i="15"/>
  <c r="EL82" i="15"/>
  <c r="EG89" i="15"/>
  <c r="AZ59" i="15"/>
  <c r="BA59" i="15" s="1"/>
  <c r="AY60" i="15"/>
  <c r="AY78" i="15" s="1"/>
  <c r="BE54" i="15"/>
  <c r="BF54" i="15" s="1"/>
  <c r="BD55" i="15"/>
  <c r="BE86" i="15"/>
  <c r="BE89" i="15" s="1"/>
  <c r="U19" i="13" s="1"/>
  <c r="BF48" i="15"/>
  <c r="BE79" i="15"/>
  <c r="BG58" i="15"/>
  <c r="BL70" i="15"/>
  <c r="BH53" i="15"/>
  <c r="Y112" i="13"/>
  <c r="CL25" i="43"/>
  <c r="CL16" i="43"/>
  <c r="CM9" i="43"/>
  <c r="CL10" i="43"/>
  <c r="V104" i="6" l="1"/>
  <c r="CA25" i="43"/>
  <c r="CA28" i="43" s="1"/>
  <c r="CB7" i="43"/>
  <c r="CA7" i="43"/>
  <c r="BZ7" i="43"/>
  <c r="CC6" i="43"/>
  <c r="CC24" i="43" s="1"/>
  <c r="BZ24" i="43"/>
  <c r="CB25" i="43"/>
  <c r="CB28" i="43" s="1"/>
  <c r="BE90" i="15"/>
  <c r="U26" i="13" s="1"/>
  <c r="W165" i="6"/>
  <c r="W171" i="6" s="1"/>
  <c r="X138" i="6"/>
  <c r="W104" i="6"/>
  <c r="X48" i="7"/>
  <c r="W130" i="7"/>
  <c r="W58" i="7"/>
  <c r="W59" i="7" s="1"/>
  <c r="W44" i="7"/>
  <c r="CW10" i="1"/>
  <c r="X43" i="7"/>
  <c r="X130" i="7" s="1"/>
  <c r="W155" i="6"/>
  <c r="W162" i="6" s="1"/>
  <c r="EG33" i="4" s="1"/>
  <c r="V158" i="7"/>
  <c r="V162" i="7" s="1"/>
  <c r="EB35" i="4" s="1"/>
  <c r="EB37" i="4" s="1"/>
  <c r="EB20" i="4" s="1"/>
  <c r="EB21" i="4" s="1"/>
  <c r="EB4" i="4" s="1"/>
  <c r="X52" i="7"/>
  <c r="CV10" i="1"/>
  <c r="CU10" i="1"/>
  <c r="DT4" i="4"/>
  <c r="DS4" i="4"/>
  <c r="DV4" i="4"/>
  <c r="DU4" i="4"/>
  <c r="DW49" i="1"/>
  <c r="DW4" i="5" s="1"/>
  <c r="CI7" i="43"/>
  <c r="W70" i="42"/>
  <c r="W67" i="42"/>
  <c r="DC120" i="1"/>
  <c r="DC110" i="1" s="1"/>
  <c r="Q253" i="42"/>
  <c r="T243" i="42"/>
  <c r="T245" i="42" s="1"/>
  <c r="DR22" i="1"/>
  <c r="DR20" i="1" s="1"/>
  <c r="W56" i="42"/>
  <c r="W61" i="42" s="1"/>
  <c r="X55" i="42" s="1"/>
  <c r="W79" i="42"/>
  <c r="W81" i="42" s="1"/>
  <c r="W83" i="42" s="1"/>
  <c r="W45" i="42"/>
  <c r="W50" i="42" s="1"/>
  <c r="X44" i="42" s="1"/>
  <c r="V146" i="42"/>
  <c r="V151" i="42" s="1"/>
  <c r="W145" i="42" s="1"/>
  <c r="U126" i="42"/>
  <c r="U131" i="42" s="1"/>
  <c r="V125" i="42" s="1"/>
  <c r="U158" i="42"/>
  <c r="U160" i="42" s="1"/>
  <c r="U162" i="42" s="1"/>
  <c r="W130" i="42"/>
  <c r="V127" i="42"/>
  <c r="S250" i="42"/>
  <c r="S247" i="42"/>
  <c r="X128" i="42"/>
  <c r="X105" i="42"/>
  <c r="X106" i="42" s="1"/>
  <c r="X107" i="42" s="1"/>
  <c r="W140" i="42"/>
  <c r="V137" i="42"/>
  <c r="W138" i="42"/>
  <c r="W111" i="42"/>
  <c r="W112" i="42" s="1"/>
  <c r="W113" i="42" s="1"/>
  <c r="X48" i="42"/>
  <c r="U136" i="42"/>
  <c r="U141" i="42" s="1"/>
  <c r="V135" i="42" s="1"/>
  <c r="R252" i="42"/>
  <c r="X150" i="42"/>
  <c r="W147" i="42"/>
  <c r="W149" i="42"/>
  <c r="X138" i="42"/>
  <c r="X111" i="42"/>
  <c r="X112" i="42" s="1"/>
  <c r="X113" i="42" s="1"/>
  <c r="W128" i="42"/>
  <c r="W105" i="42"/>
  <c r="W106" i="42" s="1"/>
  <c r="W107" i="42" s="1"/>
  <c r="V242" i="42"/>
  <c r="EB21" i="1"/>
  <c r="V129" i="42"/>
  <c r="V154" i="42"/>
  <c r="V156" i="42" s="1"/>
  <c r="Z21" i="29"/>
  <c r="Z24" i="29" s="1"/>
  <c r="Y24" i="29"/>
  <c r="R134" i="7"/>
  <c r="DH6" i="1" s="1"/>
  <c r="DD6" i="1" s="1"/>
  <c r="S132" i="7"/>
  <c r="CN4" i="43"/>
  <c r="CN6" i="43"/>
  <c r="CN24" i="43" s="1"/>
  <c r="P154" i="7"/>
  <c r="P155" i="7"/>
  <c r="CX18" i="1" s="1"/>
  <c r="CS47" i="43"/>
  <c r="CS16" i="1"/>
  <c r="CS119" i="1" s="1"/>
  <c r="CZ6" i="1"/>
  <c r="DB6" i="1"/>
  <c r="R139" i="7"/>
  <c r="Q153" i="7"/>
  <c r="Q141" i="7"/>
  <c r="DC10" i="1" s="1"/>
  <c r="CY10" i="1" s="1"/>
  <c r="DA6" i="1"/>
  <c r="DV14" i="1"/>
  <c r="DT14" i="1"/>
  <c r="DU14" i="1"/>
  <c r="DS14" i="1"/>
  <c r="X100" i="7"/>
  <c r="X105" i="7"/>
  <c r="X107" i="7" s="1"/>
  <c r="X106" i="7"/>
  <c r="X55" i="7"/>
  <c r="X56" i="7"/>
  <c r="X57" i="7"/>
  <c r="V137" i="7"/>
  <c r="V109" i="7"/>
  <c r="W165" i="7"/>
  <c r="W167" i="7" s="1"/>
  <c r="W31" i="7"/>
  <c r="W29" i="7"/>
  <c r="W30" i="7"/>
  <c r="V151" i="7"/>
  <c r="V144" i="7"/>
  <c r="V148" i="7" s="1"/>
  <c r="EB14" i="1" s="1"/>
  <c r="X165" i="7"/>
  <c r="X167" i="7" s="1"/>
  <c r="X31" i="7"/>
  <c r="X29" i="7"/>
  <c r="X101" i="7"/>
  <c r="X103" i="7" s="1"/>
  <c r="W103" i="7"/>
  <c r="X95" i="7"/>
  <c r="X96" i="7"/>
  <c r="X97" i="7" s="1"/>
  <c r="W128" i="6"/>
  <c r="X126" i="6"/>
  <c r="X128" i="6" s="1"/>
  <c r="X90" i="6"/>
  <c r="X91" i="6"/>
  <c r="X92" i="6" s="1"/>
  <c r="X95" i="6"/>
  <c r="X100" i="6"/>
  <c r="X102" i="6" s="1"/>
  <c r="X96" i="6"/>
  <c r="X101" i="6"/>
  <c r="W148" i="6"/>
  <c r="W152" i="6" s="1"/>
  <c r="EG5" i="43" s="1"/>
  <c r="W138" i="6"/>
  <c r="EL15" i="43"/>
  <c r="EB15" i="43"/>
  <c r="V145" i="6"/>
  <c r="W140" i="6"/>
  <c r="W131" i="6"/>
  <c r="V135" i="6"/>
  <c r="W133" i="6"/>
  <c r="BG48" i="15"/>
  <c r="BF79" i="15"/>
  <c r="BF90" i="15" s="1"/>
  <c r="BE55" i="15"/>
  <c r="FP81" i="15"/>
  <c r="FK88" i="15"/>
  <c r="FK86" i="15"/>
  <c r="FK84" i="15"/>
  <c r="FK87" i="15"/>
  <c r="FK85" i="15"/>
  <c r="FK83" i="15"/>
  <c r="AZ60" i="15"/>
  <c r="BI53" i="15"/>
  <c r="BM70" i="15"/>
  <c r="BH58" i="15"/>
  <c r="BG54" i="15"/>
  <c r="BF55" i="15"/>
  <c r="BB59" i="15"/>
  <c r="BA60" i="15"/>
  <c r="EQ82" i="15"/>
  <c r="EL89" i="15"/>
  <c r="Z112" i="13"/>
  <c r="CM10" i="43"/>
  <c r="CM25" i="43"/>
  <c r="CM16" i="43"/>
  <c r="CN9" i="43"/>
  <c r="X98" i="6" l="1"/>
  <c r="X131" i="6" s="1"/>
  <c r="CC7" i="43"/>
  <c r="BZ25" i="43"/>
  <c r="BZ28" i="43" s="1"/>
  <c r="CC25" i="43"/>
  <c r="CC28" i="43" s="1"/>
  <c r="X165" i="6"/>
  <c r="X171" i="6" s="1"/>
  <c r="X39" i="7"/>
  <c r="X44" i="7"/>
  <c r="X137" i="7"/>
  <c r="X155" i="6"/>
  <c r="X162" i="6" s="1"/>
  <c r="EL33" i="4" s="1"/>
  <c r="C31" i="29"/>
  <c r="C32" i="29" s="1"/>
  <c r="C33" i="29" s="1"/>
  <c r="C13" i="22" s="1"/>
  <c r="X58" i="7"/>
  <c r="X59" i="7" s="1"/>
  <c r="EA4" i="4"/>
  <c r="DX4" i="4"/>
  <c r="EB49" i="1"/>
  <c r="EB4" i="5" s="1"/>
  <c r="DZ4" i="4"/>
  <c r="DY4" i="4"/>
  <c r="DE6" i="1"/>
  <c r="DG6" i="1"/>
  <c r="DF6" i="1"/>
  <c r="W72" i="42"/>
  <c r="X66" i="42" s="1"/>
  <c r="X79" i="42" s="1"/>
  <c r="X81" i="42" s="1"/>
  <c r="X83" i="42" s="1"/>
  <c r="V136" i="42"/>
  <c r="V141" i="42" s="1"/>
  <c r="W135" i="42" s="1"/>
  <c r="W146" i="42"/>
  <c r="W151" i="42" s="1"/>
  <c r="X145" i="42" s="1"/>
  <c r="X56" i="42"/>
  <c r="X61" i="42" s="1"/>
  <c r="U243" i="42"/>
  <c r="U245" i="42" s="1"/>
  <c r="DW22" i="1"/>
  <c r="DW20" i="1" s="1"/>
  <c r="W154" i="42"/>
  <c r="W156" i="42" s="1"/>
  <c r="W129" i="42"/>
  <c r="W242" i="42"/>
  <c r="EG21" i="1"/>
  <c r="W139" i="42"/>
  <c r="S252" i="42"/>
  <c r="X130" i="42"/>
  <c r="X127" i="42" s="1"/>
  <c r="W127" i="42"/>
  <c r="T250" i="42"/>
  <c r="T247" i="42"/>
  <c r="X147" i="42"/>
  <c r="X149" i="42"/>
  <c r="R253" i="42"/>
  <c r="DH120" i="1"/>
  <c r="DH110" i="1" s="1"/>
  <c r="R259" i="42"/>
  <c r="X140" i="42"/>
  <c r="X137" i="42" s="1"/>
  <c r="W137" i="42"/>
  <c r="X154" i="42"/>
  <c r="X156" i="42" s="1"/>
  <c r="V158" i="42"/>
  <c r="V160" i="42" s="1"/>
  <c r="V162" i="42" s="1"/>
  <c r="V126" i="42"/>
  <c r="V131" i="42" s="1"/>
  <c r="W125" i="42" s="1"/>
  <c r="X45" i="42"/>
  <c r="X50" i="42" s="1"/>
  <c r="Q154" i="7"/>
  <c r="Q155" i="7"/>
  <c r="DC18" i="1" s="1"/>
  <c r="CS6" i="43"/>
  <c r="CS24" i="43" s="1"/>
  <c r="CS4" i="43"/>
  <c r="CX47" i="43"/>
  <c r="CX16" i="1"/>
  <c r="CX119" i="1" s="1"/>
  <c r="CZ10" i="1"/>
  <c r="R153" i="7"/>
  <c r="S139" i="7"/>
  <c r="R141" i="7"/>
  <c r="DH10" i="1" s="1"/>
  <c r="DD10" i="1" s="1"/>
  <c r="DB10" i="1"/>
  <c r="CN7" i="43"/>
  <c r="T132" i="7"/>
  <c r="S134" i="7"/>
  <c r="DM6" i="1" s="1"/>
  <c r="DA10" i="1"/>
  <c r="X151" i="7"/>
  <c r="W151" i="7"/>
  <c r="W144" i="7"/>
  <c r="W148" i="7" s="1"/>
  <c r="EG14" i="1" s="1"/>
  <c r="X109" i="7"/>
  <c r="W137" i="7"/>
  <c r="W109" i="7"/>
  <c r="X158" i="7"/>
  <c r="X162" i="7" s="1"/>
  <c r="EL35" i="4" s="1"/>
  <c r="EA14" i="1"/>
  <c r="DX14" i="1"/>
  <c r="DZ14" i="1"/>
  <c r="DY14" i="1"/>
  <c r="W158" i="7"/>
  <c r="W162" i="7" s="1"/>
  <c r="EG35" i="4" s="1"/>
  <c r="EG37" i="4" s="1"/>
  <c r="EG20" i="4" s="1"/>
  <c r="EG21" i="4" s="1"/>
  <c r="EG4" i="4" s="1"/>
  <c r="W135" i="6"/>
  <c r="X133" i="6"/>
  <c r="W145" i="6"/>
  <c r="X140" i="6"/>
  <c r="X145" i="6" s="1"/>
  <c r="EG15" i="43"/>
  <c r="EV82" i="15"/>
  <c r="EQ89" i="15"/>
  <c r="BC59" i="15"/>
  <c r="BB60" i="15"/>
  <c r="BB78" i="15" s="1"/>
  <c r="BH54" i="15"/>
  <c r="BG55" i="15"/>
  <c r="BI58" i="15"/>
  <c r="BJ58" i="15" s="1"/>
  <c r="FP86" i="15"/>
  <c r="FP84" i="15"/>
  <c r="FP85" i="15"/>
  <c r="FP87" i="15"/>
  <c r="FP83" i="15"/>
  <c r="BH50" i="15"/>
  <c r="BH51" i="15"/>
  <c r="BJ51" i="15" s="1"/>
  <c r="BJ73" i="15" s="1"/>
  <c r="BG79" i="15"/>
  <c r="BG90" i="15" s="1"/>
  <c r="BA78" i="15"/>
  <c r="BN70" i="15"/>
  <c r="BJ53" i="15"/>
  <c r="BI79" i="15"/>
  <c r="BI90" i="15" s="1"/>
  <c r="AZ78" i="15"/>
  <c r="CN36" i="5"/>
  <c r="AZ75" i="15" s="1"/>
  <c r="AA112" i="13"/>
  <c r="CN16" i="43"/>
  <c r="CN19" i="43" s="1"/>
  <c r="CN51" i="1" s="1"/>
  <c r="CN5" i="5" s="1"/>
  <c r="CN10" i="43"/>
  <c r="CO9" i="43"/>
  <c r="CN25" i="43"/>
  <c r="CN28" i="43" s="1"/>
  <c r="X135" i="6" l="1"/>
  <c r="X104" i="6"/>
  <c r="X129" i="42"/>
  <c r="X139" i="42"/>
  <c r="X144" i="7"/>
  <c r="X148" i="7" s="1"/>
  <c r="EL14" i="1" s="1"/>
  <c r="EI14" i="1" s="1"/>
  <c r="EL37" i="4"/>
  <c r="EL20" i="4" s="1"/>
  <c r="EL21" i="4" s="1"/>
  <c r="EL4" i="4" s="1"/>
  <c r="EH4" i="4" s="1"/>
  <c r="EF4" i="4"/>
  <c r="EE4" i="4"/>
  <c r="EG49" i="1"/>
  <c r="EG4" i="5" s="1"/>
  <c r="EC4" i="4"/>
  <c r="ED4" i="4"/>
  <c r="DG10" i="1"/>
  <c r="DE10" i="1"/>
  <c r="DF10" i="1"/>
  <c r="CS7" i="43"/>
  <c r="DK6" i="1"/>
  <c r="X70" i="42"/>
  <c r="X67" i="42"/>
  <c r="X146" i="42"/>
  <c r="X151" i="42" s="1"/>
  <c r="V243" i="42"/>
  <c r="V245" i="42" s="1"/>
  <c r="EB22" i="1"/>
  <c r="EB20" i="1" s="1"/>
  <c r="W136" i="42"/>
  <c r="W141" i="42" s="1"/>
  <c r="X135" i="42" s="1"/>
  <c r="X242" i="42"/>
  <c r="EL21" i="1"/>
  <c r="W126" i="42"/>
  <c r="W131" i="42" s="1"/>
  <c r="X125" i="42" s="1"/>
  <c r="W158" i="42"/>
  <c r="W160" i="42" s="1"/>
  <c r="W162" i="42" s="1"/>
  <c r="S253" i="42"/>
  <c r="DM120" i="1"/>
  <c r="DM110" i="1" s="1"/>
  <c r="S259" i="42"/>
  <c r="T252" i="42"/>
  <c r="U250" i="42"/>
  <c r="U247" i="42"/>
  <c r="DJ6" i="1"/>
  <c r="T139" i="7"/>
  <c r="S141" i="7"/>
  <c r="DM10" i="1" s="1"/>
  <c r="DI10" i="1" s="1"/>
  <c r="S153" i="7"/>
  <c r="DC47" i="43"/>
  <c r="DC16" i="1"/>
  <c r="DC119" i="1" s="1"/>
  <c r="T134" i="7"/>
  <c r="DR6" i="1" s="1"/>
  <c r="U132" i="7"/>
  <c r="R155" i="7"/>
  <c r="DH18" i="1" s="1"/>
  <c r="R154" i="7"/>
  <c r="CX6" i="43"/>
  <c r="CX24" i="43" s="1"/>
  <c r="CX4" i="43"/>
  <c r="DI6" i="1"/>
  <c r="DL6" i="1"/>
  <c r="EF14" i="1"/>
  <c r="ED14" i="1"/>
  <c r="EE14" i="1"/>
  <c r="EC14" i="1"/>
  <c r="BK53" i="15"/>
  <c r="BJ79" i="15"/>
  <c r="BJ90" i="15" s="1"/>
  <c r="V26" i="13" s="1"/>
  <c r="V37" i="14"/>
  <c r="V36" i="14"/>
  <c r="BO70" i="15"/>
  <c r="BH48" i="15"/>
  <c r="BK58" i="15"/>
  <c r="BI54" i="15"/>
  <c r="BH55" i="15"/>
  <c r="BD59" i="15"/>
  <c r="BC60" i="15"/>
  <c r="FA82" i="15"/>
  <c r="EV89" i="15"/>
  <c r="AB112" i="13"/>
  <c r="CO25" i="43"/>
  <c r="CO16" i="43"/>
  <c r="CO10" i="43"/>
  <c r="CP9" i="43"/>
  <c r="CJ51" i="1"/>
  <c r="CK51" i="1" s="1"/>
  <c r="CL51" i="1" s="1"/>
  <c r="CM51" i="1" s="1"/>
  <c r="BY4" i="1"/>
  <c r="CD5" i="1"/>
  <c r="CD4" i="1" l="1"/>
  <c r="EJ14" i="1"/>
  <c r="EK4" i="4"/>
  <c r="EH14" i="1"/>
  <c r="EK14" i="1"/>
  <c r="EL49" i="1"/>
  <c r="EL4" i="5" s="1"/>
  <c r="EJ4" i="4"/>
  <c r="EI4" i="4"/>
  <c r="DK10" i="1"/>
  <c r="DJ10" i="1"/>
  <c r="CX7" i="43"/>
  <c r="DL10" i="1"/>
  <c r="DQ6" i="1"/>
  <c r="DN6" i="1"/>
  <c r="X72" i="42"/>
  <c r="U252" i="42"/>
  <c r="U259" i="42" s="1"/>
  <c r="X136" i="42"/>
  <c r="X141" i="42" s="1"/>
  <c r="T253" i="42"/>
  <c r="DR120" i="1"/>
  <c r="DR110" i="1" s="1"/>
  <c r="T259" i="42"/>
  <c r="W243" i="42"/>
  <c r="W245" i="42" s="1"/>
  <c r="EG22" i="1"/>
  <c r="EG20" i="1" s="1"/>
  <c r="X158" i="42"/>
  <c r="X160" i="42" s="1"/>
  <c r="X162" i="42" s="1"/>
  <c r="X126" i="42"/>
  <c r="X131" i="42" s="1"/>
  <c r="V250" i="42"/>
  <c r="V247" i="42"/>
  <c r="S154" i="7"/>
  <c r="S155" i="7"/>
  <c r="DM18" i="1" s="1"/>
  <c r="T153" i="7"/>
  <c r="U139" i="7"/>
  <c r="T141" i="7"/>
  <c r="DR10" i="1" s="1"/>
  <c r="DO6" i="1"/>
  <c r="DH16" i="1"/>
  <c r="DH119" i="1" s="1"/>
  <c r="DH47" i="43"/>
  <c r="V132" i="7"/>
  <c r="U134" i="7"/>
  <c r="DW6" i="1" s="1"/>
  <c r="DC6" i="43"/>
  <c r="DC24" i="43" s="1"/>
  <c r="DC4" i="43"/>
  <c r="DP6" i="1"/>
  <c r="BC78" i="15"/>
  <c r="BP70" i="15"/>
  <c r="FF82" i="15"/>
  <c r="FA89" i="15"/>
  <c r="BE59" i="15"/>
  <c r="BF59" i="15" s="1"/>
  <c r="BD60" i="15"/>
  <c r="BD78" i="15" s="1"/>
  <c r="BJ54" i="15"/>
  <c r="BK54" i="15" s="1"/>
  <c r="BI55" i="15"/>
  <c r="BJ55" i="15" s="1"/>
  <c r="BL58" i="15"/>
  <c r="BI50" i="15"/>
  <c r="BH79" i="15"/>
  <c r="BH90" i="15" s="1"/>
  <c r="BL53" i="15"/>
  <c r="BK79" i="15"/>
  <c r="BK90" i="15" s="1"/>
  <c r="AC112" i="13"/>
  <c r="CP25" i="43"/>
  <c r="CP16" i="43"/>
  <c r="CQ9" i="43"/>
  <c r="CP10" i="43"/>
  <c r="CB4" i="1"/>
  <c r="BW4" i="1"/>
  <c r="BY8" i="1"/>
  <c r="BX12" i="1"/>
  <c r="BX117" i="1" s="1"/>
  <c r="BY117" i="1" s="1"/>
  <c r="BY12" i="1"/>
  <c r="H2" i="16" s="1"/>
  <c r="CA4" i="1"/>
  <c r="BZ4" i="1"/>
  <c r="CD13" i="1"/>
  <c r="CD9" i="1"/>
  <c r="CI5" i="1"/>
  <c r="CI4" i="1" s="1"/>
  <c r="CD12" i="1" l="1"/>
  <c r="CC13" i="1"/>
  <c r="CC12" i="1" s="1"/>
  <c r="CC117" i="1" s="1"/>
  <c r="CC5" i="1"/>
  <c r="CD8" i="1"/>
  <c r="CD116" i="1" s="1"/>
  <c r="DP10" i="1"/>
  <c r="DQ10" i="1"/>
  <c r="DO10" i="1"/>
  <c r="DC7" i="43"/>
  <c r="DV6" i="1"/>
  <c r="DN10" i="1"/>
  <c r="DU6" i="1"/>
  <c r="U253" i="42"/>
  <c r="DW120" i="1"/>
  <c r="DW110" i="1" s="1"/>
  <c r="V252" i="42"/>
  <c r="EB120" i="1" s="1"/>
  <c r="EB110" i="1" s="1"/>
  <c r="H9" i="16"/>
  <c r="H4" i="16"/>
  <c r="H14" i="16" s="1"/>
  <c r="H6" i="16"/>
  <c r="X243" i="42"/>
  <c r="X245" i="42" s="1"/>
  <c r="EL22" i="1"/>
  <c r="EL20" i="1" s="1"/>
  <c r="W250" i="42"/>
  <c r="W247" i="42"/>
  <c r="V134" i="7"/>
  <c r="EB6" i="1" s="1"/>
  <c r="W132" i="7"/>
  <c r="T155" i="7"/>
  <c r="DR18" i="1" s="1"/>
  <c r="T154" i="7"/>
  <c r="DH6" i="43"/>
  <c r="DH24" i="43" s="1"/>
  <c r="DH4" i="43"/>
  <c r="DT6" i="1"/>
  <c r="U153" i="7"/>
  <c r="U141" i="7"/>
  <c r="DW10" i="1" s="1"/>
  <c r="V139" i="7"/>
  <c r="DM16" i="1"/>
  <c r="DM119" i="1" s="1"/>
  <c r="DM47" i="43"/>
  <c r="DS6" i="1"/>
  <c r="CE5" i="1"/>
  <c r="CG5" i="1"/>
  <c r="BM53" i="15"/>
  <c r="BL79" i="15"/>
  <c r="BL90" i="15" s="1"/>
  <c r="BM58" i="15"/>
  <c r="BQ70" i="15"/>
  <c r="BE60" i="15"/>
  <c r="BJ50" i="15"/>
  <c r="BL54" i="15"/>
  <c r="BK55" i="15"/>
  <c r="BG59" i="15"/>
  <c r="BF60" i="15"/>
  <c r="FK82" i="15"/>
  <c r="FF89" i="15"/>
  <c r="AD112" i="13"/>
  <c r="CQ25" i="43"/>
  <c r="CQ16" i="43"/>
  <c r="CQ10" i="43"/>
  <c r="CR9" i="43"/>
  <c r="BX4" i="1"/>
  <c r="CH4" i="1"/>
  <c r="CF4" i="1"/>
  <c r="CG4" i="1"/>
  <c r="CE4" i="1"/>
  <c r="CA12" i="1"/>
  <c r="CA117" i="1" s="1"/>
  <c r="BZ12" i="1"/>
  <c r="BZ117" i="1" s="1"/>
  <c r="CB12" i="1"/>
  <c r="CB117" i="1" s="1"/>
  <c r="CF5" i="1"/>
  <c r="BX8" i="1"/>
  <c r="BX116" i="1" s="1"/>
  <c r="BY116" i="1" s="1"/>
  <c r="BW115" i="1"/>
  <c r="BW121" i="1" s="1"/>
  <c r="BW111" i="1" s="1"/>
  <c r="CN5" i="1"/>
  <c r="CN4" i="1" s="1"/>
  <c r="CI13" i="1"/>
  <c r="CI9" i="1"/>
  <c r="CI8" i="1" s="1"/>
  <c r="CI116" i="1" s="1"/>
  <c r="CC9" i="1" l="1"/>
  <c r="CH9" i="1" s="1"/>
  <c r="CH5" i="1"/>
  <c r="CM5" i="1" s="1"/>
  <c r="CC4" i="1"/>
  <c r="DV10" i="1"/>
  <c r="EA6" i="1"/>
  <c r="DH7" i="43"/>
  <c r="DZ6" i="1"/>
  <c r="DY6" i="1"/>
  <c r="DX6" i="1"/>
  <c r="V253" i="42"/>
  <c r="V259" i="42"/>
  <c r="H8" i="16"/>
  <c r="H7" i="16"/>
  <c r="H11" i="16" s="1"/>
  <c r="H15" i="16"/>
  <c r="CD117" i="1"/>
  <c r="I2" i="16"/>
  <c r="H16" i="16"/>
  <c r="H17" i="16" s="1"/>
  <c r="H10" i="16"/>
  <c r="W252" i="42"/>
  <c r="X250" i="42"/>
  <c r="X247" i="42"/>
  <c r="DR16" i="1"/>
  <c r="DR119" i="1" s="1"/>
  <c r="DR47" i="43"/>
  <c r="DT10" i="1"/>
  <c r="DM6" i="43"/>
  <c r="DM24" i="43" s="1"/>
  <c r="DM4" i="43"/>
  <c r="V141" i="7"/>
  <c r="EB10" i="1" s="1"/>
  <c r="V153" i="7"/>
  <c r="W139" i="7"/>
  <c r="U155" i="7"/>
  <c r="DW18" i="1" s="1"/>
  <c r="U154" i="7"/>
  <c r="DS10" i="1"/>
  <c r="X132" i="7"/>
  <c r="X134" i="7" s="1"/>
  <c r="EL6" i="1" s="1"/>
  <c r="W134" i="7"/>
  <c r="EG6" i="1" s="1"/>
  <c r="DU10" i="1"/>
  <c r="CK5" i="1"/>
  <c r="FP82" i="15"/>
  <c r="FK89" i="15"/>
  <c r="BH59" i="15"/>
  <c r="BG60" i="15"/>
  <c r="BG78" i="15" s="1"/>
  <c r="BM54" i="15"/>
  <c r="BL55" i="15"/>
  <c r="BN58" i="15"/>
  <c r="BO58" i="15" s="1"/>
  <c r="BN53" i="15"/>
  <c r="BM79" i="15"/>
  <c r="BM90" i="15" s="1"/>
  <c r="BF78" i="15"/>
  <c r="BE78" i="15"/>
  <c r="CS36" i="5"/>
  <c r="BE75" i="15" s="1"/>
  <c r="BR70" i="15"/>
  <c r="CR25" i="43"/>
  <c r="CR10" i="43"/>
  <c r="CS9" i="43"/>
  <c r="CR16" i="43"/>
  <c r="CG9" i="1"/>
  <c r="CB8" i="1"/>
  <c r="CE9" i="1"/>
  <c r="BZ8" i="1"/>
  <c r="CG13" i="1"/>
  <c r="CG12" i="1" s="1"/>
  <c r="CE13" i="1"/>
  <c r="CE12" i="1" s="1"/>
  <c r="CH13" i="1"/>
  <c r="CH12" i="1" s="1"/>
  <c r="CF13" i="1"/>
  <c r="CF12" i="1" s="1"/>
  <c r="CI12" i="1"/>
  <c r="CL4" i="1"/>
  <c r="CJ4" i="1"/>
  <c r="CM4" i="1"/>
  <c r="CK4" i="1"/>
  <c r="CF9" i="1"/>
  <c r="CA8" i="1"/>
  <c r="CL5" i="1"/>
  <c r="BX115" i="1"/>
  <c r="BY115" i="1" s="1"/>
  <c r="BY105" i="1" s="1"/>
  <c r="CD105" i="1" s="1"/>
  <c r="CJ5" i="1"/>
  <c r="CN9" i="1"/>
  <c r="CN8" i="1" s="1"/>
  <c r="CN116" i="1" s="1"/>
  <c r="CN13" i="1"/>
  <c r="CS5" i="1"/>
  <c r="CS4" i="1" s="1"/>
  <c r="CC8" i="1" l="1"/>
  <c r="CC116" i="1" s="1"/>
  <c r="BZ116" i="1"/>
  <c r="BZ105" i="1"/>
  <c r="BZ115" i="1" s="1"/>
  <c r="CC105" i="1"/>
  <c r="CC115" i="1" s="1"/>
  <c r="CB105" i="1"/>
  <c r="CB115" i="1" s="1"/>
  <c r="CA105" i="1"/>
  <c r="CA115" i="1" s="1"/>
  <c r="CB116" i="1"/>
  <c r="CA116" i="1"/>
  <c r="EF6" i="1"/>
  <c r="EK6" i="1" s="1"/>
  <c r="H18" i="16"/>
  <c r="H19" i="16" s="1"/>
  <c r="H21" i="16" s="1"/>
  <c r="CI117" i="1"/>
  <c r="J2" i="16"/>
  <c r="J9" i="16" s="1"/>
  <c r="I9" i="16"/>
  <c r="I6" i="16"/>
  <c r="I4" i="16"/>
  <c r="I14" i="16" s="1"/>
  <c r="W253" i="42"/>
  <c r="EG120" i="1"/>
  <c r="EG110" i="1" s="1"/>
  <c r="W259" i="42"/>
  <c r="X252" i="42"/>
  <c r="W153" i="7"/>
  <c r="X139" i="7"/>
  <c r="W141" i="7"/>
  <c r="EG10" i="1" s="1"/>
  <c r="DZ10" i="1"/>
  <c r="DY10" i="1"/>
  <c r="DR6" i="43"/>
  <c r="DR24" i="43" s="1"/>
  <c r="DR4" i="43"/>
  <c r="EE6" i="1"/>
  <c r="EJ6" i="1" s="1"/>
  <c r="EC6" i="1"/>
  <c r="EH6" i="1" s="1"/>
  <c r="DX10" i="1"/>
  <c r="DW47" i="43"/>
  <c r="DW16" i="1"/>
  <c r="DW119" i="1" s="1"/>
  <c r="V154" i="7"/>
  <c r="V155" i="7"/>
  <c r="EB18" i="1" s="1"/>
  <c r="DM7" i="43"/>
  <c r="ED6" i="1"/>
  <c r="EI6" i="1" s="1"/>
  <c r="EA10" i="1"/>
  <c r="CO5" i="1"/>
  <c r="CR5" i="1"/>
  <c r="CP5" i="1"/>
  <c r="BS70" i="15"/>
  <c r="BP58" i="15"/>
  <c r="BO53" i="15"/>
  <c r="BN79" i="15"/>
  <c r="BN90" i="15" s="1"/>
  <c r="BN54" i="15"/>
  <c r="BM55" i="15"/>
  <c r="BI59" i="15"/>
  <c r="BH60" i="15"/>
  <c r="CS25" i="43"/>
  <c r="CS28" i="43" s="1"/>
  <c r="CS10" i="43"/>
  <c r="CS16" i="43"/>
  <c r="CS19" i="43" s="1"/>
  <c r="CS51" i="1" s="1"/>
  <c r="CS5" i="5" s="1"/>
  <c r="CT9" i="43"/>
  <c r="CD115" i="1"/>
  <c r="CI105" i="1"/>
  <c r="CM9" i="1"/>
  <c r="CH8" i="1"/>
  <c r="CL9" i="1"/>
  <c r="CG8" i="1"/>
  <c r="CR4" i="1"/>
  <c r="CP4" i="1"/>
  <c r="CQ4" i="1"/>
  <c r="CO4" i="1"/>
  <c r="CM13" i="1"/>
  <c r="CM12" i="1" s="1"/>
  <c r="CK13" i="1"/>
  <c r="CK12" i="1" s="1"/>
  <c r="CN12" i="1"/>
  <c r="CL13" i="1"/>
  <c r="CL12" i="1" s="1"/>
  <c r="CJ13" i="1"/>
  <c r="CJ12" i="1" s="1"/>
  <c r="CQ5" i="1"/>
  <c r="CK9" i="1"/>
  <c r="CF8" i="1"/>
  <c r="CJ9" i="1"/>
  <c r="CE8" i="1"/>
  <c r="CX5" i="1"/>
  <c r="CX4" i="1" s="1"/>
  <c r="CS9" i="1"/>
  <c r="CS8" i="1" s="1"/>
  <c r="CS116" i="1" s="1"/>
  <c r="CS13" i="1"/>
  <c r="EF10" i="1" l="1"/>
  <c r="EC10" i="1"/>
  <c r="ED10" i="1"/>
  <c r="J10" i="16"/>
  <c r="J16" i="16"/>
  <c r="I15" i="16"/>
  <c r="J6" i="16"/>
  <c r="I16" i="16"/>
  <c r="I17" i="16" s="1"/>
  <c r="I10" i="16"/>
  <c r="I7" i="16"/>
  <c r="I11" i="16" s="1"/>
  <c r="I8" i="16"/>
  <c r="CN117" i="1"/>
  <c r="K2" i="16"/>
  <c r="K9" i="16" s="1"/>
  <c r="J4" i="16"/>
  <c r="J14" i="16" s="1"/>
  <c r="X253" i="42"/>
  <c r="EL120" i="1"/>
  <c r="EL110" i="1" s="1"/>
  <c r="X259" i="42"/>
  <c r="EB16" i="1"/>
  <c r="EB119" i="1" s="1"/>
  <c r="EB47" i="43"/>
  <c r="X153" i="7"/>
  <c r="X141" i="7"/>
  <c r="EL10" i="1" s="1"/>
  <c r="DW6" i="43"/>
  <c r="DW24" i="43" s="1"/>
  <c r="DW4" i="43"/>
  <c r="DR7" i="43"/>
  <c r="EE10" i="1"/>
  <c r="W154" i="7"/>
  <c r="W155" i="7"/>
  <c r="EG18" i="1" s="1"/>
  <c r="CU5" i="1"/>
  <c r="BH78" i="15"/>
  <c r="BQ58" i="15"/>
  <c r="BT70" i="15"/>
  <c r="BJ59" i="15"/>
  <c r="BK59" i="15" s="1"/>
  <c r="BI60" i="15"/>
  <c r="BI78" i="15" s="1"/>
  <c r="BO54" i="15"/>
  <c r="BP54" i="15" s="1"/>
  <c r="BQ54" i="15" s="1"/>
  <c r="BR54" i="15" s="1"/>
  <c r="BS54" i="15" s="1"/>
  <c r="BT54" i="15" s="1"/>
  <c r="BU54" i="15" s="1"/>
  <c r="BV54" i="15" s="1"/>
  <c r="BW54" i="15" s="1"/>
  <c r="BN55" i="15"/>
  <c r="BP53" i="15"/>
  <c r="BP55" i="15"/>
  <c r="BO79" i="15"/>
  <c r="BO90" i="15" s="1"/>
  <c r="W26" i="13" s="1"/>
  <c r="CT25" i="43"/>
  <c r="CT16" i="43"/>
  <c r="CU9" i="43"/>
  <c r="CT10" i="43"/>
  <c r="CO51" i="1"/>
  <c r="CP51" i="1" s="1"/>
  <c r="CQ51" i="1" s="1"/>
  <c r="CR51" i="1" s="1"/>
  <c r="CO9" i="1"/>
  <c r="CJ8" i="1"/>
  <c r="CP9" i="1"/>
  <c r="CK8" i="1"/>
  <c r="CI115" i="1"/>
  <c r="CN105" i="1"/>
  <c r="CQ13" i="1"/>
  <c r="CQ12" i="1" s="1"/>
  <c r="CO13" i="1"/>
  <c r="CO12" i="1" s="1"/>
  <c r="CP13" i="1"/>
  <c r="CP12" i="1" s="1"/>
  <c r="CS12" i="1"/>
  <c r="CR13" i="1"/>
  <c r="CR12" i="1" s="1"/>
  <c r="CV4" i="1"/>
  <c r="CT4" i="1"/>
  <c r="CW4" i="1"/>
  <c r="CU4" i="1"/>
  <c r="BW47" i="1"/>
  <c r="BW56" i="1" s="1"/>
  <c r="BV47" i="1"/>
  <c r="BV56" i="1" s="1"/>
  <c r="CV5" i="1"/>
  <c r="CQ9" i="1"/>
  <c r="CL8" i="1"/>
  <c r="CR9" i="1"/>
  <c r="CM8" i="1"/>
  <c r="CW5" i="1"/>
  <c r="CT5" i="1"/>
  <c r="CX13" i="1"/>
  <c r="CX9" i="1"/>
  <c r="CX8" i="1" s="1"/>
  <c r="CX116" i="1" s="1"/>
  <c r="DC5" i="1"/>
  <c r="DC4" i="1" s="1"/>
  <c r="DW7" i="43" l="1"/>
  <c r="K16" i="16"/>
  <c r="K10" i="16"/>
  <c r="I18" i="16"/>
  <c r="I19" i="16" s="1"/>
  <c r="I21" i="16" s="1"/>
  <c r="K4" i="16"/>
  <c r="K14" i="16" s="1"/>
  <c r="K15" i="16" s="1"/>
  <c r="J7" i="16"/>
  <c r="J11" i="16" s="1"/>
  <c r="J8" i="16"/>
  <c r="K6" i="16"/>
  <c r="CS117" i="1"/>
  <c r="L2" i="16"/>
  <c r="L4" i="16" s="1"/>
  <c r="L14" i="16" s="1"/>
  <c r="J17" i="16"/>
  <c r="J15" i="16"/>
  <c r="EG16" i="1"/>
  <c r="EG119" i="1" s="1"/>
  <c r="EG47" i="43"/>
  <c r="EJ10" i="1"/>
  <c r="EH10" i="1"/>
  <c r="EI10" i="1"/>
  <c r="X154" i="7"/>
  <c r="X155" i="7"/>
  <c r="EL18" i="1" s="1"/>
  <c r="EB6" i="43"/>
  <c r="EB24" i="43" s="1"/>
  <c r="EB4" i="43"/>
  <c r="EK10" i="1"/>
  <c r="DA5" i="1"/>
  <c r="DB5" i="1"/>
  <c r="BU70" i="15"/>
  <c r="BO55" i="15"/>
  <c r="BJ60" i="15"/>
  <c r="BQ55" i="15"/>
  <c r="BQ53" i="15"/>
  <c r="BP79" i="15"/>
  <c r="BP90" i="15" s="1"/>
  <c r="BL59" i="15"/>
  <c r="BK60" i="15"/>
  <c r="BR58" i="15"/>
  <c r="CU25" i="43"/>
  <c r="CU10" i="43"/>
  <c r="CU16" i="43"/>
  <c r="CV9" i="43"/>
  <c r="CW13" i="1"/>
  <c r="CW12" i="1" s="1"/>
  <c r="CU13" i="1"/>
  <c r="CU12" i="1" s="1"/>
  <c r="CX12" i="1"/>
  <c r="CT13" i="1"/>
  <c r="CT12" i="1" s="1"/>
  <c r="CV13" i="1"/>
  <c r="CV12" i="1" s="1"/>
  <c r="CW9" i="1"/>
  <c r="CR8" i="1"/>
  <c r="CV9" i="1"/>
  <c r="CQ8" i="1"/>
  <c r="BV3" i="5"/>
  <c r="BV121" i="5" s="1"/>
  <c r="BW3" i="5"/>
  <c r="DB4" i="1"/>
  <c r="CZ4" i="1"/>
  <c r="DA4" i="1"/>
  <c r="CY4" i="1"/>
  <c r="CY5" i="1"/>
  <c r="CN115" i="1"/>
  <c r="CS105" i="1"/>
  <c r="CZ5" i="1"/>
  <c r="CU9" i="1"/>
  <c r="CP8" i="1"/>
  <c r="CT9" i="1"/>
  <c r="CO8" i="1"/>
  <c r="DH5" i="1"/>
  <c r="DH4" i="1" s="1"/>
  <c r="DC9" i="1"/>
  <c r="DC8" i="1" s="1"/>
  <c r="DC116" i="1" s="1"/>
  <c r="DC13" i="1"/>
  <c r="BW121" i="5" l="1"/>
  <c r="BW110" i="5"/>
  <c r="L6" i="16"/>
  <c r="L8" i="16" s="1"/>
  <c r="L9" i="16"/>
  <c r="CX117" i="1"/>
  <c r="M2" i="16"/>
  <c r="J18" i="16"/>
  <c r="J19" i="16" s="1"/>
  <c r="J21" i="16" s="1"/>
  <c r="L15" i="16"/>
  <c r="K8" i="16"/>
  <c r="K7" i="16"/>
  <c r="K11" i="16" s="1"/>
  <c r="K17" i="16"/>
  <c r="K18" i="16" s="1"/>
  <c r="EG6" i="43"/>
  <c r="EG24" i="43" s="1"/>
  <c r="EG4" i="43"/>
  <c r="EB7" i="43"/>
  <c r="EL47" i="43"/>
  <c r="EL16" i="1"/>
  <c r="EL119" i="1" s="1"/>
  <c r="BM59" i="15"/>
  <c r="BL60" i="15"/>
  <c r="BL76" i="15" s="1"/>
  <c r="BS58" i="15"/>
  <c r="BT58" i="15" s="1"/>
  <c r="BK76" i="15"/>
  <c r="BR53" i="15"/>
  <c r="BR55" i="15"/>
  <c r="BQ79" i="15"/>
  <c r="BQ90" i="15" s="1"/>
  <c r="BJ78" i="15"/>
  <c r="CX36" i="5"/>
  <c r="BJ75" i="15" s="1"/>
  <c r="BV70" i="15"/>
  <c r="CV25" i="43"/>
  <c r="CV16" i="43"/>
  <c r="CV10" i="43"/>
  <c r="CW9" i="43"/>
  <c r="DF4" i="1"/>
  <c r="DD4" i="1"/>
  <c r="DG4" i="1"/>
  <c r="DE4" i="1"/>
  <c r="DE5" i="1"/>
  <c r="BW112" i="1"/>
  <c r="BW124" i="5"/>
  <c r="BV7" i="5"/>
  <c r="DG5" i="1"/>
  <c r="DA13" i="1"/>
  <c r="DA12" i="1" s="1"/>
  <c r="CY13" i="1"/>
  <c r="CY12" i="1" s="1"/>
  <c r="DB13" i="1"/>
  <c r="DB12" i="1" s="1"/>
  <c r="CZ13" i="1"/>
  <c r="CZ12" i="1" s="1"/>
  <c r="DC12" i="1"/>
  <c r="CY9" i="1"/>
  <c r="CT8" i="1"/>
  <c r="CZ9" i="1"/>
  <c r="CU8" i="1"/>
  <c r="CS115" i="1"/>
  <c r="CX105" i="1"/>
  <c r="DD5" i="1"/>
  <c r="BW7" i="5"/>
  <c r="DF5" i="1"/>
  <c r="DA9" i="1"/>
  <c r="CV8" i="1"/>
  <c r="DB9" i="1"/>
  <c r="CW8" i="1"/>
  <c r="DH13" i="1"/>
  <c r="DH9" i="1"/>
  <c r="DH8" i="1" s="1"/>
  <c r="DH116" i="1" s="1"/>
  <c r="DM5" i="1"/>
  <c r="DM4" i="1" s="1"/>
  <c r="BW122" i="5" l="1"/>
  <c r="BW112" i="5"/>
  <c r="BW114" i="5"/>
  <c r="L7" i="16"/>
  <c r="L11" i="16" s="1"/>
  <c r="EG7" i="43"/>
  <c r="BV122" i="5"/>
  <c r="BV112" i="5"/>
  <c r="M4" i="16"/>
  <c r="M14" i="16" s="1"/>
  <c r="M15" i="16" s="1"/>
  <c r="M6" i="16"/>
  <c r="M9" i="16"/>
  <c r="K19" i="16"/>
  <c r="K21" i="16" s="1"/>
  <c r="L16" i="16"/>
  <c r="L17" i="16" s="1"/>
  <c r="L18" i="16" s="1"/>
  <c r="L10" i="16"/>
  <c r="DC117" i="1"/>
  <c r="N2" i="16"/>
  <c r="N6" i="16" s="1"/>
  <c r="EL6" i="43"/>
  <c r="EL24" i="43" s="1"/>
  <c r="EL4" i="43"/>
  <c r="DI5" i="1"/>
  <c r="DL5" i="1"/>
  <c r="BW70" i="15"/>
  <c r="BS55" i="15"/>
  <c r="BT55" i="15" s="1"/>
  <c r="BS53" i="15"/>
  <c r="BR79" i="15"/>
  <c r="BR90" i="15" s="1"/>
  <c r="BU58" i="15"/>
  <c r="BN59" i="15"/>
  <c r="BM60" i="15"/>
  <c r="CW10" i="43"/>
  <c r="CW25" i="43"/>
  <c r="CW16" i="43"/>
  <c r="CX9" i="43"/>
  <c r="DG9" i="1"/>
  <c r="DB8" i="1"/>
  <c r="DF9" i="1"/>
  <c r="DA8" i="1"/>
  <c r="BW126" i="5"/>
  <c r="BW12" i="5"/>
  <c r="BW111" i="5" s="1"/>
  <c r="DE9" i="1"/>
  <c r="CZ8" i="1"/>
  <c r="DD9" i="1"/>
  <c r="CY8" i="1"/>
  <c r="BV112" i="1"/>
  <c r="BV12" i="5"/>
  <c r="BV33" i="5" s="1"/>
  <c r="DL4" i="1"/>
  <c r="DJ4" i="1"/>
  <c r="DK4" i="1"/>
  <c r="DI4" i="1"/>
  <c r="DG13" i="1"/>
  <c r="DG12" i="1" s="1"/>
  <c r="DE13" i="1"/>
  <c r="DE12" i="1" s="1"/>
  <c r="DH12" i="1"/>
  <c r="DF13" i="1"/>
  <c r="DF12" i="1" s="1"/>
  <c r="DD13" i="1"/>
  <c r="DD12" i="1" s="1"/>
  <c r="DK5" i="1"/>
  <c r="CX115" i="1"/>
  <c r="DC105" i="1"/>
  <c r="DJ5" i="1"/>
  <c r="DR5" i="1"/>
  <c r="DR4" i="1" s="1"/>
  <c r="DM9" i="1"/>
  <c r="DM8" i="1" s="1"/>
  <c r="DM116" i="1" s="1"/>
  <c r="DM13" i="1"/>
  <c r="L19" i="16" l="1"/>
  <c r="L21" i="16" s="1"/>
  <c r="EL7" i="43"/>
  <c r="N9" i="16"/>
  <c r="N10" i="16" s="1"/>
  <c r="N4" i="16"/>
  <c r="N14" i="16" s="1"/>
  <c r="N15" i="16" s="1"/>
  <c r="DH117" i="1"/>
  <c r="O2" i="16"/>
  <c r="O9" i="16" s="1"/>
  <c r="M8" i="16"/>
  <c r="M7" i="16"/>
  <c r="M11" i="16" s="1"/>
  <c r="M16" i="16"/>
  <c r="M17" i="16" s="1"/>
  <c r="M18" i="16" s="1"/>
  <c r="M10" i="16"/>
  <c r="N8" i="16"/>
  <c r="N7" i="16"/>
  <c r="N11" i="16" s="1"/>
  <c r="BO59" i="15"/>
  <c r="BP59" i="15" s="1"/>
  <c r="BN60" i="15"/>
  <c r="BN76" i="15" s="1"/>
  <c r="BV58" i="15"/>
  <c r="BT53" i="15"/>
  <c r="BS79" i="15"/>
  <c r="BS90" i="15" s="1"/>
  <c r="BX70" i="15"/>
  <c r="BM76" i="15"/>
  <c r="BO60" i="15"/>
  <c r="BO76" i="15" s="1"/>
  <c r="CX25" i="43"/>
  <c r="CX28" i="43" s="1"/>
  <c r="CX16" i="43"/>
  <c r="CX19" i="43" s="1"/>
  <c r="CX51" i="1" s="1"/>
  <c r="CX5" i="5" s="1"/>
  <c r="CY9" i="43"/>
  <c r="CX10" i="43"/>
  <c r="DK13" i="1"/>
  <c r="DK12" i="1" s="1"/>
  <c r="DI13" i="1"/>
  <c r="DI12" i="1" s="1"/>
  <c r="DJ13" i="1"/>
  <c r="DJ12" i="1" s="1"/>
  <c r="DM12" i="1"/>
  <c r="DL13" i="1"/>
  <c r="DL12" i="1" s="1"/>
  <c r="DP4" i="1"/>
  <c r="DN4" i="1"/>
  <c r="DQ4" i="1"/>
  <c r="DO4" i="1"/>
  <c r="BV111" i="5"/>
  <c r="BV126" i="5"/>
  <c r="BV110" i="5"/>
  <c r="DQ5" i="1"/>
  <c r="DI9" i="1"/>
  <c r="DD8" i="1"/>
  <c r="DJ9" i="1"/>
  <c r="DE8" i="1"/>
  <c r="DN5" i="1"/>
  <c r="BW125" i="5"/>
  <c r="BW51" i="5"/>
  <c r="DO5" i="1"/>
  <c r="BV125" i="5"/>
  <c r="BV114" i="5"/>
  <c r="BV51" i="5"/>
  <c r="DC115" i="1"/>
  <c r="DH105" i="1"/>
  <c r="DP5" i="1"/>
  <c r="DK9" i="1"/>
  <c r="DF8" i="1"/>
  <c r="DL9" i="1"/>
  <c r="DG8" i="1"/>
  <c r="DR9" i="1"/>
  <c r="DR8" i="1" s="1"/>
  <c r="DR116" i="1" s="1"/>
  <c r="DW5" i="1"/>
  <c r="DW4" i="1" s="1"/>
  <c r="DR13" i="1"/>
  <c r="N16" i="16" l="1"/>
  <c r="N17" i="16" s="1"/>
  <c r="N18" i="16" s="1"/>
  <c r="N19" i="16" s="1"/>
  <c r="N21" i="16" s="1"/>
  <c r="DM117" i="1"/>
  <c r="P2" i="16"/>
  <c r="P9" i="16" s="1"/>
  <c r="M19" i="16"/>
  <c r="M21" i="16" s="1"/>
  <c r="O6" i="16"/>
  <c r="O4" i="16"/>
  <c r="O14" i="16" s="1"/>
  <c r="O15" i="16" s="1"/>
  <c r="O16" i="16"/>
  <c r="O10" i="16"/>
  <c r="CI111" i="1"/>
  <c r="DU5" i="1"/>
  <c r="DT5" i="1"/>
  <c r="DV5" i="1"/>
  <c r="BU53" i="15"/>
  <c r="BT87" i="15"/>
  <c r="BT89" i="15" s="1"/>
  <c r="X19" i="13" s="1"/>
  <c r="BT79" i="15"/>
  <c r="BQ59" i="15"/>
  <c r="BP60" i="15"/>
  <c r="DC36" i="5"/>
  <c r="BO75" i="15" s="1"/>
  <c r="BY70" i="15"/>
  <c r="BW58" i="15"/>
  <c r="CT51" i="1"/>
  <c r="CU51" i="1" s="1"/>
  <c r="CV51" i="1" s="1"/>
  <c r="CW51" i="1" s="1"/>
  <c r="CY25" i="43"/>
  <c r="CY16" i="43"/>
  <c r="CY10" i="43"/>
  <c r="CZ9" i="43"/>
  <c r="DQ13" i="1"/>
  <c r="DQ12" i="1" s="1"/>
  <c r="DO13" i="1"/>
  <c r="DO12" i="1" s="1"/>
  <c r="DR12" i="1"/>
  <c r="DN13" i="1"/>
  <c r="DN12" i="1" s="1"/>
  <c r="DP13" i="1"/>
  <c r="DP12" i="1" s="1"/>
  <c r="DH115" i="1"/>
  <c r="DM105" i="1"/>
  <c r="BV116" i="5"/>
  <c r="BV128" i="5" s="1"/>
  <c r="BV38" i="5"/>
  <c r="BV40" i="5" s="1"/>
  <c r="BV52" i="5" s="1"/>
  <c r="DV4" i="1"/>
  <c r="DT4" i="1"/>
  <c r="DU4" i="1"/>
  <c r="DS4" i="1"/>
  <c r="DQ9" i="1"/>
  <c r="DL8" i="1"/>
  <c r="DP9" i="1"/>
  <c r="DK8" i="1"/>
  <c r="DS5" i="1"/>
  <c r="DO9" i="1"/>
  <c r="DJ8" i="1"/>
  <c r="DN9" i="1"/>
  <c r="DI8" i="1"/>
  <c r="DW13" i="1"/>
  <c r="EB5" i="1"/>
  <c r="EB4" i="1" s="1"/>
  <c r="DW9" i="1"/>
  <c r="DW8" i="1" s="1"/>
  <c r="DW116" i="1" s="1"/>
  <c r="O17" i="16" l="1"/>
  <c r="O18" i="16" s="1"/>
  <c r="DR117" i="1"/>
  <c r="Q2" i="16"/>
  <c r="Q4" i="16" s="1"/>
  <c r="O8" i="16"/>
  <c r="O7" i="16"/>
  <c r="O11" i="16" s="1"/>
  <c r="P6" i="16"/>
  <c r="P4" i="16"/>
  <c r="P14" i="16" s="1"/>
  <c r="P16" i="16"/>
  <c r="P10" i="16"/>
  <c r="CN111" i="1"/>
  <c r="CS111" i="1" s="1"/>
  <c r="BZ70" i="15"/>
  <c r="BP76" i="15"/>
  <c r="BT90" i="15"/>
  <c r="X26" i="13" s="1"/>
  <c r="BV53" i="15"/>
  <c r="BU79" i="15"/>
  <c r="BU90" i="15" s="1"/>
  <c r="BX58" i="15"/>
  <c r="BR59" i="15"/>
  <c r="BQ60" i="15"/>
  <c r="BQ76" i="15" s="1"/>
  <c r="CZ25" i="43"/>
  <c r="DA9" i="43"/>
  <c r="CZ16" i="43"/>
  <c r="CZ10" i="43"/>
  <c r="DZ4" i="1"/>
  <c r="DX4" i="1"/>
  <c r="EA4" i="1"/>
  <c r="DY4" i="1"/>
  <c r="DU13" i="1"/>
  <c r="DU12" i="1" s="1"/>
  <c r="DS13" i="1"/>
  <c r="DS12" i="1" s="1"/>
  <c r="DV13" i="1"/>
  <c r="DV12" i="1" s="1"/>
  <c r="DT13" i="1"/>
  <c r="DT12" i="1" s="1"/>
  <c r="DW12" i="1"/>
  <c r="DS9" i="1"/>
  <c r="DN8" i="1"/>
  <c r="DT9" i="1"/>
  <c r="DO8" i="1"/>
  <c r="EA5" i="1"/>
  <c r="DM115" i="1"/>
  <c r="DR105" i="1"/>
  <c r="DZ5" i="1"/>
  <c r="DX5" i="1"/>
  <c r="DU9" i="1"/>
  <c r="DP8" i="1"/>
  <c r="DV9" i="1"/>
  <c r="DQ8" i="1"/>
  <c r="DY5" i="1"/>
  <c r="EB9" i="1"/>
  <c r="EB8" i="1" s="1"/>
  <c r="EB116" i="1" s="1"/>
  <c r="EB13" i="1"/>
  <c r="EG5" i="1"/>
  <c r="EG4" i="1" s="1"/>
  <c r="O19" i="16" l="1"/>
  <c r="O21" i="16" s="1"/>
  <c r="DW117" i="1"/>
  <c r="R2" i="16"/>
  <c r="R4" i="16" s="1"/>
  <c r="P17" i="16"/>
  <c r="P15" i="16"/>
  <c r="P7" i="16"/>
  <c r="P11" i="16" s="1"/>
  <c r="P8" i="16"/>
  <c r="ED5" i="1"/>
  <c r="EC5" i="1"/>
  <c r="EE5" i="1"/>
  <c r="EF5" i="1"/>
  <c r="BY58" i="15"/>
  <c r="BX79" i="15"/>
  <c r="BX90" i="15" s="1"/>
  <c r="BW56" i="15"/>
  <c r="BY56" i="15" s="1"/>
  <c r="BY73" i="15" s="1"/>
  <c r="BW55" i="15"/>
  <c r="BV79" i="15"/>
  <c r="BV90" i="15" s="1"/>
  <c r="CA70" i="15"/>
  <c r="BS59" i="15"/>
  <c r="BR60" i="15"/>
  <c r="DA25" i="43"/>
  <c r="DA16" i="43"/>
  <c r="DA10" i="43"/>
  <c r="DB9" i="43"/>
  <c r="DZ13" i="1"/>
  <c r="DZ12" i="1" s="1"/>
  <c r="DX13" i="1"/>
  <c r="DX12" i="1" s="1"/>
  <c r="EA13" i="1"/>
  <c r="EA12" i="1" s="1"/>
  <c r="DY13" i="1"/>
  <c r="DY12" i="1" s="1"/>
  <c r="EB12" i="1"/>
  <c r="DY9" i="1"/>
  <c r="DT8" i="1"/>
  <c r="DX9" i="1"/>
  <c r="DS8" i="1"/>
  <c r="EF4" i="1"/>
  <c r="ED4" i="1"/>
  <c r="EE4" i="1"/>
  <c r="EC4" i="1"/>
  <c r="BV42" i="5"/>
  <c r="BV44" i="5" s="1"/>
  <c r="BV46" i="5" s="1"/>
  <c r="EA9" i="1"/>
  <c r="DV8" i="1"/>
  <c r="DZ9" i="1"/>
  <c r="DU8" i="1"/>
  <c r="DR115" i="1"/>
  <c r="DW105" i="1"/>
  <c r="CX111" i="1"/>
  <c r="EL5" i="1"/>
  <c r="EL4" i="1" s="1"/>
  <c r="EG13" i="1"/>
  <c r="EL13" i="1"/>
  <c r="EG9" i="1"/>
  <c r="EG8" i="1" s="1"/>
  <c r="EG116" i="1" s="1"/>
  <c r="EL9" i="1"/>
  <c r="EL8" i="1" s="1"/>
  <c r="EL116" i="1" s="1"/>
  <c r="EB117" i="1" l="1"/>
  <c r="S2" i="16"/>
  <c r="S4" i="16" s="1"/>
  <c r="P18" i="16"/>
  <c r="P19" i="16" s="1"/>
  <c r="P21" i="16" s="1"/>
  <c r="BR76" i="15"/>
  <c r="CB70" i="15"/>
  <c r="BW53" i="15"/>
  <c r="BT59" i="15"/>
  <c r="BU59" i="15" s="1"/>
  <c r="BS60" i="15"/>
  <c r="BS76" i="15" s="1"/>
  <c r="Y37" i="14"/>
  <c r="Y36" i="14"/>
  <c r="BZ58" i="15"/>
  <c r="BY79" i="15"/>
  <c r="BY90" i="15" s="1"/>
  <c r="Y26" i="13" s="1"/>
  <c r="DC9" i="43"/>
  <c r="DB25" i="43"/>
  <c r="DB16" i="43"/>
  <c r="DB10" i="43"/>
  <c r="EF13" i="1"/>
  <c r="EF12" i="1" s="1"/>
  <c r="ED13" i="1"/>
  <c r="ED12" i="1" s="1"/>
  <c r="EE13" i="1"/>
  <c r="EE12" i="1" s="1"/>
  <c r="EC13" i="1"/>
  <c r="EC12" i="1" s="1"/>
  <c r="EG12" i="1"/>
  <c r="EJ4" i="1"/>
  <c r="EH4" i="1"/>
  <c r="EK4" i="1"/>
  <c r="EI4" i="1"/>
  <c r="DC111" i="1"/>
  <c r="DW115" i="1"/>
  <c r="EB105" i="1"/>
  <c r="BV118" i="5"/>
  <c r="BV53" i="5"/>
  <c r="BV54" i="5" s="1"/>
  <c r="BV100" i="5"/>
  <c r="EJ5" i="1"/>
  <c r="EJ13" i="1"/>
  <c r="EJ12" i="1" s="1"/>
  <c r="EH13" i="1"/>
  <c r="EH12" i="1" s="1"/>
  <c r="EK13" i="1"/>
  <c r="EK12" i="1" s="1"/>
  <c r="EI13" i="1"/>
  <c r="EI12" i="1" s="1"/>
  <c r="EL12" i="1"/>
  <c r="EL117" i="1" s="1"/>
  <c r="EE9" i="1"/>
  <c r="DZ8" i="1"/>
  <c r="EF9" i="1"/>
  <c r="EA8" i="1"/>
  <c r="EC9" i="1"/>
  <c r="DX8" i="1"/>
  <c r="ED9" i="1"/>
  <c r="DY8" i="1"/>
  <c r="EK5" i="1"/>
  <c r="EH5" i="1"/>
  <c r="EI5" i="1"/>
  <c r="EG117" i="1" l="1"/>
  <c r="T2" i="16"/>
  <c r="BV59" i="15"/>
  <c r="BU60" i="15"/>
  <c r="CC70" i="15"/>
  <c r="BT60" i="15"/>
  <c r="BT76" i="15" s="1"/>
  <c r="CA58" i="15"/>
  <c r="BZ79" i="15"/>
  <c r="BZ90" i="15" s="1"/>
  <c r="BX55" i="15"/>
  <c r="BW79" i="15"/>
  <c r="BW90" i="15" s="1"/>
  <c r="DC25" i="43"/>
  <c r="DC28" i="43" s="1"/>
  <c r="DC10" i="43"/>
  <c r="DC16" i="43"/>
  <c r="DC19" i="43" s="1"/>
  <c r="DC51" i="1" s="1"/>
  <c r="DD9" i="43"/>
  <c r="BV145" i="5"/>
  <c r="BV102" i="5"/>
  <c r="BV68" i="5"/>
  <c r="EB115" i="1"/>
  <c r="EG105" i="1"/>
  <c r="DH111" i="1"/>
  <c r="EI9" i="1"/>
  <c r="EI8" i="1" s="1"/>
  <c r="ED8" i="1"/>
  <c r="EH9" i="1"/>
  <c r="EH8" i="1" s="1"/>
  <c r="EC8" i="1"/>
  <c r="EK9" i="1"/>
  <c r="EK8" i="1" s="1"/>
  <c r="EF8" i="1"/>
  <c r="EJ9" i="1"/>
  <c r="EJ8" i="1" s="1"/>
  <c r="EE8" i="1"/>
  <c r="BV127" i="5"/>
  <c r="DC5" i="5" l="1"/>
  <c r="U4" i="16"/>
  <c r="T4" i="16"/>
  <c r="CB58" i="15"/>
  <c r="CA79" i="15"/>
  <c r="CA90" i="15" s="1"/>
  <c r="CD70" i="15"/>
  <c r="BU76" i="15"/>
  <c r="BU78" i="15" s="1"/>
  <c r="BY55" i="15"/>
  <c r="DH36" i="5"/>
  <c r="BT75" i="15" s="1"/>
  <c r="BW59" i="15"/>
  <c r="BV60" i="15"/>
  <c r="BV76" i="15" s="1"/>
  <c r="BV78" i="15" s="1"/>
  <c r="DD25" i="43"/>
  <c r="DD16" i="43"/>
  <c r="DE9" i="43"/>
  <c r="DD10" i="43"/>
  <c r="CY51" i="1"/>
  <c r="DM111" i="1"/>
  <c r="EG115" i="1"/>
  <c r="EL105" i="1"/>
  <c r="EL115" i="1" s="1"/>
  <c r="BX59" i="15" l="1"/>
  <c r="BW60" i="15"/>
  <c r="BW76" i="15" s="1"/>
  <c r="CC58" i="15"/>
  <c r="CB79" i="15"/>
  <c r="CB90" i="15" s="1"/>
  <c r="CE70" i="15"/>
  <c r="CZ51" i="1"/>
  <c r="DE25" i="43"/>
  <c r="DE10" i="43"/>
  <c r="DE16" i="43"/>
  <c r="DF9" i="43"/>
  <c r="DR111" i="1"/>
  <c r="CD58" i="15" l="1"/>
  <c r="CC79" i="15"/>
  <c r="CC90" i="15" s="1"/>
  <c r="CF70" i="15"/>
  <c r="BY59" i="15"/>
  <c r="BZ59" i="15" s="1"/>
  <c r="BX60" i="15"/>
  <c r="DF25" i="43"/>
  <c r="DF16" i="43"/>
  <c r="DG9" i="43"/>
  <c r="DF10" i="43"/>
  <c r="DA51" i="1"/>
  <c r="DW111" i="1"/>
  <c r="BX76" i="15" l="1"/>
  <c r="BY60" i="15"/>
  <c r="BY76" i="15" s="1"/>
  <c r="BY78" i="15" s="1"/>
  <c r="CG70" i="15"/>
  <c r="CA59" i="15"/>
  <c r="BZ60" i="15"/>
  <c r="CE58" i="15"/>
  <c r="CD79" i="15"/>
  <c r="CD90" i="15" s="1"/>
  <c r="Z26" i="13" s="1"/>
  <c r="DB51" i="1"/>
  <c r="DG10" i="43"/>
  <c r="DG25" i="43"/>
  <c r="DG16" i="43"/>
  <c r="DH9" i="43"/>
  <c r="EB111" i="1"/>
  <c r="CF58" i="15" l="1"/>
  <c r="CE79" i="15"/>
  <c r="CE90" i="15" s="1"/>
  <c r="BZ76" i="15"/>
  <c r="CH70" i="15"/>
  <c r="DM36" i="5"/>
  <c r="BY75" i="15" s="1"/>
  <c r="CB59" i="15"/>
  <c r="CA60" i="15"/>
  <c r="CA76" i="15" s="1"/>
  <c r="DH16" i="43"/>
  <c r="DH19" i="43" s="1"/>
  <c r="DH51" i="1" s="1"/>
  <c r="DI9" i="43"/>
  <c r="DH25" i="43"/>
  <c r="DH28" i="43" s="1"/>
  <c r="DH10" i="43"/>
  <c r="EG111" i="1"/>
  <c r="DH5" i="5" l="1"/>
  <c r="CI70" i="15"/>
  <c r="CG58" i="15"/>
  <c r="CF79" i="15"/>
  <c r="CF90" i="15" s="1"/>
  <c r="CC59" i="15"/>
  <c r="CB60" i="15"/>
  <c r="CB76" i="15" s="1"/>
  <c r="DI25" i="43"/>
  <c r="DI16" i="43"/>
  <c r="DI10" i="43"/>
  <c r="DJ9" i="43"/>
  <c r="DD51" i="1"/>
  <c r="EL111" i="1"/>
  <c r="CH58" i="15" l="1"/>
  <c r="CG79" i="15"/>
  <c r="CG90" i="15" s="1"/>
  <c r="CJ70" i="15"/>
  <c r="CD59" i="15"/>
  <c r="CE59" i="15" s="1"/>
  <c r="CC60" i="15"/>
  <c r="DJ25" i="43"/>
  <c r="DK9" i="43"/>
  <c r="DJ16" i="43"/>
  <c r="DJ10" i="43"/>
  <c r="DE51" i="1"/>
  <c r="CC76" i="15" l="1"/>
  <c r="CD60" i="15"/>
  <c r="CD76" i="15" s="1"/>
  <c r="CK70" i="15"/>
  <c r="CF59" i="15"/>
  <c r="CE60" i="15"/>
  <c r="CI58" i="15"/>
  <c r="CH79" i="15"/>
  <c r="CH90" i="15" s="1"/>
  <c r="DK25" i="43"/>
  <c r="DK16" i="43"/>
  <c r="DK10" i="43"/>
  <c r="DL9" i="43"/>
  <c r="DF51" i="1"/>
  <c r="CE76" i="15" l="1"/>
  <c r="CE78" i="15" s="1"/>
  <c r="CL70" i="15"/>
  <c r="DR36" i="5"/>
  <c r="CD75" i="15" s="1"/>
  <c r="CJ58" i="15"/>
  <c r="CI79" i="15"/>
  <c r="CI90" i="15" s="1"/>
  <c r="AA26" i="13" s="1"/>
  <c r="CG59" i="15"/>
  <c r="CF60" i="15"/>
  <c r="CF76" i="15" s="1"/>
  <c r="CF78" i="15" s="1"/>
  <c r="DM9" i="43"/>
  <c r="DL25" i="43"/>
  <c r="DL10" i="43"/>
  <c r="DL16" i="43"/>
  <c r="DG51" i="1"/>
  <c r="CH59" i="15" l="1"/>
  <c r="CG60" i="15"/>
  <c r="CG76" i="15" s="1"/>
  <c r="CG78" i="15" s="1"/>
  <c r="CK58" i="15"/>
  <c r="CJ79" i="15"/>
  <c r="CJ90" i="15" s="1"/>
  <c r="CM70" i="15"/>
  <c r="DM25" i="43"/>
  <c r="DM28" i="43" s="1"/>
  <c r="DM10" i="43"/>
  <c r="DM16" i="43"/>
  <c r="DM19" i="43" s="1"/>
  <c r="DM51" i="1" s="1"/>
  <c r="DN9" i="43"/>
  <c r="DM5" i="5" l="1"/>
  <c r="CN70" i="15"/>
  <c r="CL58" i="15"/>
  <c r="CK79" i="15"/>
  <c r="CK90" i="15" s="1"/>
  <c r="CI59" i="15"/>
  <c r="CJ59" i="15" s="1"/>
  <c r="CH60" i="15"/>
  <c r="DN25" i="43"/>
  <c r="DN16" i="43"/>
  <c r="DO9" i="43"/>
  <c r="DN10" i="43"/>
  <c r="DI51" i="1"/>
  <c r="CK59" i="15" l="1"/>
  <c r="CJ60" i="15"/>
  <c r="CM58" i="15"/>
  <c r="CL79" i="15"/>
  <c r="CL90" i="15" s="1"/>
  <c r="CO70" i="15"/>
  <c r="CH76" i="15"/>
  <c r="CH78" i="15" s="1"/>
  <c r="CI60" i="15"/>
  <c r="CI76" i="15" s="1"/>
  <c r="DJ51" i="1"/>
  <c r="DO25" i="43"/>
  <c r="DO10" i="43"/>
  <c r="DO16" i="43"/>
  <c r="DP9" i="43"/>
  <c r="CJ76" i="15" l="1"/>
  <c r="CJ78" i="15" s="1"/>
  <c r="CI78" i="15"/>
  <c r="DW36" i="5"/>
  <c r="CI75" i="15" s="1"/>
  <c r="CP70" i="15"/>
  <c r="CN58" i="15"/>
  <c r="CM79" i="15"/>
  <c r="CM90" i="15" s="1"/>
  <c r="CL59" i="15"/>
  <c r="CK60" i="15"/>
  <c r="CK76" i="15" s="1"/>
  <c r="CK78" i="15" s="1"/>
  <c r="DP25" i="43"/>
  <c r="DP16" i="43"/>
  <c r="DQ9" i="43"/>
  <c r="DP10" i="43"/>
  <c r="DK51" i="1"/>
  <c r="CQ70" i="15" l="1"/>
  <c r="CM59" i="15"/>
  <c r="CL60" i="15"/>
  <c r="CL76" i="15" s="1"/>
  <c r="CL78" i="15" s="1"/>
  <c r="CO58" i="15"/>
  <c r="CN79" i="15"/>
  <c r="CN90" i="15" s="1"/>
  <c r="AB26" i="13" s="1"/>
  <c r="DL51" i="1"/>
  <c r="DQ10" i="43"/>
  <c r="DR9" i="43"/>
  <c r="DQ25" i="43"/>
  <c r="DQ16" i="43"/>
  <c r="CP58" i="15" l="1"/>
  <c r="CO79" i="15"/>
  <c r="CO90" i="15" s="1"/>
  <c r="CN59" i="15"/>
  <c r="CO59" i="15" s="1"/>
  <c r="CM60" i="15"/>
  <c r="CM76" i="15" s="1"/>
  <c r="CM78" i="15" s="1"/>
  <c r="CR70" i="15"/>
  <c r="CN60" i="15"/>
  <c r="CN76" i="15" s="1"/>
  <c r="DR25" i="43"/>
  <c r="DR28" i="43" s="1"/>
  <c r="DR16" i="43"/>
  <c r="DR19" i="43" s="1"/>
  <c r="DR51" i="1" s="1"/>
  <c r="DS9" i="43"/>
  <c r="DR10" i="43"/>
  <c r="DR5" i="5" l="1"/>
  <c r="CN78" i="15"/>
  <c r="EB36" i="5"/>
  <c r="CN75" i="15" s="1"/>
  <c r="CP59" i="15"/>
  <c r="CO60" i="15"/>
  <c r="CQ58" i="15"/>
  <c r="CP79" i="15"/>
  <c r="CP90" i="15" s="1"/>
  <c r="CS70" i="15"/>
  <c r="DN51" i="1"/>
  <c r="DS25" i="43"/>
  <c r="DS16" i="43"/>
  <c r="DS10" i="43"/>
  <c r="DT9" i="43"/>
  <c r="CT70" i="15" l="1"/>
  <c r="CO76" i="15"/>
  <c r="CO78" i="15" s="1"/>
  <c r="CR58" i="15"/>
  <c r="CQ79" i="15"/>
  <c r="CQ90" i="15" s="1"/>
  <c r="CQ59" i="15"/>
  <c r="CP60" i="15"/>
  <c r="CP76" i="15" s="1"/>
  <c r="CP78" i="15" s="1"/>
  <c r="DT25" i="43"/>
  <c r="DU9" i="43"/>
  <c r="DT16" i="43"/>
  <c r="DT10" i="43"/>
  <c r="DO51" i="1"/>
  <c r="CR59" i="15" l="1"/>
  <c r="CQ60" i="15"/>
  <c r="CQ76" i="15" s="1"/>
  <c r="CQ78" i="15" s="1"/>
  <c r="CS58" i="15"/>
  <c r="CR79" i="15"/>
  <c r="CR90" i="15" s="1"/>
  <c r="CU70" i="15"/>
  <c r="DU25" i="43"/>
  <c r="DU16" i="43"/>
  <c r="DU10" i="43"/>
  <c r="DV9" i="43"/>
  <c r="DP51" i="1"/>
  <c r="CV70" i="15" l="1"/>
  <c r="CT58" i="15"/>
  <c r="CS79" i="15"/>
  <c r="CS90" i="15" s="1"/>
  <c r="AC26" i="13" s="1"/>
  <c r="CS59" i="15"/>
  <c r="CT59" i="15" s="1"/>
  <c r="CU59" i="15" s="1"/>
  <c r="CV59" i="15" s="1"/>
  <c r="CW59" i="15" s="1"/>
  <c r="CX59" i="15" s="1"/>
  <c r="CY59" i="15" s="1"/>
  <c r="CZ59" i="15" s="1"/>
  <c r="DA59" i="15" s="1"/>
  <c r="DB59" i="15" s="1"/>
  <c r="DC59" i="15" s="1"/>
  <c r="DD59" i="15" s="1"/>
  <c r="DE59" i="15" s="1"/>
  <c r="DF59" i="15" s="1"/>
  <c r="DG59" i="15" s="1"/>
  <c r="DH59" i="15" s="1"/>
  <c r="DI59" i="15" s="1"/>
  <c r="DJ59" i="15" s="1"/>
  <c r="DK59" i="15" s="1"/>
  <c r="DL59" i="15" s="1"/>
  <c r="DM59" i="15" s="1"/>
  <c r="DN59" i="15" s="1"/>
  <c r="DO59" i="15" s="1"/>
  <c r="DP59" i="15" s="1"/>
  <c r="DQ59" i="15" s="1"/>
  <c r="DR59" i="15" s="1"/>
  <c r="DS59" i="15" s="1"/>
  <c r="DT59" i="15" s="1"/>
  <c r="DU59" i="15" s="1"/>
  <c r="DV59" i="15" s="1"/>
  <c r="DW59" i="15" s="1"/>
  <c r="DX59" i="15" s="1"/>
  <c r="DY59" i="15" s="1"/>
  <c r="DZ59" i="15" s="1"/>
  <c r="EA59" i="15" s="1"/>
  <c r="EB59" i="15" s="1"/>
  <c r="EC59" i="15" s="1"/>
  <c r="ED59" i="15" s="1"/>
  <c r="EE59" i="15" s="1"/>
  <c r="EF59" i="15" s="1"/>
  <c r="EG59" i="15" s="1"/>
  <c r="EH59" i="15" s="1"/>
  <c r="EI59" i="15" s="1"/>
  <c r="EJ59" i="15" s="1"/>
  <c r="EK59" i="15" s="1"/>
  <c r="EL59" i="15" s="1"/>
  <c r="EM59" i="15" s="1"/>
  <c r="EN59" i="15" s="1"/>
  <c r="EO59" i="15" s="1"/>
  <c r="EP59" i="15" s="1"/>
  <c r="EQ59" i="15" s="1"/>
  <c r="ER59" i="15" s="1"/>
  <c r="ES59" i="15" s="1"/>
  <c r="ET59" i="15" s="1"/>
  <c r="EU59" i="15" s="1"/>
  <c r="EV59" i="15" s="1"/>
  <c r="EW59" i="15" s="1"/>
  <c r="EX59" i="15" s="1"/>
  <c r="EY59" i="15" s="1"/>
  <c r="EZ59" i="15" s="1"/>
  <c r="FA59" i="15" s="1"/>
  <c r="FB59" i="15" s="1"/>
  <c r="FC59" i="15" s="1"/>
  <c r="FD59" i="15" s="1"/>
  <c r="FE59" i="15" s="1"/>
  <c r="FF59" i="15" s="1"/>
  <c r="FG59" i="15" s="1"/>
  <c r="FH59" i="15" s="1"/>
  <c r="FI59" i="15" s="1"/>
  <c r="FJ59" i="15" s="1"/>
  <c r="FK59" i="15" s="1"/>
  <c r="FL59" i="15" s="1"/>
  <c r="FM59" i="15" s="1"/>
  <c r="FN59" i="15" s="1"/>
  <c r="FO59" i="15" s="1"/>
  <c r="FP59" i="15" s="1"/>
  <c r="FQ59" i="15" s="1"/>
  <c r="FR59" i="15" s="1"/>
  <c r="FS59" i="15" s="1"/>
  <c r="CR60" i="15"/>
  <c r="DQ51" i="1"/>
  <c r="DW9" i="43"/>
  <c r="DV25" i="43"/>
  <c r="DV16" i="43"/>
  <c r="DV10" i="43"/>
  <c r="CT60" i="15" l="1"/>
  <c r="CU58" i="15"/>
  <c r="CU60" i="15"/>
  <c r="CU76" i="15" s="1"/>
  <c r="CU78" i="15" s="1"/>
  <c r="CT79" i="15"/>
  <c r="CT90" i="15" s="1"/>
  <c r="CW70" i="15"/>
  <c r="CR76" i="15"/>
  <c r="CR78" i="15" s="1"/>
  <c r="CS60" i="15"/>
  <c r="CS76" i="15" s="1"/>
  <c r="CT76" i="15"/>
  <c r="CT78" i="15" s="1"/>
  <c r="DW25" i="43"/>
  <c r="DW28" i="43" s="1"/>
  <c r="DW10" i="43"/>
  <c r="DW16" i="43"/>
  <c r="DW19" i="43" s="1"/>
  <c r="DW51" i="1" s="1"/>
  <c r="DX9" i="43"/>
  <c r="DW5" i="5" l="1"/>
  <c r="CS78" i="15"/>
  <c r="EG36" i="5"/>
  <c r="CS75" i="15" s="1"/>
  <c r="CX70" i="15"/>
  <c r="CV60" i="15"/>
  <c r="CV58" i="15"/>
  <c r="CU79" i="15"/>
  <c r="CU90" i="15" s="1"/>
  <c r="DX25" i="43"/>
  <c r="DX16" i="43"/>
  <c r="DY9" i="43"/>
  <c r="DX10" i="43"/>
  <c r="DS51" i="1"/>
  <c r="CW58" i="15" l="1"/>
  <c r="CW60" i="15"/>
  <c r="CW76" i="15" s="1"/>
  <c r="CW78" i="15" s="1"/>
  <c r="CV79" i="15"/>
  <c r="CV90" i="15" s="1"/>
  <c r="CV76" i="15"/>
  <c r="CV78" i="15" s="1"/>
  <c r="DT51" i="1"/>
  <c r="DY25" i="43"/>
  <c r="DY10" i="43"/>
  <c r="DY16" i="43"/>
  <c r="DZ9" i="43"/>
  <c r="CX60" i="15" l="1"/>
  <c r="CX76" i="15" s="1"/>
  <c r="CX78" i="15"/>
  <c r="EL36" i="5"/>
  <c r="CX75" i="15" s="1"/>
  <c r="CX58" i="15"/>
  <c r="CW79" i="15"/>
  <c r="CW90" i="15" s="1"/>
  <c r="DZ25" i="43"/>
  <c r="DZ16" i="43"/>
  <c r="EA9" i="43"/>
  <c r="DZ10" i="43"/>
  <c r="DU51" i="1"/>
  <c r="CY58" i="15" l="1"/>
  <c r="CY76" i="15"/>
  <c r="CX79" i="15"/>
  <c r="CX90" i="15" s="1"/>
  <c r="AD26" i="13" s="1"/>
  <c r="DV51" i="1"/>
  <c r="EA10" i="43"/>
  <c r="EA25" i="43"/>
  <c r="EA16" i="43"/>
  <c r="EB9" i="43"/>
  <c r="CY79" i="15" l="1"/>
  <c r="CY90" i="15" s="1"/>
  <c r="CZ76" i="15"/>
  <c r="CZ58" i="15"/>
  <c r="EB16" i="43"/>
  <c r="EB19" i="43" s="1"/>
  <c r="EB51" i="1" s="1"/>
  <c r="EC9" i="43"/>
  <c r="EB10" i="43"/>
  <c r="EB25" i="43"/>
  <c r="EB28" i="43" s="1"/>
  <c r="EB5" i="5" l="1"/>
  <c r="CZ79" i="15"/>
  <c r="CZ90" i="15" s="1"/>
  <c r="DA58" i="15"/>
  <c r="DA76" i="15"/>
  <c r="EC25" i="43"/>
  <c r="EC16" i="43"/>
  <c r="EC10" i="43"/>
  <c r="ED9" i="43"/>
  <c r="DX51" i="1"/>
  <c r="DA79" i="15" l="1"/>
  <c r="DA90" i="15" s="1"/>
  <c r="DB76" i="15"/>
  <c r="DB58" i="15"/>
  <c r="ED25" i="43"/>
  <c r="EE9" i="43"/>
  <c r="ED16" i="43"/>
  <c r="ED10" i="43"/>
  <c r="DY51" i="1"/>
  <c r="DB79" i="15" l="1"/>
  <c r="DB90" i="15" s="1"/>
  <c r="DC58" i="15"/>
  <c r="DC60" i="15"/>
  <c r="DC76" i="15" s="1"/>
  <c r="EE25" i="43"/>
  <c r="EE16" i="43"/>
  <c r="EE10" i="43"/>
  <c r="EF9" i="43"/>
  <c r="DZ51" i="1"/>
  <c r="DC79" i="15" l="1"/>
  <c r="DC90" i="15" s="1"/>
  <c r="DD76" i="15"/>
  <c r="DD58" i="15"/>
  <c r="EG9" i="43"/>
  <c r="EF25" i="43"/>
  <c r="EF10" i="43"/>
  <c r="EF16" i="43"/>
  <c r="EA51" i="1"/>
  <c r="DD79" i="15" l="1"/>
  <c r="DD90" i="15" s="1"/>
  <c r="DE58" i="15"/>
  <c r="DE76" i="15"/>
  <c r="EG25" i="43"/>
  <c r="EG28" i="43" s="1"/>
  <c r="EG10" i="43"/>
  <c r="EG16" i="43"/>
  <c r="EG19" i="43" s="1"/>
  <c r="EG51" i="1" s="1"/>
  <c r="EH9" i="43"/>
  <c r="EG5" i="5" l="1"/>
  <c r="DE79" i="15"/>
  <c r="DE90" i="15" s="1"/>
  <c r="DF76" i="15"/>
  <c r="DF58" i="15"/>
  <c r="EH25" i="43"/>
  <c r="EH16" i="43"/>
  <c r="EI9" i="43"/>
  <c r="EH10" i="43"/>
  <c r="EC51" i="1"/>
  <c r="DF79" i="15" l="1"/>
  <c r="DF90" i="15" s="1"/>
  <c r="DG58" i="15"/>
  <c r="DG76" i="15"/>
  <c r="ED51" i="1"/>
  <c r="EI25" i="43"/>
  <c r="EI10" i="43"/>
  <c r="EI16" i="43"/>
  <c r="EJ9" i="43"/>
  <c r="DG79" i="15" l="1"/>
  <c r="DG90" i="15" s="1"/>
  <c r="DH60" i="15"/>
  <c r="DH76" i="15" s="1"/>
  <c r="DH58" i="15"/>
  <c r="EJ25" i="43"/>
  <c r="EJ16" i="43"/>
  <c r="EK9" i="43"/>
  <c r="EJ10" i="43"/>
  <c r="EE51" i="1"/>
  <c r="DH79" i="15" l="1"/>
  <c r="DH90" i="15" s="1"/>
  <c r="DI58" i="15"/>
  <c r="DI76" i="15"/>
  <c r="EF51" i="1"/>
  <c r="EK10" i="43"/>
  <c r="EL9" i="43"/>
  <c r="EK25" i="43"/>
  <c r="EK16" i="43"/>
  <c r="DI79" i="15" l="1"/>
  <c r="DI90" i="15" s="1"/>
  <c r="DJ76" i="15"/>
  <c r="DJ58" i="15"/>
  <c r="EL25" i="43"/>
  <c r="EL28" i="43" s="1"/>
  <c r="EL16" i="43"/>
  <c r="EL19" i="43" s="1"/>
  <c r="EL51" i="1" s="1"/>
  <c r="EL10" i="43"/>
  <c r="EL5" i="5" l="1"/>
  <c r="DJ79" i="15"/>
  <c r="DJ90" i="15" s="1"/>
  <c r="DK58" i="15"/>
  <c r="DK76" i="15"/>
  <c r="EH51" i="1"/>
  <c r="DK79" i="15" l="1"/>
  <c r="DK90" i="15" s="1"/>
  <c r="DL76" i="15"/>
  <c r="DL58" i="15"/>
  <c r="EI51" i="1"/>
  <c r="DL79" i="15" l="1"/>
  <c r="DL90" i="15" s="1"/>
  <c r="DM58" i="15"/>
  <c r="DM60" i="15"/>
  <c r="DM76" i="15" s="1"/>
  <c r="EJ51" i="1"/>
  <c r="DM79" i="15" l="1"/>
  <c r="DM90" i="15" s="1"/>
  <c r="DN76" i="15"/>
  <c r="DN58" i="15"/>
  <c r="EK51" i="1"/>
  <c r="DN79" i="15" l="1"/>
  <c r="DN90" i="15" s="1"/>
  <c r="DO58" i="15"/>
  <c r="DO76" i="15"/>
  <c r="DO79" i="15" l="1"/>
  <c r="DO90" i="15" s="1"/>
  <c r="DP76" i="15"/>
  <c r="DP58" i="15"/>
  <c r="DP79" i="15" l="1"/>
  <c r="DP90" i="15" s="1"/>
  <c r="DQ58" i="15"/>
  <c r="DQ76" i="15"/>
  <c r="DQ79" i="15" l="1"/>
  <c r="DQ90" i="15" s="1"/>
  <c r="DR60" i="15"/>
  <c r="DR76" i="15" s="1"/>
  <c r="DR58" i="15"/>
  <c r="DR79" i="15" l="1"/>
  <c r="DR90" i="15" s="1"/>
  <c r="DS58" i="15"/>
  <c r="DS76" i="15"/>
  <c r="DS79" i="15" l="1"/>
  <c r="DS90" i="15" s="1"/>
  <c r="DT76" i="15"/>
  <c r="DT58" i="15"/>
  <c r="DT79" i="15" l="1"/>
  <c r="DT90" i="15" s="1"/>
  <c r="DU58" i="15"/>
  <c r="DU76" i="15"/>
  <c r="DU79" i="15" l="1"/>
  <c r="DU90" i="15" s="1"/>
  <c r="DV76" i="15"/>
  <c r="DV58" i="15"/>
  <c r="DV79" i="15" l="1"/>
  <c r="DV90" i="15" s="1"/>
  <c r="DW58" i="15"/>
  <c r="DW60" i="15"/>
  <c r="DW76" i="15" s="1"/>
  <c r="DW79" i="15" l="1"/>
  <c r="DW90" i="15" s="1"/>
  <c r="DX76" i="15"/>
  <c r="DX58" i="15"/>
  <c r="DX79" i="15" l="1"/>
  <c r="DX90" i="15" s="1"/>
  <c r="DY58" i="15"/>
  <c r="DY76" i="15"/>
  <c r="DY79" i="15" l="1"/>
  <c r="DY90" i="15" s="1"/>
  <c r="DZ76" i="15"/>
  <c r="DZ58" i="15"/>
  <c r="DZ79" i="15" l="1"/>
  <c r="DZ90" i="15" s="1"/>
  <c r="EA76" i="15"/>
  <c r="EA58" i="15"/>
  <c r="EA79" i="15" l="1"/>
  <c r="EA90" i="15" s="1"/>
  <c r="EB60" i="15"/>
  <c r="EB76" i="15" s="1"/>
  <c r="EB58" i="15"/>
  <c r="EB79" i="15" l="1"/>
  <c r="EB90" i="15" s="1"/>
  <c r="EC58" i="15"/>
  <c r="EC76" i="15"/>
  <c r="EC79" i="15" l="1"/>
  <c r="EC90" i="15" s="1"/>
  <c r="ED76" i="15"/>
  <c r="ED58" i="15"/>
  <c r="ED79" i="15" l="1"/>
  <c r="ED90" i="15" s="1"/>
  <c r="EE76" i="15"/>
  <c r="EE58" i="15"/>
  <c r="EE79" i="15" l="1"/>
  <c r="EE90" i="15" s="1"/>
  <c r="EF76" i="15"/>
  <c r="EF58" i="15"/>
  <c r="EF79" i="15" l="1"/>
  <c r="EF90" i="15" s="1"/>
  <c r="EG60" i="15"/>
  <c r="EG76" i="15" s="1"/>
  <c r="EG58" i="15"/>
  <c r="EG79" i="15" l="1"/>
  <c r="EG90" i="15" s="1"/>
  <c r="EH76" i="15"/>
  <c r="EH58" i="15"/>
  <c r="EH79" i="15" l="1"/>
  <c r="EH90" i="15" s="1"/>
  <c r="EI76" i="15"/>
  <c r="EI58" i="15"/>
  <c r="EI79" i="15" l="1"/>
  <c r="EI90" i="15" s="1"/>
  <c r="EJ76" i="15"/>
  <c r="EJ58" i="15"/>
  <c r="EJ79" i="15" l="1"/>
  <c r="EJ90" i="15" s="1"/>
  <c r="EK76" i="15"/>
  <c r="EK58" i="15"/>
  <c r="EK79" i="15" l="1"/>
  <c r="EK90" i="15" s="1"/>
  <c r="EL60" i="15"/>
  <c r="EL76" i="15" s="1"/>
  <c r="EL58" i="15"/>
  <c r="EL79" i="15" l="1"/>
  <c r="EL90" i="15" s="1"/>
  <c r="EM76" i="15"/>
  <c r="EM58" i="15"/>
  <c r="EM79" i="15" l="1"/>
  <c r="EM90" i="15" s="1"/>
  <c r="EN76" i="15"/>
  <c r="EN58" i="15"/>
  <c r="EN79" i="15" l="1"/>
  <c r="EN90" i="15" s="1"/>
  <c r="EO76" i="15"/>
  <c r="EO58" i="15"/>
  <c r="EO79" i="15" l="1"/>
  <c r="EO90" i="15" s="1"/>
  <c r="EP76" i="15"/>
  <c r="EP58" i="15"/>
  <c r="EP79" i="15" l="1"/>
  <c r="EP90" i="15" s="1"/>
  <c r="EQ60" i="15"/>
  <c r="EQ76" i="15" s="1"/>
  <c r="EQ58" i="15"/>
  <c r="EQ79" i="15" l="1"/>
  <c r="EQ90" i="15" s="1"/>
  <c r="ER76" i="15"/>
  <c r="ER58" i="15"/>
  <c r="ER79" i="15" l="1"/>
  <c r="ER90" i="15" s="1"/>
  <c r="ES76" i="15"/>
  <c r="ES58" i="15"/>
  <c r="ES79" i="15" l="1"/>
  <c r="ES90" i="15" s="1"/>
  <c r="ET76" i="15"/>
  <c r="ET58" i="15"/>
  <c r="ET79" i="15" l="1"/>
  <c r="ET90" i="15" s="1"/>
  <c r="EU76" i="15"/>
  <c r="EU58" i="15"/>
  <c r="EU79" i="15" l="1"/>
  <c r="EU90" i="15" s="1"/>
  <c r="EV60" i="15"/>
  <c r="EV76" i="15" s="1"/>
  <c r="EV58" i="15"/>
  <c r="EV79" i="15" l="1"/>
  <c r="EV90" i="15" s="1"/>
  <c r="EW76" i="15"/>
  <c r="EW58" i="15"/>
  <c r="EW79" i="15" l="1"/>
  <c r="EW90" i="15" s="1"/>
  <c r="EX76" i="15"/>
  <c r="EX58" i="15"/>
  <c r="EX79" i="15" l="1"/>
  <c r="EX90" i="15" s="1"/>
  <c r="EY76" i="15"/>
  <c r="EY58" i="15"/>
  <c r="EY79" i="15" l="1"/>
  <c r="EY90" i="15" s="1"/>
  <c r="EZ76" i="15"/>
  <c r="EZ58" i="15"/>
  <c r="EZ79" i="15" l="1"/>
  <c r="EZ90" i="15" s="1"/>
  <c r="FA60" i="15"/>
  <c r="FA76" i="15" s="1"/>
  <c r="FA58" i="15"/>
  <c r="FA79" i="15" l="1"/>
  <c r="FA90" i="15" s="1"/>
  <c r="FB76" i="15"/>
  <c r="FB58" i="15"/>
  <c r="FB79" i="15" l="1"/>
  <c r="FB90" i="15" s="1"/>
  <c r="FC76" i="15"/>
  <c r="FC58" i="15"/>
  <c r="FC79" i="15" l="1"/>
  <c r="FC90" i="15" s="1"/>
  <c r="FD76" i="15"/>
  <c r="FD58" i="15"/>
  <c r="FD79" i="15" l="1"/>
  <c r="FD90" i="15" s="1"/>
  <c r="FE76" i="15"/>
  <c r="FE58" i="15"/>
  <c r="FE79" i="15" l="1"/>
  <c r="FE90" i="15" s="1"/>
  <c r="FF60" i="15"/>
  <c r="FF76" i="15" s="1"/>
  <c r="FF58" i="15"/>
  <c r="FF79" i="15" l="1"/>
  <c r="FF90" i="15" s="1"/>
  <c r="FG76" i="15"/>
  <c r="FG58" i="15"/>
  <c r="FG79" i="15" l="1"/>
  <c r="FG90" i="15" s="1"/>
  <c r="FH76" i="15"/>
  <c r="FH58" i="15"/>
  <c r="FH79" i="15" l="1"/>
  <c r="FH90" i="15" s="1"/>
  <c r="FI76" i="15"/>
  <c r="FI58" i="15"/>
  <c r="FI79" i="15" l="1"/>
  <c r="FI90" i="15" s="1"/>
  <c r="FJ76" i="15"/>
  <c r="FJ58" i="15"/>
  <c r="FJ79" i="15" l="1"/>
  <c r="FJ90" i="15" s="1"/>
  <c r="FK60" i="15"/>
  <c r="FK76" i="15" s="1"/>
  <c r="FK58" i="15"/>
  <c r="FK79" i="15" l="1"/>
  <c r="FK90" i="15" s="1"/>
  <c r="FL76" i="15"/>
  <c r="FL58" i="15"/>
  <c r="FL79" i="15" l="1"/>
  <c r="FL90" i="15" s="1"/>
  <c r="FM76" i="15"/>
  <c r="FM58" i="15"/>
  <c r="FM79" i="15" l="1"/>
  <c r="FM90" i="15" s="1"/>
  <c r="FN76" i="15"/>
  <c r="FN58" i="15"/>
  <c r="FN79" i="15" l="1"/>
  <c r="FN90" i="15" s="1"/>
  <c r="FO76" i="15"/>
  <c r="FO58" i="15"/>
  <c r="FO79" i="15" l="1"/>
  <c r="FO90" i="15" s="1"/>
  <c r="FP60" i="15"/>
  <c r="FP76" i="15" s="1"/>
  <c r="FP58" i="15"/>
  <c r="FP79" i="15" l="1"/>
  <c r="FQ58" i="15"/>
  <c r="FP88" i="15"/>
  <c r="FP89" i="15" s="1"/>
  <c r="FQ76" i="15" l="1"/>
  <c r="FQ79" i="15"/>
  <c r="FQ90" i="15" s="1"/>
  <c r="FR76" i="15"/>
  <c r="FR58" i="15"/>
  <c r="FP90" i="15"/>
  <c r="FR79" i="15" l="1"/>
  <c r="FR90" i="15" s="1"/>
  <c r="FS61" i="15"/>
  <c r="FU61" i="15" s="1"/>
  <c r="FS76" i="15"/>
  <c r="FS58" i="15" l="1"/>
  <c r="FS79" i="15" l="1"/>
  <c r="FS90" i="15" s="1"/>
  <c r="FU60" i="15"/>
  <c r="P74" i="14" l="1"/>
  <c r="R70" i="14"/>
  <c r="S70" i="14" l="1"/>
  <c r="P73" i="14"/>
  <c r="P83" i="14" s="1"/>
  <c r="Q84" i="14"/>
  <c r="T70" i="14" l="1"/>
  <c r="U70" i="14" l="1"/>
  <c r="V70" i="14" l="1"/>
  <c r="W70" i="14" l="1"/>
  <c r="X70" i="14" l="1"/>
  <c r="Y70" i="14" l="1"/>
  <c r="Z70" i="14" l="1"/>
  <c r="AA70" i="14" l="1"/>
  <c r="AB70" i="14" l="1"/>
  <c r="AC70" i="14" l="1"/>
  <c r="AD70" i="14" l="1"/>
  <c r="R68" i="14"/>
  <c r="S68" i="14" s="1"/>
  <c r="T68" i="14" s="1"/>
  <c r="U68" i="14" s="1"/>
  <c r="V68" i="14" s="1"/>
  <c r="W68" i="14" s="1"/>
  <c r="X68" i="14" s="1"/>
  <c r="Y68" i="14" s="1"/>
  <c r="Z68" i="14" s="1"/>
  <c r="AA68" i="14" s="1"/>
  <c r="AB68" i="14" s="1"/>
  <c r="AC68" i="14" s="1"/>
  <c r="AD68" i="14" s="1"/>
  <c r="Q73" i="14" l="1"/>
  <c r="R63" i="14"/>
  <c r="Q64" i="14" l="1"/>
  <c r="R67" i="14"/>
  <c r="R69" i="14"/>
  <c r="R75" i="14"/>
  <c r="S63" i="14" l="1"/>
  <c r="S69" i="14" s="1"/>
  <c r="R73" i="14"/>
  <c r="R34" i="14" s="1"/>
  <c r="R64" i="14" l="1"/>
  <c r="S67" i="14"/>
  <c r="S75" i="14"/>
  <c r="S73" i="14"/>
  <c r="S34" i="14" s="1"/>
  <c r="T63" i="14" l="1"/>
  <c r="T64" i="14" s="1"/>
  <c r="T67" i="14" l="1"/>
  <c r="T69" i="14"/>
  <c r="T73" i="14" s="1"/>
  <c r="T34" i="14" s="1"/>
  <c r="S64" i="14"/>
  <c r="T75" i="14"/>
  <c r="U63" i="14" l="1"/>
  <c r="U64" i="14" s="1"/>
  <c r="U67" i="14" l="1"/>
  <c r="U69" i="14"/>
  <c r="U73" i="14" s="1"/>
  <c r="U34" i="14" s="1"/>
  <c r="U75" i="14"/>
  <c r="V63" i="14" l="1"/>
  <c r="V67" i="14" s="1"/>
  <c r="V64" i="14" l="1"/>
  <c r="V69" i="14"/>
  <c r="V73" i="14" s="1"/>
  <c r="V34" i="14" s="1"/>
  <c r="V75" i="14"/>
  <c r="W63" i="14"/>
  <c r="W69" i="14" l="1"/>
  <c r="W73" i="14" s="1"/>
  <c r="W34" i="14" s="1"/>
  <c r="W67" i="14"/>
  <c r="W75" i="14"/>
  <c r="W64" i="14"/>
  <c r="X63" i="14" l="1"/>
  <c r="X67" i="14" s="1"/>
  <c r="X64" i="14" l="1"/>
  <c r="X75" i="14"/>
  <c r="X69" i="14"/>
  <c r="X73" i="14" s="1"/>
  <c r="X34" i="14" s="1"/>
  <c r="Y63" i="14" l="1"/>
  <c r="Y75" i="14" l="1"/>
  <c r="Y69" i="14"/>
  <c r="Y73" i="14" s="1"/>
  <c r="Y34" i="14" s="1"/>
  <c r="Y67" i="14"/>
  <c r="Y64" i="14"/>
  <c r="Z63" i="14" l="1"/>
  <c r="Z67" i="14" s="1"/>
  <c r="Z69" i="14" l="1"/>
  <c r="Z73" i="14" s="1"/>
  <c r="Z34" i="14" s="1"/>
  <c r="Z75" i="14"/>
  <c r="Z64" i="14"/>
  <c r="AA63" i="14" l="1"/>
  <c r="AA69" i="14" s="1"/>
  <c r="AA73" i="14" s="1"/>
  <c r="AA34" i="14" s="1"/>
  <c r="AA64" i="14"/>
  <c r="AA75" i="14" l="1"/>
  <c r="AB63" i="14" s="1"/>
  <c r="AA67" i="14"/>
  <c r="AB67" i="14" l="1"/>
  <c r="AC63" i="14" s="1"/>
  <c r="AB64" i="14"/>
  <c r="AB75" i="14"/>
  <c r="AB69" i="14"/>
  <c r="AB73" i="14" s="1"/>
  <c r="AB34" i="14" s="1"/>
  <c r="K65" i="14"/>
  <c r="AC64" i="14" l="1"/>
  <c r="AC67" i="14"/>
  <c r="AC69" i="14"/>
  <c r="AC73" i="14" s="1"/>
  <c r="AC34" i="14" s="1"/>
  <c r="AC75" i="14"/>
  <c r="BU28" i="43"/>
  <c r="BU29" i="43" s="1"/>
  <c r="AD63" i="14" l="1"/>
  <c r="AD64" i="14" s="1"/>
  <c r="AD67" i="14"/>
  <c r="BW33" i="5"/>
  <c r="BX26" i="43"/>
  <c r="BX28" i="43" s="1"/>
  <c r="BX29" i="43" s="1"/>
  <c r="AD75" i="14" l="1"/>
  <c r="AD69" i="14"/>
  <c r="AD73" i="14" s="1"/>
  <c r="AD34" i="14" s="1"/>
  <c r="BW116" i="5"/>
  <c r="BW128" i="5" s="1"/>
  <c r="BW38" i="5"/>
  <c r="BW40" i="5" s="1"/>
  <c r="BW42" i="5" l="1"/>
  <c r="BW44" i="5" s="1"/>
  <c r="BW46" i="5" s="1"/>
  <c r="BW118" i="5" l="1"/>
  <c r="BW100" i="5"/>
  <c r="BW145" i="5" l="1"/>
  <c r="BW102" i="5"/>
  <c r="BW68" i="5"/>
  <c r="BW127" i="5"/>
  <c r="G172" i="7" l="1"/>
  <c r="G171" i="7" s="1"/>
  <c r="H168" i="7" s="1"/>
  <c r="I168" i="7" s="1"/>
  <c r="J168" i="7" s="1"/>
  <c r="K168" i="7" s="1"/>
  <c r="L168" i="7" s="1"/>
  <c r="M168" i="7" s="1"/>
  <c r="N168" i="7" s="1"/>
  <c r="O168" i="7" s="1"/>
  <c r="P168" i="7" s="1"/>
  <c r="Q168" i="7" s="1"/>
  <c r="R168" i="7" s="1"/>
  <c r="S168" i="7" s="1"/>
  <c r="T168" i="7" s="1"/>
  <c r="U168" i="7" s="1"/>
  <c r="V168" i="7" s="1"/>
  <c r="W168" i="7" s="1"/>
  <c r="X168" i="7" s="1"/>
  <c r="H170" i="7" l="1"/>
  <c r="I170" i="7" s="1"/>
  <c r="J170" i="7" s="1"/>
  <c r="K170" i="7" s="1"/>
  <c r="L170" i="7" s="1"/>
  <c r="M170" i="7" s="1"/>
  <c r="N170" i="7" s="1"/>
  <c r="O170" i="7" s="1"/>
  <c r="P170" i="7" s="1"/>
  <c r="Q170" i="7" s="1"/>
  <c r="R170" i="7" s="1"/>
  <c r="S170" i="7" s="1"/>
  <c r="T170" i="7" s="1"/>
  <c r="U170" i="7" s="1"/>
  <c r="V170" i="7" s="1"/>
  <c r="W170" i="7" s="1"/>
  <c r="X170" i="7" s="1"/>
  <c r="H169" i="7"/>
  <c r="I169" i="7" l="1"/>
  <c r="J169" i="7" l="1"/>
  <c r="K169" i="7" l="1"/>
  <c r="L169" i="7" l="1"/>
  <c r="K171" i="7"/>
  <c r="K172" i="7" s="1"/>
  <c r="K174" i="7" s="1"/>
  <c r="K181" i="7" l="1"/>
  <c r="K177" i="7"/>
  <c r="L171" i="7"/>
  <c r="L172" i="7" s="1"/>
  <c r="L174" i="7" s="1"/>
  <c r="M169" i="7"/>
  <c r="BX47" i="1" l="1"/>
  <c r="BY47" i="1"/>
  <c r="M171" i="7"/>
  <c r="M172" i="7" s="1"/>
  <c r="M174" i="7" s="1"/>
  <c r="N169" i="7"/>
  <c r="L176" i="7"/>
  <c r="M176" i="7" l="1"/>
  <c r="L181" i="7"/>
  <c r="CD24" i="1" s="1"/>
  <c r="L177" i="7"/>
  <c r="BY3" i="5"/>
  <c r="BY56" i="1"/>
  <c r="Q45" i="13" s="1"/>
  <c r="O169" i="7"/>
  <c r="N171" i="7"/>
  <c r="N172" i="7" s="1"/>
  <c r="N174" i="7" s="1"/>
  <c r="BX3" i="5"/>
  <c r="BX110" i="5" s="1"/>
  <c r="BX56" i="1"/>
  <c r="CA24" i="1" l="1"/>
  <c r="CA47" i="1" s="1"/>
  <c r="CB24" i="1"/>
  <c r="CB47" i="1" s="1"/>
  <c r="CC24" i="1"/>
  <c r="CC47" i="1" s="1"/>
  <c r="CD47" i="1"/>
  <c r="BZ47" i="1"/>
  <c r="O171" i="7"/>
  <c r="O172" i="7" s="1"/>
  <c r="O174" i="7" s="1"/>
  <c r="P169" i="7"/>
  <c r="Q61" i="13"/>
  <c r="Q57" i="13" s="1"/>
  <c r="Q65" i="13"/>
  <c r="Q69" i="13"/>
  <c r="Q110" i="13"/>
  <c r="Q164" i="13"/>
  <c r="Q182" i="13" s="1"/>
  <c r="M177" i="7"/>
  <c r="M181" i="7"/>
  <c r="CI24" i="1" s="1"/>
  <c r="BX7" i="5"/>
  <c r="BX121" i="5"/>
  <c r="BY7" i="5"/>
  <c r="BY121" i="5"/>
  <c r="N176" i="7"/>
  <c r="BX114" i="5" l="1"/>
  <c r="BX112" i="5"/>
  <c r="BZ3" i="5"/>
  <c r="BZ121" i="5" s="1"/>
  <c r="CA121" i="1"/>
  <c r="CA122" i="1" s="1"/>
  <c r="CA11" i="5" s="1"/>
  <c r="CA3" i="5"/>
  <c r="CA121" i="5" s="1"/>
  <c r="CC121" i="1"/>
  <c r="CC122" i="1" s="1"/>
  <c r="CC11" i="5" s="1"/>
  <c r="CC3" i="5"/>
  <c r="CC121" i="5" s="1"/>
  <c r="CB121" i="1"/>
  <c r="CB122" i="1" s="1"/>
  <c r="CB11" i="5" s="1"/>
  <c r="CB3" i="5"/>
  <c r="CB121" i="5" s="1"/>
  <c r="BY122" i="5"/>
  <c r="Q62" i="13"/>
  <c r="N177" i="7"/>
  <c r="N181" i="7"/>
  <c r="CN24" i="1" s="1"/>
  <c r="BX122" i="5"/>
  <c r="P171" i="7"/>
  <c r="P172" i="7" s="1"/>
  <c r="P174" i="7" s="1"/>
  <c r="P176" i="7" s="1"/>
  <c r="Q169" i="7"/>
  <c r="CE24" i="1"/>
  <c r="CE47" i="1" s="1"/>
  <c r="CF24" i="1"/>
  <c r="CF47" i="1" s="1"/>
  <c r="CG24" i="1"/>
  <c r="CG47" i="1" s="1"/>
  <c r="CH24" i="1"/>
  <c r="CH47" i="1" s="1"/>
  <c r="CI47" i="1"/>
  <c r="Q51" i="13"/>
  <c r="Q126" i="13"/>
  <c r="Q53" i="14"/>
  <c r="CD3" i="5"/>
  <c r="CD121" i="1"/>
  <c r="CD122" i="1" s="1"/>
  <c r="O176" i="7"/>
  <c r="CC112" i="1" l="1"/>
  <c r="CB112" i="1"/>
  <c r="CA124" i="5"/>
  <c r="CA110" i="5"/>
  <c r="CB124" i="5"/>
  <c r="CB110" i="5"/>
  <c r="CA112" i="1"/>
  <c r="CC110" i="5"/>
  <c r="CD121" i="5"/>
  <c r="O181" i="7"/>
  <c r="CS24" i="1" s="1"/>
  <c r="O177" i="7"/>
  <c r="P181" i="7"/>
  <c r="CX24" i="1" s="1"/>
  <c r="P177" i="7"/>
  <c r="R126" i="13"/>
  <c r="Q141" i="13"/>
  <c r="CH56" i="1"/>
  <c r="CH112" i="1"/>
  <c r="R169" i="7"/>
  <c r="Q171" i="7"/>
  <c r="Q172" i="7" s="1"/>
  <c r="Q174" i="7" s="1"/>
  <c r="Q176" i="7" s="1"/>
  <c r="CG56" i="1"/>
  <c r="CG112" i="1"/>
  <c r="BY14" i="5"/>
  <c r="BX51" i="5"/>
  <c r="BX125" i="5"/>
  <c r="Q170" i="13"/>
  <c r="CD11" i="5"/>
  <c r="CD112" i="1"/>
  <c r="Q172" i="13"/>
  <c r="CF56" i="1"/>
  <c r="CF112" i="1"/>
  <c r="CM24" i="1"/>
  <c r="CM47" i="1" s="1"/>
  <c r="CN47" i="1"/>
  <c r="CJ24" i="1"/>
  <c r="CJ47" i="1" s="1"/>
  <c r="CK24" i="1"/>
  <c r="CK47" i="1" s="1"/>
  <c r="CL24" i="1"/>
  <c r="CL47" i="1" s="1"/>
  <c r="CI3" i="5"/>
  <c r="CI56" i="1"/>
  <c r="S45" i="13" s="1"/>
  <c r="CI121" i="1"/>
  <c r="CI122" i="1" s="1"/>
  <c r="CE56" i="1"/>
  <c r="CE112" i="1"/>
  <c r="BY21" i="5"/>
  <c r="BX126" i="5"/>
  <c r="CN3" i="5" l="1"/>
  <c r="CN56" i="1"/>
  <c r="T45" i="13" s="1"/>
  <c r="CN121" i="1"/>
  <c r="CN122" i="1" s="1"/>
  <c r="R46" i="13"/>
  <c r="CD110" i="5"/>
  <c r="Q142" i="13"/>
  <c r="BY131" i="5"/>
  <c r="S61" i="13"/>
  <c r="S57" i="13" s="1"/>
  <c r="S105" i="13"/>
  <c r="S69" i="13"/>
  <c r="S65" i="13"/>
  <c r="S164" i="13"/>
  <c r="CM56" i="1"/>
  <c r="CM112" i="1"/>
  <c r="S169" i="7"/>
  <c r="R171" i="7"/>
  <c r="R172" i="7" s="1"/>
  <c r="R174" i="7" s="1"/>
  <c r="S126" i="13"/>
  <c r="CQ24" i="1"/>
  <c r="CQ47" i="1" s="1"/>
  <c r="CR24" i="1"/>
  <c r="CR47" i="1" s="1"/>
  <c r="CS47" i="1"/>
  <c r="CO24" i="1"/>
  <c r="CO47" i="1" s="1"/>
  <c r="CP24" i="1"/>
  <c r="CP47" i="1" s="1"/>
  <c r="CI11" i="5"/>
  <c r="CI112" i="1"/>
  <c r="BY112" i="5"/>
  <c r="BY126" i="5"/>
  <c r="CL56" i="1"/>
  <c r="CL112" i="1"/>
  <c r="CI7" i="5"/>
  <c r="CI121" i="5"/>
  <c r="CK56" i="1"/>
  <c r="CK112" i="1"/>
  <c r="Q47" i="13"/>
  <c r="Q144" i="13" s="1"/>
  <c r="BY114" i="5"/>
  <c r="BY125" i="5"/>
  <c r="BY51" i="5"/>
  <c r="CD125" i="5"/>
  <c r="CJ56" i="1"/>
  <c r="CJ112" i="1"/>
  <c r="Q177" i="7"/>
  <c r="Q181" i="7"/>
  <c r="DC24" i="1" s="1"/>
  <c r="CU24" i="1"/>
  <c r="CU47" i="1" s="1"/>
  <c r="CV24" i="1"/>
  <c r="CV47" i="1" s="1"/>
  <c r="CW24" i="1"/>
  <c r="CW47" i="1" s="1"/>
  <c r="CX47" i="1"/>
  <c r="CT24" i="1"/>
  <c r="CT47" i="1" s="1"/>
  <c r="CU56" i="1" l="1"/>
  <c r="CU112" i="1"/>
  <c r="S46" i="13"/>
  <c r="CI110" i="5"/>
  <c r="CI124" i="5"/>
  <c r="CR56" i="1"/>
  <c r="CR112" i="1"/>
  <c r="S51" i="13"/>
  <c r="S128" i="13"/>
  <c r="T128" i="13" s="1"/>
  <c r="U128" i="13" s="1"/>
  <c r="V128" i="13" s="1"/>
  <c r="W128" i="13" s="1"/>
  <c r="X128" i="13" s="1"/>
  <c r="Y128" i="13" s="1"/>
  <c r="Z128" i="13" s="1"/>
  <c r="AA128" i="13" s="1"/>
  <c r="AB128" i="13" s="1"/>
  <c r="AC128" i="13" s="1"/>
  <c r="AD128" i="13" s="1"/>
  <c r="S26" i="14"/>
  <c r="S53" i="14" s="1"/>
  <c r="R63" i="13"/>
  <c r="R71" i="13"/>
  <c r="R60" i="13" s="1"/>
  <c r="CT56" i="1"/>
  <c r="CT112" i="1"/>
  <c r="CX3" i="5"/>
  <c r="CX56" i="1"/>
  <c r="V45" i="13" s="1"/>
  <c r="CX121" i="1"/>
  <c r="CX122" i="1" s="1"/>
  <c r="CI12" i="5"/>
  <c r="CI114" i="5"/>
  <c r="CP56" i="1"/>
  <c r="CP112" i="1"/>
  <c r="CQ56" i="1"/>
  <c r="CQ112" i="1"/>
  <c r="T169" i="7"/>
  <c r="S171" i="7"/>
  <c r="S172" i="7" s="1"/>
  <c r="S174" i="7" s="1"/>
  <c r="S176" i="7" s="1"/>
  <c r="S9" i="13"/>
  <c r="CN11" i="5"/>
  <c r="CN112" i="1"/>
  <c r="CW56" i="1"/>
  <c r="CW112" i="1"/>
  <c r="Q73" i="13"/>
  <c r="Q76" i="13"/>
  <c r="Q145" i="13"/>
  <c r="R47" i="13"/>
  <c r="CI21" i="5"/>
  <c r="CD126" i="5"/>
  <c r="CD51" i="5"/>
  <c r="CO56" i="1"/>
  <c r="CO112" i="1"/>
  <c r="S5" i="13"/>
  <c r="S62" i="13"/>
  <c r="T61" i="13"/>
  <c r="T57" i="13" s="1"/>
  <c r="T65" i="13"/>
  <c r="T69" i="13"/>
  <c r="T105" i="13"/>
  <c r="T164" i="13"/>
  <c r="CV56" i="1"/>
  <c r="CV112" i="1"/>
  <c r="CY24" i="1"/>
  <c r="CY47" i="1" s="1"/>
  <c r="CZ24" i="1"/>
  <c r="CZ47" i="1" s="1"/>
  <c r="DA24" i="1"/>
  <c r="DA47" i="1" s="1"/>
  <c r="DB24" i="1"/>
  <c r="DB47" i="1" s="1"/>
  <c r="DC47" i="1"/>
  <c r="CS3" i="5"/>
  <c r="CS56" i="1"/>
  <c r="U45" i="13" s="1"/>
  <c r="CS121" i="1"/>
  <c r="CS122" i="1" s="1"/>
  <c r="T126" i="13"/>
  <c r="BW131" i="5"/>
  <c r="BW132" i="5" s="1"/>
  <c r="BW117" i="5" s="1"/>
  <c r="BW129" i="5" s="1"/>
  <c r="BX131" i="5"/>
  <c r="BU131" i="5"/>
  <c r="BU132" i="5" s="1"/>
  <c r="BU117" i="5" s="1"/>
  <c r="BU129" i="5" s="1"/>
  <c r="BV131" i="5"/>
  <c r="BV132" i="5" s="1"/>
  <c r="BV117" i="5" s="1"/>
  <c r="BV129" i="5" s="1"/>
  <c r="R176" i="7"/>
  <c r="CN7" i="5"/>
  <c r="CN121" i="5"/>
  <c r="S181" i="7" l="1"/>
  <c r="DM24" i="1" s="1"/>
  <c r="S177" i="7"/>
  <c r="S170" i="13"/>
  <c r="CS11" i="5"/>
  <c r="CS112" i="1"/>
  <c r="DB56" i="1"/>
  <c r="DB112" i="1"/>
  <c r="T5" i="13"/>
  <c r="T62" i="13"/>
  <c r="S47" i="13"/>
  <c r="CN21" i="5"/>
  <c r="CI112" i="5"/>
  <c r="CI126" i="5"/>
  <c r="CI51" i="5"/>
  <c r="Q178" i="13"/>
  <c r="V61" i="13"/>
  <c r="V65" i="13"/>
  <c r="V69" i="13"/>
  <c r="V105" i="13"/>
  <c r="V164" i="13"/>
  <c r="U61" i="13"/>
  <c r="U65" i="13"/>
  <c r="U69" i="13"/>
  <c r="U105" i="13"/>
  <c r="U164" i="13"/>
  <c r="DA56" i="1"/>
  <c r="DA112" i="1"/>
  <c r="S172" i="13"/>
  <c r="R21" i="13"/>
  <c r="R72" i="13"/>
  <c r="CS7" i="5"/>
  <c r="CS121" i="5"/>
  <c r="CZ56" i="1"/>
  <c r="CZ112" i="1"/>
  <c r="Q173" i="13"/>
  <c r="Q88" i="13"/>
  <c r="CI33" i="5"/>
  <c r="CI111" i="5"/>
  <c r="R6" i="13"/>
  <c r="CN12" i="5"/>
  <c r="CN122" i="5"/>
  <c r="CN114" i="5"/>
  <c r="R73" i="13"/>
  <c r="R76" i="13"/>
  <c r="R145" i="13"/>
  <c r="T46" i="13"/>
  <c r="CN110" i="5"/>
  <c r="CN124" i="5"/>
  <c r="CX7" i="5"/>
  <c r="CX121" i="5"/>
  <c r="S58" i="13"/>
  <c r="S63" i="13"/>
  <c r="S71" i="13"/>
  <c r="S60" i="13" s="1"/>
  <c r="S86" i="13"/>
  <c r="R181" i="7"/>
  <c r="DH24" i="1" s="1"/>
  <c r="R177" i="7"/>
  <c r="U126" i="13"/>
  <c r="DC3" i="5"/>
  <c r="DC56" i="1"/>
  <c r="W45" i="13" s="1"/>
  <c r="DC121" i="1"/>
  <c r="DC122" i="1" s="1"/>
  <c r="CY56" i="1"/>
  <c r="CY112" i="1"/>
  <c r="T51" i="13"/>
  <c r="T129" i="13"/>
  <c r="U129" i="13" s="1"/>
  <c r="V129" i="13" s="1"/>
  <c r="W129" i="13" s="1"/>
  <c r="X129" i="13" s="1"/>
  <c r="Y129" i="13" s="1"/>
  <c r="Z129" i="13" s="1"/>
  <c r="AA129" i="13" s="1"/>
  <c r="AB129" i="13" s="1"/>
  <c r="AC129" i="13" s="1"/>
  <c r="AD129" i="13" s="1"/>
  <c r="AA136" i="13"/>
  <c r="AB136" i="13" s="1"/>
  <c r="AC136" i="13" s="1"/>
  <c r="AD136" i="13" s="1"/>
  <c r="AB137" i="13"/>
  <c r="AC137" i="13" s="1"/>
  <c r="AD137" i="13" s="1"/>
  <c r="V131" i="13"/>
  <c r="W131" i="13" s="1"/>
  <c r="X131" i="13" s="1"/>
  <c r="Y131" i="13" s="1"/>
  <c r="Z131" i="13" s="1"/>
  <c r="AA131" i="13" s="1"/>
  <c r="AB131" i="13" s="1"/>
  <c r="AC131" i="13" s="1"/>
  <c r="AD131" i="13" s="1"/>
  <c r="Y134" i="13"/>
  <c r="Z134" i="13" s="1"/>
  <c r="AA134" i="13" s="1"/>
  <c r="AB134" i="13" s="1"/>
  <c r="AC134" i="13" s="1"/>
  <c r="AD134" i="13" s="1"/>
  <c r="AD139" i="13"/>
  <c r="W132" i="13"/>
  <c r="X132" i="13" s="1"/>
  <c r="Y132" i="13" s="1"/>
  <c r="Z132" i="13" s="1"/>
  <c r="AA132" i="13" s="1"/>
  <c r="AB132" i="13" s="1"/>
  <c r="AC132" i="13" s="1"/>
  <c r="AD132" i="13" s="1"/>
  <c r="X133" i="13"/>
  <c r="Y133" i="13" s="1"/>
  <c r="Z133" i="13" s="1"/>
  <c r="AA133" i="13" s="1"/>
  <c r="AB133" i="13" s="1"/>
  <c r="AC133" i="13" s="1"/>
  <c r="AD133" i="13" s="1"/>
  <c r="U130" i="13"/>
  <c r="V130" i="13" s="1"/>
  <c r="W130" i="13" s="1"/>
  <c r="X130" i="13" s="1"/>
  <c r="Y130" i="13" s="1"/>
  <c r="Z130" i="13" s="1"/>
  <c r="AA130" i="13" s="1"/>
  <c r="AB130" i="13" s="1"/>
  <c r="AC130" i="13" s="1"/>
  <c r="AD130" i="13" s="1"/>
  <c r="Z135" i="13"/>
  <c r="AA135" i="13" s="1"/>
  <c r="AB135" i="13" s="1"/>
  <c r="AC135" i="13" s="1"/>
  <c r="AD135" i="13" s="1"/>
  <c r="AC138" i="13"/>
  <c r="AD138" i="13" s="1"/>
  <c r="T26" i="14"/>
  <c r="T53" i="14" s="1"/>
  <c r="T9" i="13"/>
  <c r="T171" i="7"/>
  <c r="T172" i="7" s="1"/>
  <c r="T174" i="7" s="1"/>
  <c r="U169" i="7"/>
  <c r="CX11" i="5"/>
  <c r="CX112" i="1"/>
  <c r="Q179" i="13" l="1"/>
  <c r="W61" i="13"/>
  <c r="W57" i="13" s="1"/>
  <c r="W65" i="13"/>
  <c r="W105" i="13"/>
  <c r="W69" i="13"/>
  <c r="W164" i="13"/>
  <c r="CX12" i="5"/>
  <c r="CX114" i="5"/>
  <c r="CX122" i="5"/>
  <c r="CN33" i="5"/>
  <c r="CN111" i="5"/>
  <c r="S165" i="13"/>
  <c r="CI116" i="5"/>
  <c r="U5" i="13"/>
  <c r="U62" i="13"/>
  <c r="V9" i="13"/>
  <c r="T47" i="13"/>
  <c r="CS21" i="5"/>
  <c r="CN51" i="5"/>
  <c r="CN112" i="5"/>
  <c r="CN126" i="5"/>
  <c r="DC7" i="5"/>
  <c r="DC121" i="5"/>
  <c r="DG24" i="1"/>
  <c r="DG47" i="1" s="1"/>
  <c r="DH47" i="1"/>
  <c r="DD24" i="1"/>
  <c r="DD47" i="1" s="1"/>
  <c r="DE24" i="1"/>
  <c r="DE47" i="1" s="1"/>
  <c r="DF24" i="1"/>
  <c r="DF47" i="1" s="1"/>
  <c r="S6" i="13"/>
  <c r="S64" i="13"/>
  <c r="R28" i="13"/>
  <c r="T176" i="7"/>
  <c r="R177" i="13"/>
  <c r="U57" i="13"/>
  <c r="V5" i="13"/>
  <c r="V62" i="13"/>
  <c r="S76" i="13"/>
  <c r="S73" i="13"/>
  <c r="S145" i="13"/>
  <c r="T170" i="13"/>
  <c r="T16" i="14"/>
  <c r="R23" i="13"/>
  <c r="R178" i="13" s="1"/>
  <c r="R171" i="13"/>
  <c r="V57" i="13"/>
  <c r="U46" i="13"/>
  <c r="CS110" i="5"/>
  <c r="CS124" i="5"/>
  <c r="U171" i="7"/>
  <c r="U172" i="7" s="1"/>
  <c r="U174" i="7" s="1"/>
  <c r="U176" i="7" s="1"/>
  <c r="V169" i="7"/>
  <c r="V46" i="13"/>
  <c r="CX110" i="5"/>
  <c r="CX124" i="5"/>
  <c r="T172" i="13"/>
  <c r="T19" i="14"/>
  <c r="DC11" i="5"/>
  <c r="DC112" i="1"/>
  <c r="V126" i="13"/>
  <c r="S21" i="13"/>
  <c r="S72" i="13"/>
  <c r="T58" i="13"/>
  <c r="T63" i="13"/>
  <c r="T71" i="13"/>
  <c r="T60" i="13" s="1"/>
  <c r="T86" i="13"/>
  <c r="CS12" i="5"/>
  <c r="CS114" i="5"/>
  <c r="CS122" i="5"/>
  <c r="U51" i="13"/>
  <c r="U26" i="14"/>
  <c r="U53" i="14" s="1"/>
  <c r="U9" i="13"/>
  <c r="V51" i="13"/>
  <c r="V26" i="14"/>
  <c r="V53" i="14" s="1"/>
  <c r="DK24" i="1"/>
  <c r="DK47" i="1" s="1"/>
  <c r="DL24" i="1"/>
  <c r="DL47" i="1" s="1"/>
  <c r="DM47" i="1"/>
  <c r="DI24" i="1"/>
  <c r="DI47" i="1" s="1"/>
  <c r="DJ24" i="1"/>
  <c r="DJ47" i="1" s="1"/>
  <c r="U177" i="7" l="1"/>
  <c r="U181" i="7"/>
  <c r="DW24" i="1" s="1"/>
  <c r="DJ56" i="1"/>
  <c r="DJ112" i="1"/>
  <c r="W169" i="7"/>
  <c r="V171" i="7"/>
  <c r="V172" i="7" s="1"/>
  <c r="V174" i="7" s="1"/>
  <c r="V176" i="7" s="1"/>
  <c r="S28" i="13"/>
  <c r="DD56" i="1"/>
  <c r="DD112" i="1"/>
  <c r="DC12" i="5"/>
  <c r="DC122" i="5"/>
  <c r="DC114" i="5"/>
  <c r="U47" i="13"/>
  <c r="CX21" i="5"/>
  <c r="CX33" i="5" s="1"/>
  <c r="CS51" i="5"/>
  <c r="CS112" i="5"/>
  <c r="CS126" i="5"/>
  <c r="W51" i="13"/>
  <c r="W26" i="14"/>
  <c r="W53" i="14" s="1"/>
  <c r="DL56" i="1"/>
  <c r="DL112" i="1"/>
  <c r="DI56" i="1"/>
  <c r="DI112" i="1"/>
  <c r="U172" i="13"/>
  <c r="U19" i="14"/>
  <c r="T21" i="13"/>
  <c r="T72" i="13"/>
  <c r="S177" i="13"/>
  <c r="W46" i="13"/>
  <c r="DC110" i="5"/>
  <c r="DC124" i="5"/>
  <c r="S171" i="13"/>
  <c r="S17" i="14"/>
  <c r="DH3" i="5"/>
  <c r="DH56" i="1"/>
  <c r="X45" i="13" s="1"/>
  <c r="DH121" i="1"/>
  <c r="DH122" i="1" s="1"/>
  <c r="T73" i="13"/>
  <c r="T76" i="13"/>
  <c r="T145" i="13"/>
  <c r="U170" i="13"/>
  <c r="U16" i="14"/>
  <c r="W9" i="13"/>
  <c r="DK56" i="1"/>
  <c r="DK112" i="1"/>
  <c r="DM3" i="5"/>
  <c r="DM56" i="1"/>
  <c r="Y45" i="13" s="1"/>
  <c r="DM121" i="1"/>
  <c r="DM122" i="1" s="1"/>
  <c r="CS33" i="5"/>
  <c r="CS111" i="5"/>
  <c r="T6" i="13"/>
  <c r="T64" i="13"/>
  <c r="W126" i="13"/>
  <c r="U58" i="13"/>
  <c r="U63" i="13"/>
  <c r="U71" i="13"/>
  <c r="U60" i="13" s="1"/>
  <c r="U86" i="13"/>
  <c r="V170" i="13"/>
  <c r="V16" i="14"/>
  <c r="R24" i="13"/>
  <c r="R29" i="13" s="1"/>
  <c r="DF56" i="1"/>
  <c r="DF112" i="1"/>
  <c r="DG56" i="1"/>
  <c r="DG112" i="1"/>
  <c r="CX111" i="5"/>
  <c r="V58" i="13"/>
  <c r="V63" i="13"/>
  <c r="V71" i="13"/>
  <c r="V60" i="13" s="1"/>
  <c r="V86" i="13"/>
  <c r="S23" i="13"/>
  <c r="S178" i="13" s="1"/>
  <c r="T177" i="7"/>
  <c r="T181" i="7"/>
  <c r="DR24" i="1" s="1"/>
  <c r="R179" i="13"/>
  <c r="R180" i="13" s="1"/>
  <c r="R22" i="14"/>
  <c r="DE56" i="1"/>
  <c r="DE112" i="1"/>
  <c r="V172" i="13"/>
  <c r="V19" i="14"/>
  <c r="T165" i="13"/>
  <c r="CN116" i="5"/>
  <c r="CN128" i="5" s="1"/>
  <c r="W5" i="13"/>
  <c r="W62" i="13"/>
  <c r="DM11" i="5" l="1"/>
  <c r="DM112" i="1"/>
  <c r="W172" i="13"/>
  <c r="W19" i="14"/>
  <c r="DH11" i="5"/>
  <c r="DH112" i="1"/>
  <c r="S24" i="13"/>
  <c r="S29" i="13" s="1"/>
  <c r="V47" i="13"/>
  <c r="DC21" i="5"/>
  <c r="CX126" i="5"/>
  <c r="CX51" i="5"/>
  <c r="CX112" i="5"/>
  <c r="DC33" i="5"/>
  <c r="DC111" i="5"/>
  <c r="S179" i="13"/>
  <c r="S180" i="13" s="1"/>
  <c r="S22" i="14"/>
  <c r="V165" i="13"/>
  <c r="CX116" i="5"/>
  <c r="T171" i="13"/>
  <c r="T17" i="14"/>
  <c r="Y61" i="13"/>
  <c r="Y57" i="13" s="1"/>
  <c r="Y65" i="13"/>
  <c r="Y69" i="13"/>
  <c r="Y105" i="13"/>
  <c r="Y164" i="13"/>
  <c r="X61" i="13"/>
  <c r="X57" i="13" s="1"/>
  <c r="X65" i="13"/>
  <c r="X69" i="13"/>
  <c r="X105" i="13"/>
  <c r="X164" i="13"/>
  <c r="W58" i="13"/>
  <c r="W63" i="13"/>
  <c r="W86" i="13"/>
  <c r="W71" i="13"/>
  <c r="U73" i="13"/>
  <c r="U76" i="13"/>
  <c r="U145" i="13"/>
  <c r="W170" i="13"/>
  <c r="W16" i="14"/>
  <c r="R78" i="13"/>
  <c r="R75" i="13"/>
  <c r="U21" i="13"/>
  <c r="U72" i="13"/>
  <c r="DM7" i="5"/>
  <c r="DM121" i="5"/>
  <c r="T28" i="13"/>
  <c r="DH7" i="5"/>
  <c r="DH121" i="5"/>
  <c r="V177" i="7"/>
  <c r="V181" i="7"/>
  <c r="EB24" i="1" s="1"/>
  <c r="S21" i="14"/>
  <c r="T177" i="13"/>
  <c r="X169" i="7"/>
  <c r="X171" i="7" s="1"/>
  <c r="X172" i="7" s="1"/>
  <c r="X174" i="7" s="1"/>
  <c r="W171" i="7"/>
  <c r="W172" i="7" s="1"/>
  <c r="W174" i="7" s="1"/>
  <c r="DS24" i="1"/>
  <c r="DS47" i="1" s="1"/>
  <c r="DT24" i="1"/>
  <c r="DT47" i="1" s="1"/>
  <c r="DU24" i="1"/>
  <c r="DU47" i="1" s="1"/>
  <c r="DV24" i="1"/>
  <c r="DV47" i="1" s="1"/>
  <c r="DW47" i="1"/>
  <c r="V6" i="13"/>
  <c r="V64" i="13"/>
  <c r="DO24" i="1"/>
  <c r="DO47" i="1" s="1"/>
  <c r="DP24" i="1"/>
  <c r="DP47" i="1" s="1"/>
  <c r="DQ24" i="1"/>
  <c r="DQ47" i="1" s="1"/>
  <c r="DR47" i="1"/>
  <c r="DN24" i="1"/>
  <c r="DN47" i="1" s="1"/>
  <c r="V21" i="13"/>
  <c r="U6" i="13"/>
  <c r="U64" i="13"/>
  <c r="X126" i="13"/>
  <c r="U165" i="13"/>
  <c r="CS116" i="5"/>
  <c r="CS128" i="5" s="1"/>
  <c r="T23" i="13"/>
  <c r="T178" i="13" s="1"/>
  <c r="V72" i="13" l="1"/>
  <c r="DR3" i="5"/>
  <c r="DR56" i="1"/>
  <c r="Z45" i="13" s="1"/>
  <c r="DR121" i="1"/>
  <c r="DR122" i="1" s="1"/>
  <c r="DV56" i="1"/>
  <c r="DV112" i="1"/>
  <c r="X176" i="7"/>
  <c r="T24" i="13"/>
  <c r="T29" i="13" s="1"/>
  <c r="U23" i="13"/>
  <c r="U178" i="13" s="1"/>
  <c r="W6" i="13"/>
  <c r="W64" i="13"/>
  <c r="CX128" i="5"/>
  <c r="S78" i="13"/>
  <c r="S75" i="13"/>
  <c r="DU56" i="1"/>
  <c r="DU112" i="1"/>
  <c r="DH12" i="5"/>
  <c r="DH122" i="5"/>
  <c r="DH114" i="5"/>
  <c r="DM12" i="5"/>
  <c r="DM114" i="5"/>
  <c r="DM122" i="5"/>
  <c r="W21" i="13"/>
  <c r="Y46" i="13"/>
  <c r="DM110" i="5"/>
  <c r="DM124" i="5"/>
  <c r="U171" i="13"/>
  <c r="U17" i="14"/>
  <c r="DQ56" i="1"/>
  <c r="DQ112" i="1"/>
  <c r="DP56" i="1"/>
  <c r="DP112" i="1"/>
  <c r="DT56" i="1"/>
  <c r="DT112" i="1"/>
  <c r="T21" i="14"/>
  <c r="EA24" i="1"/>
  <c r="EA47" i="1" s="1"/>
  <c r="EB47" i="1"/>
  <c r="DX24" i="1"/>
  <c r="DX47" i="1" s="1"/>
  <c r="DY24" i="1"/>
  <c r="DY47" i="1" s="1"/>
  <c r="DZ24" i="1"/>
  <c r="DZ47" i="1" s="1"/>
  <c r="X51" i="13"/>
  <c r="X26" i="14"/>
  <c r="X53" i="14" s="1"/>
  <c r="X9" i="13"/>
  <c r="Y51" i="13"/>
  <c r="Y26" i="14"/>
  <c r="Y53" i="14" s="1"/>
  <c r="Y9" i="13"/>
  <c r="W165" i="13"/>
  <c r="DC116" i="5"/>
  <c r="DC128" i="5" s="1"/>
  <c r="W47" i="13"/>
  <c r="W72" i="13" s="1"/>
  <c r="DH21" i="5"/>
  <c r="DC112" i="5"/>
  <c r="DC126" i="5"/>
  <c r="DC51" i="5"/>
  <c r="Y126" i="13"/>
  <c r="V177" i="13"/>
  <c r="DN56" i="1"/>
  <c r="DN112" i="1"/>
  <c r="DO56" i="1"/>
  <c r="DO112" i="1"/>
  <c r="V171" i="13"/>
  <c r="V17" i="14"/>
  <c r="DW3" i="5"/>
  <c r="DW56" i="1"/>
  <c r="AA45" i="13" s="1"/>
  <c r="DW121" i="1"/>
  <c r="DW122" i="1" s="1"/>
  <c r="DS56" i="1"/>
  <c r="DS112" i="1"/>
  <c r="T179" i="13"/>
  <c r="T180" i="13" s="1"/>
  <c r="T22" i="14"/>
  <c r="U177" i="13"/>
  <c r="W176" i="7"/>
  <c r="U28" i="13"/>
  <c r="W60" i="13"/>
  <c r="X5" i="13"/>
  <c r="X62" i="13"/>
  <c r="Y5" i="13"/>
  <c r="Y62" i="13"/>
  <c r="V73" i="13"/>
  <c r="V76" i="13"/>
  <c r="V145" i="13"/>
  <c r="X46" i="13"/>
  <c r="DH110" i="5"/>
  <c r="DH124" i="5"/>
  <c r="U21" i="14" l="1"/>
  <c r="U24" i="13"/>
  <c r="U29" i="13" s="1"/>
  <c r="X58" i="13"/>
  <c r="X63" i="13"/>
  <c r="X71" i="13"/>
  <c r="X86" i="13"/>
  <c r="W181" i="7"/>
  <c r="EG24" i="1" s="1"/>
  <c r="W177" i="7"/>
  <c r="Y170" i="13"/>
  <c r="Y16" i="14"/>
  <c r="DY56" i="1"/>
  <c r="DY112" i="1"/>
  <c r="X181" i="7"/>
  <c r="EL24" i="1" s="1"/>
  <c r="X177" i="7"/>
  <c r="Z61" i="13"/>
  <c r="Z65" i="13"/>
  <c r="Z69" i="13"/>
  <c r="Z164" i="13"/>
  <c r="Z105" i="13"/>
  <c r="DW7" i="5"/>
  <c r="DW121" i="5"/>
  <c r="DW11" i="5"/>
  <c r="DW112" i="1"/>
  <c r="X47" i="13"/>
  <c r="DM21" i="5"/>
  <c r="DH51" i="5"/>
  <c r="DH112" i="5"/>
  <c r="DH126" i="5"/>
  <c r="DX56" i="1"/>
  <c r="DX112" i="1"/>
  <c r="W177" i="13"/>
  <c r="W171" i="13"/>
  <c r="W17" i="14"/>
  <c r="DR7" i="5"/>
  <c r="DR121" i="5"/>
  <c r="V28" i="13"/>
  <c r="V23" i="13"/>
  <c r="X170" i="13"/>
  <c r="X16" i="14"/>
  <c r="U179" i="13"/>
  <c r="U180" i="13" s="1"/>
  <c r="U22" i="14"/>
  <c r="AA61" i="13"/>
  <c r="AA57" i="13" s="1"/>
  <c r="AA69" i="13"/>
  <c r="AA65" i="13"/>
  <c r="AA105" i="13"/>
  <c r="AA164" i="13"/>
  <c r="Z126" i="13"/>
  <c r="W73" i="13"/>
  <c r="W76" i="13"/>
  <c r="W145" i="13"/>
  <c r="EB3" i="5"/>
  <c r="EB56" i="1"/>
  <c r="AB45" i="13" s="1"/>
  <c r="EB121" i="1"/>
  <c r="EB122" i="1" s="1"/>
  <c r="DH33" i="5"/>
  <c r="DH111" i="5"/>
  <c r="Y172" i="13"/>
  <c r="Y19" i="14"/>
  <c r="X172" i="13"/>
  <c r="X19" i="14"/>
  <c r="DZ56" i="1"/>
  <c r="DZ112" i="1"/>
  <c r="EA56" i="1"/>
  <c r="EA112" i="1"/>
  <c r="Y58" i="13"/>
  <c r="Y63" i="13"/>
  <c r="Y71" i="13"/>
  <c r="Y60" i="13" s="1"/>
  <c r="Y86" i="13"/>
  <c r="DM33" i="5"/>
  <c r="DM111" i="5"/>
  <c r="T78" i="13"/>
  <c r="T75" i="13"/>
  <c r="DR11" i="5"/>
  <c r="DR112" i="1"/>
  <c r="U75" i="13" l="1"/>
  <c r="U78" i="13"/>
  <c r="AB61" i="13"/>
  <c r="AB57" i="13" s="1"/>
  <c r="AB65" i="13"/>
  <c r="AB69" i="13"/>
  <c r="AB105" i="13"/>
  <c r="AB164" i="13"/>
  <c r="AA126" i="13"/>
  <c r="V178" i="13"/>
  <c r="V21" i="14"/>
  <c r="V24" i="13"/>
  <c r="V29" i="13" s="1"/>
  <c r="Z9" i="13"/>
  <c r="EI24" i="1"/>
  <c r="EI47" i="1" s="1"/>
  <c r="EJ24" i="1"/>
  <c r="EJ47" i="1" s="1"/>
  <c r="EK24" i="1"/>
  <c r="EK47" i="1" s="1"/>
  <c r="EL47" i="1"/>
  <c r="EH24" i="1"/>
  <c r="EH47" i="1" s="1"/>
  <c r="X21" i="13"/>
  <c r="X72" i="13"/>
  <c r="Y21" i="13"/>
  <c r="EB7" i="5"/>
  <c r="EB121" i="5"/>
  <c r="AA51" i="13"/>
  <c r="AA26" i="14"/>
  <c r="AA53" i="14" s="1"/>
  <c r="AA5" i="13"/>
  <c r="AA62" i="13"/>
  <c r="Y47" i="13"/>
  <c r="Y72" i="13" s="1"/>
  <c r="DR21" i="5"/>
  <c r="DM51" i="5"/>
  <c r="DM112" i="5"/>
  <c r="DM126" i="5"/>
  <c r="AA46" i="13"/>
  <c r="DW110" i="5"/>
  <c r="DW124" i="5"/>
  <c r="Z5" i="13"/>
  <c r="Z62" i="13"/>
  <c r="EE24" i="1"/>
  <c r="EE47" i="1" s="1"/>
  <c r="EF24" i="1"/>
  <c r="EF47" i="1" s="1"/>
  <c r="EG47" i="1"/>
  <c r="EC24" i="1"/>
  <c r="EC47" i="1" s="1"/>
  <c r="ED24" i="1"/>
  <c r="ED47" i="1" s="1"/>
  <c r="X6" i="13"/>
  <c r="X64" i="13"/>
  <c r="W28" i="13"/>
  <c r="Y6" i="13"/>
  <c r="Y64" i="13"/>
  <c r="X165" i="13"/>
  <c r="DH116" i="5"/>
  <c r="DH128" i="5" s="1"/>
  <c r="W23" i="13"/>
  <c r="AA9" i="13"/>
  <c r="DR12" i="5"/>
  <c r="DR114" i="5"/>
  <c r="DR122" i="5"/>
  <c r="X73" i="13"/>
  <c r="X76" i="13"/>
  <c r="X145" i="13"/>
  <c r="Z51" i="13"/>
  <c r="Z26" i="14"/>
  <c r="Z53" i="14" s="1"/>
  <c r="Z57" i="13"/>
  <c r="X60" i="13"/>
  <c r="Z46" i="13"/>
  <c r="DR110" i="5"/>
  <c r="DR124" i="5"/>
  <c r="Y165" i="13"/>
  <c r="DM116" i="5"/>
  <c r="EB11" i="5"/>
  <c r="EB112" i="1"/>
  <c r="V179" i="13"/>
  <c r="V22" i="14"/>
  <c r="DW12" i="5"/>
  <c r="DW122" i="5"/>
  <c r="DW114" i="5"/>
  <c r="DM128" i="5" l="1"/>
  <c r="Z58" i="13"/>
  <c r="Z63" i="13"/>
  <c r="Z71" i="13"/>
  <c r="Z60" i="13" s="1"/>
  <c r="Z86" i="13"/>
  <c r="X23" i="13"/>
  <c r="X178" i="13" s="1"/>
  <c r="W178" i="13"/>
  <c r="W24" i="13"/>
  <c r="W29" i="13" s="1"/>
  <c r="W21" i="14"/>
  <c r="W179" i="13"/>
  <c r="W22" i="14"/>
  <c r="EC56" i="1"/>
  <c r="EC112" i="1"/>
  <c r="EJ56" i="1"/>
  <c r="EJ112" i="1"/>
  <c r="V75" i="13"/>
  <c r="V78" i="13"/>
  <c r="AB126" i="13"/>
  <c r="AB51" i="13"/>
  <c r="AB26" i="14"/>
  <c r="AB53" i="14" s="1"/>
  <c r="AB9" i="13"/>
  <c r="DW111" i="5"/>
  <c r="EG3" i="5"/>
  <c r="EG56" i="1"/>
  <c r="AC45" i="13" s="1"/>
  <c r="EG121" i="1"/>
  <c r="EG122" i="1" s="1"/>
  <c r="AA58" i="13"/>
  <c r="AA63" i="13"/>
  <c r="AA71" i="13"/>
  <c r="AA86" i="13"/>
  <c r="Z47" i="13"/>
  <c r="DW21" i="5"/>
  <c r="DW33" i="5" s="1"/>
  <c r="DR126" i="5"/>
  <c r="DR51" i="5"/>
  <c r="DR112" i="5"/>
  <c r="Y177" i="13"/>
  <c r="EH56" i="1"/>
  <c r="EH112" i="1"/>
  <c r="EI56" i="1"/>
  <c r="EI112" i="1"/>
  <c r="AB5" i="13"/>
  <c r="AB62" i="13"/>
  <c r="AB46" i="13"/>
  <c r="EB110" i="5"/>
  <c r="EB124" i="5"/>
  <c r="AA172" i="13"/>
  <c r="AA19" i="14"/>
  <c r="Y171" i="13"/>
  <c r="Y17" i="14"/>
  <c r="X171" i="13"/>
  <c r="X17" i="14"/>
  <c r="EF56" i="1"/>
  <c r="EF112" i="1"/>
  <c r="Z170" i="13"/>
  <c r="Z16" i="14"/>
  <c r="Y73" i="13"/>
  <c r="Y76" i="13"/>
  <c r="Y145" i="13"/>
  <c r="AA170" i="13"/>
  <c r="AA16" i="14"/>
  <c r="EL3" i="5"/>
  <c r="EL56" i="1"/>
  <c r="AD45" i="13" s="1"/>
  <c r="EL121" i="1"/>
  <c r="EL122" i="1" s="1"/>
  <c r="V180" i="13"/>
  <c r="X28" i="13"/>
  <c r="DR33" i="5"/>
  <c r="DR111" i="5"/>
  <c r="ED56" i="1"/>
  <c r="ED112" i="1"/>
  <c r="EE56" i="1"/>
  <c r="EE112" i="1"/>
  <c r="EB12" i="5"/>
  <c r="EB122" i="5"/>
  <c r="EB114" i="5"/>
  <c r="X177" i="13"/>
  <c r="EK56" i="1"/>
  <c r="EK112" i="1"/>
  <c r="Z172" i="13"/>
  <c r="Z19" i="14"/>
  <c r="X21" i="14" l="1"/>
  <c r="X24" i="13"/>
  <c r="X29" i="13" s="1"/>
  <c r="X75" i="13" s="1"/>
  <c r="EB111" i="5"/>
  <c r="Y23" i="13"/>
  <c r="AB58" i="13"/>
  <c r="AB63" i="13"/>
  <c r="AB71" i="13"/>
  <c r="AB60" i="13" s="1"/>
  <c r="AB86" i="13"/>
  <c r="AA165" i="13"/>
  <c r="DW116" i="5"/>
  <c r="AA21" i="13"/>
  <c r="EG11" i="5"/>
  <c r="EG112" i="1"/>
  <c r="Z21" i="13"/>
  <c r="Z72" i="13"/>
  <c r="AD61" i="13"/>
  <c r="AD57" i="13" s="1"/>
  <c r="AD65" i="13"/>
  <c r="AD69" i="13"/>
  <c r="AD164" i="13"/>
  <c r="AD105" i="13"/>
  <c r="AB170" i="13"/>
  <c r="AB16" i="14"/>
  <c r="AA47" i="13"/>
  <c r="EB21" i="5"/>
  <c r="EB33" i="5" s="1"/>
  <c r="DW112" i="5"/>
  <c r="DW126" i="5"/>
  <c r="DW51" i="5"/>
  <c r="AA60" i="13"/>
  <c r="AC61" i="13"/>
  <c r="AC57" i="13" s="1"/>
  <c r="AC65" i="13"/>
  <c r="AC69" i="13"/>
  <c r="AC105" i="13"/>
  <c r="AC164" i="13"/>
  <c r="AB172" i="13"/>
  <c r="AB19" i="14"/>
  <c r="AC126" i="13"/>
  <c r="W78" i="13"/>
  <c r="W75" i="13"/>
  <c r="Z6" i="13"/>
  <c r="Z64" i="13"/>
  <c r="EL11" i="5"/>
  <c r="EL112" i="1"/>
  <c r="Z165" i="13"/>
  <c r="DR116" i="5"/>
  <c r="DR128" i="5" s="1"/>
  <c r="X179" i="13"/>
  <c r="X180" i="13" s="1"/>
  <c r="X22" i="14"/>
  <c r="EL7" i="5"/>
  <c r="EL121" i="5"/>
  <c r="Y28" i="13"/>
  <c r="Z73" i="13"/>
  <c r="Z76" i="13"/>
  <c r="Z145" i="13"/>
  <c r="AA6" i="13"/>
  <c r="AA64" i="13"/>
  <c r="EG7" i="5"/>
  <c r="EG121" i="5"/>
  <c r="W180" i="13"/>
  <c r="X78" i="13" l="1"/>
  <c r="AB165" i="13"/>
  <c r="EB116" i="5"/>
  <c r="EB128" i="5" s="1"/>
  <c r="EG12" i="5"/>
  <c r="EG114" i="5"/>
  <c r="EG122" i="5"/>
  <c r="Z28" i="13"/>
  <c r="AC5" i="13"/>
  <c r="AC62" i="13"/>
  <c r="AD51" i="13"/>
  <c r="AD26" i="14"/>
  <c r="AD53" i="14" s="1"/>
  <c r="Z177" i="13"/>
  <c r="AA72" i="13"/>
  <c r="Z23" i="13"/>
  <c r="Z178" i="13" s="1"/>
  <c r="AD46" i="13"/>
  <c r="EL110" i="5"/>
  <c r="EL124" i="5"/>
  <c r="AA177" i="13"/>
  <c r="DW128" i="5"/>
  <c r="AB47" i="13"/>
  <c r="AB72" i="13" s="1"/>
  <c r="EG21" i="5"/>
  <c r="EB112" i="5"/>
  <c r="EB126" i="5"/>
  <c r="AD9" i="13"/>
  <c r="AB21" i="13"/>
  <c r="EL12" i="5"/>
  <c r="EL114" i="5"/>
  <c r="EL122" i="5"/>
  <c r="AA171" i="13"/>
  <c r="AA17" i="14"/>
  <c r="Y179" i="13"/>
  <c r="Y22" i="14"/>
  <c r="Z171" i="13"/>
  <c r="Z17" i="14"/>
  <c r="AD126" i="13"/>
  <c r="AC51" i="13"/>
  <c r="AC26" i="14"/>
  <c r="AC53" i="14" s="1"/>
  <c r="AC9" i="13"/>
  <c r="AA76" i="13"/>
  <c r="AA73" i="13"/>
  <c r="AA145" i="13"/>
  <c r="AD5" i="13"/>
  <c r="AD62" i="13"/>
  <c r="AC46" i="13"/>
  <c r="EG110" i="5"/>
  <c r="EG124" i="5"/>
  <c r="AB6" i="13"/>
  <c r="AB64" i="13"/>
  <c r="Y178" i="13"/>
  <c r="Y24" i="13"/>
  <c r="Y29" i="13" s="1"/>
  <c r="Y21" i="14"/>
  <c r="Y180" i="13" l="1"/>
  <c r="AC58" i="13"/>
  <c r="AC63" i="13"/>
  <c r="AC71" i="13"/>
  <c r="AC60" i="13" s="1"/>
  <c r="AC86" i="13"/>
  <c r="AA23" i="13"/>
  <c r="AA28" i="13"/>
  <c r="AC47" i="13"/>
  <c r="EL21" i="5"/>
  <c r="EL33" i="5" s="1"/>
  <c r="EG112" i="5"/>
  <c r="EG126" i="5"/>
  <c r="Z24" i="13"/>
  <c r="Z29" i="13" s="1"/>
  <c r="AC170" i="13"/>
  <c r="AC16" i="14"/>
  <c r="EG33" i="5"/>
  <c r="EG111" i="5"/>
  <c r="AB171" i="13"/>
  <c r="AB17" i="14"/>
  <c r="AD170" i="13"/>
  <c r="AD16" i="14"/>
  <c r="EL111" i="5"/>
  <c r="AD172" i="13"/>
  <c r="AD19" i="14"/>
  <c r="AB73" i="13"/>
  <c r="AB76" i="13"/>
  <c r="AB145" i="13"/>
  <c r="Z179" i="13"/>
  <c r="Z180" i="13" s="1"/>
  <c r="Z22" i="14"/>
  <c r="AC172" i="13"/>
  <c r="AC19" i="14"/>
  <c r="AD58" i="13"/>
  <c r="AD63" i="13"/>
  <c r="AD71" i="13"/>
  <c r="AD60" i="13" s="1"/>
  <c r="AD86" i="13"/>
  <c r="Z21" i="14"/>
  <c r="Y75" i="13"/>
  <c r="Y78" i="13"/>
  <c r="AB177" i="13"/>
  <c r="AD165" i="13" l="1"/>
  <c r="EL116" i="5"/>
  <c r="AC165" i="13"/>
  <c r="EG116" i="5"/>
  <c r="EG128" i="5" s="1"/>
  <c r="AC73" i="13"/>
  <c r="AC76" i="13"/>
  <c r="AC145" i="13"/>
  <c r="AC6" i="13"/>
  <c r="AC64" i="13"/>
  <c r="AA178" i="13"/>
  <c r="AA24" i="13"/>
  <c r="AA29" i="13" s="1"/>
  <c r="AA21" i="14"/>
  <c r="AD21" i="13"/>
  <c r="AB28" i="13"/>
  <c r="AD6" i="13"/>
  <c r="AD64" i="13"/>
  <c r="AB23" i="13"/>
  <c r="Z75" i="13"/>
  <c r="Z78" i="13"/>
  <c r="AD47" i="13"/>
  <c r="EL126" i="5"/>
  <c r="EL112" i="5"/>
  <c r="AA179" i="13"/>
  <c r="AA22" i="14"/>
  <c r="AC21" i="13"/>
  <c r="AC72" i="13"/>
  <c r="EL128" i="5" l="1"/>
  <c r="AD171" i="13"/>
  <c r="AD17" i="14"/>
  <c r="AD177" i="13"/>
  <c r="AC23" i="13"/>
  <c r="AC178" i="13" s="1"/>
  <c r="AC171" i="13"/>
  <c r="AC17" i="14"/>
  <c r="AB178" i="13"/>
  <c r="AB21" i="14"/>
  <c r="AB24" i="13"/>
  <c r="AB29" i="13" s="1"/>
  <c r="AB179" i="13"/>
  <c r="AB22" i="14"/>
  <c r="AA78" i="13"/>
  <c r="AA75" i="13"/>
  <c r="AD73" i="13"/>
  <c r="AD76" i="13"/>
  <c r="AD145" i="13"/>
  <c r="AC177" i="13"/>
  <c r="AD72" i="13"/>
  <c r="AA180" i="13"/>
  <c r="AC28" i="13"/>
  <c r="AC21" i="14" l="1"/>
  <c r="AC24" i="13"/>
  <c r="AC29" i="13" s="1"/>
  <c r="AB180" i="13"/>
  <c r="AD28" i="13"/>
  <c r="AD23" i="13"/>
  <c r="AB75" i="13"/>
  <c r="AB78" i="13"/>
  <c r="AC179" i="13"/>
  <c r="AC180" i="13" s="1"/>
  <c r="AC22" i="14"/>
  <c r="AD178" i="13" l="1"/>
  <c r="AD21" i="14"/>
  <c r="AD24" i="13"/>
  <c r="AD29" i="13" s="1"/>
  <c r="AD179" i="13"/>
  <c r="AD22" i="14"/>
  <c r="AC78" i="13"/>
  <c r="AC75" i="13"/>
  <c r="AD180" i="13" l="1"/>
  <c r="AD78" i="13"/>
  <c r="AD75" i="13"/>
  <c r="BV15" i="4" l="1"/>
  <c r="BV14" i="4"/>
  <c r="BV11" i="4"/>
  <c r="BY12" i="4" s="1"/>
  <c r="BZ11" i="4" l="1"/>
  <c r="BZ12" i="4" s="1"/>
  <c r="CA11" i="4"/>
  <c r="CA12" i="4" s="1"/>
  <c r="CB11" i="4"/>
  <c r="CB12" i="4" s="1"/>
  <c r="CC11" i="4"/>
  <c r="CC12" i="4" s="1"/>
  <c r="CC17" i="4" s="1"/>
  <c r="CD17" i="4" s="1"/>
  <c r="CB4" i="4" l="1"/>
  <c r="CB49" i="1" s="1"/>
  <c r="CB56" i="1" l="1"/>
  <c r="CB4" i="5"/>
  <c r="CB7" i="5" s="1"/>
  <c r="CB21" i="5" l="1"/>
  <c r="CB14" i="5"/>
  <c r="CB122" i="5"/>
  <c r="CB12" i="5"/>
  <c r="CB125" i="5" l="1"/>
  <c r="CB51" i="5"/>
  <c r="CB126" i="5"/>
  <c r="CB111" i="5"/>
  <c r="CB33" i="5"/>
  <c r="CB116" i="5" l="1"/>
  <c r="CB128" i="5" s="1"/>
  <c r="CC4" i="4" l="1"/>
  <c r="CC49" i="1" s="1"/>
  <c r="CC56" i="1" l="1"/>
  <c r="CC4" i="5"/>
  <c r="CC7" i="5" s="1"/>
  <c r="CC12" i="5" l="1"/>
  <c r="CC122" i="5"/>
  <c r="CC111" i="5" l="1"/>
  <c r="S5" i="22" l="1"/>
  <c r="T5" i="22"/>
  <c r="BX12" i="5" l="1"/>
  <c r="BX111" i="5" s="1"/>
  <c r="BX124" i="5"/>
  <c r="CC124" i="5"/>
  <c r="BX33" i="5" l="1"/>
  <c r="BX38" i="5" l="1"/>
  <c r="BX40" i="5" s="1"/>
  <c r="BX52" i="5" s="1"/>
  <c r="BX116" i="5"/>
  <c r="BX132" i="5"/>
  <c r="BX117" i="5" s="1"/>
  <c r="BX42" i="5" l="1"/>
  <c r="BX44" i="5" s="1"/>
  <c r="BX100" i="5" s="1"/>
  <c r="CA105" i="5"/>
  <c r="CB105" i="5" s="1"/>
  <c r="CC105" i="5" s="1"/>
  <c r="BX68" i="5" l="1"/>
  <c r="BX145" i="5"/>
  <c r="BX53" i="5"/>
  <c r="BX118" i="5"/>
  <c r="Q56" i="14"/>
  <c r="Q58" i="14" s="1"/>
  <c r="Q88" i="14"/>
  <c r="BY107" i="5"/>
  <c r="Q104" i="14" s="1"/>
  <c r="BX107" i="5"/>
  <c r="BX102" i="5"/>
  <c r="BX54" i="5" l="1"/>
  <c r="BX46" i="5"/>
  <c r="BX127" i="5" s="1"/>
  <c r="Q105" i="14"/>
  <c r="BZ107" i="5"/>
  <c r="CA106" i="5"/>
  <c r="CA107" i="5" l="1"/>
  <c r="CB106" i="5"/>
  <c r="CC106" i="5" l="1"/>
  <c r="CC107" i="5" s="1"/>
  <c r="CB107" i="5"/>
  <c r="Q87" i="14"/>
  <c r="BX112" i="1"/>
  <c r="BX111" i="1"/>
  <c r="BY121" i="1"/>
  <c r="BY111" i="1" s="1"/>
  <c r="CD106" i="5" l="1"/>
  <c r="BY122" i="1"/>
  <c r="BY11" i="5" s="1"/>
  <c r="Q46" i="13" s="1"/>
  <c r="CD124" i="5"/>
  <c r="BY112" i="1"/>
  <c r="BY124" i="5"/>
  <c r="Q58" i="13"/>
  <c r="Q71" i="13"/>
  <c r="Q60" i="13" s="1"/>
  <c r="Q86" i="13"/>
  <c r="Q63" i="13"/>
  <c r="BY110" i="5"/>
  <c r="BY12" i="5"/>
  <c r="Q72" i="13" l="1"/>
  <c r="BY111" i="5"/>
  <c r="Q64" i="13"/>
  <c r="Q24" i="13" l="1"/>
  <c r="Q29" i="13" s="1"/>
  <c r="Q177" i="13"/>
  <c r="Q180" i="13" s="1"/>
  <c r="R21" i="14"/>
  <c r="Q171" i="13"/>
  <c r="Q176" i="13" s="1"/>
  <c r="R17" i="14"/>
  <c r="Q181" i="13" l="1"/>
  <c r="Q78" i="13"/>
  <c r="Q75" i="13"/>
  <c r="Q48" i="13"/>
  <c r="BW52" i="5"/>
  <c r="BW53" i="5" s="1"/>
  <c r="BW54" i="5" s="1"/>
  <c r="BX128" i="5"/>
  <c r="BX129" i="5"/>
  <c r="BY33" i="5" l="1"/>
  <c r="Q165" i="13" s="1"/>
  <c r="BY38" i="5" l="1"/>
  <c r="BY40" i="5" s="1"/>
  <c r="Q166" i="13" s="1"/>
  <c r="Q167" i="13" s="1"/>
  <c r="Q168" i="13" s="1"/>
  <c r="Q169" i="13" s="1"/>
  <c r="Q163" i="13" s="1"/>
  <c r="BY116" i="5"/>
  <c r="BY132" i="5"/>
  <c r="BY42" i="5" l="1"/>
  <c r="BY44" i="5" s="1"/>
  <c r="BY100" i="5" s="1"/>
  <c r="Q72" i="14"/>
  <c r="Q74" i="14" s="1"/>
  <c r="Q54" i="14" s="1"/>
  <c r="Q106" i="14" s="1"/>
  <c r="Q107" i="14" s="1"/>
  <c r="Q110" i="14" s="1"/>
  <c r="BY52" i="5"/>
  <c r="BY128" i="5"/>
  <c r="CD52" i="5"/>
  <c r="CD67" i="5"/>
  <c r="R166" i="13"/>
  <c r="CC40" i="5"/>
  <c r="CC52" i="5" s="1"/>
  <c r="CB40" i="5"/>
  <c r="CB52" i="5" s="1"/>
  <c r="BZ40" i="5"/>
  <c r="BZ52" i="5" s="1"/>
  <c r="R72" i="14"/>
  <c r="R74" i="14" s="1"/>
  <c r="R35" i="14" s="1"/>
  <c r="R54" i="14" s="1"/>
  <c r="CI40" i="5"/>
  <c r="CA40" i="5"/>
  <c r="CA52" i="5" s="1"/>
  <c r="Q92" i="13"/>
  <c r="Q91" i="13"/>
  <c r="BY117" i="5"/>
  <c r="BY53" i="5" l="1"/>
  <c r="BY54" i="5" s="1"/>
  <c r="Q49" i="13"/>
  <c r="Q87" i="13" s="1"/>
  <c r="BY46" i="5"/>
  <c r="BY127" i="5" s="1"/>
  <c r="BY118" i="5"/>
  <c r="BY129" i="5"/>
  <c r="CI67" i="5"/>
  <c r="CI52" i="5"/>
  <c r="S166" i="13"/>
  <c r="S167" i="13" s="1"/>
  <c r="S168" i="13" s="1"/>
  <c r="S169" i="13" s="1"/>
  <c r="CN40" i="5"/>
  <c r="S72" i="14"/>
  <c r="S74" i="14" s="1"/>
  <c r="S35" i="14" s="1"/>
  <c r="S54" i="14" s="1"/>
  <c r="S106" i="14" s="1"/>
  <c r="BY145" i="5"/>
  <c r="BY102" i="5"/>
  <c r="Q23" i="14"/>
  <c r="CA67" i="5"/>
  <c r="CB67" i="5"/>
  <c r="CC67" i="5" l="1"/>
  <c r="Q50" i="13"/>
  <c r="Q52" i="14"/>
  <c r="Q55" i="14" s="1"/>
  <c r="CN52" i="5"/>
  <c r="CN67" i="5"/>
  <c r="T166" i="13"/>
  <c r="T167" i="13" s="1"/>
  <c r="T168" i="13" s="1"/>
  <c r="T169" i="13" s="1"/>
  <c r="CS40" i="5"/>
  <c r="T72" i="14"/>
  <c r="T74" i="14" s="1"/>
  <c r="T35" i="14" s="1"/>
  <c r="T54" i="14" s="1"/>
  <c r="T106" i="14" s="1"/>
  <c r="Q31" i="14" l="1"/>
  <c r="CS52" i="5"/>
  <c r="CS67" i="5"/>
  <c r="U166" i="13"/>
  <c r="U167" i="13" s="1"/>
  <c r="U168" i="13" s="1"/>
  <c r="U169" i="13" s="1"/>
  <c r="CX40" i="5"/>
  <c r="DC40" i="5" s="1"/>
  <c r="DH40" i="5" s="1"/>
  <c r="DM40" i="5" s="1"/>
  <c r="DR40" i="5" s="1"/>
  <c r="DW40" i="5" s="1"/>
  <c r="EB40" i="5" s="1"/>
  <c r="EG40" i="5" s="1"/>
  <c r="EL40" i="5" s="1"/>
  <c r="U72" i="14"/>
  <c r="U74" i="14" s="1"/>
  <c r="U35" i="14" s="1"/>
  <c r="U54" i="14" s="1"/>
  <c r="Q95" i="13"/>
  <c r="Q94" i="13"/>
  <c r="Q96" i="13"/>
  <c r="Q59" i="14"/>
  <c r="Q80" i="14"/>
  <c r="CX67" i="5" l="1"/>
  <c r="CX52" i="5"/>
  <c r="V72" i="14"/>
  <c r="V74" i="14" s="1"/>
  <c r="V35" i="14" s="1"/>
  <c r="V54" i="14" s="1"/>
  <c r="V166" i="13"/>
  <c r="V167" i="13" s="1"/>
  <c r="V168" i="13" s="1"/>
  <c r="V169" i="13" s="1"/>
  <c r="Q83" i="14"/>
  <c r="Q79" i="14"/>
  <c r="Q85" i="14" s="1"/>
  <c r="R84" i="14" s="1"/>
  <c r="BY146" i="5" l="1"/>
  <c r="Q40" i="14"/>
  <c r="Q42" i="14" s="1"/>
  <c r="Q46" i="14" s="1"/>
  <c r="DC52" i="5"/>
  <c r="DC67" i="5"/>
  <c r="W166" i="13"/>
  <c r="W167" i="13" s="1"/>
  <c r="W168" i="13" s="1"/>
  <c r="W169" i="13" s="1"/>
  <c r="W72" i="14"/>
  <c r="W74" i="14" s="1"/>
  <c r="W35" i="14" s="1"/>
  <c r="W54" i="14" s="1"/>
  <c r="Q36" i="13"/>
  <c r="Q39" i="13"/>
  <c r="Q93" i="13" l="1"/>
  <c r="BY148" i="5"/>
  <c r="Q40" i="13"/>
  <c r="Q84" i="13"/>
  <c r="DH67" i="5"/>
  <c r="DH52" i="5"/>
  <c r="X166" i="13"/>
  <c r="X167" i="13" s="1"/>
  <c r="X168" i="13" s="1"/>
  <c r="X169" i="13" s="1"/>
  <c r="X72" i="14"/>
  <c r="X74" i="14" s="1"/>
  <c r="X35" i="14" s="1"/>
  <c r="X54" i="14" s="1"/>
  <c r="R45" i="14"/>
  <c r="Q99" i="13" l="1"/>
  <c r="Q97" i="13"/>
  <c r="Q98" i="13"/>
  <c r="Q82" i="13"/>
  <c r="Q10" i="13"/>
  <c r="Q100" i="13"/>
  <c r="Q47" i="14"/>
  <c r="CD35" i="5"/>
  <c r="Q48" i="14"/>
  <c r="DM67" i="5"/>
  <c r="DM52" i="5"/>
  <c r="Y166" i="13"/>
  <c r="Y167" i="13" s="1"/>
  <c r="Y168" i="13" s="1"/>
  <c r="Y169" i="13" s="1"/>
  <c r="Y72" i="14"/>
  <c r="Y74" i="14" s="1"/>
  <c r="Y35" i="14" s="1"/>
  <c r="Y54" i="14" s="1"/>
  <c r="CB35" i="5" l="1"/>
  <c r="CB38" i="5" s="1"/>
  <c r="CA35" i="5"/>
  <c r="DR67" i="5"/>
  <c r="DR52" i="5"/>
  <c r="Z166" i="13"/>
  <c r="Z167" i="13" s="1"/>
  <c r="Z168" i="13" s="1"/>
  <c r="Z169" i="13" s="1"/>
  <c r="Z72" i="14"/>
  <c r="Z74" i="14" s="1"/>
  <c r="Z35" i="14" s="1"/>
  <c r="Z54" i="14" s="1"/>
  <c r="Q81" i="13"/>
  <c r="Q17" i="13"/>
  <c r="DW67" i="5" l="1"/>
  <c r="DW52" i="5"/>
  <c r="AA166" i="13"/>
  <c r="AA167" i="13" s="1"/>
  <c r="AA168" i="13" s="1"/>
  <c r="AA169" i="13" s="1"/>
  <c r="AA72" i="14"/>
  <c r="AA74" i="14" s="1"/>
  <c r="AA35" i="14" s="1"/>
  <c r="AA54" i="14" s="1"/>
  <c r="CC35" i="5"/>
  <c r="Q67" i="13"/>
  <c r="Q42" i="13"/>
  <c r="Q89" i="13"/>
  <c r="Q70" i="13"/>
  <c r="Q85" i="13"/>
  <c r="CB39" i="5"/>
  <c r="CB42" i="5" s="1"/>
  <c r="CB44" i="5" s="1"/>
  <c r="CB53" i="5" l="1"/>
  <c r="CB54" i="5" s="1"/>
  <c r="CB46" i="5"/>
  <c r="CB100" i="5"/>
  <c r="CB118" i="5"/>
  <c r="EB67" i="5"/>
  <c r="AB166" i="13"/>
  <c r="AB167" i="13" s="1"/>
  <c r="AB168" i="13" s="1"/>
  <c r="AB169" i="13" s="1"/>
  <c r="AB72" i="14"/>
  <c r="AB74" i="14" s="1"/>
  <c r="AB35" i="14" s="1"/>
  <c r="AB54" i="14" s="1"/>
  <c r="EG67" i="5" l="1"/>
  <c r="AC166" i="13"/>
  <c r="AC167" i="13" s="1"/>
  <c r="AC168" i="13" s="1"/>
  <c r="AC169" i="13" s="1"/>
  <c r="AC72" i="14"/>
  <c r="AC74" i="14" s="1"/>
  <c r="AC35" i="14" s="1"/>
  <c r="AC54" i="14" s="1"/>
  <c r="CB102" i="5"/>
  <c r="CB145" i="5"/>
  <c r="CB127" i="5"/>
  <c r="CG127" i="5"/>
  <c r="EL67" i="5" l="1"/>
  <c r="AD72" i="14"/>
  <c r="AD74" i="14" s="1"/>
  <c r="AD35" i="14" s="1"/>
  <c r="AD54" i="14" s="1"/>
  <c r="AD166" i="13"/>
  <c r="AD167" i="13" s="1"/>
  <c r="AD168" i="13" s="1"/>
  <c r="AD169" i="13" s="1"/>
  <c r="R104" i="13" l="1"/>
  <c r="BZ56" i="1" l="1"/>
  <c r="BZ4" i="5"/>
  <c r="BZ7" i="5" s="1"/>
  <c r="BZ122" i="5" l="1"/>
  <c r="BZ126" i="5" l="1"/>
  <c r="BZ125" i="5"/>
  <c r="BZ51" i="5"/>
  <c r="CA37" i="4" l="1"/>
  <c r="CA20" i="4" s="1"/>
  <c r="CA21" i="4" s="1"/>
  <c r="CA4" i="4" s="1"/>
  <c r="CA49" i="1" s="1"/>
  <c r="CA56" i="1" s="1"/>
  <c r="CD37" i="4"/>
  <c r="CD20" i="4" s="1"/>
  <c r="CD21" i="4" s="1"/>
  <c r="CD4" i="4" s="1"/>
  <c r="R7" i="13" l="1"/>
  <c r="CD49" i="1"/>
  <c r="CA4" i="5"/>
  <c r="CA7" i="5" s="1"/>
  <c r="CA14" i="5" s="1"/>
  <c r="CD4" i="5" l="1"/>
  <c r="CD7" i="5" s="1"/>
  <c r="CD56" i="1"/>
  <c r="R45" i="13" s="1"/>
  <c r="CA122" i="5"/>
  <c r="CA21" i="5"/>
  <c r="CA12" i="5"/>
  <c r="R18" i="14"/>
  <c r="S7" i="13"/>
  <c r="CA126" i="5" l="1"/>
  <c r="CC21" i="5"/>
  <c r="CA51" i="5"/>
  <c r="CA125" i="5"/>
  <c r="CC14" i="5"/>
  <c r="R110" i="13"/>
  <c r="R69" i="13"/>
  <c r="R164" i="13"/>
  <c r="R182" i="13" s="1"/>
  <c r="R64" i="13"/>
  <c r="R86" i="13"/>
  <c r="R61" i="13"/>
  <c r="R65" i="13"/>
  <c r="R105" i="13"/>
  <c r="S18" i="14"/>
  <c r="T7" i="13"/>
  <c r="CA111" i="5"/>
  <c r="CA33" i="5"/>
  <c r="CI122" i="5"/>
  <c r="CD112" i="5"/>
  <c r="CD122" i="5"/>
  <c r="CD114" i="5"/>
  <c r="CD12" i="5"/>
  <c r="T18" i="14" l="1"/>
  <c r="T20" i="14"/>
  <c r="U7" i="13"/>
  <c r="R9" i="13"/>
  <c r="R51" i="13"/>
  <c r="R127" i="13"/>
  <c r="R26" i="14"/>
  <c r="R53" i="14" s="1"/>
  <c r="R106" i="14" s="1"/>
  <c r="R58" i="13"/>
  <c r="R62" i="13"/>
  <c r="R5" i="13"/>
  <c r="R57" i="13"/>
  <c r="CC112" i="5"/>
  <c r="CC126" i="5"/>
  <c r="CD111" i="5"/>
  <c r="CD33" i="5"/>
  <c r="CA116" i="5"/>
  <c r="CA128" i="5" s="1"/>
  <c r="CA38" i="5"/>
  <c r="CC51" i="5"/>
  <c r="CC125" i="5"/>
  <c r="CC33" i="5"/>
  <c r="CC114" i="5"/>
  <c r="CA39" i="5" l="1"/>
  <c r="CA42" i="5" s="1"/>
  <c r="CA44" i="5" s="1"/>
  <c r="S127" i="13"/>
  <c r="R141" i="13"/>
  <c r="CC38" i="5"/>
  <c r="V7" i="13"/>
  <c r="U20" i="14"/>
  <c r="U18" i="14"/>
  <c r="S16" i="14"/>
  <c r="R16" i="14"/>
  <c r="R170" i="13"/>
  <c r="CD116" i="5"/>
  <c r="R165" i="13"/>
  <c r="CD38" i="5"/>
  <c r="R19" i="14"/>
  <c r="R172" i="13"/>
  <c r="S19" i="14"/>
  <c r="R20" i="14"/>
  <c r="S20" i="14"/>
  <c r="CD39" i="5" l="1"/>
  <c r="R48" i="13" s="1"/>
  <c r="R107" i="13"/>
  <c r="R109" i="13" s="1"/>
  <c r="R142" i="13"/>
  <c r="R144" i="13"/>
  <c r="R5" i="14"/>
  <c r="R4" i="14" s="1"/>
  <c r="CD131" i="5" s="1"/>
  <c r="V20" i="14"/>
  <c r="W7" i="13"/>
  <c r="V18" i="14"/>
  <c r="S141" i="13"/>
  <c r="T127" i="13"/>
  <c r="CC39" i="5"/>
  <c r="CC42" i="5" s="1"/>
  <c r="CC44" i="5" s="1"/>
  <c r="CA46" i="5"/>
  <c r="CA100" i="5"/>
  <c r="CA118" i="5"/>
  <c r="CA53" i="5"/>
  <c r="CA54" i="5" s="1"/>
  <c r="R167" i="13"/>
  <c r="R168" i="13" s="1"/>
  <c r="R169" i="13" s="1"/>
  <c r="R163" i="13" s="1"/>
  <c r="CI128" i="5"/>
  <c r="CD128" i="5"/>
  <c r="CC116" i="5"/>
  <c r="CC128" i="5" s="1"/>
  <c r="CD42" i="5" l="1"/>
  <c r="CD44" i="5" s="1"/>
  <c r="CD100" i="5" s="1"/>
  <c r="CC46" i="5"/>
  <c r="CC100" i="5"/>
  <c r="CC53" i="5"/>
  <c r="CC54" i="5" s="1"/>
  <c r="W20" i="14"/>
  <c r="W18" i="14"/>
  <c r="X7" i="13"/>
  <c r="CA102" i="5"/>
  <c r="CA145" i="5"/>
  <c r="U127" i="13"/>
  <c r="T141" i="13"/>
  <c r="R13" i="13"/>
  <c r="S104" i="13"/>
  <c r="S107" i="13"/>
  <c r="S144" i="13"/>
  <c r="S5" i="14"/>
  <c r="S4" i="14" s="1"/>
  <c r="CI131" i="5" s="1"/>
  <c r="CI132" i="5" s="1"/>
  <c r="S142" i="13"/>
  <c r="CA131" i="5"/>
  <c r="CA132" i="5" s="1"/>
  <c r="CA117" i="5" s="1"/>
  <c r="CA129" i="5" s="1"/>
  <c r="CC131" i="5"/>
  <c r="CC132" i="5" s="1"/>
  <c r="CB131" i="5"/>
  <c r="CB132" i="5" s="1"/>
  <c r="CB117" i="5" s="1"/>
  <c r="CB129" i="5" s="1"/>
  <c r="BZ131" i="5"/>
  <c r="CD132" i="5"/>
  <c r="CF127" i="5"/>
  <c r="CA127" i="5"/>
  <c r="R49" i="13" l="1"/>
  <c r="R87" i="13" s="1"/>
  <c r="CD118" i="5"/>
  <c r="CC118" i="5" s="1"/>
  <c r="CD53" i="5"/>
  <c r="CD117" i="5"/>
  <c r="R92" i="13"/>
  <c r="R91" i="13"/>
  <c r="S110" i="13"/>
  <c r="S109" i="13"/>
  <c r="U141" i="13"/>
  <c r="V127" i="13"/>
  <c r="CC127" i="5"/>
  <c r="CH127" i="5"/>
  <c r="S92" i="13"/>
  <c r="S91" i="13"/>
  <c r="CI117" i="5"/>
  <c r="R173" i="13"/>
  <c r="R176" i="13" s="1"/>
  <c r="R181" i="13" s="1"/>
  <c r="S182" i="13" s="1"/>
  <c r="S163" i="13" s="1"/>
  <c r="R88" i="13"/>
  <c r="CD145" i="5"/>
  <c r="R34" i="13"/>
  <c r="R3" i="14"/>
  <c r="R23" i="14" s="1"/>
  <c r="T107" i="13"/>
  <c r="T144" i="13"/>
  <c r="T142" i="13"/>
  <c r="T5" i="14"/>
  <c r="T4" i="14" s="1"/>
  <c r="CN131" i="5" s="1"/>
  <c r="CN132" i="5" s="1"/>
  <c r="X20" i="14"/>
  <c r="Y7" i="13"/>
  <c r="X18" i="14"/>
  <c r="CC102" i="5"/>
  <c r="CC145" i="5"/>
  <c r="Z7" i="13" l="1"/>
  <c r="Y18" i="14"/>
  <c r="Y20" i="14"/>
  <c r="CC117" i="5"/>
  <c r="CC129" i="5" s="1"/>
  <c r="CD129" i="5"/>
  <c r="U142" i="13"/>
  <c r="U144" i="13"/>
  <c r="U107" i="13"/>
  <c r="U5" i="14"/>
  <c r="U4" i="14" s="1"/>
  <c r="CS131" i="5" s="1"/>
  <c r="CS132" i="5" s="1"/>
  <c r="T91" i="13"/>
  <c r="CN117" i="5"/>
  <c r="CN129" i="5" s="1"/>
  <c r="T92" i="13"/>
  <c r="S13" i="13"/>
  <c r="T104" i="13"/>
  <c r="V141" i="13"/>
  <c r="W127" i="13"/>
  <c r="R50" i="13"/>
  <c r="R52" i="14"/>
  <c r="R55" i="14" s="1"/>
  <c r="R25" i="14"/>
  <c r="CI129" i="5"/>
  <c r="U92" i="13" l="1"/>
  <c r="CS117" i="5"/>
  <c r="CS129" i="5" s="1"/>
  <c r="U91" i="13"/>
  <c r="W141" i="13"/>
  <c r="X127" i="13"/>
  <c r="R31" i="14"/>
  <c r="R4" i="13"/>
  <c r="R12" i="13"/>
  <c r="Z20" i="14"/>
  <c r="AA7" i="13"/>
  <c r="Z18" i="14"/>
  <c r="G6" i="22"/>
  <c r="H34" i="22"/>
  <c r="G34" i="22"/>
  <c r="H6" i="22"/>
  <c r="R80" i="14"/>
  <c r="S88" i="13"/>
  <c r="S173" i="13"/>
  <c r="S176" i="13" s="1"/>
  <c r="S181" i="13" s="1"/>
  <c r="T182" i="13" s="1"/>
  <c r="T163" i="13" s="1"/>
  <c r="V107" i="13"/>
  <c r="V144" i="13"/>
  <c r="V142" i="13"/>
  <c r="V5" i="14"/>
  <c r="V4" i="14" s="1"/>
  <c r="CX131" i="5" s="1"/>
  <c r="CX132" i="5" s="1"/>
  <c r="R96" i="13"/>
  <c r="R94" i="13"/>
  <c r="R95" i="13"/>
  <c r="T109" i="13"/>
  <c r="T110" i="13"/>
  <c r="R79" i="14" l="1"/>
  <c r="R85" i="14" s="1"/>
  <c r="R83" i="14"/>
  <c r="R32" i="13" s="1"/>
  <c r="R33" i="14"/>
  <c r="T13" i="13"/>
  <c r="U104" i="13"/>
  <c r="H7" i="22"/>
  <c r="H9" i="22"/>
  <c r="W142" i="13"/>
  <c r="W144" i="13"/>
  <c r="W107" i="13"/>
  <c r="W5" i="14"/>
  <c r="W4" i="14" s="1"/>
  <c r="DC131" i="5" s="1"/>
  <c r="DC132" i="5" s="1"/>
  <c r="V92" i="13"/>
  <c r="CX117" i="5"/>
  <c r="CX129" i="5" s="1"/>
  <c r="V91" i="13"/>
  <c r="G35" i="22"/>
  <c r="G36" i="22"/>
  <c r="G37" i="22" s="1"/>
  <c r="G7" i="22"/>
  <c r="G9" i="22"/>
  <c r="Y127" i="13"/>
  <c r="X141" i="13"/>
  <c r="H35" i="22"/>
  <c r="H36" i="22"/>
  <c r="H37" i="22" s="1"/>
  <c r="AA20" i="14"/>
  <c r="AA18" i="14"/>
  <c r="AB7" i="13"/>
  <c r="W92" i="13" l="1"/>
  <c r="DC117" i="5"/>
  <c r="DC129" i="5" s="1"/>
  <c r="W91" i="13"/>
  <c r="T88" i="13"/>
  <c r="T173" i="13"/>
  <c r="T176" i="13" s="1"/>
  <c r="T181" i="13" s="1"/>
  <c r="U182" i="13" s="1"/>
  <c r="U163" i="13" s="1"/>
  <c r="U109" i="13"/>
  <c r="U110" i="13"/>
  <c r="X142" i="13"/>
  <c r="X144" i="13"/>
  <c r="X107" i="13"/>
  <c r="X5" i="14"/>
  <c r="X4" i="14" s="1"/>
  <c r="DH131" i="5" s="1"/>
  <c r="DH132" i="5" s="1"/>
  <c r="CD146" i="5"/>
  <c r="R40" i="14"/>
  <c r="R42" i="14" s="1"/>
  <c r="R46" i="14" s="1"/>
  <c r="AC7" i="13"/>
  <c r="AB20" i="14"/>
  <c r="AB18" i="14"/>
  <c r="CD105" i="5"/>
  <c r="S84" i="14"/>
  <c r="Y141" i="13"/>
  <c r="Z127" i="13"/>
  <c r="R39" i="13"/>
  <c r="R36" i="13"/>
  <c r="X91" i="13" l="1"/>
  <c r="DH117" i="5"/>
  <c r="DH129" i="5" s="1"/>
  <c r="X92" i="13"/>
  <c r="Z141" i="13"/>
  <c r="AA127" i="13"/>
  <c r="Y142" i="13"/>
  <c r="Y144" i="13"/>
  <c r="Y107" i="13"/>
  <c r="Y5" i="14"/>
  <c r="Y4" i="14" s="1"/>
  <c r="DM131" i="5" s="1"/>
  <c r="DM132" i="5" s="1"/>
  <c r="AC18" i="14"/>
  <c r="AD7" i="13"/>
  <c r="AC20" i="14"/>
  <c r="V104" i="13"/>
  <c r="U13" i="13"/>
  <c r="R93" i="13"/>
  <c r="R40" i="13"/>
  <c r="CD148" i="5"/>
  <c r="R84" i="13"/>
  <c r="R87" i="14"/>
  <c r="R3" i="13"/>
  <c r="S45" i="14"/>
  <c r="AD18" i="14" l="1"/>
  <c r="AD20" i="14"/>
  <c r="AB127" i="13"/>
  <c r="AA141" i="13"/>
  <c r="U88" i="13"/>
  <c r="U173" i="13"/>
  <c r="U176" i="13" s="1"/>
  <c r="U181" i="13" s="1"/>
  <c r="V182" i="13" s="1"/>
  <c r="V163" i="13" s="1"/>
  <c r="Z107" i="13"/>
  <c r="Z144" i="13"/>
  <c r="Z142" i="13"/>
  <c r="Z5" i="14"/>
  <c r="Z4" i="14" s="1"/>
  <c r="DR131" i="5" s="1"/>
  <c r="DR132" i="5" s="1"/>
  <c r="Y92" i="13"/>
  <c r="DM117" i="5"/>
  <c r="DM129" i="5" s="1"/>
  <c r="Y91" i="13"/>
  <c r="R47" i="14"/>
  <c r="R82" i="13"/>
  <c r="R99" i="13"/>
  <c r="C15" i="22"/>
  <c r="R98" i="13"/>
  <c r="R100" i="13"/>
  <c r="R97" i="13"/>
  <c r="R10" i="13"/>
  <c r="CI35" i="5"/>
  <c r="CI38" i="5" s="1"/>
  <c r="R48" i="14"/>
  <c r="V109" i="13"/>
  <c r="V110" i="13"/>
  <c r="R56" i="14"/>
  <c r="R58" i="14" s="1"/>
  <c r="R59" i="14" s="1"/>
  <c r="R88" i="14"/>
  <c r="CD107" i="5"/>
  <c r="CD46" i="5"/>
  <c r="CD127" i="5" s="1"/>
  <c r="CD102" i="5"/>
  <c r="V13" i="13" l="1"/>
  <c r="W104" i="13"/>
  <c r="AA107" i="13"/>
  <c r="AA142" i="13"/>
  <c r="AA144" i="13"/>
  <c r="AA5" i="14"/>
  <c r="AA4" i="14" s="1"/>
  <c r="DW131" i="5" s="1"/>
  <c r="DW132" i="5" s="1"/>
  <c r="AB141" i="13"/>
  <c r="AC127" i="13"/>
  <c r="R81" i="13"/>
  <c r="R17" i="13"/>
  <c r="C20" i="22"/>
  <c r="R104" i="14"/>
  <c r="CD54" i="5"/>
  <c r="CI39" i="5"/>
  <c r="S48" i="13" s="1"/>
  <c r="Z91" i="13"/>
  <c r="Z92" i="13"/>
  <c r="DR117" i="5"/>
  <c r="DR129" i="5" s="1"/>
  <c r="CI42" i="5" l="1"/>
  <c r="CI44" i="5" s="1"/>
  <c r="CI118" i="5" s="1"/>
  <c r="V88" i="13"/>
  <c r="V173" i="13"/>
  <c r="V176" i="13" s="1"/>
  <c r="V181" i="13" s="1"/>
  <c r="W182" i="13" s="1"/>
  <c r="W163" i="13" s="1"/>
  <c r="R105" i="14"/>
  <c r="R107" i="14"/>
  <c r="R110" i="14" s="1"/>
  <c r="AC141" i="13"/>
  <c r="AD127" i="13"/>
  <c r="AD141" i="13" s="1"/>
  <c r="AB107" i="13"/>
  <c r="AB144" i="13"/>
  <c r="AB142" i="13"/>
  <c r="AB5" i="14"/>
  <c r="AB4" i="14" s="1"/>
  <c r="EB131" i="5" s="1"/>
  <c r="EB132" i="5" s="1"/>
  <c r="R42" i="13"/>
  <c r="R70" i="13"/>
  <c r="R89" i="13"/>
  <c r="R67" i="13"/>
  <c r="R85" i="13"/>
  <c r="AA92" i="13"/>
  <c r="AA91" i="13"/>
  <c r="DW117" i="5"/>
  <c r="DW129" i="5" s="1"/>
  <c r="W109" i="13"/>
  <c r="W110" i="13"/>
  <c r="CI100" i="5" l="1"/>
  <c r="CI145" i="5" s="1"/>
  <c r="S49" i="13"/>
  <c r="S87" i="13" s="1"/>
  <c r="CI53" i="5"/>
  <c r="W13" i="13"/>
  <c r="X104" i="13"/>
  <c r="AC107" i="13"/>
  <c r="AC144" i="13"/>
  <c r="AC142" i="13"/>
  <c r="AC5" i="14"/>
  <c r="AC4" i="14" s="1"/>
  <c r="EG131" i="5" s="1"/>
  <c r="EG132" i="5" s="1"/>
  <c r="AB92" i="13"/>
  <c r="AB91" i="13"/>
  <c r="EB117" i="5"/>
  <c r="EB129" i="5" s="1"/>
  <c r="AD142" i="13"/>
  <c r="AD107" i="13"/>
  <c r="AD144" i="13"/>
  <c r="AD5" i="14"/>
  <c r="AD4" i="14" s="1"/>
  <c r="EL131" i="5" s="1"/>
  <c r="EL132" i="5" s="1"/>
  <c r="S3" i="14" l="1"/>
  <c r="S23" i="14" s="1"/>
  <c r="S52" i="14" s="1"/>
  <c r="S55" i="14" s="1"/>
  <c r="S34" i="13"/>
  <c r="AD91" i="13"/>
  <c r="AD92" i="13"/>
  <c r="EL117" i="5"/>
  <c r="W88" i="13"/>
  <c r="W173" i="13"/>
  <c r="W176" i="13" s="1"/>
  <c r="W181" i="13" s="1"/>
  <c r="X182" i="13" s="1"/>
  <c r="X163" i="13" s="1"/>
  <c r="AC91" i="13"/>
  <c r="AC92" i="13"/>
  <c r="EG117" i="5"/>
  <c r="EG129" i="5" s="1"/>
  <c r="X109" i="13"/>
  <c r="X110" i="13"/>
  <c r="S25" i="14" l="1"/>
  <c r="S4" i="13" s="1"/>
  <c r="S50" i="13"/>
  <c r="S94" i="13" s="1"/>
  <c r="Y104" i="13"/>
  <c r="X13" i="13"/>
  <c r="I34" i="22"/>
  <c r="S80" i="14"/>
  <c r="I6" i="22"/>
  <c r="EL129" i="5"/>
  <c r="S96" i="13" l="1"/>
  <c r="S95" i="13"/>
  <c r="S31" i="14"/>
  <c r="S12" i="13"/>
  <c r="I7" i="22"/>
  <c r="I9" i="22"/>
  <c r="S83" i="14"/>
  <c r="S32" i="13" s="1"/>
  <c r="S79" i="14"/>
  <c r="S85" i="14" s="1"/>
  <c r="S33" i="14"/>
  <c r="Y109" i="13"/>
  <c r="Y110" i="13"/>
  <c r="X88" i="13"/>
  <c r="X173" i="13"/>
  <c r="X176" i="13" s="1"/>
  <c r="X181" i="13" s="1"/>
  <c r="Y182" i="13" s="1"/>
  <c r="Y163" i="13" s="1"/>
  <c r="I36" i="22"/>
  <c r="I37" i="22" s="1"/>
  <c r="I35" i="22"/>
  <c r="CI146" i="5" l="1"/>
  <c r="S40" i="14"/>
  <c r="S42" i="14" s="1"/>
  <c r="S46" i="14" s="1"/>
  <c r="T84" i="14"/>
  <c r="CI105" i="5"/>
  <c r="Y13" i="13"/>
  <c r="Z104" i="13"/>
  <c r="S39" i="13"/>
  <c r="S36" i="13"/>
  <c r="S87" i="14" l="1"/>
  <c r="CI106" i="5"/>
  <c r="CI148" i="5"/>
  <c r="S40" i="13"/>
  <c r="S93" i="13"/>
  <c r="S84" i="13"/>
  <c r="Z109" i="13"/>
  <c r="Z110" i="13"/>
  <c r="S3" i="13"/>
  <c r="T45" i="14"/>
  <c r="Y88" i="13"/>
  <c r="Y173" i="13"/>
  <c r="Y176" i="13" s="1"/>
  <c r="Y181" i="13" s="1"/>
  <c r="Z182" i="13" s="1"/>
  <c r="Z163" i="13" s="1"/>
  <c r="S82" i="13" l="1"/>
  <c r="S97" i="13"/>
  <c r="S98" i="13"/>
  <c r="S99" i="13"/>
  <c r="S100" i="13"/>
  <c r="S10" i="13"/>
  <c r="S47" i="14"/>
  <c r="CN35" i="5"/>
  <c r="CN38" i="5" s="1"/>
  <c r="S88" i="14"/>
  <c r="CI107" i="5"/>
  <c r="S56" i="14"/>
  <c r="S58" i="14" s="1"/>
  <c r="S59" i="14" s="1"/>
  <c r="CI46" i="5"/>
  <c r="CI127" i="5" s="1"/>
  <c r="CI102" i="5"/>
  <c r="S48" i="14"/>
  <c r="AA104" i="13"/>
  <c r="Z13" i="13"/>
  <c r="AA109" i="13" l="1"/>
  <c r="AA110" i="13"/>
  <c r="Z173" i="13"/>
  <c r="Z176" i="13" s="1"/>
  <c r="Z181" i="13" s="1"/>
  <c r="AA182" i="13" s="1"/>
  <c r="AA163" i="13" s="1"/>
  <c r="Z88" i="13"/>
  <c r="CN39" i="5"/>
  <c r="T48" i="13" s="1"/>
  <c r="S104" i="14"/>
  <c r="CI54" i="5"/>
  <c r="S81" i="13"/>
  <c r="S17" i="13"/>
  <c r="S105" i="14" l="1"/>
  <c r="S107" i="14"/>
  <c r="S110" i="14" s="1"/>
  <c r="CN42" i="5"/>
  <c r="CN44" i="5" s="1"/>
  <c r="AB104" i="13"/>
  <c r="AA13" i="13"/>
  <c r="S89" i="13"/>
  <c r="S42" i="13"/>
  <c r="S70" i="13"/>
  <c r="S67" i="13"/>
  <c r="S85" i="13"/>
  <c r="AB109" i="13" l="1"/>
  <c r="AB110" i="13"/>
  <c r="T49" i="13"/>
  <c r="CN53" i="5"/>
  <c r="CN118" i="5"/>
  <c r="CN100" i="5"/>
  <c r="AA88" i="13"/>
  <c r="AA173" i="13"/>
  <c r="AA176" i="13" s="1"/>
  <c r="AA181" i="13" s="1"/>
  <c r="AB182" i="13" s="1"/>
  <c r="AB163" i="13" s="1"/>
  <c r="CN145" i="5" l="1"/>
  <c r="T3" i="14"/>
  <c r="T23" i="14" s="1"/>
  <c r="T34" i="13"/>
  <c r="AC104" i="13"/>
  <c r="AB13" i="13"/>
  <c r="T87" i="13"/>
  <c r="AC109" i="13" l="1"/>
  <c r="AC110" i="13"/>
  <c r="T50" i="13"/>
  <c r="T52" i="14"/>
  <c r="T55" i="14" s="1"/>
  <c r="T25" i="14"/>
  <c r="T98" i="14"/>
  <c r="AB173" i="13"/>
  <c r="AB176" i="13" s="1"/>
  <c r="AB181" i="13" s="1"/>
  <c r="AC182" i="13" s="1"/>
  <c r="AC163" i="13" s="1"/>
  <c r="AB88" i="13"/>
  <c r="T94" i="13" l="1"/>
  <c r="T95" i="13"/>
  <c r="T96" i="13"/>
  <c r="T31" i="14"/>
  <c r="T12" i="13"/>
  <c r="T4" i="13"/>
  <c r="J6" i="22"/>
  <c r="J34" i="22"/>
  <c r="T80" i="14"/>
  <c r="AC13" i="13"/>
  <c r="AD104" i="13"/>
  <c r="AD109" i="13" l="1"/>
  <c r="AD13" i="13" s="1"/>
  <c r="AD110" i="13"/>
  <c r="J9" i="22"/>
  <c r="J7" i="22"/>
  <c r="AC88" i="13"/>
  <c r="AC173" i="13"/>
  <c r="AC176" i="13" s="1"/>
  <c r="AC181" i="13" s="1"/>
  <c r="AD182" i="13" s="1"/>
  <c r="AD163" i="13" s="1"/>
  <c r="T83" i="14"/>
  <c r="T32" i="13" s="1"/>
  <c r="T33" i="14"/>
  <c r="T79" i="14"/>
  <c r="T85" i="14" s="1"/>
  <c r="J36" i="22"/>
  <c r="J37" i="22" s="1"/>
  <c r="J35" i="22"/>
  <c r="T40" i="14" l="1"/>
  <c r="T42" i="14" s="1"/>
  <c r="T46" i="14" s="1"/>
  <c r="CN146" i="5"/>
  <c r="U84" i="14"/>
  <c r="CN105" i="5"/>
  <c r="T39" i="13"/>
  <c r="T36" i="13"/>
  <c r="AD173" i="13"/>
  <c r="AD176" i="13" s="1"/>
  <c r="AD181" i="13" s="1"/>
  <c r="AD88" i="13"/>
  <c r="T87" i="14" l="1"/>
  <c r="CN106" i="5"/>
  <c r="T40" i="13"/>
  <c r="T93" i="13"/>
  <c r="CN148" i="5"/>
  <c r="T84" i="13"/>
  <c r="U45" i="14"/>
  <c r="T3" i="13"/>
  <c r="T48" i="14" s="1"/>
  <c r="T88" i="14" l="1"/>
  <c r="T56" i="14"/>
  <c r="T58" i="14" s="1"/>
  <c r="T59" i="14" s="1"/>
  <c r="CN107" i="5"/>
  <c r="CN46" i="5"/>
  <c r="CN127" i="5" s="1"/>
  <c r="CN102" i="5"/>
  <c r="T82" i="13"/>
  <c r="T99" i="13"/>
  <c r="T47" i="14"/>
  <c r="T97" i="13"/>
  <c r="T100" i="13"/>
  <c r="T98" i="13"/>
  <c r="T10" i="13"/>
  <c r="CS35" i="5"/>
  <c r="CS38" i="5" s="1"/>
  <c r="T104" i="14" l="1"/>
  <c r="CN54" i="5"/>
  <c r="CS39" i="5"/>
  <c r="U48" i="13" s="1"/>
  <c r="T81" i="13"/>
  <c r="T17" i="13"/>
  <c r="CS42" i="5" l="1"/>
  <c r="CS44" i="5" s="1"/>
  <c r="CS118" i="5" s="1"/>
  <c r="T105" i="14"/>
  <c r="T107" i="14"/>
  <c r="T110" i="14" s="1"/>
  <c r="T70" i="13"/>
  <c r="T67" i="13"/>
  <c r="T89" i="13"/>
  <c r="T42" i="13"/>
  <c r="T85" i="13"/>
  <c r="CS53" i="5" l="1"/>
  <c r="CS100" i="5"/>
  <c r="U3" i="14" s="1"/>
  <c r="U23" i="14" s="1"/>
  <c r="U49" i="13"/>
  <c r="U87" i="13" s="1"/>
  <c r="U34" i="13" l="1"/>
  <c r="CS145" i="5"/>
  <c r="U50" i="13"/>
  <c r="U52" i="14"/>
  <c r="U55" i="14" s="1"/>
  <c r="U25" i="14"/>
  <c r="U31" i="14" l="1"/>
  <c r="U12" i="13"/>
  <c r="U4" i="13"/>
  <c r="U80" i="14"/>
  <c r="K6" i="22"/>
  <c r="U95" i="13"/>
  <c r="U94" i="13"/>
  <c r="U96" i="13"/>
  <c r="U83" i="14" l="1"/>
  <c r="U32" i="13" s="1"/>
  <c r="U79" i="14"/>
  <c r="U85" i="14" s="1"/>
  <c r="U33" i="14"/>
  <c r="K9" i="22"/>
  <c r="K7" i="22"/>
  <c r="U36" i="13" l="1"/>
  <c r="U39" i="13"/>
  <c r="CS146" i="5"/>
  <c r="U40" i="14"/>
  <c r="U42" i="14" s="1"/>
  <c r="U46" i="14" s="1"/>
  <c r="V84" i="14"/>
  <c r="CS105" i="5"/>
  <c r="U87" i="14" l="1"/>
  <c r="CS106" i="5"/>
  <c r="U3" i="13"/>
  <c r="U48" i="14" s="1"/>
  <c r="V45" i="14"/>
  <c r="U93" i="13"/>
  <c r="CS148" i="5"/>
  <c r="U40" i="13"/>
  <c r="U84" i="13"/>
  <c r="CS107" i="5" l="1"/>
  <c r="CS54" i="5" s="1"/>
  <c r="U56" i="14"/>
  <c r="U58" i="14" s="1"/>
  <c r="U59" i="14" s="1"/>
  <c r="U88" i="14"/>
  <c r="CS46" i="5"/>
  <c r="CS127" i="5" s="1"/>
  <c r="CS102" i="5"/>
  <c r="U47" i="14"/>
  <c r="U100" i="13"/>
  <c r="U82" i="13"/>
  <c r="U99" i="13"/>
  <c r="U98" i="13"/>
  <c r="U97" i="13"/>
  <c r="CX35" i="5"/>
  <c r="CX38" i="5" s="1"/>
  <c r="U10" i="13"/>
  <c r="CX39" i="5" l="1"/>
  <c r="V48" i="13" s="1"/>
  <c r="U17" i="13"/>
  <c r="U81" i="13"/>
  <c r="U89" i="13" l="1"/>
  <c r="U42" i="13"/>
  <c r="U70" i="13"/>
  <c r="U67" i="13"/>
  <c r="U85" i="13"/>
  <c r="CX42" i="5"/>
  <c r="CX44" i="5" s="1"/>
  <c r="V49" i="13" l="1"/>
  <c r="CX118" i="5"/>
  <c r="CX100" i="5"/>
  <c r="CX53" i="5"/>
  <c r="V3" i="14" l="1"/>
  <c r="V23" i="14" s="1"/>
  <c r="CX145" i="5"/>
  <c r="V34" i="13"/>
  <c r="V87" i="13"/>
  <c r="V50" i="13" l="1"/>
  <c r="V25" i="14"/>
  <c r="V52" i="14"/>
  <c r="V55" i="14" s="1"/>
  <c r="V31" i="14" l="1"/>
  <c r="V4" i="13"/>
  <c r="V12" i="13"/>
  <c r="V95" i="13"/>
  <c r="V94" i="13"/>
  <c r="V96" i="13"/>
  <c r="V80" i="14"/>
  <c r="L6" i="22"/>
  <c r="V79" i="14" l="1"/>
  <c r="V85" i="14" s="1"/>
  <c r="V83" i="14"/>
  <c r="V32" i="13" s="1"/>
  <c r="V33" i="14"/>
  <c r="L7" i="22"/>
  <c r="L9" i="22"/>
  <c r="V40" i="14" l="1"/>
  <c r="V42" i="14" s="1"/>
  <c r="V46" i="14" s="1"/>
  <c r="CX146" i="5"/>
  <c r="V39" i="13"/>
  <c r="V36" i="13"/>
  <c r="W84" i="14"/>
  <c r="CX105" i="5"/>
  <c r="CX106" i="5" l="1"/>
  <c r="V87" i="14"/>
  <c r="V93" i="13"/>
  <c r="CX148" i="5"/>
  <c r="V40" i="13"/>
  <c r="V84" i="13"/>
  <c r="W45" i="14"/>
  <c r="V3" i="13"/>
  <c r="V98" i="13" l="1"/>
  <c r="V100" i="13"/>
  <c r="V99" i="13"/>
  <c r="V82" i="13"/>
  <c r="V47" i="14"/>
  <c r="V97" i="13"/>
  <c r="V10" i="13"/>
  <c r="DC35" i="5"/>
  <c r="DC38" i="5" s="1"/>
  <c r="V48" i="14"/>
  <c r="CX107" i="5"/>
  <c r="CX54" i="5" s="1"/>
  <c r="V56" i="14"/>
  <c r="V58" i="14" s="1"/>
  <c r="V59" i="14" s="1"/>
  <c r="V88" i="14"/>
  <c r="CX46" i="5"/>
  <c r="CX127" i="5" s="1"/>
  <c r="CX102" i="5"/>
  <c r="DC39" i="5" l="1"/>
  <c r="W48" i="13" s="1"/>
  <c r="V17" i="13"/>
  <c r="V81" i="13"/>
  <c r="DC42" i="5" l="1"/>
  <c r="DC44" i="5" s="1"/>
  <c r="W49" i="13" s="1"/>
  <c r="V89" i="13"/>
  <c r="V70" i="13"/>
  <c r="V42" i="13"/>
  <c r="V67" i="13"/>
  <c r="V85" i="13"/>
  <c r="DC53" i="5" l="1"/>
  <c r="DC100" i="5"/>
  <c r="DC145" i="5" s="1"/>
  <c r="DC118" i="5"/>
  <c r="W87" i="13"/>
  <c r="W34" i="13" l="1"/>
  <c r="W3" i="14"/>
  <c r="W23" i="14" s="1"/>
  <c r="W52" i="14" s="1"/>
  <c r="W55" i="14" s="1"/>
  <c r="W25" i="14" l="1"/>
  <c r="W31" i="14" s="1"/>
  <c r="W50" i="13"/>
  <c r="W96" i="13" s="1"/>
  <c r="M6" i="22"/>
  <c r="W80" i="14"/>
  <c r="W94" i="13" l="1"/>
  <c r="W4" i="13"/>
  <c r="W12" i="13"/>
  <c r="W95" i="13"/>
  <c r="W83" i="14"/>
  <c r="W32" i="13" s="1"/>
  <c r="W79" i="14"/>
  <c r="W85" i="14" s="1"/>
  <c r="W33" i="14"/>
  <c r="M9" i="22"/>
  <c r="M7" i="22"/>
  <c r="W40" i="14" l="1"/>
  <c r="W42" i="14" s="1"/>
  <c r="W46" i="14" s="1"/>
  <c r="DC146" i="5"/>
  <c r="X84" i="14"/>
  <c r="DC105" i="5"/>
  <c r="W39" i="13"/>
  <c r="W36" i="13"/>
  <c r="W87" i="14" l="1"/>
  <c r="DC106" i="5"/>
  <c r="W3" i="13"/>
  <c r="W48" i="14" s="1"/>
  <c r="X45" i="14"/>
  <c r="W40" i="13"/>
  <c r="DC148" i="5"/>
  <c r="W93" i="13"/>
  <c r="W84" i="13"/>
  <c r="W100" i="13" l="1"/>
  <c r="W99" i="13"/>
  <c r="W98" i="13"/>
  <c r="W97" i="13"/>
  <c r="W82" i="13"/>
  <c r="W47" i="14"/>
  <c r="W10" i="13"/>
  <c r="DH35" i="5"/>
  <c r="DH38" i="5" s="1"/>
  <c r="W88" i="14"/>
  <c r="W56" i="14"/>
  <c r="W58" i="14" s="1"/>
  <c r="W59" i="14" s="1"/>
  <c r="DC107" i="5"/>
  <c r="DC54" i="5" s="1"/>
  <c r="DC46" i="5"/>
  <c r="DC127" i="5" s="1"/>
  <c r="DC102" i="5"/>
  <c r="DH39" i="5" l="1"/>
  <c r="X48" i="13" s="1"/>
  <c r="W81" i="13"/>
  <c r="W17" i="13"/>
  <c r="DH42" i="5" l="1"/>
  <c r="DH44" i="5" s="1"/>
  <c r="X49" i="13" s="1"/>
  <c r="W67" i="13"/>
  <c r="W89" i="13"/>
  <c r="W70" i="13"/>
  <c r="W42" i="13"/>
  <c r="W85" i="13"/>
  <c r="DH100" i="5" l="1"/>
  <c r="X34" i="13" s="1"/>
  <c r="DH118" i="5"/>
  <c r="DH53" i="5"/>
  <c r="X87" i="13"/>
  <c r="X3" i="14" l="1"/>
  <c r="X23" i="14" s="1"/>
  <c r="X25" i="14" s="1"/>
  <c r="DH145" i="5"/>
  <c r="X52" i="14" l="1"/>
  <c r="X55" i="14" s="1"/>
  <c r="X80" i="14" s="1"/>
  <c r="X50" i="13"/>
  <c r="X96" i="13" s="1"/>
  <c r="X31" i="14"/>
  <c r="X4" i="13"/>
  <c r="X12" i="13"/>
  <c r="X95" i="13" l="1"/>
  <c r="X94" i="13"/>
  <c r="N6" i="22"/>
  <c r="N7" i="22" s="1"/>
  <c r="X79" i="14"/>
  <c r="X85" i="14" s="1"/>
  <c r="X83" i="14"/>
  <c r="X32" i="13" s="1"/>
  <c r="X33" i="14"/>
  <c r="N9" i="22" l="1"/>
  <c r="X36" i="13"/>
  <c r="X39" i="13"/>
  <c r="Y84" i="14"/>
  <c r="DH105" i="5"/>
  <c r="DH146" i="5"/>
  <c r="X40" i="14"/>
  <c r="X42" i="14" s="1"/>
  <c r="X46" i="14" s="1"/>
  <c r="Y45" i="14" l="1"/>
  <c r="X3" i="13"/>
  <c r="X48" i="14" s="1"/>
  <c r="DH106" i="5"/>
  <c r="X87" i="14"/>
  <c r="X40" i="13"/>
  <c r="X93" i="13"/>
  <c r="DH148" i="5"/>
  <c r="X84" i="13"/>
  <c r="X47" i="14" l="1"/>
  <c r="X100" i="13"/>
  <c r="X99" i="13"/>
  <c r="X98" i="13"/>
  <c r="X97" i="13"/>
  <c r="X82" i="13"/>
  <c r="X10" i="13"/>
  <c r="DM35" i="5"/>
  <c r="DM38" i="5" s="1"/>
  <c r="X88" i="14"/>
  <c r="DH107" i="5"/>
  <c r="DH54" i="5" s="1"/>
  <c r="X56" i="14"/>
  <c r="X58" i="14" s="1"/>
  <c r="X59" i="14" s="1"/>
  <c r="DH46" i="5"/>
  <c r="DH127" i="5" s="1"/>
  <c r="DH102" i="5"/>
  <c r="DM39" i="5" l="1"/>
  <c r="Y48" i="13" s="1"/>
  <c r="X81" i="13"/>
  <c r="X17" i="13"/>
  <c r="X42" i="13" l="1"/>
  <c r="X67" i="13"/>
  <c r="X70" i="13"/>
  <c r="X89" i="13"/>
  <c r="X85" i="13"/>
  <c r="DM42" i="5"/>
  <c r="DM44" i="5" s="1"/>
  <c r="Y49" i="13" l="1"/>
  <c r="DM100" i="5"/>
  <c r="DM118" i="5"/>
  <c r="DM53" i="5"/>
  <c r="DM145" i="5" l="1"/>
  <c r="Y3" i="14"/>
  <c r="Y23" i="14" s="1"/>
  <c r="Y34" i="13"/>
  <c r="Y87" i="13"/>
  <c r="Y52" i="14" l="1"/>
  <c r="Y55" i="14" s="1"/>
  <c r="Y25" i="14"/>
  <c r="Y50" i="13"/>
  <c r="Y94" i="13" l="1"/>
  <c r="Y96" i="13"/>
  <c r="Y95" i="13"/>
  <c r="Y31" i="14"/>
  <c r="Y12" i="13"/>
  <c r="Y4" i="13"/>
  <c r="Y80" i="14"/>
  <c r="O6" i="22"/>
  <c r="O9" i="22" l="1"/>
  <c r="O7" i="22"/>
  <c r="C23" i="22" s="1"/>
  <c r="Y83" i="14"/>
  <c r="Y32" i="13" s="1"/>
  <c r="Y79" i="14"/>
  <c r="Y85" i="14" s="1"/>
  <c r="Y33" i="14"/>
  <c r="Z84" i="14" l="1"/>
  <c r="DM105" i="5"/>
  <c r="Y39" i="13"/>
  <c r="Y36" i="13"/>
  <c r="Y40" i="14"/>
  <c r="Y42" i="14" s="1"/>
  <c r="Y46" i="14" s="1"/>
  <c r="DM146" i="5"/>
  <c r="Y93" i="13" l="1"/>
  <c r="Y40" i="13"/>
  <c r="DM148" i="5"/>
  <c r="Y84" i="13"/>
  <c r="Z45" i="14"/>
  <c r="Y3" i="13"/>
  <c r="Y87" i="14"/>
  <c r="DM106" i="5"/>
  <c r="Y82" i="13" l="1"/>
  <c r="Y99" i="13"/>
  <c r="Y98" i="13"/>
  <c r="Y100" i="13"/>
  <c r="Y47" i="14"/>
  <c r="Y10" i="13"/>
  <c r="Y97" i="13"/>
  <c r="DR35" i="5"/>
  <c r="DR38" i="5" s="1"/>
  <c r="Y88" i="14"/>
  <c r="Y56" i="14"/>
  <c r="Y58" i="14" s="1"/>
  <c r="Y59" i="14" s="1"/>
  <c r="DM107" i="5"/>
  <c r="DM54" i="5" s="1"/>
  <c r="DM46" i="5"/>
  <c r="DM127" i="5" s="1"/>
  <c r="DM102" i="5"/>
  <c r="Y48" i="14"/>
  <c r="DR39" i="5" l="1"/>
  <c r="Z48" i="13" s="1"/>
  <c r="Y17" i="13"/>
  <c r="Y81" i="13"/>
  <c r="DR42" i="5" l="1"/>
  <c r="DR44" i="5" s="1"/>
  <c r="Z49" i="13" s="1"/>
  <c r="Y70" i="13"/>
  <c r="Y42" i="13"/>
  <c r="Y89" i="13"/>
  <c r="Y67" i="13"/>
  <c r="Y85" i="13"/>
  <c r="DR53" i="5" l="1"/>
  <c r="DR118" i="5"/>
  <c r="DR100" i="5"/>
  <c r="Z3" i="14" s="1"/>
  <c r="Z23" i="14" s="1"/>
  <c r="Z87" i="13"/>
  <c r="Z34" i="13" l="1"/>
  <c r="DR145" i="5"/>
  <c r="Z50" i="13"/>
  <c r="Z25" i="14"/>
  <c r="Z52" i="14"/>
  <c r="Z55" i="14" s="1"/>
  <c r="Z94" i="13" l="1"/>
  <c r="Z96" i="13"/>
  <c r="Z95" i="13"/>
  <c r="Z80" i="14"/>
  <c r="P6" i="22"/>
  <c r="Z31" i="14"/>
  <c r="Z12" i="13"/>
  <c r="Z4" i="13"/>
  <c r="Z79" i="14" l="1"/>
  <c r="Z85" i="14" s="1"/>
  <c r="Z83" i="14"/>
  <c r="Z32" i="13" s="1"/>
  <c r="Z33" i="14"/>
  <c r="P7" i="22"/>
  <c r="P9" i="22"/>
  <c r="AA84" i="14" l="1"/>
  <c r="DR105" i="5"/>
  <c r="Z39" i="13"/>
  <c r="Z36" i="13"/>
  <c r="Z40" i="14"/>
  <c r="Z42" i="14" s="1"/>
  <c r="Z46" i="14" s="1"/>
  <c r="DR146" i="5"/>
  <c r="Z40" i="13" l="1"/>
  <c r="DR148" i="5"/>
  <c r="Z93" i="13"/>
  <c r="Z84" i="13"/>
  <c r="AA45" i="14"/>
  <c r="Z3" i="13"/>
  <c r="Z87" i="14"/>
  <c r="DR106" i="5"/>
  <c r="Z88" i="14" l="1"/>
  <c r="DR107" i="5"/>
  <c r="DR54" i="5" s="1"/>
  <c r="Z56" i="14"/>
  <c r="Z58" i="14" s="1"/>
  <c r="Z59" i="14" s="1"/>
  <c r="DR46" i="5"/>
  <c r="DR127" i="5" s="1"/>
  <c r="DR102" i="5"/>
  <c r="Z99" i="13"/>
  <c r="Z100" i="13"/>
  <c r="Z97" i="13"/>
  <c r="Z82" i="13"/>
  <c r="Z47" i="14"/>
  <c r="Z98" i="13"/>
  <c r="Z10" i="13"/>
  <c r="DW35" i="5"/>
  <c r="DW38" i="5" s="1"/>
  <c r="Z48" i="14"/>
  <c r="DW39" i="5" l="1"/>
  <c r="AA48" i="13" s="1"/>
  <c r="Z17" i="13"/>
  <c r="Z81" i="13"/>
  <c r="Z67" i="13" l="1"/>
  <c r="Z70" i="13"/>
  <c r="Z89" i="13"/>
  <c r="Z42" i="13"/>
  <c r="Z85" i="13"/>
  <c r="DW42" i="5"/>
  <c r="DW44" i="5" s="1"/>
  <c r="AA49" i="13" l="1"/>
  <c r="DW53" i="5"/>
  <c r="DW118" i="5"/>
  <c r="DW100" i="5"/>
  <c r="AA87" i="13" l="1"/>
  <c r="DW145" i="5"/>
  <c r="AA3" i="14"/>
  <c r="AA23" i="14" s="1"/>
  <c r="AA34" i="13"/>
  <c r="AA25" i="14" l="1"/>
  <c r="AA52" i="14"/>
  <c r="AA55" i="14" s="1"/>
  <c r="AA50" i="13"/>
  <c r="AA95" i="13" l="1"/>
  <c r="AA94" i="13"/>
  <c r="AA96" i="13"/>
  <c r="Q6" i="22"/>
  <c r="AA80" i="14"/>
  <c r="AA31" i="14"/>
  <c r="AA4" i="13"/>
  <c r="AA12" i="13"/>
  <c r="AA79" i="14" l="1"/>
  <c r="AA85" i="14" s="1"/>
  <c r="AA83" i="14"/>
  <c r="AA32" i="13" s="1"/>
  <c r="AA33" i="14"/>
  <c r="AA40" i="14" l="1"/>
  <c r="AA42" i="14" s="1"/>
  <c r="AA46" i="14" s="1"/>
  <c r="DW146" i="5"/>
  <c r="AA39" i="13"/>
  <c r="AA36" i="13"/>
  <c r="AB84" i="14"/>
  <c r="DW105" i="5"/>
  <c r="AA3" i="13" l="1"/>
  <c r="AA48" i="14" s="1"/>
  <c r="AB45" i="14"/>
  <c r="AA87" i="14"/>
  <c r="DW106" i="5"/>
  <c r="AA93" i="13"/>
  <c r="DW148" i="5"/>
  <c r="AA40" i="13"/>
  <c r="AA84" i="13"/>
  <c r="AA88" i="14" l="1"/>
  <c r="DW107" i="5"/>
  <c r="DW54" i="5" s="1"/>
  <c r="AA56" i="14"/>
  <c r="AA58" i="14" s="1"/>
  <c r="AA59" i="14" s="1"/>
  <c r="DW46" i="5"/>
  <c r="DW127" i="5" s="1"/>
  <c r="DW102" i="5"/>
  <c r="AA97" i="13"/>
  <c r="AA82" i="13"/>
  <c r="AA99" i="13"/>
  <c r="AA47" i="14"/>
  <c r="AA100" i="13"/>
  <c r="AA98" i="13"/>
  <c r="EB35" i="5"/>
  <c r="EB38" i="5" s="1"/>
  <c r="AA10" i="13"/>
  <c r="EB39" i="5" l="1"/>
  <c r="AB48" i="13" s="1"/>
  <c r="AA81" i="13"/>
  <c r="AA17" i="13"/>
  <c r="AA70" i="13" l="1"/>
  <c r="AA42" i="13"/>
  <c r="AA67" i="13"/>
  <c r="AA89" i="13"/>
  <c r="AA85" i="13"/>
  <c r="EB42" i="5"/>
  <c r="EB44" i="5" s="1"/>
  <c r="EB118" i="5" l="1"/>
  <c r="AB49" i="13"/>
  <c r="EB100" i="5"/>
  <c r="AB3" i="14" l="1"/>
  <c r="AB23" i="14" s="1"/>
  <c r="EB145" i="5"/>
  <c r="AB34" i="13"/>
  <c r="AB87" i="13"/>
  <c r="AB25" i="14" l="1"/>
  <c r="AB52" i="14"/>
  <c r="AB55" i="14" s="1"/>
  <c r="AB50" i="13"/>
  <c r="AB95" i="13" l="1"/>
  <c r="AB96" i="13"/>
  <c r="AB94" i="13"/>
  <c r="R6" i="22"/>
  <c r="AB80" i="14"/>
  <c r="AB31" i="14"/>
  <c r="AB12" i="13"/>
  <c r="AB4" i="13"/>
  <c r="R9" i="22" l="1"/>
  <c r="Q9" i="22"/>
  <c r="Q7" i="22"/>
  <c r="R7" i="22"/>
  <c r="AB83" i="14"/>
  <c r="AB32" i="13" s="1"/>
  <c r="AB33" i="14"/>
  <c r="AB79" i="14"/>
  <c r="AB85" i="14" s="1"/>
  <c r="EB146" i="5" l="1"/>
  <c r="AB40" i="14"/>
  <c r="AB42" i="14" s="1"/>
  <c r="AB46" i="14" s="1"/>
  <c r="AB36" i="13"/>
  <c r="AB39" i="13"/>
  <c r="AC84" i="14"/>
  <c r="EB105" i="5"/>
  <c r="AB40" i="13" l="1"/>
  <c r="EB148" i="5"/>
  <c r="AB93" i="13"/>
  <c r="AB84" i="13"/>
  <c r="AB87" i="14"/>
  <c r="EB106" i="5"/>
  <c r="AC45" i="14"/>
  <c r="AB3" i="13"/>
  <c r="AB48" i="14" s="1"/>
  <c r="AB47" i="14" l="1"/>
  <c r="AB99" i="13"/>
  <c r="AB98" i="13"/>
  <c r="AB10" i="13"/>
  <c r="AB97" i="13"/>
  <c r="AB82" i="13"/>
  <c r="AB100" i="13"/>
  <c r="EG35" i="5"/>
  <c r="EG38" i="5" s="1"/>
  <c r="AB56" i="14"/>
  <c r="AB58" i="14" s="1"/>
  <c r="AB59" i="14" s="1"/>
  <c r="EB107" i="5"/>
  <c r="AB88" i="14"/>
  <c r="EB46" i="5"/>
  <c r="EB127" i="5" s="1"/>
  <c r="EB102" i="5"/>
  <c r="EG39" i="5" l="1"/>
  <c r="AC48" i="13" s="1"/>
  <c r="AB81" i="13"/>
  <c r="AB17" i="13"/>
  <c r="EG42" i="5" l="1"/>
  <c r="EG44" i="5" s="1"/>
  <c r="EG118" i="5" s="1"/>
  <c r="AB89" i="13"/>
  <c r="AB42" i="13"/>
  <c r="AB67" i="13"/>
  <c r="AB70" i="13"/>
  <c r="AB85" i="13"/>
  <c r="AC49" i="13" l="1"/>
  <c r="AC87" i="13" s="1"/>
  <c r="EG100" i="5"/>
  <c r="AC34" i="13" s="1"/>
  <c r="AC3" i="14" l="1"/>
  <c r="AC23" i="14" s="1"/>
  <c r="AC25" i="14" s="1"/>
  <c r="EG145" i="5"/>
  <c r="AC52" i="14" l="1"/>
  <c r="AC55" i="14" s="1"/>
  <c r="S6" i="22" s="1"/>
  <c r="AC50" i="13"/>
  <c r="AC96" i="13" s="1"/>
  <c r="AC31" i="14"/>
  <c r="AC12" i="13"/>
  <c r="AC4" i="13"/>
  <c r="AC95" i="13" l="1"/>
  <c r="AC80" i="14"/>
  <c r="AC79" i="14" s="1"/>
  <c r="AC85" i="14" s="1"/>
  <c r="AC94" i="13"/>
  <c r="S9" i="22"/>
  <c r="C11" i="22" s="1"/>
  <c r="S7" i="22"/>
  <c r="T6" i="22"/>
  <c r="T9" i="22" s="1"/>
  <c r="C12" i="22" s="1"/>
  <c r="AC33" i="14" l="1"/>
  <c r="EG146" i="5" s="1"/>
  <c r="AC83" i="14"/>
  <c r="AC32" i="13" s="1"/>
  <c r="AC36" i="13" s="1"/>
  <c r="AD84" i="14"/>
  <c r="EG105" i="5"/>
  <c r="C14" i="22"/>
  <c r="C17" i="22" s="1"/>
  <c r="C18" i="22" s="1"/>
  <c r="AC40" i="14" l="1"/>
  <c r="AC42" i="14" s="1"/>
  <c r="AC46" i="14" s="1"/>
  <c r="AC3" i="13" s="1"/>
  <c r="AC48" i="14" s="1"/>
  <c r="AC39" i="13"/>
  <c r="EG148" i="5" s="1"/>
  <c r="E13" i="22"/>
  <c r="E14" i="22" s="1"/>
  <c r="AC87" i="14"/>
  <c r="EG106" i="5"/>
  <c r="AC93" i="13" l="1"/>
  <c r="AD45" i="14"/>
  <c r="AC40" i="13"/>
  <c r="AC84" i="13"/>
  <c r="EG107" i="5"/>
  <c r="AC56" i="14"/>
  <c r="AC58" i="14" s="1"/>
  <c r="AC59" i="14" s="1"/>
  <c r="AC88" i="14"/>
  <c r="EG46" i="5"/>
  <c r="EG127" i="5" s="1"/>
  <c r="EG102" i="5"/>
  <c r="AC100" i="13"/>
  <c r="AC98" i="13"/>
  <c r="AC97" i="13"/>
  <c r="AC82" i="13"/>
  <c r="AC47" i="14"/>
  <c r="AC10" i="13"/>
  <c r="AC99" i="13"/>
  <c r="EL35" i="5"/>
  <c r="EL38" i="5" s="1"/>
  <c r="AC17" i="13" l="1"/>
  <c r="AC81" i="13"/>
  <c r="EL39" i="5"/>
  <c r="AD48" i="13" s="1"/>
  <c r="AC67" i="13" l="1"/>
  <c r="AC70" i="13"/>
  <c r="AC89" i="13"/>
  <c r="AC42" i="13"/>
  <c r="AC85" i="13"/>
  <c r="EL42" i="5"/>
  <c r="EL44" i="5" s="1"/>
  <c r="EL118" i="5" l="1"/>
  <c r="AD49" i="13"/>
  <c r="EL100" i="5"/>
  <c r="AD3" i="14" l="1"/>
  <c r="AD23" i="14" s="1"/>
  <c r="EL145" i="5"/>
  <c r="AD34" i="13"/>
  <c r="AD87" i="13"/>
  <c r="AD50" i="13" l="1"/>
  <c r="AD25" i="14"/>
  <c r="AD52" i="14"/>
  <c r="AD55" i="14" s="1"/>
  <c r="AD80" i="14" l="1"/>
  <c r="AD31" i="14"/>
  <c r="AD12" i="13"/>
  <c r="AD4" i="13"/>
  <c r="AD95" i="13"/>
  <c r="AD96" i="13"/>
  <c r="AD94" i="13"/>
  <c r="AD33" i="14" l="1"/>
  <c r="AD79" i="14"/>
  <c r="AD85" i="14" s="1"/>
  <c r="EL105" i="5" s="1"/>
  <c r="AD83" i="14"/>
  <c r="AD32" i="13" s="1"/>
  <c r="AD36" i="13" l="1"/>
  <c r="AD39" i="13"/>
  <c r="AD87" i="14"/>
  <c r="EL106" i="5"/>
  <c r="AD40" i="14"/>
  <c r="AD42" i="14" s="1"/>
  <c r="AD46" i="14" s="1"/>
  <c r="EL146" i="5"/>
  <c r="AD3" i="13" l="1"/>
  <c r="AD48" i="14" s="1"/>
  <c r="AD88" i="14"/>
  <c r="EL107" i="5"/>
  <c r="AD56" i="14"/>
  <c r="AD58" i="14" s="1"/>
  <c r="AD59" i="14" s="1"/>
  <c r="EL46" i="5"/>
  <c r="EL127" i="5" s="1"/>
  <c r="EL102" i="5"/>
  <c r="AD93" i="13"/>
  <c r="AD40" i="13"/>
  <c r="EL148" i="5"/>
  <c r="AD84" i="13"/>
  <c r="AD97" i="13" l="1"/>
  <c r="AD98" i="13"/>
  <c r="AD99" i="13"/>
  <c r="AD47" i="14"/>
  <c r="AD10" i="13"/>
  <c r="AD82" i="13"/>
  <c r="AD100" i="13"/>
  <c r="AD17" i="13" l="1"/>
  <c r="AD81" i="13"/>
  <c r="AD70" i="13" l="1"/>
  <c r="AD89" i="13"/>
  <c r="AD42" i="13"/>
  <c r="AD67" i="13"/>
  <c r="AD85" i="13"/>
  <c r="BZ12" i="5" l="1"/>
  <c r="BZ110" i="5"/>
  <c r="BZ124" i="5"/>
  <c r="BZ122" i="1"/>
  <c r="BZ112" i="1" s="1"/>
  <c r="BZ125" i="1" s="1"/>
  <c r="BZ111" i="5" l="1"/>
  <c r="BZ33" i="5"/>
  <c r="BZ38" i="5" s="1"/>
  <c r="BZ42" i="5" s="1"/>
  <c r="BZ44" i="5" s="1"/>
  <c r="BZ100" i="5" s="1"/>
  <c r="BZ132" i="5" l="1"/>
  <c r="BZ117" i="5" s="1"/>
  <c r="BZ129" i="5" s="1"/>
  <c r="BZ116" i="5"/>
  <c r="BZ128" i="5" s="1"/>
  <c r="BZ46" i="5"/>
  <c r="BZ53" i="5"/>
  <c r="BZ54" i="5" s="1"/>
  <c r="BZ118" i="5"/>
  <c r="BZ102" i="5" l="1"/>
  <c r="BZ145" i="5"/>
  <c r="CE127" i="5"/>
  <c r="BZ127" i="5"/>
  <c r="BZ111" i="1"/>
</calcChain>
</file>

<file path=xl/comments1.xml><?xml version="1.0" encoding="utf-8"?>
<comments xmlns="http://schemas.openxmlformats.org/spreadsheetml/2006/main">
  <authors>
    <author>Asante, Ishmael I (Research)</author>
    <author>Harrison, Matthew (Research)</author>
  </authors>
  <commentList>
    <comment ref="BZ6" authorId="0">
      <text>
        <r>
          <rPr>
            <b/>
            <sz val="9"/>
            <color indexed="81"/>
            <rFont val="Tahoma"/>
            <family val="2"/>
          </rPr>
          <t>MSe 4/24/2018</t>
        </r>
      </text>
    </comment>
    <comment ref="BR14" authorId="1">
      <text>
        <r>
          <rPr>
            <b/>
            <sz val="9"/>
            <color indexed="81"/>
            <rFont val="Tahoma"/>
            <family val="2"/>
          </rPr>
          <t>Harrison, Matthew (Research):</t>
        </r>
        <r>
          <rPr>
            <sz val="9"/>
            <color indexed="81"/>
            <rFont val="Tahoma"/>
            <family val="2"/>
          </rPr>
          <t xml:space="preserve">
$75M for Ionis for SMA</t>
        </r>
      </text>
    </comment>
    <comment ref="BS14" authorId="1">
      <text>
        <r>
          <rPr>
            <b/>
            <sz val="9"/>
            <color indexed="81"/>
            <rFont val="Tahoma"/>
            <family val="2"/>
          </rPr>
          <t>Harrison, Matthew (Research):</t>
        </r>
        <r>
          <rPr>
            <sz val="9"/>
            <color indexed="81"/>
            <rFont val="Tahoma"/>
            <family val="2"/>
          </rPr>
          <t xml:space="preserve">
includes $50M to Eisai</t>
        </r>
      </text>
    </comment>
    <comment ref="BZ35" authorId="0">
      <text>
        <r>
          <rPr>
            <b/>
            <sz val="9"/>
            <color indexed="81"/>
            <rFont val="Tahoma"/>
            <family val="2"/>
          </rPr>
          <t>Mse of split for "other Income (expense)</t>
        </r>
      </text>
    </comment>
    <comment ref="BM43" authorId="1">
      <text>
        <r>
          <rPr>
            <b/>
            <sz val="9"/>
            <color indexed="81"/>
            <rFont val="Tahoma"/>
            <family val="2"/>
          </rPr>
          <t>Harrison, Matthew (Research):</t>
        </r>
        <r>
          <rPr>
            <sz val="9"/>
            <color indexed="81"/>
            <rFont val="Tahoma"/>
            <family val="2"/>
          </rPr>
          <t xml:space="preserve">
Neurimmune payment</t>
        </r>
      </text>
    </comment>
    <comment ref="BD65" authorId="1">
      <text>
        <r>
          <rPr>
            <b/>
            <sz val="9"/>
            <color indexed="81"/>
            <rFont val="Tahoma"/>
            <family val="2"/>
          </rPr>
          <t>Harrison, Matthew (Research):</t>
        </r>
        <r>
          <rPr>
            <sz val="9"/>
            <color indexed="81"/>
            <rFont val="Tahoma"/>
            <family val="2"/>
          </rPr>
          <t xml:space="preserve">
Westen exit</t>
        </r>
      </text>
    </comment>
    <comment ref="BG65" authorId="1">
      <text>
        <r>
          <rPr>
            <b/>
            <sz val="9"/>
            <color indexed="81"/>
            <rFont val="Tahoma"/>
            <family val="2"/>
          </rPr>
          <t>Harrison, Matthew (Research):</t>
        </r>
        <r>
          <rPr>
            <sz val="9"/>
            <color indexed="81"/>
            <rFont val="Tahoma"/>
            <family val="2"/>
          </rPr>
          <t xml:space="preserve">
1x hemophilia donation</t>
        </r>
      </text>
    </comment>
  </commentList>
</comments>
</file>

<file path=xl/comments2.xml><?xml version="1.0" encoding="utf-8"?>
<comments xmlns="http://schemas.openxmlformats.org/spreadsheetml/2006/main">
  <authors>
    <author>Harrison, Matthew (Research)</author>
  </authors>
  <commentList>
    <comment ref="BH6" authorId="0">
      <text>
        <r>
          <rPr>
            <b/>
            <sz val="9"/>
            <color indexed="81"/>
            <rFont val="Tahoma"/>
            <family val="2"/>
          </rPr>
          <t>Harrison, Matthew (Research):</t>
        </r>
        <r>
          <rPr>
            <sz val="9"/>
            <color indexed="81"/>
            <rFont val="Tahoma"/>
            <family val="2"/>
          </rPr>
          <t xml:space="preserve">
incls. $3M in plegridy in Germany and Denmark</t>
        </r>
      </text>
    </comment>
    <comment ref="BG10" authorId="0">
      <text>
        <r>
          <rPr>
            <b/>
            <sz val="9"/>
            <color indexed="81"/>
            <rFont val="Tahoma"/>
            <family val="2"/>
          </rPr>
          <t>Harrison, Matthew (Research):</t>
        </r>
        <r>
          <rPr>
            <sz val="9"/>
            <color indexed="81"/>
            <rFont val="Tahoma"/>
            <family val="2"/>
          </rPr>
          <t xml:space="preserve">
$54M 1x from AIFA; on-going demand from Italy at ~$14M</t>
        </r>
      </text>
    </comment>
    <comment ref="BQ105" authorId="0">
      <text>
        <r>
          <rPr>
            <b/>
            <sz val="9"/>
            <color indexed="81"/>
            <rFont val="Tahoma"/>
            <family val="2"/>
          </rPr>
          <t>Harrison, Matthew (Research):</t>
        </r>
        <r>
          <rPr>
            <sz val="9"/>
            <color indexed="81"/>
            <rFont val="Tahoma"/>
            <family val="2"/>
          </rPr>
          <t xml:space="preserve">
On June 28, 2016, the U.S. Patent and Trademark Office issued to the Japanese Foundation for Cancer Research (JFCR) a patent related to recombinant interferon-beta protein. This patent, US Patent No. 9,376,478, expires in June 2033. This patent was issued following an interference proceeding among JFCR and us. This patent is relevant to AVONEX and PLEGRIDY, and we will pay royalties in the mid single digits in relation to this patent during the life of the patent. The royalty payment is expected to be approximately $50 million for the remainder of 2016.</t>
        </r>
      </text>
    </comment>
    <comment ref="BQ121" authorId="0">
      <text>
        <r>
          <rPr>
            <b/>
            <sz val="9"/>
            <color indexed="81"/>
            <rFont val="Tahoma"/>
            <family val="2"/>
          </rPr>
          <t>Harrison, Matthew (Research):</t>
        </r>
        <r>
          <rPr>
            <sz val="9"/>
            <color indexed="81"/>
            <rFont val="Tahoma"/>
            <family val="2"/>
          </rPr>
          <t xml:space="preserve">
incl. $15.8M of accelerated depreciation and written down inventory</t>
        </r>
      </text>
    </comment>
  </commentList>
</comments>
</file>

<file path=xl/comments3.xml><?xml version="1.0" encoding="utf-8"?>
<comments xmlns="http://schemas.openxmlformats.org/spreadsheetml/2006/main">
  <authors>
    <author>Harrison, Matthew (Research)</author>
  </authors>
  <commentList>
    <comment ref="BR20" authorId="0">
      <text>
        <r>
          <rPr>
            <b/>
            <sz val="9"/>
            <color indexed="81"/>
            <rFont val="Tahoma"/>
            <family val="2"/>
          </rPr>
          <t>Harrison, Matthew (Research):</t>
        </r>
        <r>
          <rPr>
            <sz val="9"/>
            <color indexed="81"/>
            <rFont val="Tahoma"/>
            <family val="2"/>
          </rPr>
          <t xml:space="preserve">
BIIB say YTD -$13.5</t>
        </r>
      </text>
    </comment>
    <comment ref="BR29" authorId="0">
      <text>
        <r>
          <rPr>
            <b/>
            <sz val="9"/>
            <color indexed="81"/>
            <rFont val="Tahoma"/>
            <family val="2"/>
          </rPr>
          <t>Harrison, Matthew (Research):</t>
        </r>
        <r>
          <rPr>
            <sz val="9"/>
            <color indexed="81"/>
            <rFont val="Tahoma"/>
            <family val="2"/>
          </rPr>
          <t xml:space="preserve">
BIIB say YTD -$2.7</t>
        </r>
      </text>
    </comment>
    <comment ref="BS29" authorId="0">
      <text>
        <r>
          <rPr>
            <b/>
            <sz val="9"/>
            <color indexed="81"/>
            <rFont val="Tahoma"/>
            <family val="2"/>
          </rPr>
          <t>Harrison, Matthew (Research):</t>
        </r>
        <r>
          <rPr>
            <sz val="9"/>
            <color indexed="81"/>
            <rFont val="Tahoma"/>
            <family val="2"/>
          </rPr>
          <t xml:space="preserve">
4.9M of Abbvie losses</t>
        </r>
      </text>
    </comment>
    <comment ref="BU29" authorId="0">
      <text>
        <r>
          <rPr>
            <b/>
            <sz val="9"/>
            <color indexed="81"/>
            <rFont val="Tahoma"/>
            <family val="2"/>
          </rPr>
          <t>Harrison, Matthew (Research):</t>
        </r>
        <r>
          <rPr>
            <sz val="9"/>
            <color indexed="81"/>
            <rFont val="Tahoma"/>
            <family val="2"/>
          </rPr>
          <t xml:space="preserve">
mgt. indicated "non-significant" income</t>
        </r>
      </text>
    </comment>
  </commentList>
</comments>
</file>

<file path=xl/comments4.xml><?xml version="1.0" encoding="utf-8"?>
<comments xmlns="http://schemas.openxmlformats.org/spreadsheetml/2006/main">
  <authors>
    <author>Harrison, Matthew (Research)</author>
  </authors>
  <commentList>
    <comment ref="M28" authorId="0">
      <text>
        <r>
          <rPr>
            <b/>
            <sz val="9"/>
            <color indexed="81"/>
            <rFont val="Tahoma"/>
            <family val="2"/>
          </rPr>
          <t>Harrison, Matthew (Research):</t>
        </r>
        <r>
          <rPr>
            <sz val="9"/>
            <color indexed="81"/>
            <rFont val="Tahoma"/>
            <family val="2"/>
          </rPr>
          <t xml:space="preserve">
3,278,091 for TYSABRI</t>
        </r>
      </text>
    </comment>
  </commentList>
</comments>
</file>

<file path=xl/comments5.xml><?xml version="1.0" encoding="utf-8"?>
<comments xmlns="http://schemas.openxmlformats.org/spreadsheetml/2006/main">
  <authors>
    <author>Lam, Wendy M (Research)</author>
  </authors>
  <commentList>
    <comment ref="P70" authorId="0">
      <text>
        <r>
          <rPr>
            <b/>
            <sz val="9"/>
            <color indexed="81"/>
            <rFont val="Tahoma"/>
            <family val="2"/>
          </rPr>
          <t>Lam, Wendy M (Research):</t>
        </r>
        <r>
          <rPr>
            <sz val="9"/>
            <color indexed="81"/>
            <rFont val="Tahoma"/>
            <family val="2"/>
          </rPr>
          <t xml:space="preserve">
Relocation to Cambridge; vacated Weston, MA facility. BIIB incurred a charge of $27.2M, which represents their remaining lease obligation</t>
        </r>
      </text>
    </comment>
  </commentList>
</comments>
</file>

<file path=xl/comments6.xml><?xml version="1.0" encoding="utf-8"?>
<comments xmlns="http://schemas.openxmlformats.org/spreadsheetml/2006/main">
  <authors>
    <author>Harrison, Matthew (Research)</author>
  </authors>
  <commentList>
    <comment ref="J133" authorId="0">
      <text>
        <r>
          <rPr>
            <b/>
            <sz val="9"/>
            <color indexed="81"/>
            <rFont val="Tahoma"/>
            <family val="2"/>
          </rPr>
          <t>Harrison, Matthew (Research):</t>
        </r>
        <r>
          <rPr>
            <sz val="9"/>
            <color indexed="81"/>
            <rFont val="Tahoma"/>
            <family val="2"/>
          </rPr>
          <t xml:space="preserve">
a little bit more price for f/x</t>
        </r>
      </text>
    </comment>
    <comment ref="M133" authorId="0">
      <text>
        <r>
          <rPr>
            <b/>
            <sz val="9"/>
            <color indexed="81"/>
            <rFont val="Tahoma"/>
            <family val="2"/>
          </rPr>
          <t>Harrison, Matthew (Research):</t>
        </r>
        <r>
          <rPr>
            <sz val="9"/>
            <color indexed="81"/>
            <rFont val="Tahoma"/>
            <family val="2"/>
          </rPr>
          <t xml:space="preserve">
biosimilars
</t>
        </r>
      </text>
    </comment>
  </commentList>
</comments>
</file>

<file path=xl/comments7.xml><?xml version="1.0" encoding="utf-8"?>
<comments xmlns="http://schemas.openxmlformats.org/spreadsheetml/2006/main">
  <authors>
    <author>Harrison, Matthew (Research)</author>
    <author>Lam, Wendy M (Research)</author>
  </authors>
  <commentList>
    <comment ref="BH4" authorId="0">
      <text>
        <r>
          <rPr>
            <b/>
            <sz val="9"/>
            <color indexed="81"/>
            <rFont val="Tahoma"/>
            <family val="2"/>
          </rPr>
          <t>Harrison, Matthew (Research):</t>
        </r>
        <r>
          <rPr>
            <sz val="9"/>
            <color indexed="81"/>
            <rFont val="Tahoma"/>
            <family val="2"/>
          </rPr>
          <t xml:space="preserve">
reduced by $21M due to pharma fee catch-up</t>
        </r>
      </text>
    </comment>
    <comment ref="BC5" authorId="1">
      <text>
        <r>
          <rPr>
            <b/>
            <sz val="9"/>
            <color indexed="81"/>
            <rFont val="Tahoma"/>
            <family val="2"/>
          </rPr>
          <t>Lam, Wendy M (Research):</t>
        </r>
        <r>
          <rPr>
            <sz val="9"/>
            <color indexed="81"/>
            <rFont val="Tahoma"/>
            <family val="2"/>
          </rPr>
          <t xml:space="preserve">
July 2013: Genentech released $95M in reserves, impacting US net sales but did not impact amount recorded as revs from JV ($852M)</t>
        </r>
      </text>
    </comment>
  </commentList>
</comments>
</file>

<file path=xl/sharedStrings.xml><?xml version="1.0" encoding="utf-8"?>
<sst xmlns="http://schemas.openxmlformats.org/spreadsheetml/2006/main" count="2459" uniqueCount="1306">
  <si>
    <t>2003A</t>
  </si>
  <si>
    <t>2004A</t>
  </si>
  <si>
    <t>2005A</t>
  </si>
  <si>
    <t>2006A</t>
  </si>
  <si>
    <t>2007A</t>
  </si>
  <si>
    <t>2008A</t>
  </si>
  <si>
    <t>2009A</t>
  </si>
  <si>
    <t>2010A</t>
  </si>
  <si>
    <t>2011A</t>
  </si>
  <si>
    <t>2012A</t>
  </si>
  <si>
    <t>2013E</t>
  </si>
  <si>
    <t>2014E</t>
  </si>
  <si>
    <t>2015E</t>
  </si>
  <si>
    <t>2016E</t>
  </si>
  <si>
    <t>1Q03A</t>
  </si>
  <si>
    <t>2Q03A</t>
  </si>
  <si>
    <t>3Q03A</t>
  </si>
  <si>
    <t>4Q03A</t>
  </si>
  <si>
    <t>1Q04A</t>
  </si>
  <si>
    <t>2Q04A</t>
  </si>
  <si>
    <t>3Q04A</t>
  </si>
  <si>
    <t>4Q04A</t>
  </si>
  <si>
    <t>1Q05A</t>
  </si>
  <si>
    <t>2Q05A</t>
  </si>
  <si>
    <t>3Q05A</t>
  </si>
  <si>
    <t>4Q05A</t>
  </si>
  <si>
    <t>1Q06A</t>
  </si>
  <si>
    <t>2Q06A</t>
  </si>
  <si>
    <t>3Q06A</t>
  </si>
  <si>
    <t>4Q06A</t>
  </si>
  <si>
    <t>1Q07A</t>
  </si>
  <si>
    <t>2Q07A</t>
  </si>
  <si>
    <t>3Q07A</t>
  </si>
  <si>
    <t>4Q07A</t>
  </si>
  <si>
    <t>1Q08A</t>
  </si>
  <si>
    <t>2Q08A</t>
  </si>
  <si>
    <t>3Q08A</t>
  </si>
  <si>
    <t>4Q08A</t>
  </si>
  <si>
    <t>1Q09A</t>
  </si>
  <si>
    <t>2Q09A</t>
  </si>
  <si>
    <t>3Q09A</t>
  </si>
  <si>
    <t>4Q09A</t>
  </si>
  <si>
    <t>1Q10A</t>
  </si>
  <si>
    <t>2Q10A</t>
  </si>
  <si>
    <t>3Q10A</t>
  </si>
  <si>
    <t>4Q10A</t>
  </si>
  <si>
    <t>1Q11A</t>
  </si>
  <si>
    <t>2Q11A</t>
  </si>
  <si>
    <t>3Q11A</t>
  </si>
  <si>
    <t>4Q11A</t>
  </si>
  <si>
    <t>1Q12A</t>
  </si>
  <si>
    <t>2Q12A</t>
  </si>
  <si>
    <t>3Q12A</t>
  </si>
  <si>
    <t>4Q12A</t>
  </si>
  <si>
    <t>1Q13A</t>
  </si>
  <si>
    <t>2Q13A</t>
  </si>
  <si>
    <t>3Q13A</t>
  </si>
  <si>
    <t>4Q13E</t>
  </si>
  <si>
    <t>1Q14E</t>
  </si>
  <si>
    <t>2Q14E</t>
  </si>
  <si>
    <t>3Q14E</t>
  </si>
  <si>
    <t>4Q14E</t>
  </si>
  <si>
    <t>1Q15E</t>
  </si>
  <si>
    <t>2Q15E</t>
  </si>
  <si>
    <t>3Q15E</t>
  </si>
  <si>
    <t>4Q15E</t>
  </si>
  <si>
    <t>1Q16E</t>
  </si>
  <si>
    <t>2Q16E</t>
  </si>
  <si>
    <t>3Q16E</t>
  </si>
  <si>
    <t>4Q16E</t>
  </si>
  <si>
    <t xml:space="preserve">Tysabri worldwide sales </t>
  </si>
  <si>
    <t>Zevalin Revenue</t>
  </si>
  <si>
    <t>Amevive</t>
  </si>
  <si>
    <t>Fumaderm</t>
  </si>
  <si>
    <t xml:space="preserve">Hemophilia </t>
  </si>
  <si>
    <t>Other</t>
  </si>
  <si>
    <t>Total Product Revenues</t>
  </si>
  <si>
    <t>Total Rituxan Revenue</t>
  </si>
  <si>
    <t>Rituxan US end sales</t>
  </si>
  <si>
    <t xml:space="preserve">% growth </t>
  </si>
  <si>
    <t>Rituxan ex-US end sales</t>
  </si>
  <si>
    <t xml:space="preserve">Product revenues, net </t>
  </si>
  <si>
    <t xml:space="preserve">Costs and expenses </t>
  </si>
  <si>
    <t>Co-promotion profits in the U.S.</t>
  </si>
  <si>
    <t>Biogen’s share of US profits</t>
  </si>
  <si>
    <t>Total Revenues</t>
  </si>
  <si>
    <t>Total</t>
  </si>
  <si>
    <t>Tecfidera</t>
  </si>
  <si>
    <t xml:space="preserve">Product revenues from external customers </t>
  </si>
  <si>
    <t>Germany</t>
  </si>
  <si>
    <t>Asia</t>
  </si>
  <si>
    <t xml:space="preserve">Revenues from unconsolidated joint business  </t>
  </si>
  <si>
    <t xml:space="preserve">Other revenues from external customers   </t>
  </si>
  <si>
    <t>Fampyra (EU only)</t>
  </si>
  <si>
    <t>Product Revenue</t>
  </si>
  <si>
    <t>Rituxan Royalty</t>
  </si>
  <si>
    <t>WW</t>
  </si>
  <si>
    <t>US</t>
  </si>
  <si>
    <t>ROW</t>
  </si>
  <si>
    <t>Unit Growth Data</t>
  </si>
  <si>
    <t>Geographic Split Data</t>
  </si>
  <si>
    <t>Ex-US</t>
  </si>
  <si>
    <t>Legacy Revenues</t>
  </si>
  <si>
    <t>Tysabri reported</t>
  </si>
  <si>
    <t>Avonex (Y/Y)</t>
  </si>
  <si>
    <t>Avonex (Q/Q)</t>
  </si>
  <si>
    <t>Tysabri (Y/Y)</t>
  </si>
  <si>
    <t>Tysabri (Q/Q)</t>
  </si>
  <si>
    <t>EU</t>
  </si>
  <si>
    <t>Rituxan Revenue Model</t>
  </si>
  <si>
    <t>Biogen Share</t>
  </si>
  <si>
    <t xml:space="preserve">Commercial Margin </t>
  </si>
  <si>
    <t>Revenue on sales of Rituxan (ROW)</t>
  </si>
  <si>
    <t>Reimbursement of R&amp;D / SG&amp;A (US)</t>
  </si>
  <si>
    <t>Gross Profit</t>
  </si>
  <si>
    <t>Interest Income</t>
  </si>
  <si>
    <t>Interest Expense</t>
  </si>
  <si>
    <t>Tax Rate</t>
  </si>
  <si>
    <t>% of operating expense</t>
  </si>
  <si>
    <t>Pre-merger Biogen, Inc. Product Revenue</t>
  </si>
  <si>
    <t>Pre-merger Biogen, Inc. Royalty Revenue</t>
  </si>
  <si>
    <t>Pre-merger Biogen, Inc. Corporate Partner Revenue</t>
  </si>
  <si>
    <t>Amortization of acquired intangible assets</t>
  </si>
  <si>
    <t xml:space="preserve">Restructuring charge </t>
  </si>
  <si>
    <t xml:space="preserve">Acquired in-process research and development </t>
  </si>
  <si>
    <t xml:space="preserve">Fair value adjustment of contingent consideration </t>
  </si>
  <si>
    <t>Amevive divestiture (COGS)</t>
  </si>
  <si>
    <t>Pre-merger Biogen, Inc. Cost of Sales</t>
  </si>
  <si>
    <t>Royalties related to Corixa Settlement</t>
  </si>
  <si>
    <t>Pre-merger Biogen, Inc. R&amp;D, net of intercompany transactions</t>
  </si>
  <si>
    <t>Costs associated with sale of Oceanside Manufacturing Facility (R&amp;D)</t>
  </si>
  <si>
    <t>Merger related and purchase accounting costs (R&amp;D)</t>
  </si>
  <si>
    <t>Restructuring and severance (R&amp;D)</t>
  </si>
  <si>
    <t>Pre-merger Biogen, Inc. SG&amp;A</t>
  </si>
  <si>
    <t>Merger related and purchase accounting costs (SG&amp;A)</t>
  </si>
  <si>
    <t>Restructuring and severance (SG&amp;A)</t>
  </si>
  <si>
    <t>Stock option expense  (R&amp;D)</t>
  </si>
  <si>
    <t>Stock option expense (SG&amp;A)</t>
  </si>
  <si>
    <t xml:space="preserve">Gain on dispositions, net </t>
  </si>
  <si>
    <t xml:space="preserve">(Gain) loss on settlement of license agreements, net </t>
  </si>
  <si>
    <t>Other expense: write-down of other investments</t>
  </si>
  <si>
    <t>Charges associated with Charitable Donations and Legal Settlements</t>
  </si>
  <si>
    <t>Noncontrolling interest: Expenses paid by Cardiokine</t>
  </si>
  <si>
    <t>Income tax expense: Income tax effect related to reconciling items</t>
  </si>
  <si>
    <t xml:space="preserve">Adjustment for net income allocable to preferred stock </t>
  </si>
  <si>
    <t xml:space="preserve">Adjustment for interest, net of interest capitalized and tax </t>
  </si>
  <si>
    <t>EBITDA</t>
  </si>
  <si>
    <t>GAAP Net Income</t>
  </si>
  <si>
    <t>Total revenue</t>
  </si>
  <si>
    <t>Stock Buyback</t>
  </si>
  <si>
    <t>Cost of share repurchase</t>
  </si>
  <si>
    <t>Biogen Income Statement</t>
  </si>
  <si>
    <t>Total Revenue</t>
  </si>
  <si>
    <t>COGS</t>
  </si>
  <si>
    <t>SG&amp;A</t>
  </si>
  <si>
    <t>R&amp;D</t>
  </si>
  <si>
    <t>Shares (MM)</t>
  </si>
  <si>
    <t>$ (MM)</t>
  </si>
  <si>
    <t>Shares repurchased (MM)</t>
  </si>
  <si>
    <t>Average repurchase price</t>
  </si>
  <si>
    <t>Remaining authorization</t>
  </si>
  <si>
    <t>Consensus Revenue</t>
  </si>
  <si>
    <t>Operating Income</t>
  </si>
  <si>
    <t>Pretax Income</t>
  </si>
  <si>
    <t>Taxes</t>
  </si>
  <si>
    <t>Net income from noncontrolling interest</t>
  </si>
  <si>
    <t>Consensus EPS</t>
  </si>
  <si>
    <t>Options expense</t>
  </si>
  <si>
    <t>Tax Impact</t>
  </si>
  <si>
    <t>Net income (non-gaap)</t>
  </si>
  <si>
    <t>Net income (non-gaap, incl. options)</t>
  </si>
  <si>
    <t>GAAP EPS (incl. options)</t>
  </si>
  <si>
    <t>Basic Shares - GAAP</t>
  </si>
  <si>
    <t>Diluted Shares - GAAP</t>
  </si>
  <si>
    <t>Diluted Shares - non-GAAP</t>
  </si>
  <si>
    <t>Expenses paid by Cardiokine in 2008</t>
  </si>
  <si>
    <t>Reconciliation to GAAP</t>
  </si>
  <si>
    <t>Expenses paid by Cardiokine and Neurimmune (R&amp;D)</t>
  </si>
  <si>
    <t>Legacy GAAP Reconciliation</t>
  </si>
  <si>
    <t>COGS (product revenue)</t>
  </si>
  <si>
    <t>Gross Margin (total revenue)</t>
  </si>
  <si>
    <t>SG&amp;A (as a % of sales)</t>
  </si>
  <si>
    <t>R&amp;D (as a % of sales)</t>
  </si>
  <si>
    <t>Operating Margin</t>
  </si>
  <si>
    <t>EBITDA Margin</t>
  </si>
  <si>
    <t>Net Margin</t>
  </si>
  <si>
    <t>Net product sales</t>
  </si>
  <si>
    <t>Operating margin (EBIT)</t>
  </si>
  <si>
    <t>EBITDA margin</t>
  </si>
  <si>
    <t>Product Revenues</t>
  </si>
  <si>
    <t>Royalty</t>
  </si>
  <si>
    <t>Corporate partner</t>
  </si>
  <si>
    <t>Fair value step up of inv. acquired from former Biogen &amp; Fumapharm</t>
  </si>
  <si>
    <t>Depreciation &amp; Amortization</t>
  </si>
  <si>
    <t>Collaboration profit sharing</t>
  </si>
  <si>
    <t>Pre-merger Biogen, Inc. other income</t>
  </si>
  <si>
    <t>Stock option expense (COGS)</t>
  </si>
  <si>
    <t>US - ALPROLIX</t>
  </si>
  <si>
    <t>US - ELOCTATE</t>
  </si>
  <si>
    <t>United States</t>
  </si>
  <si>
    <t>US Population</t>
  </si>
  <si>
    <t>Growth</t>
  </si>
  <si>
    <t>MS prevalence</t>
  </si>
  <si>
    <t>http://www.msif.org/includes/documents/cm_docs/2013/m/msif-atlas-of-ms-2013-report.pdf?f=1; Epidemiol Rev. 1997;19:99-106</t>
  </si>
  <si>
    <t># MS prevalence</t>
  </si>
  <si>
    <t>RRMS (Relapsing Remitting)</t>
  </si>
  <si>
    <t>http://www.edmus.org/en/proj/studies_lyon.html</t>
  </si>
  <si>
    <t>SPMS (Secondary Progressive)</t>
  </si>
  <si>
    <t>PPMS (Primary Progressive)</t>
  </si>
  <si>
    <t>PRMS (Progressive Relapsing)</t>
  </si>
  <si>
    <t>RRMS Model</t>
  </si>
  <si>
    <t># RRMS</t>
  </si>
  <si>
    <t>http://mymsaa.org/about-ms/overview/</t>
  </si>
  <si>
    <t>% Treated</t>
  </si>
  <si>
    <t>Extrapolation of historical patient numbers from revenues</t>
  </si>
  <si>
    <t># RRMS Treated</t>
  </si>
  <si>
    <t>Line of Therapy</t>
  </si>
  <si>
    <t>% 1st line</t>
  </si>
  <si>
    <t>% 2nd line</t>
  </si>
  <si>
    <t>% 3rd line</t>
  </si>
  <si>
    <t># 1st line</t>
  </si>
  <si>
    <t># 2nd line</t>
  </si>
  <si>
    <t># 3rd line</t>
  </si>
  <si>
    <t>1st &amp; 2nd line market share</t>
  </si>
  <si>
    <t>Injectible</t>
  </si>
  <si>
    <t>Avonex/PEG-Avonex</t>
  </si>
  <si>
    <t>BCRE</t>
  </si>
  <si>
    <t>Tysabri</t>
  </si>
  <si>
    <t>Oral</t>
  </si>
  <si>
    <t>3rd line market share</t>
  </si>
  <si>
    <t>JCV Positive</t>
  </si>
  <si>
    <t>JCV Negative</t>
  </si>
  <si>
    <t>Biogen says 75% of pts on Tysabri are JCV negative</t>
  </si>
  <si>
    <t>Revenue Breakdown</t>
  </si>
  <si>
    <t>Avonex/Peg-Avonex</t>
  </si>
  <si>
    <t>Total patients</t>
  </si>
  <si>
    <t>Historicals</t>
  </si>
  <si>
    <t>Annualized Price</t>
  </si>
  <si>
    <t>% Y/Y Growth</t>
  </si>
  <si>
    <t>US Avonex Revenue</t>
  </si>
  <si>
    <t>US Tysabri</t>
  </si>
  <si>
    <t>ROW Developed Markets</t>
  </si>
  <si>
    <t>EU Population</t>
  </si>
  <si>
    <t># MS prevalence in EU</t>
  </si>
  <si>
    <t># MS prevalence in Australia/NZ</t>
  </si>
  <si>
    <t># MS prevalence in Non-US Americas</t>
  </si>
  <si>
    <t># Other ROW</t>
  </si>
  <si>
    <t># ROW developed markets MS</t>
  </si>
  <si>
    <t>ROW Avonex Revenue</t>
  </si>
  <si>
    <t>Avonex</t>
  </si>
  <si>
    <t>US Tecfidera</t>
  </si>
  <si>
    <t>ROW Tysabri</t>
  </si>
  <si>
    <t>ROW Tecfidera</t>
  </si>
  <si>
    <t>Net Income (Loss)</t>
  </si>
  <si>
    <t>Depreciation &amp; Amort.</t>
  </si>
  <si>
    <t xml:space="preserve">Depreciation  </t>
  </si>
  <si>
    <t>Amortization</t>
  </si>
  <si>
    <t>Acquired in-process R&amp;D</t>
  </si>
  <si>
    <t>Non-cash Interest Expense</t>
  </si>
  <si>
    <t>Deferred Income Taxes</t>
  </si>
  <si>
    <t>Share-based compensation</t>
  </si>
  <si>
    <t>Excess tax benefit from shared-based compensation</t>
  </si>
  <si>
    <t>Gain on Sale of Noncurrent Marketable Securities</t>
  </si>
  <si>
    <t>Changes in Operating Assets and Liabilities</t>
  </si>
  <si>
    <t>Accounts Receivable</t>
  </si>
  <si>
    <t>Inventory</t>
  </si>
  <si>
    <t>Due from Unconsolidated Joint Business</t>
  </si>
  <si>
    <t>Other Current and other Assets</t>
  </si>
  <si>
    <t>Net Cash From Operations</t>
  </si>
  <si>
    <t>Net (Purchase) Proceeds Marketable Securities</t>
  </si>
  <si>
    <t>Increase In PP&amp;E</t>
  </si>
  <si>
    <t>Net disposals (acquisitions)</t>
  </si>
  <si>
    <t>Investment In Research Collaboration</t>
  </si>
  <si>
    <t>Net Cash From Investing</t>
  </si>
  <si>
    <t>Proceeds From Issuance of Long-Term Debt</t>
  </si>
  <si>
    <t>Repayments Of Long-Term Debt</t>
  </si>
  <si>
    <t>Net distributions to noncontrolling interests</t>
  </si>
  <si>
    <t>Net Cash From Financing</t>
  </si>
  <si>
    <t>Effect of exchange rate changes</t>
  </si>
  <si>
    <t>Net Change In Cash &amp; Equivalents</t>
  </si>
  <si>
    <t>Cash Balance Beginning Of Year</t>
  </si>
  <si>
    <t>Cash &amp; Equivalents Balance Year-End</t>
  </si>
  <si>
    <t>Cash plus Securities</t>
  </si>
  <si>
    <t>Check</t>
  </si>
  <si>
    <t xml:space="preserve">Free Cash Flow </t>
  </si>
  <si>
    <t>Co. Method</t>
  </si>
  <si>
    <t>CFO</t>
  </si>
  <si>
    <t>- Cap Ex</t>
  </si>
  <si>
    <t>+ Tax Benefits of ESO's</t>
  </si>
  <si>
    <t>Free Cash Flow</t>
  </si>
  <si>
    <t>Shares Outstanding</t>
  </si>
  <si>
    <t>Share Price</t>
  </si>
  <si>
    <t>Market Capitalization</t>
  </si>
  <si>
    <t>FCF yield</t>
  </si>
  <si>
    <t xml:space="preserve">Stock Price (average) </t>
  </si>
  <si>
    <t>Option Balance (Beginning Year)</t>
  </si>
  <si>
    <t xml:space="preserve"> Average Options Exercisable</t>
  </si>
  <si>
    <t xml:space="preserve">   % Exercisable</t>
  </si>
  <si>
    <t>Weighted Average Exercise Price of exercisable</t>
  </si>
  <si>
    <t>Options Cancelled</t>
  </si>
  <si>
    <t xml:space="preserve">   % Cancelled </t>
  </si>
  <si>
    <t>Options Exercised</t>
  </si>
  <si>
    <t>Weighted Average Exercise Price</t>
  </si>
  <si>
    <t xml:space="preserve">   Statutory  Tax rate</t>
  </si>
  <si>
    <t>Proceeds from option</t>
  </si>
  <si>
    <t>Tax Benefit from Options</t>
  </si>
  <si>
    <t>Options Granted</t>
  </si>
  <si>
    <t xml:space="preserve">     % of Outstanding Options</t>
  </si>
  <si>
    <t>Shares Issued</t>
  </si>
  <si>
    <t>Proceeds from share issuance</t>
  </si>
  <si>
    <t>Shares Repurchased (million)</t>
  </si>
  <si>
    <t>Share Repurchase Cost</t>
  </si>
  <si>
    <t>Stock Compensation Expense</t>
  </si>
  <si>
    <t>Others</t>
  </si>
  <si>
    <t>Total Change in APIC</t>
  </si>
  <si>
    <t>Beginning Period Shares</t>
  </si>
  <si>
    <t>End of Period Shares - Basic</t>
  </si>
  <si>
    <t xml:space="preserve">Average Shares Outstanding-basic </t>
  </si>
  <si>
    <t>Average Shares Outstanding-diluted</t>
  </si>
  <si>
    <t xml:space="preserve">RSU Table </t>
  </si>
  <si>
    <t>RSU Balance (Beginning Year)</t>
  </si>
  <si>
    <t>RSU Cancelled</t>
  </si>
  <si>
    <t>RSU Vested</t>
  </si>
  <si>
    <t xml:space="preserve">     % of RSU Vested</t>
  </si>
  <si>
    <t>RSU Granted</t>
  </si>
  <si>
    <t xml:space="preserve">     % of RSU Unvested</t>
  </si>
  <si>
    <t>Cash and Equivalents</t>
  </si>
  <si>
    <t>Marketable securities</t>
  </si>
  <si>
    <t xml:space="preserve">Due from unconsolidated joint business </t>
  </si>
  <si>
    <t>Deferred Tax Asset</t>
  </si>
  <si>
    <t>Total Current Assets</t>
  </si>
  <si>
    <t>Property &amp; Equipment, Net</t>
  </si>
  <si>
    <t>Intangible assets, net</t>
  </si>
  <si>
    <t>Goodwill</t>
  </si>
  <si>
    <t xml:space="preserve">Investments and other assets </t>
  </si>
  <si>
    <t>Total Assets</t>
  </si>
  <si>
    <t>Accounts Payable</t>
  </si>
  <si>
    <t>Taxes Payable</t>
  </si>
  <si>
    <t xml:space="preserve">Accrued expenses and other </t>
  </si>
  <si>
    <t>Total Current Liabilities</t>
  </si>
  <si>
    <t>Long-Term Deferred Tax Liability</t>
  </si>
  <si>
    <t>Other Long Term Liabilities</t>
  </si>
  <si>
    <t>Total Liabilities</t>
  </si>
  <si>
    <t>Common Stock</t>
  </si>
  <si>
    <t>Treasury stock</t>
  </si>
  <si>
    <t>Retained Earnings</t>
  </si>
  <si>
    <t>Accumulated other comprehensive income</t>
  </si>
  <si>
    <t>Total Shareholders' Equity</t>
  </si>
  <si>
    <t>Total Liabilities &amp; Shareholders' Equity</t>
  </si>
  <si>
    <t>Balance Sheet Ratios</t>
  </si>
  <si>
    <t>Revenue</t>
  </si>
  <si>
    <t>Operating Expenses</t>
  </si>
  <si>
    <t>NI</t>
  </si>
  <si>
    <t>Operating CF</t>
  </si>
  <si>
    <t>Capex</t>
  </si>
  <si>
    <t>Operating Activity</t>
  </si>
  <si>
    <t>Accounts receivable turnover (Total Sales / AR)</t>
  </si>
  <si>
    <t>Inventory Turnover  (COGS / Inv)</t>
  </si>
  <si>
    <t>Accounts Payable Turnover (COGS / AP)</t>
  </si>
  <si>
    <t xml:space="preserve">Days receivables outstanding </t>
  </si>
  <si>
    <t>Days inventory outstanding</t>
  </si>
  <si>
    <t>Days Sales Outstanding</t>
  </si>
  <si>
    <t>Days Payable Outstanding</t>
  </si>
  <si>
    <t>% Revenue</t>
  </si>
  <si>
    <t>Other Current Assets</t>
  </si>
  <si>
    <t>% Total Assets</t>
  </si>
  <si>
    <t>Other Long-Term Assets</t>
  </si>
  <si>
    <t xml:space="preserve">Accounts Payable </t>
  </si>
  <si>
    <t>% Operating Expenses</t>
  </si>
  <si>
    <t>Accrued Liabilities &amp; Other</t>
  </si>
  <si>
    <t>% Total Liabilities</t>
  </si>
  <si>
    <t>Liquidity</t>
  </si>
  <si>
    <t>Current Ratio (CA/CL)</t>
  </si>
  <si>
    <t>Quick Ratio ((Cash+AR)/CL)</t>
  </si>
  <si>
    <t>Profitability</t>
  </si>
  <si>
    <t>ROE (NI/Ave. Equity)</t>
  </si>
  <si>
    <t>ROA (NI/Ave. Assets)</t>
  </si>
  <si>
    <t>Gross Profit Margin</t>
  </si>
  <si>
    <t>Profit Margin (NI/Total Sales)</t>
  </si>
  <si>
    <t>Fixed Asset Turnover (Total Sales/Ave. Net PPE)</t>
  </si>
  <si>
    <t>Total Assets Turnover (Total Sales/Ave. Assets)</t>
  </si>
  <si>
    <t>Leverage</t>
  </si>
  <si>
    <t>Total Leverage (Total Debt/EBITDA)</t>
  </si>
  <si>
    <t>Interest Coverage (EBITDA/Interest)</t>
  </si>
  <si>
    <t>Long Term Debt/Equity</t>
  </si>
  <si>
    <t>OCF/Ave. Current Liabilities</t>
  </si>
  <si>
    <t>OCF/Ave. Total Liabilities</t>
  </si>
  <si>
    <t>OCF/Capital Expenditures</t>
  </si>
  <si>
    <t>Net Debt/Total Capital</t>
  </si>
  <si>
    <t>Net Debt/Total Assets</t>
  </si>
  <si>
    <t>Cash/share</t>
  </si>
  <si>
    <t>Net cash/share</t>
  </si>
  <si>
    <t>Cap Ex</t>
  </si>
  <si>
    <t>Property and Equipment, Net</t>
  </si>
  <si>
    <t>Beginning balance</t>
  </si>
  <si>
    <t>Capital expenditures</t>
  </si>
  <si>
    <t>% revenue</t>
  </si>
  <si>
    <t>Depreciation</t>
  </si>
  <si>
    <t>Ending balance</t>
  </si>
  <si>
    <t>Fixed Asset Turnover (CHECK)</t>
  </si>
  <si>
    <t>Existing PP&amp;E</t>
  </si>
  <si>
    <t>2004 capital expenditures</t>
  </si>
  <si>
    <t>2005 capital expenditures</t>
  </si>
  <si>
    <t>2006 capital expenditures</t>
  </si>
  <si>
    <t>2007 capital expenditures</t>
  </si>
  <si>
    <t>2008 capital expenditures</t>
  </si>
  <si>
    <t>2009 capital expenditures</t>
  </si>
  <si>
    <t>2010 capital expenditures</t>
  </si>
  <si>
    <t>2011 capital expenditures</t>
  </si>
  <si>
    <t>2012 capital expenditures</t>
  </si>
  <si>
    <t>2013 capital expenditures</t>
  </si>
  <si>
    <t>2014 capital expenditures</t>
  </si>
  <si>
    <t>2015 capital expenditures</t>
  </si>
  <si>
    <t>2016 capital expenditures</t>
  </si>
  <si>
    <t>Total depreciation</t>
  </si>
  <si>
    <t>Total depreciation and amortization</t>
  </si>
  <si>
    <t>Amortization as % of operating expenses</t>
  </si>
  <si>
    <t>Acquisitions</t>
  </si>
  <si>
    <t>Additions net of cash:</t>
  </si>
  <si>
    <t>Allocation to IPR&amp;D (Expensed)</t>
  </si>
  <si>
    <t>Allocation (%)</t>
  </si>
  <si>
    <t>Allocation to Goodwill</t>
  </si>
  <si>
    <t>Allocation to Intangibles/Technology Rights</t>
  </si>
  <si>
    <t>Total Goodwill</t>
  </si>
  <si>
    <t>Total Intangibles</t>
  </si>
  <si>
    <t>Amortization of Existing Intangible Assets</t>
  </si>
  <si>
    <t>Implied Life of Intangibles</t>
  </si>
  <si>
    <t>Return on invested capital (non-GAAP)</t>
  </si>
  <si>
    <t>Sales</t>
  </si>
  <si>
    <t>EBIT</t>
  </si>
  <si>
    <t>Tax rate</t>
  </si>
  <si>
    <t>NOPAT</t>
  </si>
  <si>
    <t>NOPAT margin</t>
  </si>
  <si>
    <t>Accounts receivables</t>
  </si>
  <si>
    <t>Other current assets</t>
  </si>
  <si>
    <t>Net PP&amp;E</t>
  </si>
  <si>
    <t>Noncurrent assets</t>
  </si>
  <si>
    <t>Goodwill &amp; other intangibles</t>
  </si>
  <si>
    <t>Operating assets</t>
  </si>
  <si>
    <t>Accounts payable</t>
  </si>
  <si>
    <t>Other current liabilities</t>
  </si>
  <si>
    <t>Other long-term liabilities</t>
  </si>
  <si>
    <t>Operating liabilities</t>
  </si>
  <si>
    <t>Net operating assets</t>
  </si>
  <si>
    <t>Asset turnover</t>
  </si>
  <si>
    <t>% Fampyra Rx</t>
  </si>
  <si>
    <t>Patients Starting Fampyra</t>
  </si>
  <si>
    <t>Fampyra Revenue</t>
  </si>
  <si>
    <t xml:space="preserve">% of sales </t>
  </si>
  <si>
    <t>Fampyra</t>
  </si>
  <si>
    <t>% walking disability</t>
  </si>
  <si>
    <t>Addressable</t>
  </si>
  <si>
    <t>% responding</t>
  </si>
  <si>
    <t>Compliance</t>
  </si>
  <si>
    <t>Patients Responding</t>
  </si>
  <si>
    <t>% effective penetration</t>
  </si>
  <si>
    <t>Average Duration (years)</t>
  </si>
  <si>
    <t>Convertible Bonds</t>
  </si>
  <si>
    <t>Amount</t>
  </si>
  <si>
    <t>Coupon Rate</t>
  </si>
  <si>
    <t>Interest Paid</t>
  </si>
  <si>
    <t>Interest Accrued</t>
  </si>
  <si>
    <t>Issuances / (Repayments)</t>
  </si>
  <si>
    <t xml:space="preserve">Interest Bearing Liabilities </t>
  </si>
  <si>
    <t>5.5% Notes</t>
  </si>
  <si>
    <t>Term Loan</t>
  </si>
  <si>
    <t xml:space="preserve">6.000% Senior Notes </t>
  </si>
  <si>
    <t xml:space="preserve">6.875% Senior Notes </t>
  </si>
  <si>
    <t xml:space="preserve">Note payable to Fumedica </t>
  </si>
  <si>
    <t xml:space="preserve">Credit line from Dompé </t>
  </si>
  <si>
    <t xml:space="preserve">Financing for San Diego facility </t>
  </si>
  <si>
    <t>Capitalized Interest</t>
  </si>
  <si>
    <t>Net Interest Expense</t>
  </si>
  <si>
    <t>Total Debt</t>
  </si>
  <si>
    <t>Current Portion</t>
  </si>
  <si>
    <t>Maturity</t>
  </si>
  <si>
    <t>Total current portion of LTD</t>
  </si>
  <si>
    <t>Approval Milestone</t>
  </si>
  <si>
    <t>Cumulative Sales</t>
  </si>
  <si>
    <t>Milestones &lt;3.5B</t>
  </si>
  <si>
    <t>Total Milestones Passed</t>
  </si>
  <si>
    <t>Number of New Milestones Passed</t>
  </si>
  <si>
    <t>Last Milestone Threshold</t>
  </si>
  <si>
    <t>Est. Last 12 Months Sales</t>
  </si>
  <si>
    <t>12 Months Sales Threshold</t>
  </si>
  <si>
    <t>Milestone Payments</t>
  </si>
  <si>
    <t>Milestones &gt;3.5B</t>
  </si>
  <si>
    <t>Payments/Milestone</t>
  </si>
  <si>
    <t>Total Milestone Payments</t>
  </si>
  <si>
    <t>Cumulative Sales (in millions)</t>
  </si>
  <si>
    <t>Every $1,000 more, up to $20,000</t>
  </si>
  <si>
    <t>Prior 12 Month Sales Threshold (in millions)</t>
  </si>
  <si>
    <t>Non-current portion of LTD</t>
  </si>
  <si>
    <t>Other Debt (Lease)</t>
  </si>
  <si>
    <t>Total other income (loss)</t>
  </si>
  <si>
    <t>Current portion of Def rev</t>
  </si>
  <si>
    <t>Total Issuances / (Repayments)</t>
  </si>
  <si>
    <t>Stock Options and Share Count</t>
  </si>
  <si>
    <t>Depreciation as % of operating expenses</t>
  </si>
  <si>
    <t>Approval year</t>
  </si>
  <si>
    <t>Base</t>
  </si>
  <si>
    <t>2017E</t>
  </si>
  <si>
    <t>1Q17E</t>
  </si>
  <si>
    <t>2Q17E</t>
  </si>
  <si>
    <t>3Q17E</t>
  </si>
  <si>
    <t>4Q17E</t>
  </si>
  <si>
    <t>2018E</t>
  </si>
  <si>
    <t>1Q18E</t>
  </si>
  <si>
    <t>2Q18E</t>
  </si>
  <si>
    <t>3Q18E</t>
  </si>
  <si>
    <t>4Q18E</t>
  </si>
  <si>
    <t>2019E</t>
  </si>
  <si>
    <t>1Q19E</t>
  </si>
  <si>
    <t>2Q19E</t>
  </si>
  <si>
    <t>3Q19E</t>
  </si>
  <si>
    <t>4Q19E</t>
  </si>
  <si>
    <t>2020E</t>
  </si>
  <si>
    <t>1Q20E</t>
  </si>
  <si>
    <t>2Q20E</t>
  </si>
  <si>
    <t>3Q20E</t>
  </si>
  <si>
    <t>4Q20E</t>
  </si>
  <si>
    <t>Bull</t>
  </si>
  <si>
    <t>Bear</t>
  </si>
  <si>
    <t>X</t>
  </si>
  <si>
    <t>Scenarios (1=BULL, 2=BASE, 3=BEAR) ---&gt;</t>
  </si>
  <si>
    <t>X = RED = Scenario Row</t>
  </si>
  <si>
    <t>flat tx</t>
  </si>
  <si>
    <t>some growth then flat</t>
  </si>
  <si>
    <t>continued growth</t>
  </si>
  <si>
    <t>no more declines</t>
  </si>
  <si>
    <t>slight decline</t>
  </si>
  <si>
    <t>no longer used in JCV pos pts</t>
  </si>
  <si>
    <t>moderate growth</t>
  </si>
  <si>
    <t>takes all Tysabri + other</t>
  </si>
  <si>
    <t>2017 capital expenditures</t>
  </si>
  <si>
    <t>2018 capital expenditures</t>
  </si>
  <si>
    <t>2019 capital expenditures</t>
  </si>
  <si>
    <t>2020 capital expenditures</t>
  </si>
  <si>
    <t>Marketed products</t>
  </si>
  <si>
    <t>Late stage programs</t>
  </si>
  <si>
    <t>Early stage programs</t>
  </si>
  <si>
    <t>Research and discovery</t>
  </si>
  <si>
    <t>Other research and development costs</t>
  </si>
  <si>
    <t>Milestone and upfront payments</t>
  </si>
  <si>
    <t>Intermediate Growth Rate</t>
  </si>
  <si>
    <t>Terminal Growth Rate</t>
  </si>
  <si>
    <t>Discount Rate</t>
  </si>
  <si>
    <t>Time of Valuation</t>
  </si>
  <si>
    <t>Rituxan</t>
  </si>
  <si>
    <t>Net Cash</t>
  </si>
  <si>
    <t>Avonex BCRE Share</t>
  </si>
  <si>
    <t>Avonex Share of BCRE</t>
  </si>
  <si>
    <t>Hemophilia</t>
  </si>
  <si>
    <t>COGS Percentages</t>
  </si>
  <si>
    <t>COGS Calculation</t>
  </si>
  <si>
    <t>Total (product revs)</t>
  </si>
  <si>
    <t>4Q13A</t>
  </si>
  <si>
    <t>2013A</t>
  </si>
  <si>
    <t>Co. Guidance</t>
  </si>
  <si>
    <t>Daclizumab</t>
  </si>
  <si>
    <t>US Daclizumab</t>
  </si>
  <si>
    <t>US Gazyva Forecast</t>
  </si>
  <si>
    <t>Total Revs</t>
  </si>
  <si>
    <t>US Rituxan Hematology</t>
  </si>
  <si>
    <t>US Rituxan Non-Hem</t>
  </si>
  <si>
    <t>FCF (no Tec)</t>
  </si>
  <si>
    <t>Tec</t>
  </si>
  <si>
    <t>USD</t>
  </si>
  <si>
    <t>BIIB.O</t>
  </si>
  <si>
    <t>Currency</t>
  </si>
  <si>
    <t>Current Stock Price</t>
  </si>
  <si>
    <t>Count</t>
  </si>
  <si>
    <t>BIIB.O,mscalc:closePriceCurrencyCalc</t>
  </si>
  <si>
    <t>BIIB.O,mscalc:targetPrice,,,,USD</t>
  </si>
  <si>
    <t>BIIB.O,mscalc:sedolCodeCalc</t>
  </si>
  <si>
    <t>$F$2</t>
  </si>
  <si>
    <t>Unrecorded Goodwill from Poolings</t>
  </si>
  <si>
    <t>Net Income for Validation</t>
  </si>
  <si>
    <t>Dividends</t>
  </si>
  <si>
    <t>ModelWare Tags for Validation</t>
  </si>
  <si>
    <t>Net Issuance/Repurchases</t>
  </si>
  <si>
    <t>AOCI</t>
  </si>
  <si>
    <t>Statutory Tax Rate</t>
  </si>
  <si>
    <t>Current portion of debt and line of credit</t>
  </si>
  <si>
    <t>Notes payable and other financing</t>
  </si>
  <si>
    <t>Additional paid-in capital</t>
  </si>
  <si>
    <t>Noncontrolling interests</t>
  </si>
  <si>
    <t>Total Biogen Idec, Inc. shareholders' equity</t>
  </si>
  <si>
    <t>Other assets</t>
  </si>
  <si>
    <t>Accrued expenses and other current liabilities</t>
  </si>
  <si>
    <t>Other liabilities and taxes payable</t>
  </si>
  <si>
    <t>Purchase of treasury stock</t>
  </si>
  <si>
    <t>Excess tax benefit from share-based compensation</t>
  </si>
  <si>
    <t>Proceeds from issuance of stock for stock comp</t>
  </si>
  <si>
    <t>Discounted Cash Flows</t>
  </si>
  <si>
    <t>Explicit period</t>
  </si>
  <si>
    <t>Terminal</t>
  </si>
  <si>
    <t>Terminal period</t>
  </si>
  <si>
    <t>Free Cash Flows (FCF)</t>
  </si>
  <si>
    <t>Year-over-Year growth</t>
  </si>
  <si>
    <t>Present Value of FCF</t>
  </si>
  <si>
    <t>Shares Outstanding (diluted)</t>
  </si>
  <si>
    <t>Global anti-LINGO sales</t>
  </si>
  <si>
    <t>Global MS Market</t>
  </si>
  <si>
    <t>% SPMS, PPMS, PRMS</t>
  </si>
  <si>
    <t>anti-LINGO penetration</t>
  </si>
  <si>
    <t>% COGS</t>
  </si>
  <si>
    <t>R&amp;D Support</t>
  </si>
  <si>
    <t>Discount rate</t>
  </si>
  <si>
    <t>Discount factor</t>
  </si>
  <si>
    <t>Discounted FCF</t>
  </si>
  <si>
    <t>Implied Probability of Success</t>
  </si>
  <si>
    <t>Discount Year</t>
  </si>
  <si>
    <t>Terminal rate</t>
  </si>
  <si>
    <t>Value/Share</t>
  </si>
  <si>
    <t>Intermediate rate</t>
  </si>
  <si>
    <t>Prevelance</t>
  </si>
  <si>
    <t>Penetration</t>
  </si>
  <si>
    <t>Population on drug</t>
  </si>
  <si>
    <t>Annual cost</t>
  </si>
  <si>
    <t>Total Sales</t>
  </si>
  <si>
    <t>COGS %</t>
  </si>
  <si>
    <t>US Value/Share</t>
  </si>
  <si>
    <t>ROW Value/Share (50% of US)</t>
  </si>
  <si>
    <t>just here for modelware</t>
  </si>
  <si>
    <t>for modelware</t>
  </si>
  <si>
    <t>Non-GAAP EPS (excl. options)</t>
  </si>
  <si>
    <t>Net income to Biogen (Non-GAAP)</t>
  </si>
  <si>
    <t>Bull/Base/Bear</t>
  </si>
  <si>
    <t>Pipeline</t>
  </si>
  <si>
    <t>Avonex/Plegridy worldwide sales</t>
  </si>
  <si>
    <t>Germany MS products</t>
  </si>
  <si>
    <t>Non-GAAP EPS (incl. options)</t>
  </si>
  <si>
    <t>Spinal muscular atrophy (SMA) Model</t>
  </si>
  <si>
    <t>1 in 6000 babies born are affected - international SMA registry</t>
  </si>
  <si>
    <t>Europe</t>
  </si>
  <si>
    <t>Japan</t>
  </si>
  <si>
    <t>Japan Population</t>
  </si>
  <si>
    <t>Royalty Rate</t>
  </si>
  <si>
    <t>COGS + Royalty</t>
  </si>
  <si>
    <t>Selling Costs</t>
  </si>
  <si>
    <t>Maintainance R&amp;D</t>
  </si>
  <si>
    <t>Margin Analysis (non-GAAP)</t>
  </si>
  <si>
    <t>Growth Analysis (non-GAAP)</t>
  </si>
  <si>
    <t>ROW Daclizumab</t>
  </si>
  <si>
    <t>Incremental SG&amp;A</t>
  </si>
  <si>
    <t>% of sales</t>
  </si>
  <si>
    <t>1Q14A</t>
  </si>
  <si>
    <t>2455965</t>
  </si>
  <si>
    <t>2Q14A</t>
  </si>
  <si>
    <t>%</t>
  </si>
  <si>
    <t>Tecfidera (Q/Q)</t>
  </si>
  <si>
    <t>Non-gaap EPS</t>
  </si>
  <si>
    <t>3Q14A</t>
  </si>
  <si>
    <t>2021E</t>
  </si>
  <si>
    <t>2022E</t>
  </si>
  <si>
    <t>2023E</t>
  </si>
  <si>
    <t>2024E</t>
  </si>
  <si>
    <t>2025E</t>
  </si>
  <si>
    <t>2026E</t>
  </si>
  <si>
    <t>2027E</t>
  </si>
  <si>
    <t>2028E</t>
  </si>
  <si>
    <t>2029E</t>
  </si>
  <si>
    <t>2030E</t>
  </si>
  <si>
    <t>1Q21E</t>
  </si>
  <si>
    <t>2Q21E</t>
  </si>
  <si>
    <t>3Q21E</t>
  </si>
  <si>
    <t>4Q21E</t>
  </si>
  <si>
    <t>1Q22E</t>
  </si>
  <si>
    <t>2Q22E</t>
  </si>
  <si>
    <t>3Q22E</t>
  </si>
  <si>
    <t>4Q22E</t>
  </si>
  <si>
    <t>1Q23E</t>
  </si>
  <si>
    <t>2Q23E</t>
  </si>
  <si>
    <t>3Q23E</t>
  </si>
  <si>
    <t>4Q23E</t>
  </si>
  <si>
    <t>1Q24E</t>
  </si>
  <si>
    <t>2Q24E</t>
  </si>
  <si>
    <t>3Q24E</t>
  </si>
  <si>
    <t>4Q24E</t>
  </si>
  <si>
    <t>1Q25E</t>
  </si>
  <si>
    <t>2Q25E</t>
  </si>
  <si>
    <t>3Q25E</t>
  </si>
  <si>
    <t>4Q25E</t>
  </si>
  <si>
    <t>1Q26E</t>
  </si>
  <si>
    <t>2Q26E</t>
  </si>
  <si>
    <t>3Q26E</t>
  </si>
  <si>
    <t>4Q26E</t>
  </si>
  <si>
    <t>1Q27E</t>
  </si>
  <si>
    <t>2Q27E</t>
  </si>
  <si>
    <t>3Q27E</t>
  </si>
  <si>
    <t>4Q27E</t>
  </si>
  <si>
    <t>1Q28E</t>
  </si>
  <si>
    <t>2Q28E</t>
  </si>
  <si>
    <t>3Q28E</t>
  </si>
  <si>
    <t>4Q28E</t>
  </si>
  <si>
    <t>1Q29E</t>
  </si>
  <si>
    <t>2Q29E</t>
  </si>
  <si>
    <t>3Q29E</t>
  </si>
  <si>
    <t>4Q29E</t>
  </si>
  <si>
    <t>1Q30E</t>
  </si>
  <si>
    <t>2Q30E</t>
  </si>
  <si>
    <t>3Q30E</t>
  </si>
  <si>
    <t>4Q30E</t>
  </si>
  <si>
    <t>2021 capital expenditures</t>
  </si>
  <si>
    <t>2022 capital expenditures</t>
  </si>
  <si>
    <t>2023 capital expenditures</t>
  </si>
  <si>
    <t>2024 capital expenditures</t>
  </si>
  <si>
    <t>2025 capital expenditures</t>
  </si>
  <si>
    <t>2026 capital expenditures</t>
  </si>
  <si>
    <t>2027 capital expenditures</t>
  </si>
  <si>
    <t>2028 capital expenditures</t>
  </si>
  <si>
    <t>2029 capital expenditures</t>
  </si>
  <si>
    <t>2030 capital expenditures</t>
  </si>
  <si>
    <t>Patents expire in 2026</t>
  </si>
  <si>
    <t xml:space="preserve">Rebif in 2022, Betaseron in </t>
  </si>
  <si>
    <t>4Q14A</t>
  </si>
  <si>
    <t>2014A</t>
  </si>
  <si>
    <t>Operating Income (after tax of 15% and 50% share)</t>
  </si>
  <si>
    <t>Imaging reduction</t>
  </si>
  <si>
    <t>1Q15A</t>
  </si>
  <si>
    <t>2Q15A</t>
  </si>
  <si>
    <t>flat, 2020E patent expiration</t>
  </si>
  <si>
    <t>Bull - no generic rituxan impact</t>
  </si>
  <si>
    <t>Base - generic rituxan impact only on rituxan</t>
  </si>
  <si>
    <t>Bear - generic rituxan impact on both gazyva and rituxan</t>
  </si>
  <si>
    <t xml:space="preserve">2.900% Senior Notes </t>
  </si>
  <si>
    <t xml:space="preserve">3.625% Senior Notes </t>
  </si>
  <si>
    <t xml:space="preserve">4.050% Senior Notes </t>
  </si>
  <si>
    <t xml:space="preserve">5.200% Senior Notes </t>
  </si>
  <si>
    <t>2031E</t>
  </si>
  <si>
    <t>1Q31E</t>
  </si>
  <si>
    <t>2Q31E</t>
  </si>
  <si>
    <t>3Q31E</t>
  </si>
  <si>
    <t>4Q31E</t>
  </si>
  <si>
    <t>2032E</t>
  </si>
  <si>
    <t>1Q32E</t>
  </si>
  <si>
    <t>2Q32E</t>
  </si>
  <si>
    <t>3Q32E</t>
  </si>
  <si>
    <t>4Q32E</t>
  </si>
  <si>
    <t>2033E</t>
  </si>
  <si>
    <t>1Q33E</t>
  </si>
  <si>
    <t>2Q33E</t>
  </si>
  <si>
    <t>3Q33E</t>
  </si>
  <si>
    <t>4Q33E</t>
  </si>
  <si>
    <t>2034E</t>
  </si>
  <si>
    <t>1Q34E</t>
  </si>
  <si>
    <t>2Q34E</t>
  </si>
  <si>
    <t>3Q34E</t>
  </si>
  <si>
    <t>4Q34E</t>
  </si>
  <si>
    <t>2035E</t>
  </si>
  <si>
    <t>1Q35E</t>
  </si>
  <si>
    <t>2Q35E</t>
  </si>
  <si>
    <t>3Q35E</t>
  </si>
  <si>
    <t>4Q35E</t>
  </si>
  <si>
    <t>2036E</t>
  </si>
  <si>
    <t>1Q36E</t>
  </si>
  <si>
    <t>2Q36E</t>
  </si>
  <si>
    <t>3Q36E</t>
  </si>
  <si>
    <t>4Q36E</t>
  </si>
  <si>
    <t>2037E</t>
  </si>
  <si>
    <t>1Q37E</t>
  </si>
  <si>
    <t>2Q37E</t>
  </si>
  <si>
    <t>3Q37E</t>
  </si>
  <si>
    <t>4Q38E</t>
  </si>
  <si>
    <t>4Q37E</t>
  </si>
  <si>
    <t>2038E</t>
  </si>
  <si>
    <t>1Q38E</t>
  </si>
  <si>
    <t>2Q38E</t>
  </si>
  <si>
    <t>3Q38E</t>
  </si>
  <si>
    <t>2039E</t>
  </si>
  <si>
    <t>1Q39E</t>
  </si>
  <si>
    <t>2Q39E</t>
  </si>
  <si>
    <t>3Q39E</t>
  </si>
  <si>
    <t>4Q39E</t>
  </si>
  <si>
    <t>2040E</t>
  </si>
  <si>
    <t>1Q40E</t>
  </si>
  <si>
    <t>2Q40E</t>
  </si>
  <si>
    <t>3Q40E</t>
  </si>
  <si>
    <t>4Q40E</t>
  </si>
  <si>
    <t>2041E</t>
  </si>
  <si>
    <t>1Q41E</t>
  </si>
  <si>
    <t>2Q41E</t>
  </si>
  <si>
    <t>3Q41E</t>
  </si>
  <si>
    <t>4Q41E</t>
  </si>
  <si>
    <t>2042E</t>
  </si>
  <si>
    <t>1Q42E</t>
  </si>
  <si>
    <t>2Q42E</t>
  </si>
  <si>
    <t>3Q42E</t>
  </si>
  <si>
    <t>4Q42E</t>
  </si>
  <si>
    <t>2043E</t>
  </si>
  <si>
    <t>1Q43E</t>
  </si>
  <si>
    <t>2Q43E</t>
  </si>
  <si>
    <t>3Q43E</t>
  </si>
  <si>
    <t>4Q43E</t>
  </si>
  <si>
    <t>2044E</t>
  </si>
  <si>
    <t>1Q44E</t>
  </si>
  <si>
    <t>2Q44E</t>
  </si>
  <si>
    <t>3Q44E</t>
  </si>
  <si>
    <t>4Q44E</t>
  </si>
  <si>
    <t>2045E</t>
  </si>
  <si>
    <t>1Q45E</t>
  </si>
  <si>
    <t>2Q45E</t>
  </si>
  <si>
    <t>3Q45E</t>
  </si>
  <si>
    <t>4Q45E</t>
  </si>
  <si>
    <t>2.900% Senior Notes</t>
  </si>
  <si>
    <t>3.625% Senior Notes</t>
  </si>
  <si>
    <t>4.050% Senior Notes</t>
  </si>
  <si>
    <t>5.200% Senior Notes</t>
  </si>
  <si>
    <t>Ocrelizumab</t>
  </si>
  <si>
    <t>BCRE/Other</t>
  </si>
  <si>
    <t xml:space="preserve">Bull </t>
  </si>
  <si>
    <t>PPMS Model</t>
  </si>
  <si>
    <t># PPMS</t>
  </si>
  <si>
    <t># PPMS Treated</t>
  </si>
  <si>
    <t>All lines market share</t>
  </si>
  <si>
    <t>US Revenue</t>
  </si>
  <si>
    <t>Royalty Tiers</t>
  </si>
  <si>
    <t>Roaylty</t>
  </si>
  <si>
    <t>Royalty rate</t>
  </si>
  <si>
    <t>Royalty income</t>
  </si>
  <si>
    <t>3Q15A</t>
  </si>
  <si>
    <t>ROW Ocrelizumab</t>
  </si>
  <si>
    <t>ROW Revenue</t>
  </si>
  <si>
    <t>4Q15A</t>
  </si>
  <si>
    <t>Rituxan and Gazyva Profit Share</t>
  </si>
  <si>
    <t>Restructuring Charge</t>
  </si>
  <si>
    <t>2015A</t>
  </si>
  <si>
    <t>Contingent consideration related to Fumapharm AG acquisition</t>
  </si>
  <si>
    <t>Adjusted Total Milestone Payments</t>
  </si>
  <si>
    <t>1Q16A</t>
  </si>
  <si>
    <t>2Q16A</t>
  </si>
  <si>
    <t>Product COGS</t>
  </si>
  <si>
    <t>Royalty COGS</t>
  </si>
  <si>
    <t>% of product sales</t>
  </si>
  <si>
    <t>3Q16A</t>
  </si>
  <si>
    <t>Spinraza</t>
  </si>
  <si>
    <t>Biosimilar rituxan</t>
  </si>
  <si>
    <t>Number of live births</t>
  </si>
  <si>
    <t>Birth Rate</t>
  </si>
  <si>
    <t>SMA Incidence</t>
  </si>
  <si>
    <t>SMA Incidence Rate</t>
  </si>
  <si>
    <t>SMA1 Incidence</t>
  </si>
  <si>
    <t>SMA2 Incidence</t>
  </si>
  <si>
    <t>SMA3 Incidence</t>
  </si>
  <si>
    <t>SMA Prevalence</t>
  </si>
  <si>
    <t>1 in 10000 live births- SMA foundation</t>
  </si>
  <si>
    <t>SMA incidence rate confirmed in "Rosenberg's Molecular and Genetic Basis of Neurological and Psychiatric Disease" chapter 89</t>
  </si>
  <si>
    <t>Ionis: ~30K patients in US, EU, Japan</t>
  </si>
  <si>
    <t>SMA1 Prevalence</t>
  </si>
  <si>
    <t>SMA2 Prevalence</t>
  </si>
  <si>
    <t>SMA3 Prevalence</t>
  </si>
  <si>
    <t>Type 1 - % Treated</t>
  </si>
  <si>
    <t>Type 3 - % Treated</t>
  </si>
  <si>
    <t>Type 2 - % Treated</t>
  </si>
  <si>
    <t>US SMA Type 1</t>
  </si>
  <si>
    <t>New Treated Patients</t>
  </si>
  <si>
    <t>Continuing Patients</t>
  </si>
  <si>
    <t>Market Share</t>
  </si>
  <si>
    <t>Final Patients</t>
  </si>
  <si>
    <t>US SMA Type 3</t>
  </si>
  <si>
    <t>US SMA Type 2</t>
  </si>
  <si>
    <t>Total New Patients Treated with Spinraza</t>
  </si>
  <si>
    <t>Total Continuing Patients Treated with Spinraza</t>
  </si>
  <si>
    <t>New Patient Cost</t>
  </si>
  <si>
    <t>Continuing Patient Cost</t>
  </si>
  <si>
    <t>New Patient Revenue</t>
  </si>
  <si>
    <t>Total US Spinraza Revenue</t>
  </si>
  <si>
    <t>Continuing Patient Revenue</t>
  </si>
  <si>
    <t>Default Rate</t>
  </si>
  <si>
    <t>Starting Prevalence</t>
  </si>
  <si>
    <t>Incident Rate</t>
  </si>
  <si>
    <t>Deaths</t>
  </si>
  <si>
    <t>Ending Prevalence</t>
  </si>
  <si>
    <t>Death Rate</t>
  </si>
  <si>
    <t>SMA1</t>
  </si>
  <si>
    <t>SMA2</t>
  </si>
  <si>
    <t>SMA3</t>
  </si>
  <si>
    <t>Number of Live Births</t>
  </si>
  <si>
    <t>http://ec.europa.eu/eurostat/web/population-demography-migration-projections/births-fertility-data/main-tables</t>
  </si>
  <si>
    <t>EU SMA Type 1</t>
  </si>
  <si>
    <t>EU SMA Type 2</t>
  </si>
  <si>
    <t>EU SMA Type 3</t>
  </si>
  <si>
    <t>Total EU Spinraza Revenue</t>
  </si>
  <si>
    <t>JP SMA Type 1</t>
  </si>
  <si>
    <t>JP SMA Type 2</t>
  </si>
  <si>
    <t>JP SMA Type 3</t>
  </si>
  <si>
    <t>Total JP Spinraza Revenue</t>
  </si>
  <si>
    <t>Total Spinraza Revenue</t>
  </si>
  <si>
    <t>Deaths/Discontinuations - Continuing Pts</t>
  </si>
  <si>
    <t>Death/DC Rate - Continuing</t>
  </si>
  <si>
    <t>Deaths/Discontinuations - New Pts</t>
  </si>
  <si>
    <t>Death/DC Rate - New</t>
  </si>
  <si>
    <t>Royalty to Ionis ($MM)</t>
  </si>
  <si>
    <t>Zinbryta</t>
  </si>
  <si>
    <t>$ COGS</t>
  </si>
  <si>
    <t>EU/Canada</t>
  </si>
  <si>
    <t>Other ExUS</t>
  </si>
  <si>
    <t>Anti-CD20 Revenues</t>
  </si>
  <si>
    <t>Revenues from collaborative and other relationships</t>
  </si>
  <si>
    <t>Other royalty and corporate revenues</t>
  </si>
  <si>
    <t>US P&amp;L</t>
  </si>
  <si>
    <t>Revenues</t>
  </si>
  <si>
    <t>Overall Net Income</t>
  </si>
  <si>
    <t>***ROW BREAKDOWN ***DON'T DELETE</t>
  </si>
  <si>
    <t>50% to Biogen (--&gt; Collaboration Profit Sharing)</t>
  </si>
  <si>
    <t>50% to Biogen (--&gt; Other Revenues)</t>
  </si>
  <si>
    <t>EU/Canada P&amp;L</t>
  </si>
  <si>
    <t>Other corporate</t>
  </si>
  <si>
    <t>TECFIDERA litigation settlement and license charges</t>
  </si>
  <si>
    <t xml:space="preserve">TECFIDERA litigation settlement and license charges </t>
  </si>
  <si>
    <t>US (recorded by AbbVie)</t>
  </si>
  <si>
    <t>US Ocrelizumab</t>
  </si>
  <si>
    <t>4Q16A</t>
  </si>
  <si>
    <t>2016A</t>
  </si>
  <si>
    <t>1Q17A</t>
  </si>
  <si>
    <t>(Gain) Loss on sale of rights</t>
  </si>
  <si>
    <t>2Q17A</t>
  </si>
  <si>
    <t>Acquired in-process research and development</t>
  </si>
  <si>
    <t>Ocrevus Royalty</t>
  </si>
  <si>
    <t>Total Other CD20 Royalties</t>
  </si>
  <si>
    <t>RRMS</t>
  </si>
  <si>
    <t>PPMS</t>
  </si>
  <si>
    <t>bull</t>
  </si>
  <si>
    <t>base</t>
  </si>
  <si>
    <t>bear</t>
  </si>
  <si>
    <t>3Q17A</t>
  </si>
  <si>
    <t xml:space="preserve"> </t>
  </si>
  <si>
    <t>Equity Value</t>
  </si>
  <si>
    <t>Equity Value Per Share</t>
  </si>
  <si>
    <t>4Q17A</t>
  </si>
  <si>
    <t>2017A</t>
  </si>
  <si>
    <t>$12.7-13.0B</t>
  </si>
  <si>
    <t>$24.20-$25.20</t>
  </si>
  <si>
    <t>15%-16%</t>
  </si>
  <si>
    <t>16%-17%</t>
  </si>
  <si>
    <t>22.5-23.5%</t>
  </si>
  <si>
    <t>365</t>
  </si>
  <si>
    <t>1Q18A</t>
  </si>
  <si>
    <t>Research</t>
  </si>
  <si>
    <t>MSA72HLP</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</si>
  <si>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</si>
  <si>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</si>
  <si>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</si>
  <si>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</si>
  <si>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</si>
  <si>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</si>
  <si>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Matthew Harrison</t>
  </si>
  <si>
    <t>Date: 25 Apr 2018</t>
  </si>
  <si>
    <t>Ticker: BIIB.O</t>
  </si>
  <si>
    <t>Stock Rating: Overweight</t>
  </si>
  <si>
    <t>Industry: Biotechnology</t>
  </si>
  <si>
    <t>Industry View: In-Line</t>
  </si>
  <si>
    <t>Price as of 25 Apr 2018: 268.31</t>
  </si>
  <si>
    <t>Target Price: 369</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</si>
  <si>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</si>
  <si>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</si>
  <si>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</si>
  <si>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</si>
  <si>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Biogen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</si>
  <si>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</si>
  <si>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</si>
  <si>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</si>
  <si>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</si>
  <si>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</si>
  <si>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</si>
  <si>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</si>
  <si>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</si>
  <si>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</si>
  <si>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</si>
  <si>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</si>
  <si>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</si>
  <si>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</si>
  <si>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</si>
  <si>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</si>
  <si>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</si>
  <si>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</si>
  <si>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</si>
  <si>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</si>
  <si>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</si>
  <si>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</si>
  <si>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</si>
  <si>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</si>
  <si>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</si>
  <si>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</si>
  <si>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</si>
  <si>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</si>
  <si>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</si>
  <si>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</si>
  <si>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</si>
  <si>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</si>
  <si>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</si>
  <si>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</si>
  <si>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</si>
  <si>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</si>
  <si>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</si>
  <si>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</si>
  <si>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</si>
  <si>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</si>
  <si>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</si>
  <si>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</si>
  <si>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</si>
  <si>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</si>
  <si>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</si>
  <si>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</si>
  <si>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</si>
  <si>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</si>
  <si>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</si>
  <si>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</si>
  <si>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</si>
  <si>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</si>
  <si>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</si>
  <si>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</si>
  <si>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</si>
  <si>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</si>
  <si>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</si>
  <si>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</si>
  <si>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</si>
  <si>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</si>
  <si>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</si>
  <si>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</si>
  <si>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</si>
  <si>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</si>
  <si>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</si>
  <si>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</si>
  <si>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</si>
  <si>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</si>
  <si>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</si>
  <si>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</si>
  <si>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</si>
  <si>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</si>
  <si>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</si>
  <si>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</si>
  <si>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</si>
  <si>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</si>
  <si>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</si>
  <si>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</si>
  <si>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</si>
  <si>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</si>
  <si>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</si>
  <si>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</si>
  <si>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</si>
  <si>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</si>
  <si>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</si>
  <si>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</si>
  <si>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</si>
  <si>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</si>
  <si>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</si>
  <si>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</si>
  <si>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</si>
  <si>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</si>
  <si>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</si>
  <si>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</si>
  <si>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</si>
  <si>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</si>
  <si>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</si>
  <si>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</si>
  <si>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</si>
  <si>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</si>
  <si>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</si>
  <si>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</si>
  <si>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</si>
  <si>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</si>
  <si>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</si>
  <si>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</si>
  <si>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</si>
  <si>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</si>
  <si>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</si>
  <si>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</si>
  <si>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</si>
  <si>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</si>
  <si>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</si>
  <si>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</si>
  <si>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</si>
  <si>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</si>
  <si>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</si>
  <si>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</si>
  <si>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</si>
  <si>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</si>
  <si>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</si>
  <si>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</si>
  <si>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</si>
  <si>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</si>
  <si>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</si>
  <si>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</si>
  <si>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</si>
  <si>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</si>
  <si>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</si>
  <si>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</si>
  <si>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</si>
  <si>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</si>
  <si>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</si>
  <si>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</si>
  <si>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</si>
  <si>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</si>
  <si>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</si>
  <si>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</si>
  <si>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</si>
  <si>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</si>
  <si>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</si>
  <si>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</si>
  <si>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</si>
  <si>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</si>
  <si>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</si>
  <si>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</si>
  <si>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</si>
  <si>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</si>
  <si>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</si>
  <si>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</si>
  <si>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</si>
  <si>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</si>
  <si>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</si>
  <si>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</si>
  <si>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</si>
  <si>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</si>
  <si>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</si>
  <si>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</si>
  <si>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</si>
  <si>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</si>
  <si>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</si>
  <si>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</si>
  <si>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</si>
  <si>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</si>
  <si>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</si>
  <si>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</si>
  <si>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</si>
  <si>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</si>
  <si>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</si>
  <si>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</si>
  <si>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</si>
  <si>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</si>
  <si>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</si>
  <si>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</si>
  <si>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</si>
  <si>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</si>
  <si>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</si>
  <si>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Biogen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</si>
  <si>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</si>
  <si>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</si>
  <si>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</si>
  <si>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</si>
  <si>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</si>
  <si>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</si>
  <si>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</si>
  <si>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</si>
  <si>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</si>
  <si>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</si>
  <si>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</si>
  <si>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</si>
  <si>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</si>
  <si>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</si>
  <si>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</si>
  <si>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</si>
  <si>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</si>
  <si>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</si>
  <si>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</si>
  <si>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</si>
  <si>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</si>
  <si>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</si>
  <si>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</si>
  <si>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</si>
  <si>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</si>
  <si>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</si>
  <si>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</si>
  <si>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</si>
  <si>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</si>
  <si>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</si>
  <si>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</si>
  <si>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</si>
  <si>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</si>
  <si>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</si>
  <si>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</si>
  <si>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</si>
  <si>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</si>
  <si>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</si>
  <si>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</si>
  <si>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</si>
  <si>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</si>
  <si>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</si>
  <si>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</si>
  <si>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</si>
  <si>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</si>
  <si>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</si>
  <si>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</si>
  <si>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</si>
  <si>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</si>
  <si>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</si>
  <si>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</si>
  <si>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</si>
  <si>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</si>
  <si>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</si>
  <si>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</si>
  <si>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</si>
  <si>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</si>
  <si>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</si>
  <si>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</si>
  <si>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</si>
  <si>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</si>
  <si>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</si>
  <si>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</si>
  <si>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</si>
  <si>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</si>
  <si>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</si>
  <si>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</si>
  <si>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</si>
  <si>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Biogen Inc.</t>
  </si>
  <si>
    <t>Within the last 12 months, Morgan Stanley has provided or is providing investment banking services to,</t>
  </si>
  <si>
    <t>or has an investment banking client relationship with, the following company: Biogen Inc.</t>
  </si>
  <si>
    <t>Within the last 12 months, Morgan Stanley has received compensation for products and services other than</t>
  </si>
  <si>
    <t>investment banking services from Biogen Inc.</t>
  </si>
  <si>
    <t>In the next 3 months, Morgan Stanley expects to receive or intends to seek compensation for investment</t>
  </si>
  <si>
    <t>banking services from Biogen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</si>
  <si>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</si>
  <si>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</si>
  <si>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</si>
  <si>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</si>
  <si>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</si>
  <si>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Harrison.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</si>
  <si>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</si>
  <si>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</si>
  <si>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</si>
  <si>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</si>
  <si>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</si>
  <si>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</si>
  <si>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</si>
  <si>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</si>
  <si>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</si>
  <si>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</si>
  <si>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</si>
  <si>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</si>
  <si>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</si>
  <si>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</si>
  <si>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</si>
  <si>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</si>
  <si>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</si>
  <si>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</si>
  <si>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</si>
  <si>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</si>
  <si>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</si>
  <si>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</si>
  <si>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</si>
  <si>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</si>
  <si>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</si>
  <si>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</si>
  <si>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</si>
  <si>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</si>
  <si>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</si>
  <si>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</si>
  <si>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</si>
  <si>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</si>
  <si>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</si>
  <si>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</si>
  <si>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</si>
  <si>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</si>
  <si>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</si>
  <si>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</si>
  <si>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</si>
  <si>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</si>
  <si>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</si>
  <si>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</si>
  <si>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</si>
  <si>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</si>
  <si>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</si>
  <si>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</si>
  <si>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</si>
  <si>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</si>
  <si>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</si>
  <si>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</si>
  <si>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</si>
  <si>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</si>
  <si>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</si>
  <si>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</si>
  <si>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</si>
  <si>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</si>
  <si>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</si>
  <si>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</si>
  <si>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</si>
  <si>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</si>
  <si>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</si>
  <si>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</si>
  <si>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</si>
  <si>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</si>
  <si>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</si>
  <si>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</si>
  <si>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</si>
  <si>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</si>
  <si>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</si>
  <si>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</si>
  <si>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</si>
  <si>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asante</t>
  </si>
  <si>
    <t>Biogen Inc</t>
  </si>
  <si>
    <t>09062X103</t>
  </si>
  <si>
    <t>C:\Users\Asante\AppData\Local\Temp\BIIB_MH.xlsm</t>
  </si>
  <si>
    <t>[BRO MSA]</t>
  </si>
  <si>
    <t>[PRODUCT MODEL]</t>
  </si>
  <si>
    <t>[EMAIL_ALERT YES]</t>
  </si>
  <si>
    <t>[DISCIPLINE Company]</t>
  </si>
  <si>
    <t>[SUPPRESSED NO]</t>
  </si>
  <si>
    <t>[DOCDAT 2018-04-25]</t>
  </si>
  <si>
    <t>[DOCTIME 13:24]</t>
  </si>
  <si>
    <t>[PSYM BIIB.O(S&amp;P) (None)]</t>
  </si>
  <si>
    <t>[COU 1]</t>
  </si>
  <si>
    <t>[ANA ]</t>
  </si>
  <si>
    <t>[HL BIIB.O Model]</t>
  </si>
  <si>
    <t>[IND BIOTEC]</t>
  </si>
  <si>
    <t>[PANA MSA72HLP]</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</si>
</sst>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_);\(#,##0.0\)"/>
    <numFmt numFmtId="165" formatCode="0.0%"/>
    <numFmt numFmtId="166" formatCode="#,##0.000_);\(#,##0.000\)"/>
    <numFmt numFmtId="167" formatCode="#,##0.0000_);\(#,##0.0000\)"/>
    <numFmt numFmtId="168" formatCode="#,##0.00000_);\(#,##0.00000\)"/>
    <numFmt numFmtId="169" formatCode="&quot;$&quot;#,##0.0_);\(&quot;$&quot;#,##0.0\)"/>
    <numFmt numFmtId="170" formatCode="0.0"/>
    <numFmt numFmtId="171" formatCode="&quot;$&quot;#,##0"/>
    <numFmt numFmtId="172" formatCode="#,##0.0"/>
    <numFmt numFmtId="175" formatCode="0.0000"/>
    <numFmt numFmtId="176" formatCode="#,##0_);\(#,##0\);\–_);&quot;–&quot;_)"/>
    <numFmt numFmtId="177" formatCode="#,##0.000000_);\(#,##0.000000\)"/>
    <numFmt numFmtId="178" formatCode="#,##0.00000000_);\(#,##0.00000000\)"/>
    <numFmt numFmtId="179" formatCode="_(* #,##0.00000000000000000000000_);_(* \(#,##0.00000000000000000000000\);_(* &quot;-&quot;??_);_(@_)"/>
    <numFmt numFmtId="180" formatCode="_(* #,##0.000000000000000000000000000000_);_(* \(#,##0.000000000000000000000000000000\);_(* &quot;-&quot;??_);_(@_)"/>
    <numFmt numFmtId="181" formatCode="_(* #,##0.00000000000000000000000000000000000000_);_(* \(#,##0.00000000000000000000000000000000000000\);_(* &quot;-&quot;??_);_(@_)"/>
    <numFmt numFmtId="182" formatCode="#,##0.000000000000000000000000000000000000000000000000000000000000_);\(#,##0.000000000000000000000000000000000000000000000000000000000000\)"/>
    <numFmt numFmtId="183" formatCode="&quot;$&quot;#,##0.00"/>
    <numFmt numFmtId="184" formatCode="#,##0.000"/>
    <numFmt numFmtId="185" formatCode="0000&quot;E&quot;"/>
    <numFmt numFmtId="192" formatCode="#,##0.00000"/>
    <numFmt numFmtId="193" formatCode="_(* #,##0_);_(* \(#,##0\);_(* &quot;-&quot;??_);_(@_)"/>
    <numFmt numFmtId="194" formatCode="0.000"/>
    <numFmt numFmtId="195" formatCode="0.0000%"/>
    <numFmt numFmtId="196" formatCode="0.000%"/>
    <numFmt numFmtId="197" formatCode="#,##0_);\ \(#,##0\);\ &quot;- &quot;"/>
    <numFmt numFmtId="198" formatCode="_(* #,##0.00000_);_(* \(#,##0.00000\);_(* &quot;-&quot;??_);_(@_)"/>
    <numFmt numFmtId="204" formatCode="mm/dd/yy\ hh:mm"/>
  </numFmts>
  <fonts count="58">
    <font>
      <sz val="11"/>
      <color theme="1"/>
      <name val="Calibri"/>
      <family val="2"/>
      <scheme val="minor"/>
    </font>
    <font>
      <sz val="11"/>
      <color indexed="8"/>
      <name val="Calibri"/>
      <family val="2"/>
    </font>
    <font>
      <sz val="11"/>
      <color indexed="8"/>
      <name val="Calibri"/>
      <family val="2"/>
    </font>
    <font>
      <sz val="10"/>
      <name val="Arial"/>
      <family val="2"/>
    </font>
    <font>
      <b/>
      <sz val="10"/>
      <name val="Arial"/>
      <family val="2"/>
    </font>
    <font>
      <i/>
      <sz val="10"/>
      <name val="Arial"/>
      <family val="2"/>
    </font>
    <font>
      <sz val="10"/>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u/>
      <sz val="10"/>
      <name val="Arial"/>
      <family val="2"/>
    </font>
    <font>
      <sz val="10"/>
      <color indexed="9"/>
      <name val="Arial"/>
      <family val="2"/>
    </font>
    <font>
      <b/>
      <sz val="9"/>
      <color indexed="81"/>
      <name val="Tahoma"/>
      <family val="2"/>
    </font>
    <font>
      <sz val="9"/>
      <color indexed="81"/>
      <name val="Tahoma"/>
      <family val="2"/>
    </font>
    <font>
      <sz val="8"/>
      <name val="Calibri"/>
      <family val="2"/>
    </font>
    <font>
      <u/>
      <sz val="11"/>
      <color theme="10"/>
      <name val="Calibri"/>
      <family val="2"/>
      <scheme val="minor"/>
    </font>
    <font>
      <sz val="10"/>
      <color theme="0" tint="-0.499984740745262"/>
      <name val="Arial"/>
      <family val="2"/>
    </font>
    <font>
      <sz val="10"/>
      <color theme="1"/>
      <name val="Arial"/>
      <family val="2"/>
    </font>
    <font>
      <b/>
      <sz val="10"/>
      <color theme="1"/>
      <name val="Arial"/>
      <family val="2"/>
    </font>
    <font>
      <sz val="10"/>
      <color rgb="FF0000FF"/>
      <name val="Arial"/>
      <family val="2"/>
    </font>
    <font>
      <b/>
      <sz val="10"/>
      <color theme="0"/>
      <name val="Arial"/>
      <family val="2"/>
    </font>
    <font>
      <b/>
      <i/>
      <sz val="10"/>
      <color theme="8" tint="-0.249977111117893"/>
      <name val="Arial"/>
      <family val="2"/>
    </font>
    <font>
      <sz val="10"/>
      <color theme="0"/>
      <name val="Arial"/>
      <family val="2"/>
    </font>
    <font>
      <b/>
      <sz val="10"/>
      <color rgb="FF0000FF"/>
      <name val="Arial"/>
      <family val="2"/>
    </font>
    <font>
      <b/>
      <sz val="10"/>
      <color rgb="FF00B050"/>
      <name val="Arial"/>
      <family val="2"/>
    </font>
    <font>
      <b/>
      <sz val="10"/>
      <color rgb="FFFF0000"/>
      <name val="Arial"/>
      <family val="2"/>
    </font>
    <font>
      <i/>
      <sz val="10"/>
      <color theme="1"/>
      <name val="Arial"/>
      <family val="2"/>
    </font>
    <font>
      <u/>
      <sz val="10"/>
      <color theme="10"/>
      <name val="Arial"/>
      <family val="2"/>
    </font>
    <font>
      <sz val="10"/>
      <color rgb="FFFF0000"/>
      <name val="Arial"/>
      <family val="2"/>
    </font>
    <font>
      <b/>
      <i/>
      <sz val="10"/>
      <color theme="1"/>
      <name val="Arial"/>
      <family val="2"/>
    </font>
    <font>
      <i/>
      <sz val="10"/>
      <color rgb="FF0000FF"/>
      <name val="Arial"/>
      <family val="2"/>
    </font>
    <font>
      <sz val="10"/>
      <color theme="9" tint="-0.499984740745262"/>
      <name val="Arial"/>
      <family val="2"/>
    </font>
    <font>
      <i/>
      <sz val="10"/>
      <color rgb="FFFF0000"/>
      <name val="Arial"/>
      <family val="2"/>
    </font>
    <font>
      <b/>
      <i/>
      <sz val="10"/>
      <color rgb="FFFF0000"/>
      <name val="Arial"/>
      <family val="2"/>
    </font>
    <font>
      <sz val="11"/>
      <color theme="1"/>
      <name val="Calibri"/>
      <family val="2"/>
      <scheme val="minor"/>
    </font>
    <font>
      <sz val="10"/>
      <color theme="1"/>
      <name val="Arial "/>
    </font>
    <font>
      <b/>
      <sz val="10"/>
      <color theme="1"/>
      <name val="Arial "/>
    </font>
    <font>
      <sz val="10"/>
      <color rgb="FF0000FF"/>
      <name val="Arial "/>
    </font>
    <font>
      <i/>
      <sz val="10"/>
      <color theme="1"/>
      <name val="Arial "/>
    </font>
    <font>
      <sz val="10"/>
      <name val="Arial "/>
    </font>
    <font>
      <i/>
      <sz val="10"/>
      <color rgb="FF0000FF"/>
      <name val="Arial "/>
    </font>
    <font>
      <i/>
      <sz val="10"/>
      <name val="Arial "/>
    </font>
    <font>
      <sz val="10"/>
      <name val="Helv"/>
    </font>
    <font>
      <sz val="12"/>
      <color theme="1"/>
      <name val="Calibri"/>
      <family val="2"/>
      <scheme val="minor"/>
    </font>
    <font>
      <b/>
      <sz val="11"/>
      <color theme="1"/>
      <name val="Calibri"/>
      <family val="2"/>
      <scheme val="minor"/>
    </font>
    <font>
      <sz val="11"/>
      <color rgb="FF0000FF"/>
      <name val="Calibri"/>
      <family val="2"/>
      <scheme val="minor"/>
    </font>
    <font>
      <u/>
      <sz val="11"/>
      <color theme="1"/>
      <name val="Calibri"/>
      <family val="2"/>
      <scheme val="minor"/>
    </font>
    <font>
      <u/>
      <sz val="10"/>
      <color rgb="FF0000FF"/>
      <name val="Arial"/>
      <family val="2"/>
    </font>
    <font>
      <u/>
      <sz val="10"/>
      <color theme="1"/>
      <name val="Arial"/>
      <family val="2"/>
    </font>
    <font>
      <b/>
      <sz val="10"/>
      <color theme="8" tint="-0.249977111117893"/>
      <name val="Arial"/>
      <family val="2"/>
    </font>
    <font>
      <sz val="10"/>
      <color theme="0" tint="-0.14999847407452621"/>
      <name val="Arial"/>
      <family val="2"/>
    </font>
    <font>
      <sz val="10"/>
      <name val="Arial"/>
      <family val="2"/>
    </font>
    <font>
      <sz val="10"/>
      <name val="Courier"/>
      <family val="3"/>
    </font>
    <font>
      <sz val="11"/>
      <name val="Arial"/>
      <family val="2"/>
    </font>
    <font>
      <sz val="10"/>
      <color rgb="FF000000"/>
      <name val="Arial"/>
      <family val="2"/>
    </font>
    <font>
      <b/>
      <sz val="12"/>
      <color rgb="FF000080"/>
      <name val="Arial"/>
      <family val="2"/>
    </font>
  </fonts>
  <fills count="2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2"/>
        <bgColor indexed="64"/>
      </patternFill>
    </fill>
    <fill>
      <patternFill patternType="solid">
        <fgColor theme="3" tint="0.39997558519241921"/>
        <bgColor indexed="64"/>
      </patternFill>
    </fill>
    <fill>
      <patternFill patternType="solid">
        <fgColor rgb="FFFFC000"/>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indexed="65"/>
        <bgColor indexed="64"/>
      </patternFill>
    </fill>
    <fill>
      <patternFill patternType="solid">
        <fgColor theme="9" tint="0.39997558519241921"/>
        <bgColor indexed="64"/>
      </patternFill>
    </fill>
    <fill>
      <patternFill patternType="solid">
        <fgColor rgb="FFACD6FF"/>
        <bgColor indexed="64"/>
      </patternFill>
    </fill>
    <fill>
      <patternFill patternType="solid">
        <fgColor theme="0"/>
        <bgColor indexed="64"/>
      </patternFill>
    </fill>
  </fills>
  <borders count="33">
    <border>
      <left/>
      <right/>
      <top/>
      <bottom/>
      <diagonal/>
    </border>
    <border>
      <left/>
      <right/>
      <top/>
      <bottom style="thin">
        <color indexed="8"/>
      </bottom>
      <diagonal/>
    </border>
    <border>
      <left/>
      <right/>
      <top style="thin">
        <color indexed="64"/>
      </top>
      <bottom/>
      <diagonal/>
    </border>
    <border>
      <left/>
      <right/>
      <top/>
      <bottom style="medium">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style="medium">
        <color auto="1"/>
      </top>
      <bottom/>
      <diagonal/>
    </border>
    <border>
      <left/>
      <right/>
      <top style="thin">
        <color indexed="64"/>
      </top>
      <bottom style="double">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5">
    <xf numFmtId="0" fontId="0" fillId="0" borderId="0"/>
    <xf numFmtId="0" fontId="3" fillId="0" borderId="0"/>
    <xf numFmtId="0" fontId="3" fillId="2" borderId="0" applyNumberFormat="0" applyFont="0" applyBorder="0" applyAlignment="0" applyProtection="0"/>
    <xf numFmtId="0" fontId="3" fillId="0" borderId="0"/>
    <xf numFmtId="0" fontId="7" fillId="0" borderId="0"/>
    <xf numFmtId="0" fontId="7" fillId="0" borderId="0"/>
    <xf numFmtId="0" fontId="7" fillId="0" borderId="0"/>
    <xf numFmtId="0" fontId="8" fillId="0" borderId="0"/>
    <xf numFmtId="43" fontId="2" fillId="0" borderId="0" applyFont="0" applyFill="0" applyBorder="0" applyAlignment="0" applyProtection="0"/>
    <xf numFmtId="0" fontId="17" fillId="0" borderId="0" applyNumberFormat="0" applyFill="0" applyBorder="0" applyAlignment="0" applyProtection="0"/>
    <xf numFmtId="0" fontId="3" fillId="0" borderId="0"/>
    <xf numFmtId="0" fontId="9" fillId="0" borderId="0">
      <alignment vertical="center"/>
    </xf>
    <xf numFmtId="9" fontId="2" fillId="0" borderId="0" applyFont="0" applyFill="0" applyBorder="0" applyAlignment="0" applyProtection="0"/>
    <xf numFmtId="9" fontId="6" fillId="0" borderId="0" applyFont="0" applyFill="0" applyBorder="0" applyAlignment="0" applyProtection="0"/>
    <xf numFmtId="0" fontId="10" fillId="0" borderId="0"/>
    <xf numFmtId="0" fontId="10" fillId="0" borderId="1">
      <alignment horizontal="centerContinuous"/>
    </xf>
    <xf numFmtId="0" fontId="11" fillId="0" borderId="1"/>
    <xf numFmtId="0" fontId="36" fillId="0" borderId="0"/>
    <xf numFmtId="9" fontId="1" fillId="0" borderId="0" applyFont="0" applyFill="0" applyBorder="0" applyAlignment="0" applyProtection="0"/>
    <xf numFmtId="9" fontId="36" fillId="0" borderId="0" applyFont="0" applyFill="0" applyBorder="0" applyAlignment="0" applyProtection="0"/>
    <xf numFmtId="0" fontId="3" fillId="0" borderId="0"/>
    <xf numFmtId="0" fontId="3" fillId="0" borderId="0" applyNumberFormat="0" applyFill="0" applyBorder="0" applyAlignment="0" applyProtection="0"/>
    <xf numFmtId="0" fontId="44" fillId="0" borderId="0"/>
    <xf numFmtId="0" fontId="7"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applyNumberFormat="0" applyFill="0" applyBorder="0" applyAlignment="0" applyProtection="0"/>
    <xf numFmtId="0" fontId="3" fillId="0" borderId="0">
      <alignment vertical="top"/>
    </xf>
    <xf numFmtId="0" fontId="7" fillId="0" borderId="0"/>
    <xf numFmtId="43" fontId="3" fillId="0" borderId="0" applyFont="0" applyFill="0" applyBorder="0" applyAlignment="0" applyProtection="0"/>
    <xf numFmtId="0" fontId="3" fillId="0" borderId="0"/>
    <xf numFmtId="0" fontId="36" fillId="0" borderId="0"/>
    <xf numFmtId="0" fontId="3" fillId="0" borderId="0"/>
    <xf numFmtId="0" fontId="3" fillId="0" borderId="0"/>
    <xf numFmtId="0" fontId="3" fillId="0" borderId="0"/>
    <xf numFmtId="0" fontId="45" fillId="0" borderId="0"/>
    <xf numFmtId="9" fontId="1" fillId="0" borderId="0" applyFont="0" applyFill="0" applyBorder="0" applyAlignment="0" applyProtection="0"/>
    <xf numFmtId="0" fontId="3" fillId="0" borderId="0"/>
    <xf numFmtId="43" fontId="1" fillId="0" borderId="0" applyFont="0" applyFill="0" applyBorder="0" applyAlignment="0" applyProtection="0"/>
    <xf numFmtId="9" fontId="3" fillId="0" borderId="0" applyFont="0" applyFill="0" applyBorder="0" applyAlignment="0" applyProtection="0"/>
    <xf numFmtId="0" fontId="29" fillId="0" borderId="0" applyNumberFormat="0" applyFill="0" applyBorder="0" applyAlignment="0" applyProtection="0">
      <alignment vertical="top"/>
      <protection locked="0"/>
    </xf>
    <xf numFmtId="0" fontId="53" fillId="0" borderId="0"/>
    <xf numFmtId="44" fontId="53" fillId="0" borderId="0" applyFont="0" applyFill="0" applyBorder="0" applyAlignment="0" applyProtection="0"/>
    <xf numFmtId="0" fontId="54" fillId="0" borderId="0"/>
  </cellStyleXfs>
  <cellXfs count="593">
    <xf numFmtId="0" fontId="0" fillId="0" borderId="0" xfId="0"/>
    <xf numFmtId="0" fontId="3" fillId="0" borderId="0" xfId="0" applyFont="1" applyFill="1" applyBorder="1"/>
    <xf numFmtId="164" fontId="4" fillId="0" borderId="0" xfId="0" applyNumberFormat="1" applyFont="1" applyFill="1" applyBorder="1"/>
    <xf numFmtId="164" fontId="3" fillId="0" borderId="0" xfId="0" applyNumberFormat="1" applyFont="1" applyFill="1" applyBorder="1"/>
    <xf numFmtId="0" fontId="4" fillId="0" borderId="0" xfId="0" applyFont="1" applyFill="1" applyBorder="1"/>
    <xf numFmtId="165" fontId="3" fillId="0" borderId="0" xfId="12" applyNumberFormat="1" applyFont="1" applyFill="1" applyBorder="1"/>
    <xf numFmtId="43" fontId="3" fillId="0" borderId="0" xfId="8" applyFont="1" applyFill="1" applyBorder="1"/>
    <xf numFmtId="0" fontId="3" fillId="0" borderId="0" xfId="0" applyFont="1" applyFill="1" applyBorder="1" applyAlignment="1">
      <alignment horizontal="right"/>
    </xf>
    <xf numFmtId="164" fontId="3" fillId="0" borderId="0" xfId="0" applyNumberFormat="1" applyFont="1" applyFill="1" applyBorder="1" applyAlignment="1">
      <alignment horizontal="left" indent="1"/>
    </xf>
    <xf numFmtId="0" fontId="3" fillId="0" borderId="0" xfId="0" applyFont="1" applyFill="1" applyBorder="1" applyAlignment="1">
      <alignment horizontal="left" indent="1"/>
    </xf>
    <xf numFmtId="164" fontId="3" fillId="0" borderId="0" xfId="0" applyNumberFormat="1" applyFont="1" applyFill="1" applyBorder="1" applyAlignment="1">
      <alignment horizontal="left"/>
    </xf>
    <xf numFmtId="0" fontId="3" fillId="0" borderId="0" xfId="0" applyFont="1" applyFill="1" applyBorder="1" applyAlignment="1">
      <alignment horizontal="left" indent="2"/>
    </xf>
    <xf numFmtId="164" fontId="4" fillId="0" borderId="0" xfId="0" applyNumberFormat="1" applyFont="1" applyFill="1" applyBorder="1" applyAlignment="1" applyProtection="1">
      <alignment horizontal="right"/>
    </xf>
    <xf numFmtId="0" fontId="4" fillId="0" borderId="3" xfId="0" applyFont="1" applyFill="1" applyBorder="1"/>
    <xf numFmtId="167" fontId="3" fillId="0" borderId="0" xfId="0" applyNumberFormat="1" applyFont="1" applyFill="1" applyBorder="1"/>
    <xf numFmtId="168" fontId="3" fillId="0" borderId="0" xfId="0" applyNumberFormat="1" applyFont="1" applyFill="1" applyBorder="1"/>
    <xf numFmtId="37" fontId="4" fillId="0" borderId="0" xfId="0" applyNumberFormat="1" applyFont="1" applyFill="1" applyBorder="1"/>
    <xf numFmtId="37" fontId="3" fillId="0" borderId="0" xfId="0" applyNumberFormat="1" applyFont="1" applyFill="1" applyBorder="1"/>
    <xf numFmtId="37" fontId="3" fillId="0" borderId="0" xfId="0" applyNumberFormat="1" applyFont="1" applyFill="1" applyBorder="1" applyAlignment="1">
      <alignment horizontal="right"/>
    </xf>
    <xf numFmtId="37" fontId="3" fillId="0" borderId="0" xfId="12" applyNumberFormat="1" applyFont="1" applyFill="1" applyBorder="1"/>
    <xf numFmtId="165" fontId="5" fillId="0" borderId="0" xfId="12" applyNumberFormat="1" applyFont="1" applyFill="1" applyBorder="1"/>
    <xf numFmtId="9" fontId="3" fillId="0" borderId="0" xfId="12" applyFont="1" applyFill="1" applyBorder="1"/>
    <xf numFmtId="0" fontId="4" fillId="0" borderId="0" xfId="0" applyFont="1" applyFill="1" applyBorder="1" applyAlignment="1">
      <alignment horizontal="left" indent="1"/>
    </xf>
    <xf numFmtId="0" fontId="4" fillId="0" borderId="0" xfId="0" applyFont="1" applyFill="1" applyBorder="1" applyAlignment="1">
      <alignment horizontal="left"/>
    </xf>
    <xf numFmtId="164" fontId="4" fillId="0" borderId="0" xfId="0" applyNumberFormat="1" applyFont="1" applyFill="1" applyBorder="1" applyAlignment="1">
      <alignment horizontal="left" indent="1"/>
    </xf>
    <xf numFmtId="0" fontId="3" fillId="0" borderId="0" xfId="0" applyFont="1" applyFill="1" applyBorder="1" applyAlignment="1">
      <alignment horizontal="left"/>
    </xf>
    <xf numFmtId="0" fontId="4" fillId="0" borderId="4" xfId="0" applyFont="1" applyFill="1" applyBorder="1"/>
    <xf numFmtId="37" fontId="4" fillId="0" borderId="4" xfId="0" applyNumberFormat="1" applyFont="1" applyFill="1" applyBorder="1"/>
    <xf numFmtId="164" fontId="3" fillId="0" borderId="0" xfId="0" applyNumberFormat="1" applyFont="1" applyFill="1" applyBorder="1" applyAlignment="1">
      <alignment horizontal="left" indent="2"/>
    </xf>
    <xf numFmtId="9" fontId="5" fillId="0" borderId="0" xfId="0" applyNumberFormat="1" applyFont="1" applyFill="1" applyBorder="1" applyAlignment="1">
      <alignment horizontal="right"/>
    </xf>
    <xf numFmtId="9" fontId="5" fillId="0" borderId="0" xfId="0" applyNumberFormat="1" applyFont="1" applyFill="1" applyBorder="1"/>
    <xf numFmtId="0" fontId="5" fillId="0" borderId="0" xfId="0" applyFont="1" applyFill="1" applyBorder="1" applyAlignment="1">
      <alignment horizontal="left" indent="1"/>
    </xf>
    <xf numFmtId="0" fontId="5" fillId="0" borderId="0" xfId="0" applyFont="1" applyFill="1" applyBorder="1" applyAlignment="1">
      <alignment horizontal="left" indent="2"/>
    </xf>
    <xf numFmtId="9" fontId="5" fillId="0" borderId="0" xfId="12" applyFont="1" applyFill="1" applyBorder="1"/>
    <xf numFmtId="169" fontId="3" fillId="0" borderId="0" xfId="0" applyNumberFormat="1" applyFont="1" applyFill="1" applyBorder="1"/>
    <xf numFmtId="169" fontId="4" fillId="0" borderId="0" xfId="0" applyNumberFormat="1" applyFont="1" applyFill="1" applyBorder="1"/>
    <xf numFmtId="7" fontId="4" fillId="0" borderId="0" xfId="0" applyNumberFormat="1" applyFont="1" applyFill="1" applyBorder="1"/>
    <xf numFmtId="165" fontId="3" fillId="0" borderId="0" xfId="12" applyNumberFormat="1" applyFont="1" applyFill="1" applyBorder="1" applyAlignment="1">
      <alignment horizontal="left" indent="2"/>
    </xf>
    <xf numFmtId="7" fontId="3" fillId="0" borderId="0" xfId="0" applyNumberFormat="1" applyFont="1" applyFill="1" applyBorder="1"/>
    <xf numFmtId="169" fontId="4" fillId="0" borderId="5" xfId="0" applyNumberFormat="1" applyFont="1" applyFill="1" applyBorder="1"/>
    <xf numFmtId="7" fontId="4" fillId="0" borderId="0" xfId="0" applyNumberFormat="1" applyFont="1" applyFill="1" applyBorder="1" applyAlignment="1">
      <alignment horizontal="right"/>
    </xf>
    <xf numFmtId="165" fontId="3" fillId="0" borderId="0" xfId="12" applyNumberFormat="1" applyFont="1" applyFill="1" applyBorder="1" applyAlignment="1">
      <alignment horizontal="left" indent="1"/>
    </xf>
    <xf numFmtId="5" fontId="3" fillId="0" borderId="0" xfId="0" applyNumberFormat="1" applyFont="1" applyFill="1" applyBorder="1"/>
    <xf numFmtId="168" fontId="3" fillId="0" borderId="0" xfId="12" applyNumberFormat="1" applyFont="1" applyFill="1" applyBorder="1"/>
    <xf numFmtId="37" fontId="4" fillId="0" borderId="5" xfId="0" applyNumberFormat="1" applyFont="1" applyFill="1" applyBorder="1"/>
    <xf numFmtId="7" fontId="3" fillId="0" borderId="0" xfId="0" applyNumberFormat="1" applyFont="1" applyFill="1" applyBorder="1" applyAlignment="1">
      <alignment horizontal="left" indent="1"/>
    </xf>
    <xf numFmtId="169" fontId="3" fillId="0" borderId="0" xfId="0" applyNumberFormat="1" applyFont="1" applyFill="1" applyBorder="1" applyAlignment="1">
      <alignment horizontal="left" indent="1"/>
    </xf>
    <xf numFmtId="7" fontId="4" fillId="0" borderId="4" xfId="0" applyNumberFormat="1" applyFont="1" applyFill="1" applyBorder="1"/>
    <xf numFmtId="7" fontId="4" fillId="0" borderId="4" xfId="0" applyNumberFormat="1" applyFont="1" applyFill="1" applyBorder="1" applyAlignment="1">
      <alignment horizontal="right"/>
    </xf>
    <xf numFmtId="169" fontId="4" fillId="0" borderId="4" xfId="0" applyNumberFormat="1" applyFont="1" applyFill="1" applyBorder="1"/>
    <xf numFmtId="165" fontId="5" fillId="0" borderId="0" xfId="12" applyNumberFormat="1" applyFont="1" applyFill="1" applyBorder="1" applyAlignment="1">
      <alignment horizontal="left" indent="1"/>
    </xf>
    <xf numFmtId="7" fontId="3" fillId="0" borderId="0" xfId="0" applyNumberFormat="1" applyFont="1" applyFill="1" applyBorder="1" applyAlignment="1">
      <alignment horizontal="right"/>
    </xf>
    <xf numFmtId="0" fontId="4" fillId="3" borderId="6" xfId="0" applyFont="1" applyFill="1" applyBorder="1"/>
    <xf numFmtId="9" fontId="3" fillId="0" borderId="0" xfId="12" applyFont="1" applyFill="1" applyBorder="1" applyAlignment="1">
      <alignment horizontal="right"/>
    </xf>
    <xf numFmtId="9" fontId="3" fillId="0" borderId="3" xfId="12" applyFont="1" applyFill="1" applyBorder="1" applyAlignment="1">
      <alignment horizontal="right"/>
    </xf>
    <xf numFmtId="7" fontId="3" fillId="0" borderId="3" xfId="0" applyNumberFormat="1" applyFont="1" applyFill="1" applyBorder="1"/>
    <xf numFmtId="9" fontId="3" fillId="0" borderId="3" xfId="12" applyFont="1" applyFill="1" applyBorder="1"/>
    <xf numFmtId="37" fontId="3" fillId="0" borderId="0" xfId="0" applyNumberFormat="1" applyFont="1" applyFill="1" applyBorder="1" applyAlignment="1">
      <alignment horizontal="left" indent="1"/>
    </xf>
    <xf numFmtId="164" fontId="3" fillId="0" borderId="0" xfId="0" applyNumberFormat="1" applyFont="1" applyFill="1" applyBorder="1" applyAlignment="1">
      <alignment horizontal="left" vertical="center" indent="1"/>
    </xf>
    <xf numFmtId="0" fontId="3" fillId="0" borderId="0" xfId="0" applyNumberFormat="1" applyFont="1" applyFill="1" applyBorder="1"/>
    <xf numFmtId="0" fontId="3" fillId="0" borderId="0" xfId="0" applyNumberFormat="1" applyFont="1" applyFill="1" applyBorder="1" applyAlignment="1">
      <alignment horizontal="left" indent="1"/>
    </xf>
    <xf numFmtId="0" fontId="3" fillId="0" borderId="0" xfId="0" applyFont="1" applyFill="1" applyBorder="1" applyAlignment="1">
      <alignment horizontal="center"/>
    </xf>
    <xf numFmtId="0" fontId="4" fillId="0" borderId="0" xfId="0" applyFont="1" applyFill="1" applyBorder="1" applyAlignment="1">
      <alignment horizontal="right"/>
    </xf>
    <xf numFmtId="9" fontId="3" fillId="0" borderId="0" xfId="0" applyNumberFormat="1" applyFont="1"/>
    <xf numFmtId="3" fontId="3" fillId="0" borderId="0" xfId="0" applyNumberFormat="1" applyFont="1" applyFill="1" applyBorder="1"/>
    <xf numFmtId="170" fontId="3" fillId="0" borderId="0" xfId="0" applyNumberFormat="1" applyFont="1" applyFill="1" applyBorder="1" applyAlignment="1">
      <alignment horizontal="center"/>
    </xf>
    <xf numFmtId="170" fontId="3" fillId="0" borderId="0" xfId="0" applyNumberFormat="1" applyFont="1" applyFill="1" applyBorder="1"/>
    <xf numFmtId="175" fontId="3" fillId="0" borderId="0" xfId="0" applyNumberFormat="1" applyFont="1" applyFill="1" applyBorder="1"/>
    <xf numFmtId="9" fontId="3" fillId="0" borderId="0" xfId="0" applyNumberFormat="1" applyFont="1" applyFill="1" applyBorder="1"/>
    <xf numFmtId="9" fontId="5" fillId="0" borderId="0" xfId="0" applyNumberFormat="1" applyFont="1"/>
    <xf numFmtId="164" fontId="3" fillId="0" borderId="0" xfId="8" applyNumberFormat="1" applyFont="1" applyFill="1" applyBorder="1"/>
    <xf numFmtId="165" fontId="3" fillId="0" borderId="0" xfId="0" applyNumberFormat="1" applyFont="1" applyFill="1" applyBorder="1"/>
    <xf numFmtId="0" fontId="3" fillId="0" borderId="0" xfId="0" quotePrefix="1" applyFont="1" applyFill="1" applyBorder="1" applyAlignment="1">
      <alignment horizontal="left" indent="1"/>
    </xf>
    <xf numFmtId="0" fontId="12" fillId="0" borderId="0" xfId="0" applyFont="1" applyFill="1" applyBorder="1"/>
    <xf numFmtId="0" fontId="4" fillId="0" borderId="0" xfId="0" applyFont="1" applyFill="1" applyBorder="1" applyAlignment="1">
      <alignment horizontal="center"/>
    </xf>
    <xf numFmtId="170" fontId="3" fillId="0" borderId="0" xfId="0" applyNumberFormat="1" applyFont="1" applyFill="1" applyBorder="1" applyAlignment="1">
      <alignment horizontal="right"/>
    </xf>
    <xf numFmtId="9" fontId="3" fillId="0" borderId="0" xfId="12" applyNumberFormat="1" applyFont="1" applyFill="1" applyBorder="1"/>
    <xf numFmtId="176" fontId="3" fillId="0" borderId="0" xfId="0" applyNumberFormat="1" applyFont="1" applyFill="1" applyBorder="1"/>
    <xf numFmtId="176" fontId="3" fillId="0" borderId="0" xfId="8" applyNumberFormat="1" applyFont="1" applyFill="1" applyBorder="1"/>
    <xf numFmtId="177" fontId="3" fillId="0" borderId="0" xfId="0" applyNumberFormat="1" applyFont="1" applyFill="1" applyBorder="1"/>
    <xf numFmtId="178" fontId="3" fillId="0" borderId="0" xfId="0" applyNumberFormat="1" applyFont="1" applyFill="1" applyBorder="1"/>
    <xf numFmtId="0" fontId="3" fillId="0" borderId="0" xfId="0" applyFont="1" applyFill="1" applyBorder="1" applyAlignment="1">
      <alignment horizontal="left" indent="3"/>
    </xf>
    <xf numFmtId="0" fontId="13" fillId="0" borderId="0" xfId="0" applyFont="1" applyFill="1" applyBorder="1" applyAlignment="1">
      <alignment horizontal="left" indent="1"/>
    </xf>
    <xf numFmtId="165" fontId="4" fillId="0" borderId="0" xfId="12" applyNumberFormat="1" applyFont="1" applyFill="1" applyBorder="1"/>
    <xf numFmtId="179" fontId="3" fillId="0" borderId="0" xfId="8" applyNumberFormat="1" applyFont="1" applyFill="1" applyBorder="1"/>
    <xf numFmtId="180" fontId="3" fillId="0" borderId="0" xfId="8" applyNumberFormat="1" applyFont="1" applyFill="1" applyBorder="1"/>
    <xf numFmtId="181" fontId="3" fillId="0" borderId="0" xfId="8" applyNumberFormat="1" applyFont="1" applyFill="1" applyBorder="1"/>
    <xf numFmtId="182" fontId="3" fillId="0" borderId="0" xfId="8" applyNumberFormat="1" applyFont="1" applyFill="1" applyBorder="1"/>
    <xf numFmtId="0" fontId="3" fillId="0" borderId="0" xfId="10"/>
    <xf numFmtId="0" fontId="4" fillId="0" borderId="0" xfId="10" applyFont="1"/>
    <xf numFmtId="0" fontId="3" fillId="0" borderId="0" xfId="10" applyAlignment="1">
      <alignment horizontal="center"/>
    </xf>
    <xf numFmtId="9" fontId="3" fillId="0" borderId="0" xfId="0" applyNumberFormat="1" applyFont="1" applyFill="1" applyBorder="1" applyAlignment="1">
      <alignment horizontal="center"/>
    </xf>
    <xf numFmtId="177" fontId="3" fillId="0" borderId="0" xfId="12" applyNumberFormat="1" applyFont="1" applyFill="1" applyBorder="1"/>
    <xf numFmtId="164" fontId="3" fillId="0" borderId="0" xfId="12" applyNumberFormat="1" applyFont="1" applyFill="1" applyBorder="1"/>
    <xf numFmtId="164" fontId="3" fillId="0" borderId="0" xfId="0" applyNumberFormat="1" applyFont="1" applyFill="1" applyBorder="1" applyAlignment="1">
      <alignment horizontal="left" vertical="center" indent="2"/>
    </xf>
    <xf numFmtId="167" fontId="3" fillId="0" borderId="0" xfId="0" applyNumberFormat="1" applyFont="1" applyFill="1" applyBorder="1" applyAlignment="1">
      <alignment horizontal="right"/>
    </xf>
    <xf numFmtId="168" fontId="3" fillId="0" borderId="0" xfId="0" applyNumberFormat="1" applyFont="1" applyFill="1" applyBorder="1" applyAlignment="1">
      <alignment horizontal="right"/>
    </xf>
    <xf numFmtId="0" fontId="3" fillId="0" borderId="0" xfId="0" applyFont="1" applyAlignment="1">
      <alignment horizontal="center"/>
    </xf>
    <xf numFmtId="171" fontId="3" fillId="0" borderId="0" xfId="0" applyNumberFormat="1" applyFont="1"/>
    <xf numFmtId="9" fontId="5" fillId="0" borderId="0" xfId="12" applyFont="1"/>
    <xf numFmtId="0" fontId="3" fillId="0" borderId="0" xfId="0" applyFont="1" applyFill="1" applyAlignment="1">
      <alignment horizontal="center"/>
    </xf>
    <xf numFmtId="3" fontId="3" fillId="0" borderId="0" xfId="0" applyNumberFormat="1" applyFont="1" applyFill="1" applyBorder="1" applyAlignment="1">
      <alignment horizontal="right"/>
    </xf>
    <xf numFmtId="3" fontId="4" fillId="0" borderId="5" xfId="0" applyNumberFormat="1" applyFont="1" applyFill="1" applyBorder="1"/>
    <xf numFmtId="3" fontId="3" fillId="0" borderId="0" xfId="12" applyNumberFormat="1" applyFont="1" applyFill="1" applyBorder="1"/>
    <xf numFmtId="3" fontId="3" fillId="0" borderId="0" xfId="0" applyNumberFormat="1" applyFont="1" applyFill="1" applyBorder="1" applyAlignment="1">
      <alignment horizontal="left" indent="1"/>
    </xf>
    <xf numFmtId="3" fontId="4" fillId="0" borderId="0" xfId="0" applyNumberFormat="1" applyFont="1" applyFill="1" applyBorder="1"/>
    <xf numFmtId="3" fontId="4" fillId="0" borderId="4" xfId="0" applyNumberFormat="1" applyFont="1" applyFill="1" applyBorder="1"/>
    <xf numFmtId="183" fontId="4" fillId="0" borderId="4" xfId="0" applyNumberFormat="1" applyFont="1" applyFill="1" applyBorder="1" applyAlignment="1">
      <alignment horizontal="right"/>
    </xf>
    <xf numFmtId="1" fontId="3" fillId="0" borderId="0" xfId="0" applyNumberFormat="1" applyFont="1" applyFill="1" applyBorder="1"/>
    <xf numFmtId="184" fontId="3" fillId="0" borderId="0" xfId="0" applyNumberFormat="1" applyFont="1" applyFill="1" applyBorder="1"/>
    <xf numFmtId="183" fontId="4" fillId="0" borderId="0" xfId="0" applyNumberFormat="1" applyFont="1" applyFill="1" applyBorder="1" applyAlignment="1">
      <alignment horizontal="right"/>
    </xf>
    <xf numFmtId="3" fontId="4" fillId="0" borderId="0" xfId="0" applyNumberFormat="1" applyFont="1" applyFill="1" applyBorder="1" applyAlignment="1">
      <alignment horizontal="right"/>
    </xf>
    <xf numFmtId="49" fontId="0" fillId="0" borderId="0" xfId="0" applyNumberFormat="1"/>
    <xf numFmtId="0" fontId="3" fillId="0" borderId="0" xfId="0" applyFont="1" applyFill="1" applyBorder="1" applyAlignment="1">
      <alignment horizontal="left"/>
    </xf>
    <xf numFmtId="0" fontId="3" fillId="0" borderId="0" xfId="0" applyFont="1" applyFill="1" applyBorder="1" applyAlignment="1">
      <alignment horizontal="center"/>
    </xf>
    <xf numFmtId="0" fontId="18" fillId="0" borderId="0" xfId="0" applyFont="1"/>
    <xf numFmtId="0" fontId="19" fillId="0" borderId="0" xfId="0" applyFont="1"/>
    <xf numFmtId="0" fontId="3" fillId="7" borderId="7" xfId="0" applyFont="1" applyFill="1" applyBorder="1" applyAlignment="1">
      <alignment horizontal="center"/>
    </xf>
    <xf numFmtId="0" fontId="3" fillId="8" borderId="7" xfId="0" applyFont="1" applyFill="1" applyBorder="1" applyAlignment="1">
      <alignment horizontal="center"/>
    </xf>
    <xf numFmtId="0" fontId="19" fillId="0" borderId="0" xfId="0" applyFont="1" applyFill="1"/>
    <xf numFmtId="0" fontId="19" fillId="0" borderId="0" xfId="0" applyFont="1" applyAlignment="1">
      <alignment horizontal="center"/>
    </xf>
    <xf numFmtId="0" fontId="19" fillId="0" borderId="0" xfId="0" applyFont="1" applyAlignment="1">
      <alignment horizontal="left"/>
    </xf>
    <xf numFmtId="0" fontId="19" fillId="0" borderId="0" xfId="0" applyFont="1" applyAlignment="1">
      <alignment horizontal="right"/>
    </xf>
    <xf numFmtId="171" fontId="19" fillId="0" borderId="0" xfId="0" applyNumberFormat="1" applyFont="1"/>
    <xf numFmtId="0" fontId="20" fillId="0" borderId="0" xfId="0" applyFont="1"/>
    <xf numFmtId="9" fontId="19" fillId="0" borderId="0" xfId="0" applyNumberFormat="1" applyFont="1"/>
    <xf numFmtId="170" fontId="19" fillId="0" borderId="0" xfId="0" applyNumberFormat="1" applyFont="1"/>
    <xf numFmtId="183" fontId="19" fillId="0" borderId="0" xfId="0" applyNumberFormat="1" applyFont="1"/>
    <xf numFmtId="3" fontId="19" fillId="0" borderId="0" xfId="0" applyNumberFormat="1" applyFont="1"/>
    <xf numFmtId="9" fontId="19" fillId="0" borderId="0" xfId="12" applyFont="1"/>
    <xf numFmtId="0" fontId="4" fillId="0" borderId="18" xfId="0" applyFont="1" applyFill="1" applyBorder="1"/>
    <xf numFmtId="0" fontId="4" fillId="9" borderId="18" xfId="0" applyFont="1" applyFill="1" applyBorder="1" applyAlignment="1">
      <alignment horizontal="right"/>
    </xf>
    <xf numFmtId="0" fontId="3" fillId="0" borderId="18" xfId="0" applyFont="1" applyFill="1" applyBorder="1"/>
    <xf numFmtId="37" fontId="3" fillId="9" borderId="0" xfId="0" applyNumberFormat="1" applyFont="1" applyFill="1" applyBorder="1" applyAlignment="1">
      <alignment horizontal="right"/>
    </xf>
    <xf numFmtId="3" fontId="3" fillId="9" borderId="0" xfId="0" applyNumberFormat="1" applyFont="1" applyFill="1" applyBorder="1" applyAlignment="1">
      <alignment horizontal="right"/>
    </xf>
    <xf numFmtId="37" fontId="4" fillId="9" borderId="5" xfId="0" applyNumberFormat="1" applyFont="1" applyFill="1" applyBorder="1"/>
    <xf numFmtId="3" fontId="4" fillId="9" borderId="5" xfId="0" applyNumberFormat="1" applyFont="1" applyFill="1" applyBorder="1"/>
    <xf numFmtId="37" fontId="4" fillId="9" borderId="0" xfId="0" applyNumberFormat="1" applyFont="1" applyFill="1" applyBorder="1"/>
    <xf numFmtId="3" fontId="4" fillId="9" borderId="0" xfId="0" applyNumberFormat="1" applyFont="1" applyFill="1" applyBorder="1"/>
    <xf numFmtId="3" fontId="22" fillId="10" borderId="9" xfId="0" applyNumberFormat="1" applyFont="1" applyFill="1" applyBorder="1"/>
    <xf numFmtId="3" fontId="22" fillId="10" borderId="10" xfId="0" applyNumberFormat="1" applyFont="1" applyFill="1" applyBorder="1"/>
    <xf numFmtId="3" fontId="22" fillId="10" borderId="11" xfId="0" applyNumberFormat="1" applyFont="1" applyFill="1" applyBorder="1" applyAlignment="1">
      <alignment horizontal="right"/>
    </xf>
    <xf numFmtId="37" fontId="23" fillId="11" borderId="0" xfId="13" applyNumberFormat="1" applyFont="1" applyFill="1" applyBorder="1" applyAlignment="1">
      <alignment horizontal="left" indent="1"/>
    </xf>
    <xf numFmtId="37" fontId="23" fillId="11" borderId="0" xfId="13" applyNumberFormat="1" applyFont="1" applyFill="1" applyBorder="1" applyAlignment="1">
      <alignment horizontal="right"/>
    </xf>
    <xf numFmtId="3" fontId="3" fillId="9" borderId="0" xfId="12" applyNumberFormat="1" applyFont="1" applyFill="1" applyBorder="1"/>
    <xf numFmtId="37" fontId="3" fillId="9" borderId="0" xfId="0" applyNumberFormat="1" applyFont="1" applyFill="1" applyBorder="1"/>
    <xf numFmtId="3" fontId="3" fillId="9" borderId="0" xfId="0" applyNumberFormat="1" applyFont="1" applyFill="1" applyBorder="1"/>
    <xf numFmtId="37" fontId="3" fillId="9" borderId="0" xfId="12" applyNumberFormat="1" applyFont="1" applyFill="1" applyBorder="1"/>
    <xf numFmtId="37" fontId="3" fillId="9" borderId="0" xfId="0" applyNumberFormat="1" applyFont="1" applyFill="1" applyBorder="1" applyAlignment="1">
      <alignment horizontal="left" indent="1"/>
    </xf>
    <xf numFmtId="3" fontId="3" fillId="9" borderId="0" xfId="0" applyNumberFormat="1" applyFont="1" applyFill="1" applyBorder="1" applyAlignment="1">
      <alignment horizontal="left" indent="1"/>
    </xf>
    <xf numFmtId="168" fontId="3" fillId="9" borderId="0" xfId="0" applyNumberFormat="1" applyFont="1" applyFill="1" applyBorder="1"/>
    <xf numFmtId="9" fontId="5" fillId="9" borderId="0" xfId="12" applyFont="1" applyFill="1" applyBorder="1"/>
    <xf numFmtId="37" fontId="4" fillId="9" borderId="4" xfId="0" applyNumberFormat="1" applyFont="1" applyFill="1" applyBorder="1"/>
    <xf numFmtId="3" fontId="4" fillId="9" borderId="4" xfId="0" applyNumberFormat="1" applyFont="1" applyFill="1" applyBorder="1"/>
    <xf numFmtId="7" fontId="4" fillId="9" borderId="4" xfId="0" applyNumberFormat="1" applyFont="1" applyFill="1" applyBorder="1" applyAlignment="1">
      <alignment horizontal="right"/>
    </xf>
    <xf numFmtId="183" fontId="4" fillId="9" borderId="4" xfId="0" applyNumberFormat="1" applyFont="1" applyFill="1" applyBorder="1" applyAlignment="1">
      <alignment horizontal="right"/>
    </xf>
    <xf numFmtId="7" fontId="4" fillId="9" borderId="0" xfId="0" applyNumberFormat="1" applyFont="1" applyFill="1" applyBorder="1" applyAlignment="1">
      <alignment horizontal="right"/>
    </xf>
    <xf numFmtId="183" fontId="4" fillId="9" borderId="0" xfId="0" applyNumberFormat="1" applyFont="1" applyFill="1" applyBorder="1" applyAlignment="1">
      <alignment horizontal="right"/>
    </xf>
    <xf numFmtId="3" fontId="22" fillId="10" borderId="11" xfId="0" quotePrefix="1" applyNumberFormat="1" applyFont="1" applyFill="1" applyBorder="1" applyAlignment="1">
      <alignment horizontal="right"/>
    </xf>
    <xf numFmtId="164" fontId="3" fillId="9" borderId="0" xfId="0" applyNumberFormat="1" applyFont="1" applyFill="1" applyBorder="1"/>
    <xf numFmtId="168" fontId="3" fillId="9" borderId="0" xfId="12" applyNumberFormat="1" applyFont="1" applyFill="1" applyBorder="1"/>
    <xf numFmtId="165" fontId="5" fillId="9" borderId="0" xfId="12" applyNumberFormat="1" applyFont="1" applyFill="1" applyBorder="1"/>
    <xf numFmtId="7" fontId="3" fillId="9" borderId="0" xfId="0" applyNumberFormat="1" applyFont="1" applyFill="1" applyBorder="1" applyAlignment="1">
      <alignment horizontal="right"/>
    </xf>
    <xf numFmtId="169" fontId="4" fillId="9" borderId="0" xfId="0" applyNumberFormat="1" applyFont="1" applyFill="1" applyBorder="1"/>
    <xf numFmtId="164" fontId="24" fillId="0" borderId="0" xfId="0" applyNumberFormat="1" applyFont="1" applyFill="1" applyBorder="1"/>
    <xf numFmtId="0" fontId="19" fillId="0" borderId="0" xfId="0" applyFont="1" applyBorder="1" applyAlignment="1">
      <alignment horizontal="left" indent="1"/>
    </xf>
    <xf numFmtId="9" fontId="3" fillId="9" borderId="0" xfId="12" applyFont="1" applyFill="1" applyBorder="1" applyAlignment="1">
      <alignment horizontal="right"/>
    </xf>
    <xf numFmtId="0" fontId="19" fillId="0" borderId="0" xfId="0" applyFont="1" applyFill="1" applyBorder="1" applyAlignment="1">
      <alignment horizontal="left" indent="1"/>
    </xf>
    <xf numFmtId="0" fontId="19" fillId="0" borderId="3" xfId="0" applyFont="1" applyBorder="1" applyAlignment="1">
      <alignment horizontal="left" indent="1"/>
    </xf>
    <xf numFmtId="9" fontId="3" fillId="9" borderId="3" xfId="12" applyFont="1" applyFill="1" applyBorder="1" applyAlignment="1">
      <alignment horizontal="right"/>
    </xf>
    <xf numFmtId="7" fontId="3" fillId="9" borderId="0" xfId="0" applyNumberFormat="1" applyFont="1" applyFill="1" applyBorder="1"/>
    <xf numFmtId="9" fontId="3" fillId="9" borderId="0" xfId="12" applyFont="1" applyFill="1" applyBorder="1"/>
    <xf numFmtId="9" fontId="3" fillId="9" borderId="0" xfId="12" applyNumberFormat="1" applyFont="1" applyFill="1" applyBorder="1" applyAlignment="1">
      <alignment horizontal="right"/>
    </xf>
    <xf numFmtId="7" fontId="3" fillId="9" borderId="3" xfId="0" applyNumberFormat="1" applyFont="1" applyFill="1" applyBorder="1"/>
    <xf numFmtId="9" fontId="3" fillId="9" borderId="3" xfId="12" applyFont="1" applyFill="1" applyBorder="1"/>
    <xf numFmtId="0" fontId="3" fillId="9" borderId="0" xfId="0" applyFont="1" applyFill="1" applyBorder="1"/>
    <xf numFmtId="5" fontId="3" fillId="9" borderId="0" xfId="0" applyNumberFormat="1" applyFont="1" applyFill="1" applyBorder="1"/>
    <xf numFmtId="0" fontId="4" fillId="9" borderId="0" xfId="0" applyFont="1" applyFill="1" applyBorder="1" applyAlignment="1">
      <alignment horizontal="right"/>
    </xf>
    <xf numFmtId="166" fontId="3" fillId="9" borderId="0" xfId="0" applyNumberFormat="1" applyFont="1" applyFill="1" applyBorder="1"/>
    <xf numFmtId="43" fontId="3" fillId="9" borderId="0" xfId="8" applyFont="1" applyFill="1" applyBorder="1"/>
    <xf numFmtId="0" fontId="3" fillId="9" borderId="0" xfId="0" applyFont="1" applyFill="1" applyBorder="1" applyAlignment="1">
      <alignment horizontal="right"/>
    </xf>
    <xf numFmtId="9" fontId="5" fillId="9" borderId="0" xfId="12" applyNumberFormat="1" applyFont="1" applyFill="1" applyBorder="1"/>
    <xf numFmtId="9" fontId="5" fillId="9" borderId="0" xfId="0" applyNumberFormat="1" applyFont="1" applyFill="1" applyBorder="1"/>
    <xf numFmtId="165" fontId="3" fillId="9" borderId="0" xfId="12" applyNumberFormat="1" applyFont="1" applyFill="1" applyBorder="1" applyAlignment="1">
      <alignment horizontal="right"/>
    </xf>
    <xf numFmtId="9" fontId="5" fillId="9" borderId="0" xfId="0" applyNumberFormat="1" applyFont="1" applyFill="1" applyBorder="1" applyAlignment="1">
      <alignment horizontal="right"/>
    </xf>
    <xf numFmtId="3" fontId="4" fillId="12" borderId="2" xfId="0" applyNumberFormat="1" applyFont="1" applyFill="1" applyBorder="1"/>
    <xf numFmtId="0" fontId="4" fillId="12" borderId="2" xfId="0" applyFont="1" applyFill="1" applyBorder="1"/>
    <xf numFmtId="9" fontId="21" fillId="0" borderId="0" xfId="0" applyNumberFormat="1" applyFont="1" applyFill="1" applyBorder="1"/>
    <xf numFmtId="9" fontId="26" fillId="0" borderId="0" xfId="12" applyFont="1" applyFill="1" applyBorder="1"/>
    <xf numFmtId="9" fontId="21" fillId="0" borderId="0" xfId="12" applyFont="1" applyFill="1" applyBorder="1"/>
    <xf numFmtId="37" fontId="26" fillId="0" borderId="0" xfId="0" applyNumberFormat="1" applyFont="1" applyFill="1" applyBorder="1"/>
    <xf numFmtId="1" fontId="27" fillId="0" borderId="0" xfId="0" applyNumberFormat="1" applyFont="1" applyFill="1" applyBorder="1"/>
    <xf numFmtId="0" fontId="24" fillId="0" borderId="0" xfId="10" applyFont="1"/>
    <xf numFmtId="0" fontId="20" fillId="15" borderId="0" xfId="0" applyFont="1" applyFill="1"/>
    <xf numFmtId="0" fontId="20" fillId="15" borderId="0" xfId="0" applyFont="1" applyFill="1" applyAlignment="1">
      <alignment horizontal="right"/>
    </xf>
    <xf numFmtId="185" fontId="20" fillId="15" borderId="0" xfId="0" applyNumberFormat="1" applyFont="1" applyFill="1"/>
    <xf numFmtId="0" fontId="28" fillId="0" borderId="0" xfId="0" applyFont="1"/>
    <xf numFmtId="0" fontId="28" fillId="0" borderId="0" xfId="0" applyFont="1" applyAlignment="1">
      <alignment horizontal="left" indent="1"/>
    </xf>
    <xf numFmtId="165" fontId="28" fillId="0" borderId="0" xfId="12" applyNumberFormat="1" applyFont="1"/>
    <xf numFmtId="165" fontId="28" fillId="0" borderId="0" xfId="0" applyNumberFormat="1" applyFont="1"/>
    <xf numFmtId="10" fontId="21" fillId="0" borderId="0" xfId="12" applyNumberFormat="1" applyFont="1"/>
    <xf numFmtId="10" fontId="19" fillId="0" borderId="0" xfId="0" applyNumberFormat="1" applyFont="1"/>
    <xf numFmtId="0" fontId="29" fillId="0" borderId="0" xfId="9" applyFont="1"/>
    <xf numFmtId="0" fontId="19" fillId="0" borderId="0" xfId="0" applyFont="1" applyAlignment="1">
      <alignment horizontal="left" indent="1"/>
    </xf>
    <xf numFmtId="0" fontId="19" fillId="15" borderId="0" xfId="0" applyFont="1" applyFill="1"/>
    <xf numFmtId="165" fontId="19" fillId="15" borderId="0" xfId="12" applyNumberFormat="1" applyFont="1" applyFill="1"/>
    <xf numFmtId="0" fontId="19" fillId="16" borderId="0" xfId="0" applyFont="1" applyFill="1" applyAlignment="1">
      <alignment horizontal="left" indent="2"/>
    </xf>
    <xf numFmtId="9" fontId="19" fillId="16" borderId="0" xfId="0" applyNumberFormat="1" applyFont="1" applyFill="1"/>
    <xf numFmtId="9" fontId="21" fillId="16" borderId="0" xfId="0" applyNumberFormat="1" applyFont="1" applyFill="1"/>
    <xf numFmtId="165" fontId="19" fillId="16" borderId="0" xfId="0" applyNumberFormat="1" applyFont="1" applyFill="1"/>
    <xf numFmtId="0" fontId="30" fillId="16" borderId="0" xfId="0" applyFont="1" applyFill="1"/>
    <xf numFmtId="0" fontId="19" fillId="16" borderId="0" xfId="0" applyFont="1" applyFill="1" applyAlignment="1">
      <alignment horizontal="left" indent="1"/>
    </xf>
    <xf numFmtId="165" fontId="27" fillId="16" borderId="0" xfId="10" applyNumberFormat="1" applyFont="1" applyFill="1"/>
    <xf numFmtId="0" fontId="20" fillId="17" borderId="2" xfId="0" applyFont="1" applyFill="1" applyBorder="1"/>
    <xf numFmtId="3" fontId="19" fillId="17" borderId="2" xfId="0" applyNumberFormat="1" applyFont="1" applyFill="1" applyBorder="1"/>
    <xf numFmtId="9" fontId="21" fillId="0" borderId="0" xfId="0" applyNumberFormat="1" applyFont="1"/>
    <xf numFmtId="0" fontId="20" fillId="18" borderId="2" xfId="0" applyFont="1" applyFill="1" applyBorder="1"/>
    <xf numFmtId="0" fontId="19" fillId="18" borderId="2" xfId="0" applyFont="1" applyFill="1" applyBorder="1"/>
    <xf numFmtId="10" fontId="19" fillId="0" borderId="0" xfId="12" applyNumberFormat="1" applyFont="1"/>
    <xf numFmtId="0" fontId="20" fillId="17" borderId="0" xfId="0" applyFont="1" applyFill="1"/>
    <xf numFmtId="9" fontId="20" fillId="17" borderId="0" xfId="0" applyNumberFormat="1" applyFont="1" applyFill="1"/>
    <xf numFmtId="0" fontId="31" fillId="17" borderId="0" xfId="0" applyFont="1" applyFill="1"/>
    <xf numFmtId="165" fontId="31" fillId="17" borderId="0" xfId="0" applyNumberFormat="1" applyFont="1" applyFill="1"/>
    <xf numFmtId="9" fontId="19" fillId="16" borderId="0" xfId="12" applyFont="1" applyFill="1"/>
    <xf numFmtId="9" fontId="27" fillId="16" borderId="0" xfId="10" applyNumberFormat="1" applyFont="1" applyFill="1"/>
    <xf numFmtId="9" fontId="21" fillId="16" borderId="0" xfId="12" applyFont="1" applyFill="1"/>
    <xf numFmtId="9" fontId="19" fillId="0" borderId="0" xfId="0" applyNumberFormat="1" applyFont="1" applyFill="1"/>
    <xf numFmtId="10" fontId="19" fillId="0" borderId="0" xfId="0" applyNumberFormat="1" applyFont="1" applyFill="1"/>
    <xf numFmtId="0" fontId="19" fillId="16" borderId="0" xfId="0" applyFont="1" applyFill="1"/>
    <xf numFmtId="9" fontId="25" fillId="17" borderId="0" xfId="0" applyNumberFormat="1" applyFont="1" applyFill="1"/>
    <xf numFmtId="9" fontId="19" fillId="16" borderId="0" xfId="12" applyNumberFormat="1" applyFont="1" applyFill="1"/>
    <xf numFmtId="9" fontId="21" fillId="16" borderId="0" xfId="10" applyNumberFormat="1" applyFont="1" applyFill="1"/>
    <xf numFmtId="0" fontId="30" fillId="0" borderId="0" xfId="0" applyFont="1"/>
    <xf numFmtId="3" fontId="30" fillId="0" borderId="0" xfId="0" applyNumberFormat="1" applyFont="1"/>
    <xf numFmtId="9" fontId="28" fillId="0" borderId="0" xfId="12" applyFont="1"/>
    <xf numFmtId="9" fontId="32" fillId="0" borderId="0" xfId="0" applyNumberFormat="1" applyFont="1"/>
    <xf numFmtId="9" fontId="28" fillId="0" borderId="0" xfId="0" applyNumberFormat="1" applyFont="1"/>
    <xf numFmtId="0" fontId="20" fillId="19" borderId="5" xfId="0" applyFont="1" applyFill="1" applyBorder="1"/>
    <xf numFmtId="172" fontId="20" fillId="19" borderId="5" xfId="0" applyNumberFormat="1" applyFont="1" applyFill="1" applyBorder="1"/>
    <xf numFmtId="165" fontId="19" fillId="0" borderId="0" xfId="12" applyNumberFormat="1" applyFont="1"/>
    <xf numFmtId="0" fontId="24" fillId="0" borderId="0" xfId="10" applyFont="1" applyAlignment="1">
      <alignment horizontal="center"/>
    </xf>
    <xf numFmtId="0" fontId="28" fillId="0" borderId="0" xfId="0" applyFont="1" applyAlignment="1">
      <alignment horizontal="center"/>
    </xf>
    <xf numFmtId="0" fontId="19" fillId="0" borderId="0" xfId="0" applyFont="1" applyFill="1" applyAlignment="1">
      <alignment horizontal="center"/>
    </xf>
    <xf numFmtId="0" fontId="30" fillId="16" borderId="0" xfId="0" applyFont="1" applyFill="1" applyAlignment="1">
      <alignment horizontal="center"/>
    </xf>
    <xf numFmtId="9" fontId="26" fillId="16" borderId="0" xfId="0" applyNumberFormat="1" applyFont="1" applyFill="1"/>
    <xf numFmtId="0" fontId="21" fillId="0" borderId="0" xfId="0" applyFont="1"/>
    <xf numFmtId="2" fontId="21" fillId="0" borderId="0" xfId="0" applyNumberFormat="1" applyFont="1"/>
    <xf numFmtId="2" fontId="19" fillId="0" borderId="0" xfId="0" applyNumberFormat="1" applyFont="1"/>
    <xf numFmtId="171" fontId="21" fillId="0" borderId="0" xfId="0" applyNumberFormat="1" applyFont="1"/>
    <xf numFmtId="1" fontId="19" fillId="0" borderId="0" xfId="0" applyNumberFormat="1" applyFont="1"/>
    <xf numFmtId="0" fontId="4" fillId="20" borderId="18" xfId="0" applyFont="1" applyFill="1" applyBorder="1" applyAlignment="1">
      <alignment horizontal="right"/>
    </xf>
    <xf numFmtId="3" fontId="3" fillId="20" borderId="0" xfId="0" applyNumberFormat="1" applyFont="1" applyFill="1" applyBorder="1" applyAlignment="1">
      <alignment horizontal="right"/>
    </xf>
    <xf numFmtId="3" fontId="21" fillId="20" borderId="0" xfId="0" applyNumberFormat="1" applyFont="1" applyFill="1" applyBorder="1" applyAlignment="1">
      <alignment horizontal="right"/>
    </xf>
    <xf numFmtId="3" fontId="4" fillId="20" borderId="5" xfId="0" applyNumberFormat="1" applyFont="1" applyFill="1" applyBorder="1"/>
    <xf numFmtId="3" fontId="4" fillId="20" borderId="0" xfId="0" applyNumberFormat="1" applyFont="1" applyFill="1" applyBorder="1"/>
    <xf numFmtId="3" fontId="3" fillId="20" borderId="0" xfId="0" applyNumberFormat="1" applyFont="1" applyFill="1" applyBorder="1"/>
    <xf numFmtId="3" fontId="21" fillId="20" borderId="0" xfId="0" applyNumberFormat="1" applyFont="1" applyFill="1" applyBorder="1"/>
    <xf numFmtId="3" fontId="3" fillId="20" borderId="0" xfId="12" applyNumberFormat="1" applyFont="1" applyFill="1" applyBorder="1"/>
    <xf numFmtId="3" fontId="21" fillId="20" borderId="0" xfId="12" applyNumberFormat="1" applyFont="1" applyFill="1" applyBorder="1"/>
    <xf numFmtId="9" fontId="5" fillId="20" borderId="0" xfId="12" applyFont="1" applyFill="1" applyBorder="1"/>
    <xf numFmtId="3" fontId="4" fillId="20" borderId="4" xfId="0" applyNumberFormat="1" applyFont="1" applyFill="1" applyBorder="1"/>
    <xf numFmtId="37" fontId="4" fillId="20" borderId="0" xfId="0" applyNumberFormat="1" applyFont="1" applyFill="1" applyBorder="1"/>
    <xf numFmtId="183" fontId="4" fillId="20" borderId="4" xfId="0" applyNumberFormat="1" applyFont="1" applyFill="1" applyBorder="1" applyAlignment="1">
      <alignment horizontal="right"/>
    </xf>
    <xf numFmtId="183" fontId="4" fillId="20" borderId="0" xfId="0" applyNumberFormat="1" applyFont="1" applyFill="1" applyBorder="1" applyAlignment="1">
      <alignment horizontal="right"/>
    </xf>
    <xf numFmtId="7" fontId="4" fillId="20" borderId="0" xfId="0" applyNumberFormat="1" applyFont="1" applyFill="1" applyBorder="1" applyAlignment="1">
      <alignment horizontal="right"/>
    </xf>
    <xf numFmtId="164" fontId="3" fillId="20" borderId="0" xfId="0" applyNumberFormat="1" applyFont="1" applyFill="1" applyBorder="1"/>
    <xf numFmtId="165" fontId="5" fillId="20" borderId="0" xfId="12" applyNumberFormat="1" applyFont="1" applyFill="1" applyBorder="1"/>
    <xf numFmtId="37" fontId="3" fillId="20" borderId="0" xfId="0" applyNumberFormat="1" applyFont="1" applyFill="1" applyBorder="1"/>
    <xf numFmtId="7" fontId="3" fillId="20" borderId="0" xfId="0" applyNumberFormat="1" applyFont="1" applyFill="1" applyBorder="1" applyAlignment="1">
      <alignment horizontal="right"/>
    </xf>
    <xf numFmtId="37" fontId="4" fillId="20" borderId="4" xfId="0" applyNumberFormat="1" applyFont="1" applyFill="1" applyBorder="1"/>
    <xf numFmtId="169" fontId="4" fillId="20" borderId="0" xfId="0" applyNumberFormat="1" applyFont="1" applyFill="1" applyBorder="1"/>
    <xf numFmtId="9" fontId="3" fillId="20" borderId="0" xfId="12" applyFont="1" applyFill="1" applyBorder="1" applyAlignment="1">
      <alignment horizontal="right"/>
    </xf>
    <xf numFmtId="9" fontId="3" fillId="20" borderId="3" xfId="12" applyFont="1" applyFill="1" applyBorder="1" applyAlignment="1">
      <alignment horizontal="right"/>
    </xf>
    <xf numFmtId="7" fontId="3" fillId="20" borderId="0" xfId="0" applyNumberFormat="1" applyFont="1" applyFill="1" applyBorder="1"/>
    <xf numFmtId="9" fontId="3" fillId="20" borderId="0" xfId="12" applyFont="1" applyFill="1" applyBorder="1"/>
    <xf numFmtId="9" fontId="3" fillId="20" borderId="3" xfId="12" applyFont="1" applyFill="1" applyBorder="1"/>
    <xf numFmtId="0" fontId="3" fillId="20" borderId="0" xfId="0" applyFont="1" applyFill="1" applyBorder="1"/>
    <xf numFmtId="169" fontId="3" fillId="20" borderId="0" xfId="0" applyNumberFormat="1" applyFont="1" applyFill="1" applyBorder="1"/>
    <xf numFmtId="39" fontId="23" fillId="11" borderId="0" xfId="13" applyNumberFormat="1" applyFont="1" applyFill="1" applyBorder="1" applyAlignment="1">
      <alignment horizontal="right"/>
    </xf>
    <xf numFmtId="164" fontId="21" fillId="0" borderId="0" xfId="0" applyNumberFormat="1" applyFont="1" applyFill="1" applyBorder="1"/>
    <xf numFmtId="3" fontId="21" fillId="0" borderId="0" xfId="0" applyNumberFormat="1" applyFont="1" applyFill="1" applyBorder="1"/>
    <xf numFmtId="3" fontId="3" fillId="0" borderId="0" xfId="8" applyNumberFormat="1" applyFont="1" applyFill="1" applyBorder="1"/>
    <xf numFmtId="3" fontId="3" fillId="0" borderId="2" xfId="0" applyNumberFormat="1" applyFont="1" applyFill="1" applyBorder="1"/>
    <xf numFmtId="3" fontId="4" fillId="0" borderId="19" xfId="0" applyNumberFormat="1" applyFont="1" applyFill="1" applyBorder="1"/>
    <xf numFmtId="3" fontId="3" fillId="0" borderId="5" xfId="0" applyNumberFormat="1" applyFont="1" applyFill="1" applyBorder="1"/>
    <xf numFmtId="3" fontId="3" fillId="0" borderId="0" xfId="0" applyNumberFormat="1" applyFont="1" applyFill="1" applyBorder="1" applyAlignment="1">
      <alignment horizontal="left" indent="2"/>
    </xf>
    <xf numFmtId="3" fontId="3" fillId="0" borderId="2" xfId="0" applyNumberFormat="1" applyFont="1" applyFill="1" applyBorder="1" applyAlignment="1">
      <alignment horizontal="left" indent="2"/>
    </xf>
    <xf numFmtId="3" fontId="3" fillId="0" borderId="5" xfId="0" applyNumberFormat="1" applyFont="1" applyFill="1" applyBorder="1" applyAlignment="1">
      <alignment horizontal="left"/>
    </xf>
    <xf numFmtId="3" fontId="4" fillId="0" borderId="19" xfId="0" applyNumberFormat="1" applyFont="1" applyFill="1" applyBorder="1" applyAlignment="1">
      <alignment horizontal="left"/>
    </xf>
    <xf numFmtId="0" fontId="4" fillId="20" borderId="2" xfId="0" applyFont="1" applyFill="1" applyBorder="1"/>
    <xf numFmtId="0" fontId="3" fillId="20" borderId="2" xfId="0" applyFont="1" applyFill="1" applyBorder="1"/>
    <xf numFmtId="169" fontId="3" fillId="20" borderId="2" xfId="0" applyNumberFormat="1" applyFont="1" applyFill="1" applyBorder="1"/>
    <xf numFmtId="165" fontId="33" fillId="0" borderId="0" xfId="0" applyNumberFormat="1" applyFont="1" applyFill="1" applyBorder="1"/>
    <xf numFmtId="172" fontId="3" fillId="0" borderId="0" xfId="0" applyNumberFormat="1" applyFont="1" applyFill="1" applyBorder="1"/>
    <xf numFmtId="172" fontId="3" fillId="0" borderId="0" xfId="0" applyNumberFormat="1" applyFont="1" applyFill="1" applyBorder="1" applyAlignment="1">
      <alignment horizontal="left" indent="1"/>
    </xf>
    <xf numFmtId="172" fontId="3" fillId="0" borderId="0" xfId="0" applyNumberFormat="1" applyFont="1" applyFill="1" applyBorder="1" applyAlignment="1">
      <alignment horizontal="left" indent="2"/>
    </xf>
    <xf numFmtId="172" fontId="33" fillId="0" borderId="0" xfId="0" applyNumberFormat="1" applyFont="1" applyFill="1" applyBorder="1"/>
    <xf numFmtId="172" fontId="3" fillId="0" borderId="0" xfId="0" applyNumberFormat="1" applyFont="1" applyFill="1" applyBorder="1" applyAlignment="1">
      <alignment horizontal="right"/>
    </xf>
    <xf numFmtId="2" fontId="3" fillId="0" borderId="0" xfId="0" applyNumberFormat="1" applyFont="1" applyFill="1" applyBorder="1"/>
    <xf numFmtId="172" fontId="21" fillId="0" borderId="0" xfId="0" applyNumberFormat="1" applyFont="1" applyFill="1" applyBorder="1"/>
    <xf numFmtId="0" fontId="3" fillId="0" borderId="5" xfId="0" applyFont="1" applyFill="1" applyBorder="1" applyAlignment="1">
      <alignment horizontal="left" indent="1"/>
    </xf>
    <xf numFmtId="0" fontId="4" fillId="0" borderId="5" xfId="0" applyFont="1" applyFill="1" applyBorder="1" applyAlignment="1">
      <alignment horizontal="left"/>
    </xf>
    <xf numFmtId="164" fontId="3" fillId="0" borderId="5" xfId="0" applyNumberFormat="1" applyFont="1" applyFill="1" applyBorder="1"/>
    <xf numFmtId="0" fontId="4" fillId="0" borderId="19" xfId="0" applyFont="1" applyFill="1" applyBorder="1" applyAlignment="1">
      <alignment horizontal="left" indent="1"/>
    </xf>
    <xf numFmtId="7" fontId="21" fillId="0" borderId="0" xfId="0" applyNumberFormat="1" applyFont="1" applyFill="1" applyBorder="1"/>
    <xf numFmtId="165" fontId="3" fillId="0" borderId="0" xfId="12" applyNumberFormat="1" applyFont="1" applyFill="1" applyBorder="1" applyAlignment="1">
      <alignment horizontal="right"/>
    </xf>
    <xf numFmtId="0" fontId="4" fillId="20" borderId="0" xfId="0" applyFont="1" applyFill="1" applyBorder="1" applyAlignment="1">
      <alignment horizontal="right"/>
    </xf>
    <xf numFmtId="43" fontId="3" fillId="20" borderId="0" xfId="8" applyFont="1" applyFill="1" applyBorder="1"/>
    <xf numFmtId="9" fontId="5" fillId="20" borderId="0" xfId="12" applyNumberFormat="1" applyFont="1" applyFill="1" applyBorder="1"/>
    <xf numFmtId="9" fontId="5" fillId="20" borderId="0" xfId="0" applyNumberFormat="1" applyFont="1" applyFill="1" applyBorder="1"/>
    <xf numFmtId="3" fontId="25" fillId="20" borderId="0" xfId="0" applyNumberFormat="1" applyFont="1" applyFill="1" applyBorder="1"/>
    <xf numFmtId="164" fontId="4" fillId="20" borderId="0" xfId="8" applyNumberFormat="1" applyFont="1" applyFill="1" applyBorder="1" applyAlignment="1">
      <alignment horizontal="right"/>
    </xf>
    <xf numFmtId="0" fontId="5" fillId="20" borderId="0" xfId="0" applyFont="1" applyFill="1" applyBorder="1"/>
    <xf numFmtId="3" fontId="3" fillId="0" borderId="0" xfId="0" applyNumberFormat="1" applyFont="1" applyFill="1" applyBorder="1" applyAlignment="1">
      <alignment horizontal="left" indent="3"/>
    </xf>
    <xf numFmtId="3" fontId="4" fillId="0" borderId="0" xfId="0" applyNumberFormat="1" applyFont="1" applyFill="1" applyBorder="1" applyAlignment="1">
      <alignment horizontal="left" indent="1"/>
    </xf>
    <xf numFmtId="172" fontId="3" fillId="0" borderId="0" xfId="12" applyNumberFormat="1" applyFont="1" applyFill="1" applyBorder="1"/>
    <xf numFmtId="0" fontId="19" fillId="20" borderId="4" xfId="0" applyFont="1" applyFill="1" applyBorder="1"/>
    <xf numFmtId="0" fontId="4" fillId="20" borderId="4" xfId="0" applyFont="1" applyFill="1" applyBorder="1" applyAlignment="1">
      <alignment horizontal="center"/>
    </xf>
    <xf numFmtId="0" fontId="19" fillId="6" borderId="7" xfId="0" applyFont="1" applyFill="1" applyBorder="1" applyAlignment="1">
      <alignment horizontal="center"/>
    </xf>
    <xf numFmtId="171" fontId="19" fillId="0" borderId="22" xfId="0" applyNumberFormat="1" applyFont="1" applyBorder="1"/>
    <xf numFmtId="0" fontId="19" fillId="0" borderId="21" xfId="0" applyFont="1" applyBorder="1"/>
    <xf numFmtId="0" fontId="19" fillId="0" borderId="22" xfId="0" applyFont="1" applyBorder="1"/>
    <xf numFmtId="37" fontId="19" fillId="0" borderId="22" xfId="0" applyNumberFormat="1" applyFont="1" applyBorder="1"/>
    <xf numFmtId="9" fontId="19" fillId="0" borderId="22" xfId="0" applyNumberFormat="1" applyFont="1" applyBorder="1"/>
    <xf numFmtId="0" fontId="19" fillId="0" borderId="23" xfId="0" applyFont="1" applyBorder="1"/>
    <xf numFmtId="170" fontId="19" fillId="0" borderId="12" xfId="0" applyNumberFormat="1" applyFont="1" applyBorder="1"/>
    <xf numFmtId="0" fontId="20" fillId="0" borderId="24" xfId="0" applyFont="1" applyBorder="1"/>
    <xf numFmtId="171" fontId="20" fillId="0" borderId="25" xfId="0" applyNumberFormat="1" applyFont="1" applyBorder="1"/>
    <xf numFmtId="0" fontId="19" fillId="0" borderId="20" xfId="0" applyFont="1" applyBorder="1"/>
    <xf numFmtId="0" fontId="19" fillId="20" borderId="20" xfId="0" applyFont="1" applyFill="1" applyBorder="1"/>
    <xf numFmtId="171" fontId="19" fillId="20" borderId="13" xfId="0" applyNumberFormat="1" applyFont="1" applyFill="1" applyBorder="1"/>
    <xf numFmtId="0" fontId="20" fillId="20" borderId="23" xfId="0" applyFont="1" applyFill="1" applyBorder="1"/>
    <xf numFmtId="171" fontId="20" fillId="20" borderId="12" xfId="0" applyNumberFormat="1" applyFont="1" applyFill="1" applyBorder="1"/>
    <xf numFmtId="9" fontId="19" fillId="0" borderId="13" xfId="0" applyNumberFormat="1" applyFont="1" applyBorder="1"/>
    <xf numFmtId="0" fontId="28" fillId="0" borderId="20" xfId="0" applyFont="1" applyBorder="1" applyAlignment="1">
      <alignment horizontal="left" indent="1"/>
    </xf>
    <xf numFmtId="171" fontId="28" fillId="0" borderId="13" xfId="0" applyNumberFormat="1" applyFont="1" applyBorder="1"/>
    <xf numFmtId="0" fontId="28" fillId="0" borderId="21" xfId="0" applyFont="1" applyBorder="1" applyAlignment="1">
      <alignment horizontal="left" indent="1"/>
    </xf>
    <xf numFmtId="171" fontId="28" fillId="0" borderId="22" xfId="0" applyNumberFormat="1" applyFont="1" applyBorder="1"/>
    <xf numFmtId="0" fontId="20" fillId="20" borderId="4" xfId="0" applyFont="1" applyFill="1" applyBorder="1"/>
    <xf numFmtId="37" fontId="21" fillId="20" borderId="0" xfId="0" applyNumberFormat="1" applyFont="1" applyFill="1" applyBorder="1"/>
    <xf numFmtId="37" fontId="3" fillId="20" borderId="0" xfId="12" applyNumberFormat="1" applyFont="1" applyFill="1" applyBorder="1"/>
    <xf numFmtId="0" fontId="19" fillId="0" borderId="5" xfId="0" applyFont="1" applyBorder="1"/>
    <xf numFmtId="3" fontId="34" fillId="0" borderId="0" xfId="0" applyNumberFormat="1" applyFont="1" applyFill="1" applyBorder="1"/>
    <xf numFmtId="3" fontId="30" fillId="0" borderId="0" xfId="8" applyNumberFormat="1" applyFont="1" applyFill="1" applyBorder="1"/>
    <xf numFmtId="3" fontId="30" fillId="0" borderId="0" xfId="0" applyNumberFormat="1" applyFont="1" applyFill="1" applyBorder="1"/>
    <xf numFmtId="164" fontId="3" fillId="21" borderId="0" xfId="0" applyNumberFormat="1" applyFont="1" applyFill="1" applyBorder="1"/>
    <xf numFmtId="9" fontId="27" fillId="16" borderId="0" xfId="0" applyNumberFormat="1" applyFont="1" applyFill="1"/>
    <xf numFmtId="0" fontId="27" fillId="16" borderId="0" xfId="0" applyFont="1" applyFill="1" applyAlignment="1">
      <alignment horizontal="center"/>
    </xf>
    <xf numFmtId="9" fontId="28" fillId="16" borderId="0" xfId="0" applyNumberFormat="1" applyFont="1" applyFill="1"/>
    <xf numFmtId="0" fontId="28" fillId="16" borderId="0" xfId="0" applyFont="1" applyFill="1"/>
    <xf numFmtId="0" fontId="28" fillId="16" borderId="0" xfId="0" applyFont="1" applyFill="1" applyAlignment="1">
      <alignment horizontal="left" indent="1"/>
    </xf>
    <xf numFmtId="9" fontId="35" fillId="16" borderId="0" xfId="0" applyNumberFormat="1" applyFont="1" applyFill="1"/>
    <xf numFmtId="9" fontId="5" fillId="0" borderId="0" xfId="12" applyNumberFormat="1" applyFont="1"/>
    <xf numFmtId="0" fontId="37" fillId="0" borderId="0" xfId="17" applyFont="1"/>
    <xf numFmtId="0" fontId="38" fillId="17" borderId="0" xfId="17" applyFont="1" applyFill="1"/>
    <xf numFmtId="3" fontId="39" fillId="0" borderId="0" xfId="17" applyNumberFormat="1" applyFont="1"/>
    <xf numFmtId="165" fontId="28" fillId="0" borderId="0" xfId="18" applyNumberFormat="1" applyFont="1"/>
    <xf numFmtId="0" fontId="38" fillId="0" borderId="0" xfId="17" applyFont="1" applyAlignment="1">
      <alignment horizontal="left"/>
    </xf>
    <xf numFmtId="3" fontId="38" fillId="0" borderId="0" xfId="17" applyNumberFormat="1" applyFont="1"/>
    <xf numFmtId="3" fontId="37" fillId="0" borderId="0" xfId="17" applyNumberFormat="1" applyFont="1"/>
    <xf numFmtId="0" fontId="40" fillId="0" borderId="0" xfId="17" applyFont="1"/>
    <xf numFmtId="9" fontId="42" fillId="0" borderId="0" xfId="19" applyFont="1"/>
    <xf numFmtId="9" fontId="43" fillId="0" borderId="0" xfId="19" applyFont="1"/>
    <xf numFmtId="9" fontId="41" fillId="0" borderId="0" xfId="19" applyFont="1"/>
    <xf numFmtId="9" fontId="39" fillId="11" borderId="0" xfId="17" applyNumberFormat="1" applyFont="1" applyFill="1"/>
    <xf numFmtId="3" fontId="37" fillId="0" borderId="0" xfId="17" applyNumberFormat="1" applyFont="1" applyAlignment="1">
      <alignment wrapText="1"/>
    </xf>
    <xf numFmtId="10" fontId="40" fillId="0" borderId="0" xfId="19" applyNumberFormat="1" applyFont="1"/>
    <xf numFmtId="0" fontId="38" fillId="0" borderId="8" xfId="17" applyFont="1" applyBorder="1"/>
    <xf numFmtId="0" fontId="40" fillId="0" borderId="17" xfId="17" applyFont="1" applyBorder="1" applyAlignment="1">
      <alignment horizontal="left" indent="2"/>
    </xf>
    <xf numFmtId="0" fontId="37" fillId="0" borderId="14" xfId="17" applyFont="1" applyBorder="1"/>
    <xf numFmtId="9" fontId="40" fillId="0" borderId="14" xfId="17" applyNumberFormat="1" applyFont="1" applyBorder="1"/>
    <xf numFmtId="171" fontId="37" fillId="0" borderId="0" xfId="17" applyNumberFormat="1" applyFont="1"/>
    <xf numFmtId="3" fontId="19" fillId="0" borderId="5" xfId="0" applyNumberFormat="1" applyFont="1" applyBorder="1"/>
    <xf numFmtId="0" fontId="20" fillId="0" borderId="5" xfId="0" applyFont="1" applyBorder="1"/>
    <xf numFmtId="3" fontId="20" fillId="0" borderId="5" xfId="0" applyNumberFormat="1" applyFont="1" applyBorder="1"/>
    <xf numFmtId="171" fontId="20" fillId="0" borderId="5" xfId="0" applyNumberFormat="1" applyFont="1" applyBorder="1"/>
    <xf numFmtId="0" fontId="40" fillId="0" borderId="0" xfId="17" applyFont="1" applyAlignment="1">
      <alignment horizontal="left" indent="1"/>
    </xf>
    <xf numFmtId="3" fontId="40" fillId="0" borderId="0" xfId="17" applyNumberFormat="1" applyFont="1"/>
    <xf numFmtId="3" fontId="38" fillId="0" borderId="5" xfId="17" applyNumberFormat="1" applyFont="1" applyBorder="1"/>
    <xf numFmtId="184" fontId="4" fillId="20" borderId="5" xfId="0" applyNumberFormat="1" applyFont="1" applyFill="1" applyBorder="1"/>
    <xf numFmtId="9" fontId="5" fillId="0" borderId="0" xfId="12" applyNumberFormat="1" applyFont="1" applyFill="1" applyBorder="1"/>
    <xf numFmtId="3" fontId="23" fillId="11" borderId="0" xfId="13" applyNumberFormat="1" applyFont="1" applyFill="1" applyBorder="1" applyAlignment="1">
      <alignment horizontal="right"/>
    </xf>
    <xf numFmtId="4" fontId="23" fillId="11" borderId="0" xfId="13" applyNumberFormat="1" applyFont="1" applyFill="1" applyBorder="1" applyAlignment="1">
      <alignment horizontal="right"/>
    </xf>
    <xf numFmtId="183" fontId="3" fillId="0" borderId="0" xfId="0" applyNumberFormat="1" applyFont="1" applyFill="1" applyBorder="1"/>
    <xf numFmtId="183" fontId="3" fillId="9" borderId="0" xfId="0" applyNumberFormat="1" applyFont="1" applyFill="1" applyBorder="1" applyAlignment="1">
      <alignment horizontal="right"/>
    </xf>
    <xf numFmtId="183" fontId="3" fillId="0" borderId="0" xfId="0" applyNumberFormat="1" applyFont="1" applyFill="1" applyBorder="1" applyAlignment="1">
      <alignment horizontal="right"/>
    </xf>
    <xf numFmtId="183" fontId="3" fillId="20" borderId="0" xfId="0" applyNumberFormat="1" applyFont="1" applyFill="1" applyBorder="1" applyAlignment="1">
      <alignment horizontal="right"/>
    </xf>
    <xf numFmtId="3" fontId="3" fillId="11" borderId="0" xfId="12" applyNumberFormat="1" applyFont="1" applyFill="1" applyBorder="1"/>
    <xf numFmtId="9" fontId="26" fillId="21" borderId="0" xfId="12" applyFont="1" applyFill="1" applyBorder="1"/>
    <xf numFmtId="37" fontId="26" fillId="21" borderId="0" xfId="0" applyNumberFormat="1" applyFont="1" applyFill="1" applyBorder="1"/>
    <xf numFmtId="172" fontId="3" fillId="20" borderId="0" xfId="0" applyNumberFormat="1" applyFont="1" applyFill="1" applyBorder="1"/>
    <xf numFmtId="172" fontId="21" fillId="20" borderId="0" xfId="0" applyNumberFormat="1" applyFont="1" applyFill="1" applyBorder="1"/>
    <xf numFmtId="172" fontId="19" fillId="0" borderId="0" xfId="0" applyNumberFormat="1" applyFont="1"/>
    <xf numFmtId="9" fontId="3" fillId="20" borderId="0" xfId="0" applyNumberFormat="1" applyFont="1" applyFill="1" applyBorder="1"/>
    <xf numFmtId="0" fontId="4" fillId="0" borderId="0" xfId="0" applyFont="1" applyFill="1" applyBorder="1" applyAlignment="1">
      <alignment horizontal="right"/>
    </xf>
    <xf numFmtId="0" fontId="37" fillId="20" borderId="0" xfId="17" applyFont="1" applyFill="1" applyBorder="1"/>
    <xf numFmtId="9" fontId="28" fillId="21" borderId="0" xfId="0" applyNumberFormat="1" applyFont="1" applyFill="1"/>
    <xf numFmtId="9" fontId="19" fillId="21" borderId="0" xfId="0" applyNumberFormat="1" applyFont="1" applyFill="1"/>
    <xf numFmtId="165" fontId="21" fillId="0" borderId="0" xfId="0" applyNumberFormat="1" applyFont="1" applyFill="1" applyBorder="1"/>
    <xf numFmtId="165" fontId="20" fillId="17" borderId="0" xfId="0" applyNumberFormat="1" applyFont="1" applyFill="1"/>
    <xf numFmtId="9" fontId="3" fillId="16" borderId="0" xfId="10" applyNumberFormat="1" applyFont="1" applyFill="1"/>
    <xf numFmtId="3" fontId="3" fillId="0" borderId="0" xfId="0" quotePrefix="1" applyNumberFormat="1" applyFont="1" applyFill="1" applyBorder="1" applyAlignment="1">
      <alignment horizontal="right"/>
    </xf>
    <xf numFmtId="4" fontId="4" fillId="20" borderId="5" xfId="0" applyNumberFormat="1" applyFont="1" applyFill="1" applyBorder="1"/>
    <xf numFmtId="4" fontId="4" fillId="0" borderId="5" xfId="0" applyNumberFormat="1" applyFont="1" applyFill="1" applyBorder="1"/>
    <xf numFmtId="164" fontId="21" fillId="20" borderId="0" xfId="0" applyNumberFormat="1" applyFont="1" applyFill="1" applyBorder="1"/>
    <xf numFmtId="192" fontId="4" fillId="0" borderId="0" xfId="0" applyNumberFormat="1" applyFont="1" applyFill="1" applyBorder="1" applyAlignment="1">
      <alignment horizontal="right"/>
    </xf>
    <xf numFmtId="37" fontId="21" fillId="0" borderId="0" xfId="0" applyNumberFormat="1" applyFont="1" applyFill="1" applyBorder="1"/>
    <xf numFmtId="0" fontId="20" fillId="15" borderId="0" xfId="0" applyNumberFormat="1" applyFont="1" applyFill="1"/>
    <xf numFmtId="165" fontId="3" fillId="16" borderId="0" xfId="10" applyNumberFormat="1" applyFont="1" applyFill="1"/>
    <xf numFmtId="4" fontId="3" fillId="0" borderId="0" xfId="0" applyNumberFormat="1" applyFont="1" applyFill="1" applyBorder="1"/>
    <xf numFmtId="3" fontId="28" fillId="0" borderId="0" xfId="0" applyNumberFormat="1" applyFont="1"/>
    <xf numFmtId="193" fontId="19" fillId="0" borderId="0" xfId="8" applyNumberFormat="1" applyFont="1"/>
    <xf numFmtId="0" fontId="27" fillId="23" borderId="0" xfId="0" applyFont="1" applyFill="1" applyBorder="1"/>
    <xf numFmtId="3" fontId="27" fillId="23" borderId="2" xfId="0" applyNumberFormat="1" applyFont="1" applyFill="1" applyBorder="1"/>
    <xf numFmtId="0" fontId="27" fillId="23" borderId="2" xfId="0" applyFont="1" applyFill="1" applyBorder="1"/>
    <xf numFmtId="9" fontId="4" fillId="0" borderId="0" xfId="12" applyFont="1" applyFill="1" applyBorder="1"/>
    <xf numFmtId="0" fontId="30" fillId="0" borderId="0" xfId="0" applyFont="1" applyFill="1"/>
    <xf numFmtId="9" fontId="19" fillId="0" borderId="0" xfId="12" applyNumberFormat="1" applyFont="1"/>
    <xf numFmtId="9" fontId="19" fillId="15" borderId="0" xfId="12" applyNumberFormat="1" applyFont="1" applyFill="1"/>
    <xf numFmtId="9" fontId="19" fillId="17" borderId="2" xfId="0" applyNumberFormat="1" applyFont="1" applyFill="1" applyBorder="1"/>
    <xf numFmtId="9" fontId="19" fillId="18" borderId="2" xfId="0" applyNumberFormat="1" applyFont="1" applyFill="1" applyBorder="1"/>
    <xf numFmtId="9" fontId="31" fillId="17" borderId="0" xfId="0" applyNumberFormat="1" applyFont="1" applyFill="1"/>
    <xf numFmtId="9" fontId="30" fillId="0" borderId="0" xfId="0" applyNumberFormat="1" applyFont="1"/>
    <xf numFmtId="9" fontId="27" fillId="17" borderId="0" xfId="0" applyNumberFormat="1" applyFont="1" applyFill="1"/>
    <xf numFmtId="171" fontId="19" fillId="16" borderId="0" xfId="12" applyNumberFormat="1" applyFont="1" applyFill="1"/>
    <xf numFmtId="171" fontId="21" fillId="16" borderId="0" xfId="12" applyNumberFormat="1" applyFont="1" applyFill="1"/>
    <xf numFmtId="0" fontId="30" fillId="23" borderId="26" xfId="0" applyFont="1" applyFill="1" applyBorder="1"/>
    <xf numFmtId="0" fontId="4" fillId="0" borderId="19" xfId="0" applyFont="1" applyFill="1" applyBorder="1"/>
    <xf numFmtId="9" fontId="3" fillId="16" borderId="0" xfId="12" applyNumberFormat="1" applyFont="1" applyFill="1"/>
    <xf numFmtId="1" fontId="3" fillId="20" borderId="0" xfId="0" applyNumberFormat="1" applyFont="1" applyFill="1" applyBorder="1"/>
    <xf numFmtId="39" fontId="4" fillId="0" borderId="0" xfId="0" applyNumberFormat="1" applyFont="1" applyFill="1" applyBorder="1"/>
    <xf numFmtId="184" fontId="3" fillId="20" borderId="0" xfId="12" applyNumberFormat="1" applyFont="1" applyFill="1" applyBorder="1"/>
    <xf numFmtId="0" fontId="4" fillId="0" borderId="0" xfId="0" applyFont="1" applyFill="1" applyBorder="1" applyAlignment="1">
      <alignment horizontal="right"/>
    </xf>
    <xf numFmtId="172" fontId="4" fillId="0" borderId="5" xfId="0" applyNumberFormat="1" applyFont="1" applyFill="1" applyBorder="1"/>
    <xf numFmtId="1" fontId="25" fillId="20" borderId="0" xfId="0" applyNumberFormat="1" applyFont="1" applyFill="1" applyBorder="1" applyAlignment="1">
      <alignment horizontal="right"/>
    </xf>
    <xf numFmtId="1" fontId="21" fillId="20" borderId="0" xfId="0" applyNumberFormat="1" applyFont="1" applyFill="1" applyBorder="1"/>
    <xf numFmtId="194" fontId="3" fillId="0" borderId="0" xfId="0" applyNumberFormat="1" applyFont="1" applyFill="1" applyBorder="1"/>
    <xf numFmtId="172" fontId="4" fillId="20" borderId="0" xfId="0" applyNumberFormat="1" applyFont="1" applyFill="1" applyBorder="1"/>
    <xf numFmtId="172" fontId="4" fillId="20" borderId="4" xfId="0" applyNumberFormat="1" applyFont="1" applyFill="1" applyBorder="1"/>
    <xf numFmtId="39" fontId="21" fillId="20" borderId="0" xfId="0" applyNumberFormat="1" applyFont="1" applyFill="1" applyBorder="1"/>
    <xf numFmtId="9" fontId="3" fillId="0" borderId="0" xfId="12" applyNumberFormat="1" applyFont="1" applyFill="1" applyBorder="1" applyAlignment="1">
      <alignment horizontal="right"/>
    </xf>
    <xf numFmtId="9" fontId="26" fillId="4" borderId="0" xfId="0" applyNumberFormat="1" applyFont="1" applyFill="1" applyBorder="1"/>
    <xf numFmtId="0" fontId="5" fillId="0" borderId="0" xfId="0" applyFont="1" applyFill="1" applyBorder="1"/>
    <xf numFmtId="165" fontId="21" fillId="16" borderId="0" xfId="0" applyNumberFormat="1" applyFont="1" applyFill="1"/>
    <xf numFmtId="6" fontId="19" fillId="0" borderId="0" xfId="0" applyNumberFormat="1" applyFont="1"/>
    <xf numFmtId="171" fontId="19" fillId="0" borderId="0" xfId="0" applyNumberFormat="1" applyFont="1"/>
    <xf numFmtId="166" fontId="4" fillId="20" borderId="0" xfId="0" applyNumberFormat="1" applyFont="1" applyFill="1" applyBorder="1"/>
    <xf numFmtId="7" fontId="4" fillId="20" borderId="0" xfId="0" applyNumberFormat="1" applyFont="1" applyFill="1" applyBorder="1"/>
    <xf numFmtId="165" fontId="3" fillId="20" borderId="0" xfId="12" applyNumberFormat="1" applyFont="1" applyFill="1" applyBorder="1"/>
    <xf numFmtId="9" fontId="21" fillId="20" borderId="0" xfId="12" applyFont="1" applyFill="1" applyBorder="1"/>
    <xf numFmtId="10" fontId="28" fillId="0" borderId="0" xfId="0" applyNumberFormat="1" applyFont="1"/>
    <xf numFmtId="10" fontId="32" fillId="0" borderId="0" xfId="0" applyNumberFormat="1" applyFont="1"/>
    <xf numFmtId="195" fontId="0" fillId="0" borderId="0" xfId="0" applyNumberFormat="1"/>
    <xf numFmtId="1" fontId="28" fillId="0" borderId="0" xfId="0" applyNumberFormat="1" applyFont="1"/>
    <xf numFmtId="18" fontId="37" fillId="0" borderId="0" xfId="17" applyNumberFormat="1" applyFont="1" applyAlignment="1">
      <alignment horizontal="left" indent="1"/>
    </xf>
    <xf numFmtId="3" fontId="0" fillId="0" borderId="0" xfId="0" applyNumberFormat="1"/>
    <xf numFmtId="3" fontId="19" fillId="0" borderId="0" xfId="17" applyNumberFormat="1" applyFont="1"/>
    <xf numFmtId="18" fontId="37" fillId="0" borderId="14" xfId="17" applyNumberFormat="1" applyFont="1" applyBorder="1" applyAlignment="1">
      <alignment horizontal="left" indent="1"/>
    </xf>
    <xf numFmtId="0" fontId="0" fillId="0" borderId="14" xfId="0" applyBorder="1"/>
    <xf numFmtId="3" fontId="19" fillId="0" borderId="14" xfId="0" applyNumberFormat="1" applyFont="1" applyBorder="1"/>
    <xf numFmtId="18" fontId="37" fillId="0" borderId="0" xfId="17" applyNumberFormat="1" applyFont="1" applyBorder="1" applyAlignment="1">
      <alignment horizontal="left" indent="1"/>
    </xf>
    <xf numFmtId="0" fontId="0" fillId="0" borderId="0" xfId="0" applyBorder="1"/>
    <xf numFmtId="3" fontId="19" fillId="0" borderId="0" xfId="0" applyNumberFormat="1" applyFont="1" applyBorder="1"/>
    <xf numFmtId="9" fontId="42" fillId="0" borderId="0" xfId="19" applyFont="1" applyBorder="1"/>
    <xf numFmtId="9" fontId="43" fillId="0" borderId="0" xfId="19" applyFont="1" applyBorder="1"/>
    <xf numFmtId="18" fontId="37" fillId="0" borderId="0" xfId="17" applyNumberFormat="1" applyFont="1" applyFill="1" applyBorder="1" applyAlignment="1">
      <alignment horizontal="left" indent="1"/>
    </xf>
    <xf numFmtId="18" fontId="37" fillId="0" borderId="0" xfId="17" applyNumberFormat="1" applyFont="1" applyFill="1" applyBorder="1" applyAlignment="1">
      <alignment horizontal="left" indent="2"/>
    </xf>
    <xf numFmtId="9" fontId="19" fillId="0" borderId="0" xfId="0" applyNumberFormat="1" applyFont="1" applyBorder="1"/>
    <xf numFmtId="3" fontId="21" fillId="0" borderId="0" xfId="0" applyNumberFormat="1" applyFont="1" applyBorder="1"/>
    <xf numFmtId="9" fontId="21" fillId="0" borderId="0" xfId="0" applyNumberFormat="1" applyFont="1" applyBorder="1"/>
    <xf numFmtId="171" fontId="19" fillId="0" borderId="0" xfId="0" applyNumberFormat="1" applyFont="1" applyBorder="1"/>
    <xf numFmtId="18" fontId="38" fillId="0" borderId="0" xfId="17" applyNumberFormat="1" applyFont="1" applyBorder="1" applyAlignment="1">
      <alignment horizontal="left" indent="1"/>
    </xf>
    <xf numFmtId="0" fontId="46" fillId="0" borderId="0" xfId="0" applyFont="1" applyBorder="1"/>
    <xf numFmtId="3" fontId="20" fillId="0" borderId="0" xfId="0" applyNumberFormat="1" applyFont="1" applyBorder="1"/>
    <xf numFmtId="171" fontId="20" fillId="0" borderId="0" xfId="0" applyNumberFormat="1" applyFont="1" applyBorder="1"/>
    <xf numFmtId="18" fontId="38" fillId="0" borderId="0" xfId="17" applyNumberFormat="1" applyFont="1" applyBorder="1" applyAlignment="1">
      <alignment horizontal="left"/>
    </xf>
    <xf numFmtId="18" fontId="37" fillId="0" borderId="0" xfId="17" applyNumberFormat="1" applyFont="1" applyBorder="1" applyAlignment="1">
      <alignment horizontal="left"/>
    </xf>
    <xf numFmtId="3" fontId="0" fillId="0" borderId="0" xfId="0" applyNumberFormat="1" applyBorder="1"/>
    <xf numFmtId="3" fontId="0" fillId="0" borderId="0" xfId="0" applyNumberFormat="1" applyFill="1" applyBorder="1"/>
    <xf numFmtId="165" fontId="19" fillId="0" borderId="0" xfId="0" applyNumberFormat="1" applyFont="1" applyBorder="1"/>
    <xf numFmtId="3" fontId="0" fillId="0" borderId="0" xfId="0" applyNumberFormat="1" applyBorder="1" applyAlignment="1">
      <alignment wrapText="1"/>
    </xf>
    <xf numFmtId="10" fontId="0" fillId="0" borderId="0" xfId="0" applyNumberFormat="1" applyBorder="1"/>
    <xf numFmtId="10" fontId="47" fillId="0" borderId="0" xfId="0" applyNumberFormat="1" applyFont="1" applyBorder="1"/>
    <xf numFmtId="10" fontId="19" fillId="0" borderId="0" xfId="0" applyNumberFormat="1" applyFont="1" applyBorder="1"/>
    <xf numFmtId="10" fontId="42" fillId="0" borderId="0" xfId="19" applyNumberFormat="1" applyFont="1"/>
    <xf numFmtId="171" fontId="0" fillId="0" borderId="0" xfId="0" applyNumberFormat="1"/>
    <xf numFmtId="18" fontId="38" fillId="0" borderId="0" xfId="17" applyNumberFormat="1" applyFont="1" applyFill="1" applyBorder="1" applyAlignment="1">
      <alignment horizontal="left" indent="1"/>
    </xf>
    <xf numFmtId="171" fontId="46" fillId="0" borderId="0" xfId="0" applyNumberFormat="1" applyFont="1"/>
    <xf numFmtId="0" fontId="48" fillId="0" borderId="0" xfId="0" applyFont="1"/>
    <xf numFmtId="3" fontId="48" fillId="0" borderId="0" xfId="0" applyNumberFormat="1" applyFont="1"/>
    <xf numFmtId="3" fontId="49" fillId="0" borderId="0" xfId="0" applyNumberFormat="1" applyFont="1" applyBorder="1"/>
    <xf numFmtId="3" fontId="50" fillId="0" borderId="0" xfId="0" applyNumberFormat="1" applyFont="1" applyBorder="1"/>
    <xf numFmtId="9" fontId="49" fillId="0" borderId="0" xfId="0" applyNumberFormat="1" applyFont="1" applyBorder="1"/>
    <xf numFmtId="0" fontId="38" fillId="20" borderId="26" xfId="17" applyFont="1" applyFill="1" applyBorder="1"/>
    <xf numFmtId="0" fontId="37" fillId="20" borderId="26" xfId="17" applyFont="1" applyFill="1" applyBorder="1"/>
    <xf numFmtId="0" fontId="38" fillId="9" borderId="26" xfId="17" applyFont="1" applyFill="1" applyBorder="1"/>
    <xf numFmtId="9" fontId="41" fillId="0" borderId="0" xfId="19" applyNumberFormat="1" applyFont="1"/>
    <xf numFmtId="9" fontId="0" fillId="0" borderId="0" xfId="0" applyNumberFormat="1"/>
    <xf numFmtId="165" fontId="41" fillId="0" borderId="0" xfId="19" applyNumberFormat="1" applyFont="1"/>
    <xf numFmtId="0" fontId="37" fillId="0" borderId="26" xfId="17" applyFont="1" applyBorder="1"/>
    <xf numFmtId="171" fontId="38" fillId="0" borderId="26" xfId="17" applyNumberFormat="1" applyFont="1" applyBorder="1"/>
    <xf numFmtId="9" fontId="40" fillId="0" borderId="0" xfId="18" applyFont="1"/>
    <xf numFmtId="0" fontId="4" fillId="0" borderId="14" xfId="0" applyFont="1" applyFill="1" applyBorder="1"/>
    <xf numFmtId="0" fontId="30" fillId="0" borderId="0" xfId="0" applyFont="1" applyFill="1" applyBorder="1" applyAlignment="1">
      <alignment horizontal="left" indent="1"/>
    </xf>
    <xf numFmtId="0" fontId="21" fillId="0" borderId="0" xfId="0" applyFont="1" applyFill="1" applyBorder="1"/>
    <xf numFmtId="5" fontId="3" fillId="20" borderId="0" xfId="0" applyNumberFormat="1" applyFont="1" applyFill="1" applyBorder="1" applyAlignment="1">
      <alignment horizontal="right"/>
    </xf>
    <xf numFmtId="37" fontId="3" fillId="20" borderId="0" xfId="0" applyNumberFormat="1" applyFont="1" applyFill="1" applyBorder="1" applyAlignment="1">
      <alignment horizontal="right"/>
    </xf>
    <xf numFmtId="3" fontId="27" fillId="0" borderId="0" xfId="0" applyNumberFormat="1" applyFont="1" applyFill="1" applyBorder="1"/>
    <xf numFmtId="3" fontId="3" fillId="0" borderId="18" xfId="0" applyNumberFormat="1" applyFont="1" applyFill="1" applyBorder="1"/>
    <xf numFmtId="193" fontId="3" fillId="0" borderId="0" xfId="8" applyNumberFormat="1" applyFont="1" applyFill="1" applyBorder="1"/>
    <xf numFmtId="170" fontId="21" fillId="0" borderId="0" xfId="0" applyNumberFormat="1" applyFont="1" applyFill="1" applyBorder="1"/>
    <xf numFmtId="9" fontId="4" fillId="17" borderId="0" xfId="0" applyNumberFormat="1" applyFont="1" applyFill="1"/>
    <xf numFmtId="9" fontId="19" fillId="16" borderId="0" xfId="10" applyNumberFormat="1" applyFont="1" applyFill="1"/>
    <xf numFmtId="165" fontId="3" fillId="20" borderId="0" xfId="12" applyNumberFormat="1" applyFont="1" applyFill="1" applyBorder="1" applyAlignment="1">
      <alignment horizontal="right"/>
    </xf>
    <xf numFmtId="10" fontId="3" fillId="0" borderId="0" xfId="12" applyNumberFormat="1" applyFont="1" applyFill="1" applyBorder="1"/>
    <xf numFmtId="9" fontId="3" fillId="20" borderId="0" xfId="12" applyNumberFormat="1" applyFont="1" applyFill="1" applyBorder="1" applyAlignment="1">
      <alignment horizontal="right"/>
    </xf>
    <xf numFmtId="196" fontId="28" fillId="0" borderId="0" xfId="12" applyNumberFormat="1" applyFont="1"/>
    <xf numFmtId="3" fontId="21" fillId="0" borderId="0" xfId="0" applyNumberFormat="1" applyFont="1" applyFill="1" applyBorder="1" applyAlignment="1">
      <alignment horizontal="right"/>
    </xf>
    <xf numFmtId="0" fontId="51" fillId="16" borderId="0" xfId="0" applyFont="1" applyFill="1" applyBorder="1"/>
    <xf numFmtId="39" fontId="3" fillId="0" borderId="0" xfId="0" applyNumberFormat="1" applyFont="1" applyFill="1" applyBorder="1"/>
    <xf numFmtId="3" fontId="30" fillId="20" borderId="0" xfId="0" applyNumberFormat="1" applyFont="1" applyFill="1" applyBorder="1"/>
    <xf numFmtId="39" fontId="4" fillId="20" borderId="0" xfId="0" applyNumberFormat="1" applyFont="1" applyFill="1" applyBorder="1"/>
    <xf numFmtId="1" fontId="4" fillId="0" borderId="19" xfId="0" applyNumberFormat="1" applyFont="1" applyFill="1" applyBorder="1"/>
    <xf numFmtId="3" fontId="3" fillId="23" borderId="0" xfId="12" applyNumberFormat="1" applyFont="1" applyFill="1" applyBorder="1" applyAlignment="1">
      <alignment horizontal="left" indent="1"/>
    </xf>
    <xf numFmtId="3" fontId="3" fillId="23" borderId="0" xfId="12" applyNumberFormat="1" applyFont="1" applyFill="1" applyBorder="1"/>
    <xf numFmtId="0" fontId="52" fillId="0" borderId="0" xfId="0" applyFont="1" applyFill="1" applyBorder="1"/>
    <xf numFmtId="197" fontId="52" fillId="0" borderId="0" xfId="31" applyNumberFormat="1" applyFont="1"/>
    <xf numFmtId="39" fontId="3" fillId="20" borderId="0" xfId="0" applyNumberFormat="1" applyFont="1" applyFill="1" applyBorder="1"/>
    <xf numFmtId="164" fontId="3" fillId="20" borderId="0" xfId="0" applyNumberFormat="1" applyFont="1" applyFill="1" applyBorder="1" applyAlignment="1">
      <alignment horizontal="right"/>
    </xf>
    <xf numFmtId="9" fontId="21" fillId="20" borderId="0" xfId="12" applyFont="1" applyFill="1" applyBorder="1" applyAlignment="1">
      <alignment horizontal="right"/>
    </xf>
    <xf numFmtId="9" fontId="32" fillId="20" borderId="0" xfId="12" applyFont="1" applyFill="1" applyBorder="1"/>
    <xf numFmtId="0" fontId="3" fillId="0" borderId="0" xfId="31"/>
    <xf numFmtId="4" fontId="3" fillId="20" borderId="0" xfId="12" applyNumberFormat="1" applyFont="1" applyFill="1" applyBorder="1"/>
    <xf numFmtId="3" fontId="22" fillId="0" borderId="0" xfId="0" quotePrefix="1" applyNumberFormat="1" applyFont="1" applyFill="1" applyBorder="1" applyAlignment="1">
      <alignment horizontal="right"/>
    </xf>
    <xf numFmtId="3" fontId="25" fillId="0" borderId="19" xfId="0" applyNumberFormat="1" applyFont="1" applyFill="1" applyBorder="1"/>
    <xf numFmtId="3" fontId="3" fillId="24" borderId="0" xfId="0" applyNumberFormat="1" applyFont="1" applyFill="1" applyBorder="1"/>
    <xf numFmtId="3" fontId="19" fillId="0" borderId="0" xfId="0" applyNumberFormat="1" applyFont="1" applyFill="1" applyBorder="1"/>
    <xf numFmtId="3" fontId="19" fillId="0" borderId="2" xfId="0" applyNumberFormat="1" applyFont="1" applyFill="1" applyBorder="1"/>
    <xf numFmtId="3" fontId="20" fillId="0" borderId="19" xfId="0" applyNumberFormat="1" applyFont="1" applyFill="1" applyBorder="1"/>
    <xf numFmtId="3" fontId="20" fillId="0" borderId="5" xfId="0" applyNumberFormat="1" applyFont="1" applyFill="1" applyBorder="1"/>
    <xf numFmtId="0" fontId="20" fillId="0" borderId="0" xfId="0" applyFont="1" applyFill="1" applyBorder="1" applyAlignment="1">
      <alignment horizontal="right"/>
    </xf>
    <xf numFmtId="0" fontId="19" fillId="0" borderId="0" xfId="0" applyFont="1" applyFill="1" applyBorder="1"/>
    <xf numFmtId="3" fontId="19" fillId="0" borderId="5" xfId="0" applyNumberFormat="1" applyFont="1" applyFill="1" applyBorder="1"/>
    <xf numFmtId="0" fontId="4" fillId="25" borderId="0" xfId="0" applyFont="1" applyFill="1" applyBorder="1" applyAlignment="1">
      <alignment horizontal="right"/>
    </xf>
    <xf numFmtId="0" fontId="3" fillId="25" borderId="0" xfId="0" applyFont="1" applyFill="1" applyBorder="1"/>
    <xf numFmtId="3" fontId="3" fillId="25" borderId="0" xfId="0" applyNumberFormat="1" applyFont="1" applyFill="1" applyBorder="1"/>
    <xf numFmtId="3" fontId="30" fillId="25" borderId="0" xfId="0" applyNumberFormat="1" applyFont="1" applyFill="1" applyBorder="1"/>
    <xf numFmtId="3" fontId="4" fillId="25" borderId="5" xfId="0" applyNumberFormat="1" applyFont="1" applyFill="1" applyBorder="1"/>
    <xf numFmtId="3" fontId="3" fillId="25" borderId="5" xfId="0" applyNumberFormat="1" applyFont="1" applyFill="1" applyBorder="1"/>
    <xf numFmtId="3" fontId="4" fillId="25" borderId="19" xfId="0" applyNumberFormat="1" applyFont="1" applyFill="1" applyBorder="1"/>
    <xf numFmtId="198" fontId="3" fillId="0" borderId="0" xfId="8" applyNumberFormat="1" applyFont="1" applyFill="1" applyBorder="1"/>
    <xf numFmtId="0" fontId="3" fillId="5" borderId="15" xfId="0" applyFont="1" applyFill="1" applyBorder="1" applyAlignment="1">
      <alignment horizontal="center"/>
    </xf>
    <xf numFmtId="0" fontId="3" fillId="5" borderId="5" xfId="0" applyFont="1" applyFill="1" applyBorder="1" applyAlignment="1">
      <alignment horizontal="center"/>
    </xf>
    <xf numFmtId="0" fontId="3" fillId="5" borderId="16" xfId="0" applyFont="1" applyFill="1" applyBorder="1" applyAlignment="1">
      <alignment horizontal="center"/>
    </xf>
    <xf numFmtId="0" fontId="3" fillId="4" borderId="15" xfId="0" applyFont="1" applyFill="1" applyBorder="1" applyAlignment="1">
      <alignment horizontal="center"/>
    </xf>
    <xf numFmtId="0" fontId="3" fillId="4" borderId="5" xfId="0" applyFont="1" applyFill="1" applyBorder="1" applyAlignment="1">
      <alignment horizontal="center"/>
    </xf>
    <xf numFmtId="0" fontId="3" fillId="4" borderId="16" xfId="0" applyFont="1" applyFill="1" applyBorder="1" applyAlignment="1">
      <alignment horizontal="center"/>
    </xf>
    <xf numFmtId="172" fontId="3" fillId="0" borderId="0" xfId="0" applyNumberFormat="1" applyFont="1" applyFill="1" applyBorder="1" applyAlignment="1">
      <alignment horizontal="left"/>
    </xf>
    <xf numFmtId="172" fontId="3" fillId="0" borderId="0" xfId="0" applyNumberFormat="1" applyFont="1" applyFill="1" applyBorder="1" applyAlignment="1">
      <alignment horizontal="center"/>
    </xf>
    <xf numFmtId="0" fontId="4" fillId="0" borderId="0" xfId="0" applyFont="1" applyFill="1" applyBorder="1" applyAlignment="1">
      <alignment horizontal="right"/>
    </xf>
    <xf numFmtId="0" fontId="4" fillId="0" borderId="3" xfId="0" applyFont="1" applyFill="1" applyBorder="1" applyAlignment="1">
      <alignment horizontal="right"/>
    </xf>
    <xf numFmtId="0" fontId="4" fillId="0" borderId="0" xfId="0" applyFont="1" applyFill="1" applyBorder="1" applyAlignment="1">
      <alignment horizontal="center"/>
    </xf>
    <xf numFmtId="0" fontId="3" fillId="13" borderId="0" xfId="10" applyFill="1" applyAlignment="1">
      <alignment horizontal="center"/>
    </xf>
    <xf numFmtId="0" fontId="27" fillId="14" borderId="0" xfId="10" applyFont="1" applyFill="1" applyAlignment="1">
      <alignment horizontal="center"/>
    </xf>
    <xf numFmtId="0" fontId="3" fillId="0" borderId="0" xfId="0" applyFont="1" applyFill="1" applyBorder="1" applyAlignment="1">
      <alignment horizontal="center"/>
    </xf>
    <xf numFmtId="5" fontId="3" fillId="0" borderId="0" xfId="0" applyNumberFormat="1" applyFont="1" applyFill="1" applyBorder="1" applyAlignment="1">
      <alignment horizontal="center" wrapText="1"/>
    </xf>
    <xf numFmtId="0" fontId="3" fillId="0" borderId="0" xfId="0" applyFont="1" applyFill="1" applyBorder="1" applyAlignment="1">
      <alignment horizontal="center" vertical="top" wrapText="1"/>
    </xf>
    <xf numFmtId="0" fontId="3" fillId="22" borderId="0" xfId="44" applyFont="1" applyFill="1" applyAlignment="1">
      <alignment vertical="top"/>
    </xf>
    <xf numFmtId="0" fontId="3" fillId="22" borderId="0" xfId="31" applyFill="1" applyAlignment="1">
      <alignment vertical="top"/>
    </xf>
    <xf numFmtId="0" fontId="3" fillId="22" borderId="0" xfId="31" applyFill="1"/>
    <xf numFmtId="0" fontId="55" fillId="22" borderId="0" xfId="44" applyFont="1" applyFill="1" applyAlignment="1">
      <alignment horizontal="left" vertical="top"/>
    </xf>
    <xf numFmtId="0" fontId="3" fillId="22" borderId="0" xfId="31" applyFont="1" applyFill="1" applyAlignment="1">
      <alignment vertical="top"/>
    </xf>
    <xf numFmtId="0" fontId="5" fillId="22" borderId="0" xfId="44" applyFont="1" applyFill="1" applyAlignment="1">
      <alignment vertical="top"/>
    </xf>
    <xf numFmtId="0" fontId="0" fillId="22" borderId="0" xfId="0" applyFill="1" applyAlignment="1">
      <alignment vertical="top"/>
    </xf>
    <xf numFmtId="0" fontId="56" fillId="22" borderId="0" xfId="0" applyFont="1" applyFill="1" applyAlignment="1">
      <alignment vertical="top"/>
    </xf>
    <xf numFmtId="0" fontId="57" fillId="22" borderId="0" xfId="0" applyFont="1" applyFill="1" applyAlignment="1">
      <alignment vertical="top"/>
    </xf>
    <xf numFmtId="0" fontId="57" fillId="22" borderId="0" xfId="0" applyFont="1" applyFill="1" applyAlignment="1">
      <alignment vertical="top"/>
    </xf>
    <xf numFmtId="0" fontId="56" fillId="22" borderId="0" xfId="0" applyFont="1" applyFill="1" applyAlignment="1">
      <alignment vertical="top"/>
    </xf>
    <xf numFmtId="0" fontId="0" fillId="22" borderId="0" xfId="0" applyFill="1" applyAlignment="1">
      <alignment vertical="top"/>
    </xf>
    <xf numFmtId="0" fontId="0" fillId="22" borderId="31" xfId="0" applyFill="1" applyBorder="1" applyAlignment="1">
      <alignment vertical="top"/>
    </xf>
    <xf numFmtId="0" fontId="56" fillId="22" borderId="27" xfId="0" applyFont="1" applyFill="1" applyBorder="1" applyAlignment="1">
      <alignment vertical="top"/>
    </xf>
    <xf numFmtId="0" fontId="56" fillId="22" borderId="28" xfId="0" applyFont="1" applyFill="1" applyBorder="1" applyAlignment="1">
      <alignment vertical="top"/>
    </xf>
    <xf numFmtId="0" fontId="56" fillId="22" borderId="29" xfId="0" applyFont="1" applyFill="1" applyBorder="1" applyAlignment="1">
      <alignment vertical="top"/>
    </xf>
    <xf numFmtId="0" fontId="56" fillId="22" borderId="30" xfId="0" applyFont="1" applyFill="1" applyBorder="1" applyAlignment="1">
      <alignment vertical="top"/>
    </xf>
    <xf numFmtId="9" fontId="56" fillId="22" borderId="27" xfId="0" applyNumberFormat="1" applyFont="1" applyFill="1" applyBorder="1" applyAlignment="1">
      <alignment vertical="top"/>
    </xf>
    <xf numFmtId="3" fontId="56" fillId="22" borderId="27" xfId="0" applyNumberFormat="1" applyFont="1" applyFill="1" applyBorder="1" applyAlignment="1">
      <alignment vertical="top"/>
    </xf>
    <xf numFmtId="0" fontId="0" fillId="22" borderId="32" xfId="0" applyFill="1" applyBorder="1" applyAlignment="1">
      <alignment vertical="top"/>
    </xf>
    <xf numFmtId="2" fontId="3" fillId="0" borderId="0" xfId="31" applyNumberFormat="1" applyAlignment="1">
      <alignment horizontal="left"/>
    </xf>
    <xf numFmtId="0" fontId="3" fillId="0" borderId="0" xfId="31" applyNumberFormat="1" applyAlignment="1">
      <alignment horizontal="left"/>
    </xf>
    <xf numFmtId="1" fontId="3" fillId="0" borderId="0" xfId="31" applyNumberFormat="1" applyAlignment="1">
      <alignment horizontal="left"/>
    </xf>
    <xf numFmtId="0" fontId="3" fillId="0" borderId="0" xfId="31" applyFont="1"/>
    <xf numFmtId="204" fontId="3" fillId="0" borderId="0" xfId="31" applyNumberFormat="1" applyAlignment="1">
      <alignment horizontal="left"/>
    </xf>
    <xf numFmtId="49" fontId="3" fillId="0" borderId="0" xfId="31" applyNumberFormat="1"/>
  </cellXfs>
  <cellStyles count="45">
    <cellStyle name=" 1" xfId="1"/>
    <cellStyle name=" 1 2" xfId="26"/>
    <cellStyle name=" 1 3" xfId="27"/>
    <cellStyle name=" 2" xfId="28"/>
    <cellStyle name="_Balance Sheet " xfId="20"/>
    <cellStyle name="_BS " xfId="21"/>
    <cellStyle name="_DCF " xfId="22"/>
    <cellStyle name="_SUMMARY " xfId="3"/>
    <cellStyle name="0_Capex &amp; Depreciation " xfId="4"/>
    <cellStyle name="0_OMV EP 2000-2015 Consolidated " xfId="23"/>
    <cellStyle name="0_P&amp;L-adj " xfId="29"/>
    <cellStyle name="0_Quarterly " xfId="5"/>
    <cellStyle name="0_Valuing BP " xfId="6"/>
    <cellStyle name="c_HardInc " xfId="7"/>
    <cellStyle name="Comma" xfId="8" builtinId="3"/>
    <cellStyle name="Comma 2" xfId="30"/>
    <cellStyle name="Comma 3" xfId="39"/>
    <cellStyle name="Currency 2" xfId="24"/>
    <cellStyle name="Currency 3" xfId="43"/>
    <cellStyle name="Hyperlink" xfId="9" builtinId="8"/>
    <cellStyle name="Hyperlink 2" xfId="41"/>
    <cellStyle name="Normal" xfId="0" builtinId="0"/>
    <cellStyle name="Normal 2" xfId="31"/>
    <cellStyle name="Normal 2 2" xfId="10"/>
    <cellStyle name="Normal 3" xfId="38"/>
    <cellStyle name="Normal 3 2" xfId="17"/>
    <cellStyle name="Normal 3 5" xfId="32"/>
    <cellStyle name="Normal 4" xfId="33"/>
    <cellStyle name="Normal 5" xfId="34"/>
    <cellStyle name="Normal 6" xfId="42"/>
    <cellStyle name="Normal 7" xfId="35"/>
    <cellStyle name="Normal 9" xfId="36"/>
    <cellStyle name="Normal_DisclaimerSheet Samples" xfId="44"/>
    <cellStyle name="p " xfId="11"/>
    <cellStyle name="Percent" xfId="12" builtinId="5"/>
    <cellStyle name="Percent 2" xfId="13"/>
    <cellStyle name="Percent 2 2" xfId="18"/>
    <cellStyle name="Percent 2 3" xfId="37"/>
    <cellStyle name="Percent 2 4" xfId="40"/>
    <cellStyle name="Percent 3" xfId="25"/>
    <cellStyle name="Percent 4" xfId="19"/>
    <cellStyle name="RRSInstruction" xfId="2"/>
    <cellStyle name="s_HardInc " xfId="14"/>
    <cellStyle name="s_Valuation " xfId="15"/>
    <cellStyle name="ssp " xfId="16"/>
  </cellStyles>
  <dxfs count="0"/>
  <tableStyles count="0" defaultTableStyle="TableStyleMedium2" defaultPivotStyle="PivotStyleLight16"/>
  <colors>
    <mruColors>
      <color rgb="FF0000FF"/>
      <color rgb="FFACD6FF"/>
      <color rgb="FF75D4FF"/>
      <color rgb="FFF79646"/>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trrtdserver">
      <tp>
        <v>24.017900000000001</v>
        <stp/>
        <stp>{2E45CD4A-2849-4E7A-929D-8731EF0BECD8}_x0000_</stp>
        <tr r="CD48" s="5"/>
      </tp>
      <tp>
        <v>3250.7325799999999</v>
        <stp/>
        <stp>{EA81976F-D569-4916-BA31-1B2BEB7880F1}_x0000_</stp>
        <tr r="CA9" s="5"/>
      </tp>
      <tp>
        <v>26.2653</v>
        <stp/>
        <stp>{CB868B07-233A-462D-A10B-84421B0128B7}_x0000_</stp>
        <tr r="CI48" s="5"/>
      </tp>
      <tp>
        <v>3297.1152699999998</v>
        <stp/>
        <stp>{D9424ADB-19AE-4F4A-86B0-EA3E92B76C2B}_x0000_</stp>
        <tr r="CC9" s="5"/>
      </tp>
      <tp>
        <v>12931.78117</v>
        <stp/>
        <stp>{04CA2A1A-A458-4C9E-BAB0-AB98DF2656CF}_x0000_</stp>
        <tr r="CD9" s="5"/>
      </tp>
      <tp>
        <v>6.2917899999999998</v>
        <stp/>
        <stp>{2095BCD0-D342-4DBB-91F3-720E8BF1381B}_x0000_</stp>
        <tr r="CB48" s="5"/>
      </tp>
      <tp>
        <v>13800.62254</v>
        <stp/>
        <stp>{94BBE1D5-E85E-46F7-B1FD-0BCB8D181AA7}_x0000_</stp>
        <tr r="CN9" s="5"/>
      </tp>
      <tp>
        <v>5.5222499999999997</v>
        <stp/>
        <stp>{3443DFE0-F233-4321-84FC-810A5FA70D76}_x0000_</stp>
        <tr r="CA48" s="5"/>
      </tp>
      <tp>
        <v>13335.70686</v>
        <stp/>
        <stp>{A83B8480-F073-4DE8-BA6E-6A95F56FF196}_x0000_</stp>
        <tr r="CI9" s="5"/>
      </tp>
      <tp>
        <v>6.2236099999999999</v>
        <stp/>
        <stp>{477058E8-ABA0-40A3-8548-B91C45B61472}_x0000_</stp>
        <tr r="CC48" s="5"/>
      </tp>
      <tp t="s">
        <v>USD</v>
        <stp/>
        <stp>{E995A031-30B0-4AAC-B01B-E7F243EFC076}_x0000_</stp>
        <tr r="EW2" s="5"/>
      </tp>
      <tp>
        <v>5.9367700000000001</v>
        <stp/>
        <stp>{C4733B00-B419-4A91-A2C4-71B550FF998E}_x0000_</stp>
        <tr r="BZ48" s="5"/>
      </tp>
      <tp>
        <v>27.38083</v>
        <stp/>
        <stp>{B8574546-F1A4-47BC-B04A-06EC2C8F77C5}_x0000_</stp>
        <tr r="CN48" s="5"/>
      </tp>
      <tp>
        <v>3156.0576299999998</v>
        <stp/>
        <stp>{CAE3869B-D81C-40F0-9C89-11B8D94AA932}_x0000_</stp>
        <tr r="BZ9" s="5"/>
      </tp>
      <tp>
        <v>3260.4561199999998</v>
        <stp/>
        <stp>{6888E17B-D24E-4DC1-9F4B-3FDA16E9609D}_x0000_</stp>
        <tr r="CB9" s="5"/>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externalLinks/externalLink1.xml" Type="http://schemas.openxmlformats.org/officeDocument/2006/relationships/externalLink"/>
<Relationship Id="rId2" Target="worksheets/sheet2.xml" Type="http://schemas.openxmlformats.org/officeDocument/2006/relationships/worksheet"/>
<Relationship Id="rId20" Target="externalLinks/externalLink2.xml" Type="http://schemas.openxmlformats.org/officeDocument/2006/relationships/externalLink"/>
<Relationship Id="rId21" Target="externalLinks/externalLink3.xml" Type="http://schemas.openxmlformats.org/officeDocument/2006/relationships/externalLink"/>
<Relationship Id="rId22" Target="externalLinks/externalLink4.xml" Type="http://schemas.openxmlformats.org/officeDocument/2006/relationships/externalLink"/>
<Relationship Id="rId23" Target="externalLinks/externalLink5.xml" Type="http://schemas.openxmlformats.org/officeDocument/2006/relationships/externalLink"/>
<Relationship Id="rId24" Target="externalLinks/externalLink6.xml" Type="http://schemas.openxmlformats.org/officeDocument/2006/relationships/externalLink"/>
<Relationship Id="rId25" Target="externalLinks/externalLink7.xml" Type="http://schemas.openxmlformats.org/officeDocument/2006/relationships/externalLink"/>
<Relationship Id="rId26" Target="externalLinks/externalLink8.xml" Type="http://schemas.openxmlformats.org/officeDocument/2006/relationships/externalLink"/>
<Relationship Id="rId27" Target="externalLinks/externalLink9.xml" Type="http://schemas.openxmlformats.org/officeDocument/2006/relationships/externalLink"/>
<Relationship Id="rId28" Target="externalLinks/externalLink10.xml" Type="http://schemas.openxmlformats.org/officeDocument/2006/relationships/externalLink"/>
<Relationship Id="rId29" Target="externalLinks/externalLink11.xml" Type="http://schemas.openxmlformats.org/officeDocument/2006/relationships/externalLink"/>
<Relationship Id="rId3" Target="worksheets/sheet3.xml" Type="http://schemas.openxmlformats.org/officeDocument/2006/relationships/worksheet"/>
<Relationship Id="rId30" Target="theme/theme1.xml" Type="http://schemas.openxmlformats.org/officeDocument/2006/relationships/theme"/>
<Relationship Id="rId31" Target="styles.xml" Type="http://schemas.openxmlformats.org/officeDocument/2006/relationships/styles"/>
<Relationship Id="rId32" Target="sharedStrings.xml" Type="http://schemas.openxmlformats.org/officeDocument/2006/relationships/sharedStrings"/>
<Relationship Id="rId33" Target="calcChain.xml" Type="http://schemas.openxmlformats.org/officeDocument/2006/relationships/calcChain"/>
<Relationship Id="rId34" Target="../customXml/item1.xml" Type="http://schemas.openxmlformats.org/officeDocument/2006/relationships/customXml"/>
<Relationship Id="rId35" Target="../customXml/item2.xml" Type="http://schemas.openxmlformats.org/officeDocument/2006/relationships/customXml"/>
<Relationship Id="rId36" Target="volatileDependencies.xml" Type="http://schemas.openxmlformats.org/officeDocument/2006/relationships/volatileDependencies"/>
<Relationship Id="rId37"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194</xdr:row>
      <xdr:rowOff>19050</xdr:rowOff>
    </xdr:to>
    <xdr:pic>
      <xdr:nvPicPr>
        <xdr:cNvPr id="237569" name="Picture 1" descr="C:\Users\Asante\AppData\Local\Temp\MercuryPriceRatingHistoryChart\BIIB.O_2018_04_25_00_10_2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1178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234763</xdr:colOff>
      <xdr:row>65</xdr:row>
      <xdr:rowOff>62753</xdr:rowOff>
    </xdr:from>
    <xdr:to>
      <xdr:col>71</xdr:col>
      <xdr:colOff>463363</xdr:colOff>
      <xdr:row>84</xdr:row>
      <xdr:rowOff>67236</xdr:rowOff>
    </xdr:to>
    <xdr:pic>
      <xdr:nvPicPr>
        <xdr:cNvPr id="4096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661087" y="9486900"/>
          <a:ext cx="10717305" cy="2985247"/>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Pharma/Risinger/models/WYE/WYE_Chart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Pharma/Risinger/models/PFE/PFE_Charts.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HEALTH/Urist/Biotech/Companies/xOther%20Companies/INFI/Model/NHL%20models_v4.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Sapna/Companies/CELG/Miscellaneous/Revlimid%20Pricing.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EALTH/Pharma/Risinger/models/LLY/LLY_Chart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HEALTH/Pharma/Risinger/models/BMY/BMY_Charts.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11.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diabetes_multiple"/>
      <sheetName val="TR Convert"/>
      <sheetName val="Annual"/>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row>
        <row r="4">
          <cell r="B4" t="str">
            <v>Ticker:</v>
          </cell>
          <cell r="C4" t="str">
            <v>LLY.N</v>
          </cell>
          <cell r="E4" t="str">
            <v>Company Name:</v>
          </cell>
          <cell r="F4" t="str">
            <v>Eli Lilly &amp; Co.</v>
          </cell>
          <cell r="I4" t="str">
            <v>Sedol:</v>
          </cell>
          <cell r="J4">
            <v>2516152</v>
          </cell>
          <cell r="K4" t="str">
            <v>#Refresh#</v>
          </cell>
        </row>
        <row r="5">
          <cell r="B5" t="str">
            <v xml:space="preserve">Chart Data Inputs (decimal formats will reflect on chart): </v>
          </cell>
          <cell r="H5" t="str">
            <v>Risk Reward Chart Gallery 
(Click on the below image for other Risk-Reward Charts)</v>
          </cell>
        </row>
        <row r="6">
          <cell r="B6" t="str">
            <v>Bull Case</v>
          </cell>
          <cell r="C6">
            <v>42</v>
          </cell>
          <cell r="AA6" t="str">
            <v>mstag:bullCaseValueEstimatePerShare</v>
          </cell>
          <cell r="AB6">
            <v>0</v>
          </cell>
          <cell r="AC6" t="str">
            <v>ISO4217:USD</v>
          </cell>
          <cell r="AD6" t="b">
            <v>0</v>
          </cell>
        </row>
        <row r="7">
          <cell r="B7" t="str">
            <v>Base Case</v>
          </cell>
          <cell r="C7">
            <v>37</v>
          </cell>
          <cell r="AA7" t="str">
            <v>mstag:met_12monthIntrinsicValueEstimate</v>
          </cell>
          <cell r="AB7">
            <v>0</v>
          </cell>
          <cell r="AC7" t="str">
            <v>ISO4217:USD</v>
          </cell>
          <cell r="AD7" t="b">
            <v>0</v>
          </cell>
        </row>
        <row r="8">
          <cell r="B8" t="str">
            <v>Bear Case</v>
          </cell>
          <cell r="C8">
            <v>32</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37</v>
          </cell>
          <cell r="O11" t="b">
            <v>1</v>
          </cell>
        </row>
        <row r="12">
          <cell r="B12" t="str">
            <v>Currency</v>
          </cell>
          <cell r="C12" t="str">
            <v>USD American Dollar</v>
          </cell>
          <cell r="F12">
            <v>0</v>
          </cell>
        </row>
        <row r="13">
          <cell r="B13" t="str">
            <v>Currency Symbol</v>
          </cell>
          <cell r="C13" t="str">
            <v>$</v>
          </cell>
          <cell r="F13">
            <v>0</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39231</v>
          </cell>
          <cell r="E15" t="str">
            <v>#Refresh#</v>
          </cell>
          <cell r="F15" t="str">
            <v>USD</v>
          </cell>
        </row>
        <row r="16">
          <cell r="B16" t="str">
            <v>End Date (+1 Yr)</v>
          </cell>
          <cell r="C16">
            <v>40327</v>
          </cell>
          <cell r="E16" t="str">
            <v>#Refresh#</v>
          </cell>
          <cell r="F16" t="str">
            <v>USD</v>
          </cell>
        </row>
        <row r="17">
          <cell r="B17">
            <v>34.57</v>
          </cell>
          <cell r="C17" t="str">
            <v>Hand entert Share Price</v>
          </cell>
          <cell r="H17" t="str">
            <v>2007-FY</v>
          </cell>
        </row>
        <row r="18">
          <cell r="B18" t="b">
            <v>0</v>
          </cell>
          <cell r="C18">
            <v>39962</v>
          </cell>
        </row>
        <row r="19">
          <cell r="C19" t="str">
            <v>2009-FY</v>
          </cell>
        </row>
        <row r="34">
          <cell r="A34" t="str">
            <v>BullCase</v>
          </cell>
        </row>
        <row r="52">
          <cell r="A52">
            <v>40327</v>
          </cell>
          <cell r="B52">
            <v>758</v>
          </cell>
          <cell r="N52" t="str">
            <v>May-10</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Price(May-10)</v>
          </cell>
          <cell r="K53" t="str">
            <v>Bull Price(May-10)</v>
          </cell>
          <cell r="L53" t="str">
            <v>Bear Price(May-10)</v>
          </cell>
          <cell r="M53" t="str">
            <v>Extreme Downside Price(May-10)</v>
          </cell>
          <cell r="N53" t="str">
            <v>Price Target (May-10)</v>
          </cell>
          <cell r="O53" t="str">
            <v>Gray Line</v>
          </cell>
          <cell r="P53" t="str">
            <v>Prices</v>
          </cell>
          <cell r="Q53" t="str">
            <v>Volume</v>
          </cell>
          <cell r="R53" t="str">
            <v>Base Case(May-10)</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39231</v>
          </cell>
          <cell r="B54">
            <v>39231</v>
          </cell>
          <cell r="C54" t="str">
            <v>Past</v>
          </cell>
          <cell r="D54">
            <v>59.46</v>
          </cell>
          <cell r="E54" t="e">
            <v>#N/A</v>
          </cell>
          <cell r="F54" t="e">
            <v>#N/A</v>
          </cell>
          <cell r="G54" t="e">
            <v>#N/A</v>
          </cell>
          <cell r="H54" t="e">
            <v>#N/A</v>
          </cell>
          <cell r="I54" t="e">
            <v>#N/A</v>
          </cell>
          <cell r="J54" t="e">
            <v>#N/A</v>
          </cell>
          <cell r="K54" t="e">
            <v>#N/A</v>
          </cell>
          <cell r="L54" t="e">
            <v>#N/A</v>
          </cell>
          <cell r="M54" t="e">
            <v>#N/A</v>
          </cell>
          <cell r="N54" t="e">
            <v>#N/A</v>
          </cell>
          <cell r="O54" t="e">
            <v>#N/A</v>
          </cell>
          <cell r="P54">
            <v>59.46</v>
          </cell>
          <cell r="Q54">
            <v>3.2017000000000002</v>
          </cell>
          <cell r="R54" t="e">
            <v>#N/A</v>
          </cell>
          <cell r="S54" t="str">
            <v>Count</v>
          </cell>
          <cell r="T54">
            <v>758</v>
          </cell>
          <cell r="U54">
            <v>42</v>
          </cell>
          <cell r="AI54" t="str">
            <v>AED UAE Dirham</v>
          </cell>
          <cell r="AJ54" t="str">
            <v>AED</v>
          </cell>
          <cell r="AK54" t="str">
            <v>AED</v>
          </cell>
          <cell r="AL54" t="str">
            <v>AED</v>
          </cell>
          <cell r="AM54">
            <v>0</v>
          </cell>
          <cell r="AN54">
            <v>2</v>
          </cell>
        </row>
        <row r="55">
          <cell r="A55">
            <v>39232</v>
          </cell>
          <cell r="B55">
            <v>39232</v>
          </cell>
          <cell r="C55" t="str">
            <v>Past</v>
          </cell>
          <cell r="D55">
            <v>59.24</v>
          </cell>
          <cell r="E55" t="e">
            <v>#N/A</v>
          </cell>
          <cell r="F55" t="e">
            <v>#N/A</v>
          </cell>
          <cell r="G55" t="e">
            <v>#N/A</v>
          </cell>
          <cell r="H55" t="e">
            <v>#N/A</v>
          </cell>
          <cell r="I55" t="e">
            <v>#N/A</v>
          </cell>
          <cell r="J55" t="e">
            <v>#N/A</v>
          </cell>
          <cell r="K55" t="e">
            <v>#N/A</v>
          </cell>
          <cell r="L55" t="e">
            <v>#N/A</v>
          </cell>
          <cell r="M55" t="e">
            <v>#N/A</v>
          </cell>
          <cell r="N55" t="e">
            <v>#N/A</v>
          </cell>
          <cell r="O55" t="e">
            <v>#N/A</v>
          </cell>
          <cell r="P55">
            <v>59.24</v>
          </cell>
          <cell r="Q55">
            <v>5.1042869999999994</v>
          </cell>
          <cell r="R55" t="e">
            <v>#N/A</v>
          </cell>
          <cell r="S55" t="str">
            <v>Curr Price</v>
          </cell>
          <cell r="T55">
            <v>34.57</v>
          </cell>
          <cell r="U55">
            <v>506</v>
          </cell>
          <cell r="V55">
            <v>114.16500000000001</v>
          </cell>
          <cell r="AI55" t="str">
            <v>ARS Argentinian Pesos</v>
          </cell>
          <cell r="AJ55" t="str">
            <v>Ar$</v>
          </cell>
          <cell r="AK55" t="str">
            <v>ARS</v>
          </cell>
          <cell r="AL55" t="str">
            <v>ARS</v>
          </cell>
          <cell r="AM55">
            <v>0</v>
          </cell>
          <cell r="AN55">
            <v>2</v>
          </cell>
        </row>
        <row r="56">
          <cell r="A56">
            <v>39233</v>
          </cell>
          <cell r="B56">
            <v>39233</v>
          </cell>
          <cell r="C56" t="str">
            <v>Past</v>
          </cell>
          <cell r="D56">
            <v>58.62</v>
          </cell>
          <cell r="E56" t="e">
            <v>#N/A</v>
          </cell>
          <cell r="F56" t="e">
            <v>#N/A</v>
          </cell>
          <cell r="G56" t="e">
            <v>#N/A</v>
          </cell>
          <cell r="H56" t="e">
            <v>#N/A</v>
          </cell>
          <cell r="I56" t="e">
            <v>#N/A</v>
          </cell>
          <cell r="J56" t="e">
            <v>#N/A</v>
          </cell>
          <cell r="K56" t="e">
            <v>#N/A</v>
          </cell>
          <cell r="L56" t="e">
            <v>#N/A</v>
          </cell>
          <cell r="M56" t="e">
            <v>#N/A</v>
          </cell>
          <cell r="N56" t="e">
            <v>#N/A</v>
          </cell>
          <cell r="O56" t="e">
            <v>#N/A</v>
          </cell>
          <cell r="P56">
            <v>58.62</v>
          </cell>
          <cell r="Q56">
            <v>5.3824379999999996</v>
          </cell>
          <cell r="R56" t="e">
            <v>#N/A</v>
          </cell>
          <cell r="S56" t="str">
            <v>Curr Price Date</v>
          </cell>
          <cell r="T56">
            <v>39962</v>
          </cell>
          <cell r="U56">
            <v>39951.672118055554</v>
          </cell>
          <cell r="AI56" t="str">
            <v>AUD Australian Dollar</v>
          </cell>
          <cell r="AJ56" t="str">
            <v>A$</v>
          </cell>
          <cell r="AK56" t="str">
            <v>AUD</v>
          </cell>
          <cell r="AL56" t="str">
            <v>AUD</v>
          </cell>
          <cell r="AM56">
            <v>0</v>
          </cell>
          <cell r="AN56">
            <v>2</v>
          </cell>
        </row>
        <row r="57">
          <cell r="A57">
            <v>39234</v>
          </cell>
          <cell r="B57">
            <v>39234</v>
          </cell>
          <cell r="C57" t="str">
            <v>Past</v>
          </cell>
          <cell r="D57">
            <v>58.94</v>
          </cell>
          <cell r="E57" t="e">
            <v>#N/A</v>
          </cell>
          <cell r="F57" t="e">
            <v>#N/A</v>
          </cell>
          <cell r="G57" t="e">
            <v>#N/A</v>
          </cell>
          <cell r="H57" t="e">
            <v>#N/A</v>
          </cell>
          <cell r="I57" t="e">
            <v>#N/A</v>
          </cell>
          <cell r="J57" t="e">
            <v>#N/A</v>
          </cell>
          <cell r="K57" t="e">
            <v>#N/A</v>
          </cell>
          <cell r="L57" t="e">
            <v>#N/A</v>
          </cell>
          <cell r="M57" t="e">
            <v>#N/A</v>
          </cell>
          <cell r="N57" t="e">
            <v>#N/A</v>
          </cell>
          <cell r="O57" t="e">
            <v>#N/A</v>
          </cell>
          <cell r="P57">
            <v>58.94</v>
          </cell>
          <cell r="Q57">
            <v>3.8512389999999996</v>
          </cell>
          <cell r="R57" t="e">
            <v>#N/A</v>
          </cell>
          <cell r="S57" t="str">
            <v>Bull-Curr</v>
          </cell>
          <cell r="T57">
            <v>7.43</v>
          </cell>
          <cell r="U57">
            <v>2.9367588932806322E-2</v>
          </cell>
          <cell r="AI57" t="str">
            <v>BGL Bulgarian levs</v>
          </cell>
          <cell r="AJ57" t="str">
            <v>BGL</v>
          </cell>
          <cell r="AK57" t="str">
            <v>BGL</v>
          </cell>
          <cell r="AL57" t="str">
            <v>BGN</v>
          </cell>
          <cell r="AM57">
            <v>0</v>
          </cell>
          <cell r="AN57">
            <v>2</v>
          </cell>
        </row>
        <row r="58">
          <cell r="A58">
            <v>39237</v>
          </cell>
          <cell r="B58">
            <v>39237</v>
          </cell>
          <cell r="C58" t="str">
            <v>Past</v>
          </cell>
          <cell r="D58">
            <v>59.16</v>
          </cell>
          <cell r="E58" t="e">
            <v>#N/A</v>
          </cell>
          <cell r="F58" t="e">
            <v>#N/A</v>
          </cell>
          <cell r="G58" t="e">
            <v>#N/A</v>
          </cell>
          <cell r="H58" t="e">
            <v>#N/A</v>
          </cell>
          <cell r="I58" t="e">
            <v>#N/A</v>
          </cell>
          <cell r="J58" t="e">
            <v>#N/A</v>
          </cell>
          <cell r="K58" t="e">
            <v>#N/A</v>
          </cell>
          <cell r="L58" t="e">
            <v>#N/A</v>
          </cell>
          <cell r="M58" t="e">
            <v>#N/A</v>
          </cell>
          <cell r="N58" t="e">
            <v>#N/A</v>
          </cell>
          <cell r="O58" t="e">
            <v>#N/A</v>
          </cell>
          <cell r="P58">
            <v>59.16</v>
          </cell>
          <cell r="Q58">
            <v>4.8737000000000004</v>
          </cell>
          <cell r="R58" t="e">
            <v>#N/A</v>
          </cell>
          <cell r="S58" t="str">
            <v>Upp-Cur</v>
          </cell>
          <cell r="T58">
            <v>-34.57</v>
          </cell>
          <cell r="U58">
            <v>-0.1366403162055336</v>
          </cell>
          <cell r="AI58" t="str">
            <v>BMD Bermudan Dollars</v>
          </cell>
          <cell r="AJ58" t="str">
            <v>BMD</v>
          </cell>
          <cell r="AK58" t="str">
            <v>BMD</v>
          </cell>
          <cell r="AL58" t="str">
            <v>BMD</v>
          </cell>
          <cell r="AM58">
            <v>0</v>
          </cell>
          <cell r="AN58">
            <v>2</v>
          </cell>
        </row>
        <row r="59">
          <cell r="A59">
            <v>39238</v>
          </cell>
          <cell r="B59">
            <v>39238</v>
          </cell>
          <cell r="C59" t="str">
            <v>Past</v>
          </cell>
          <cell r="D59">
            <v>59</v>
          </cell>
          <cell r="E59" t="e">
            <v>#N/A</v>
          </cell>
          <cell r="F59" t="e">
            <v>#N/A</v>
          </cell>
          <cell r="G59" t="e">
            <v>#N/A</v>
          </cell>
          <cell r="H59" t="e">
            <v>#N/A</v>
          </cell>
          <cell r="I59" t="e">
            <v>#N/A</v>
          </cell>
          <cell r="J59" t="e">
            <v>#N/A</v>
          </cell>
          <cell r="K59" t="e">
            <v>#N/A</v>
          </cell>
          <cell r="L59" t="e">
            <v>#N/A</v>
          </cell>
          <cell r="M59" t="e">
            <v>#N/A</v>
          </cell>
          <cell r="N59" t="e">
            <v>#N/A</v>
          </cell>
          <cell r="O59" t="e">
            <v>#N/A</v>
          </cell>
          <cell r="P59">
            <v>59</v>
          </cell>
          <cell r="Q59">
            <v>5.2781000000000002</v>
          </cell>
          <cell r="R59" t="e">
            <v>#N/A</v>
          </cell>
          <cell r="S59" t="str">
            <v>Curr-Bear</v>
          </cell>
          <cell r="T59">
            <v>2.5700000000000003</v>
          </cell>
          <cell r="U59">
            <v>1.015810276679842E-2</v>
          </cell>
          <cell r="AI59" t="str">
            <v>BRL Brazilian Real</v>
          </cell>
          <cell r="AJ59" t="str">
            <v>R$</v>
          </cell>
          <cell r="AK59" t="str">
            <v>BRL</v>
          </cell>
          <cell r="AL59" t="str">
            <v>BRL</v>
          </cell>
          <cell r="AM59">
            <v>0</v>
          </cell>
          <cell r="AN59">
            <v>2</v>
          </cell>
        </row>
        <row r="60">
          <cell r="A60">
            <v>39239</v>
          </cell>
          <cell r="B60">
            <v>39239</v>
          </cell>
          <cell r="C60" t="str">
            <v>Past</v>
          </cell>
          <cell r="D60">
            <v>58.29</v>
          </cell>
          <cell r="E60" t="e">
            <v>#N/A</v>
          </cell>
          <cell r="F60" t="e">
            <v>#N/A</v>
          </cell>
          <cell r="G60" t="e">
            <v>#N/A</v>
          </cell>
          <cell r="H60" t="e">
            <v>#N/A</v>
          </cell>
          <cell r="I60" t="e">
            <v>#N/A</v>
          </cell>
          <cell r="J60" t="e">
            <v>#N/A</v>
          </cell>
          <cell r="K60" t="e">
            <v>#N/A</v>
          </cell>
          <cell r="L60" t="e">
            <v>#N/A</v>
          </cell>
          <cell r="M60" t="e">
            <v>#N/A</v>
          </cell>
          <cell r="N60" t="e">
            <v>#N/A</v>
          </cell>
          <cell r="O60" t="e">
            <v>#N/A</v>
          </cell>
          <cell r="P60">
            <v>58.29</v>
          </cell>
          <cell r="Q60">
            <v>5.9253260000000001</v>
          </cell>
          <cell r="R60" t="e">
            <v>#N/A</v>
          </cell>
          <cell r="S60" t="str">
            <v>Curr-Lower</v>
          </cell>
          <cell r="T60">
            <v>34.57</v>
          </cell>
          <cell r="U60">
            <v>0.1366403162055336</v>
          </cell>
          <cell r="AI60" t="str">
            <v>CAD Canadian Dollars</v>
          </cell>
          <cell r="AJ60" t="str">
            <v>C$</v>
          </cell>
          <cell r="AK60" t="str">
            <v>CAD</v>
          </cell>
          <cell r="AL60" t="str">
            <v>CAD</v>
          </cell>
          <cell r="AM60">
            <v>0</v>
          </cell>
          <cell r="AN60">
            <v>2</v>
          </cell>
        </row>
        <row r="61">
          <cell r="A61">
            <v>39240</v>
          </cell>
          <cell r="B61">
            <v>39240</v>
          </cell>
          <cell r="C61" t="str">
            <v>Past</v>
          </cell>
          <cell r="D61">
            <v>56.93</v>
          </cell>
          <cell r="E61" t="e">
            <v>#N/A</v>
          </cell>
          <cell r="F61" t="e">
            <v>#N/A</v>
          </cell>
          <cell r="G61" t="e">
            <v>#N/A</v>
          </cell>
          <cell r="H61" t="e">
            <v>#N/A</v>
          </cell>
          <cell r="I61" t="e">
            <v>#N/A</v>
          </cell>
          <cell r="J61" t="e">
            <v>#N/A</v>
          </cell>
          <cell r="K61" t="e">
            <v>#N/A</v>
          </cell>
          <cell r="L61" t="e">
            <v>#N/A</v>
          </cell>
          <cell r="M61" t="e">
            <v>#N/A</v>
          </cell>
          <cell r="N61" t="e">
            <v>#N/A</v>
          </cell>
          <cell r="O61" t="e">
            <v>#N/A</v>
          </cell>
          <cell r="P61">
            <v>56.93</v>
          </cell>
          <cell r="Q61">
            <v>12.169370000000001</v>
          </cell>
          <cell r="R61" t="e">
            <v>#N/A</v>
          </cell>
          <cell r="S61" t="str">
            <v>PriceFoundAt</v>
          </cell>
          <cell r="T61">
            <v>506</v>
          </cell>
          <cell r="AI61" t="str">
            <v>CHF Swiss Francs</v>
          </cell>
          <cell r="AJ61" t="str">
            <v>SFr</v>
          </cell>
          <cell r="AK61" t="str">
            <v>CHF</v>
          </cell>
          <cell r="AL61" t="str">
            <v>CHF</v>
          </cell>
          <cell r="AM61">
            <v>0</v>
          </cell>
          <cell r="AN61">
            <v>2</v>
          </cell>
        </row>
        <row r="62">
          <cell r="A62">
            <v>39241</v>
          </cell>
          <cell r="B62">
            <v>39241</v>
          </cell>
          <cell r="C62" t="str">
            <v>Past</v>
          </cell>
          <cell r="D62">
            <v>57.02</v>
          </cell>
          <cell r="E62" t="e">
            <v>#N/A</v>
          </cell>
          <cell r="F62" t="e">
            <v>#N/A</v>
          </cell>
          <cell r="G62" t="e">
            <v>#N/A</v>
          </cell>
          <cell r="H62" t="e">
            <v>#N/A</v>
          </cell>
          <cell r="I62" t="e">
            <v>#N/A</v>
          </cell>
          <cell r="J62" t="e">
            <v>#N/A</v>
          </cell>
          <cell r="K62" t="e">
            <v>#N/A</v>
          </cell>
          <cell r="L62" t="e">
            <v>#N/A</v>
          </cell>
          <cell r="M62" t="e">
            <v>#N/A</v>
          </cell>
          <cell r="N62" t="e">
            <v>#N/A</v>
          </cell>
          <cell r="O62" t="e">
            <v>#N/A</v>
          </cell>
          <cell r="P62">
            <v>57.02</v>
          </cell>
          <cell r="Q62">
            <v>6.9949000000000003</v>
          </cell>
          <cell r="R62" t="e">
            <v>#N/A</v>
          </cell>
          <cell r="S62" t="str">
            <v>Starting Point</v>
          </cell>
          <cell r="T62">
            <v>559</v>
          </cell>
          <cell r="AI62" t="str">
            <v>CLP Chilean Pesos</v>
          </cell>
          <cell r="AJ62" t="str">
            <v>CLP</v>
          </cell>
          <cell r="AK62" t="str">
            <v>CLP</v>
          </cell>
          <cell r="AL62" t="str">
            <v>CLP</v>
          </cell>
          <cell r="AM62">
            <v>0</v>
          </cell>
          <cell r="AN62">
            <v>2</v>
          </cell>
        </row>
        <row r="63">
          <cell r="A63">
            <v>39244</v>
          </cell>
          <cell r="B63">
            <v>39244</v>
          </cell>
          <cell r="C63" t="str">
            <v>Past</v>
          </cell>
          <cell r="D63">
            <v>57.31</v>
          </cell>
          <cell r="E63" t="e">
            <v>#N/A</v>
          </cell>
          <cell r="F63" t="e">
            <v>#N/A</v>
          </cell>
          <cell r="G63" t="e">
            <v>#N/A</v>
          </cell>
          <cell r="H63" t="e">
            <v>#N/A</v>
          </cell>
          <cell r="I63" t="e">
            <v>#N/A</v>
          </cell>
          <cell r="J63" t="e">
            <v>#N/A</v>
          </cell>
          <cell r="K63" t="e">
            <v>#N/A</v>
          </cell>
          <cell r="L63" t="e">
            <v>#N/A</v>
          </cell>
          <cell r="M63" t="e">
            <v>#N/A</v>
          </cell>
          <cell r="N63" t="e">
            <v>#N/A</v>
          </cell>
          <cell r="O63" t="e">
            <v>#N/A</v>
          </cell>
          <cell r="P63">
            <v>57.31</v>
          </cell>
          <cell r="Q63">
            <v>4.9519529999999996</v>
          </cell>
          <cell r="R63" t="e">
            <v>#N/A</v>
          </cell>
          <cell r="S63" t="str">
            <v>Saved</v>
          </cell>
          <cell r="T63">
            <v>253</v>
          </cell>
          <cell r="AI63" t="str">
            <v>CNY Chinese Renminbi Yuan</v>
          </cell>
          <cell r="AJ63" t="str">
            <v>Rmb</v>
          </cell>
          <cell r="AK63" t="str">
            <v>CNY</v>
          </cell>
          <cell r="AL63" t="str">
            <v>CNY</v>
          </cell>
          <cell r="AM63">
            <v>0</v>
          </cell>
          <cell r="AN63">
            <v>2</v>
          </cell>
        </row>
        <row r="64">
          <cell r="A64">
            <v>39245</v>
          </cell>
          <cell r="B64">
            <v>39245</v>
          </cell>
          <cell r="C64" t="str">
            <v>Past</v>
          </cell>
          <cell r="D64">
            <v>56.78</v>
          </cell>
          <cell r="E64" t="e">
            <v>#N/A</v>
          </cell>
          <cell r="F64" t="e">
            <v>#N/A</v>
          </cell>
          <cell r="G64" t="e">
            <v>#N/A</v>
          </cell>
          <cell r="H64" t="e">
            <v>#N/A</v>
          </cell>
          <cell r="I64" t="e">
            <v>#N/A</v>
          </cell>
          <cell r="J64" t="e">
            <v>#N/A</v>
          </cell>
          <cell r="K64" t="e">
            <v>#N/A</v>
          </cell>
          <cell r="L64" t="e">
            <v>#N/A</v>
          </cell>
          <cell r="M64" t="e">
            <v>#N/A</v>
          </cell>
          <cell r="N64" t="e">
            <v>#N/A</v>
          </cell>
          <cell r="O64" t="e">
            <v>#N/A</v>
          </cell>
          <cell r="P64">
            <v>56.78</v>
          </cell>
          <cell r="Q64">
            <v>4.3268789999999999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39246</v>
          </cell>
          <cell r="B65">
            <v>39246</v>
          </cell>
          <cell r="C65" t="str">
            <v>Past</v>
          </cell>
          <cell r="D65">
            <v>56.94</v>
          </cell>
          <cell r="E65" t="e">
            <v>#N/A</v>
          </cell>
          <cell r="F65" t="e">
            <v>#N/A</v>
          </cell>
          <cell r="G65" t="e">
            <v>#N/A</v>
          </cell>
          <cell r="H65" t="e">
            <v>#N/A</v>
          </cell>
          <cell r="I65" t="e">
            <v>#N/A</v>
          </cell>
          <cell r="J65" t="e">
            <v>#N/A</v>
          </cell>
          <cell r="K65" t="e">
            <v>#N/A</v>
          </cell>
          <cell r="L65" t="e">
            <v>#N/A</v>
          </cell>
          <cell r="M65" t="e">
            <v>#N/A</v>
          </cell>
          <cell r="N65" t="e">
            <v>#N/A</v>
          </cell>
          <cell r="O65" t="e">
            <v>#N/A</v>
          </cell>
          <cell r="P65">
            <v>56.94</v>
          </cell>
          <cell r="Q65">
            <v>5.7039999999999997</v>
          </cell>
          <cell r="R65" t="e">
            <v>#N/A</v>
          </cell>
          <cell r="S65" t="str">
            <v>Decimal</v>
          </cell>
          <cell r="T65">
            <v>2</v>
          </cell>
          <cell r="AI65" t="str">
            <v>CZK Czech Krona</v>
          </cell>
          <cell r="AJ65" t="str">
            <v>Kcs</v>
          </cell>
          <cell r="AK65" t="str">
            <v>CZK</v>
          </cell>
          <cell r="AL65" t="str">
            <v>CZK</v>
          </cell>
          <cell r="AM65">
            <v>0</v>
          </cell>
          <cell r="AN65">
            <v>2</v>
          </cell>
        </row>
        <row r="66">
          <cell r="A66">
            <v>39247</v>
          </cell>
          <cell r="B66">
            <v>39247</v>
          </cell>
          <cell r="C66" t="str">
            <v>Past</v>
          </cell>
          <cell r="D66">
            <v>57.38</v>
          </cell>
          <cell r="E66" t="e">
            <v>#N/A</v>
          </cell>
          <cell r="F66" t="e">
            <v>#N/A</v>
          </cell>
          <cell r="G66" t="e">
            <v>#N/A</v>
          </cell>
          <cell r="H66" t="e">
            <v>#N/A</v>
          </cell>
          <cell r="I66" t="e">
            <v>#N/A</v>
          </cell>
          <cell r="J66" t="e">
            <v>#N/A</v>
          </cell>
          <cell r="K66" t="e">
            <v>#N/A</v>
          </cell>
          <cell r="L66" t="e">
            <v>#N/A</v>
          </cell>
          <cell r="M66" t="e">
            <v>#N/A</v>
          </cell>
          <cell r="N66" t="e">
            <v>#N/A</v>
          </cell>
          <cell r="O66" t="e">
            <v>#N/A</v>
          </cell>
          <cell r="P66">
            <v>57.38</v>
          </cell>
          <cell r="Q66">
            <v>4.8296600000000005</v>
          </cell>
          <cell r="R66" t="e">
            <v>#N/A</v>
          </cell>
          <cell r="S66" t="str">
            <v>default StartDate</v>
          </cell>
          <cell r="T66">
            <v>39231</v>
          </cell>
          <cell r="AI66" t="str">
            <v>DKK Danish Krone</v>
          </cell>
          <cell r="AJ66" t="str">
            <v>DKr</v>
          </cell>
          <cell r="AK66" t="str">
            <v>DKK</v>
          </cell>
          <cell r="AL66" t="str">
            <v>DKK</v>
          </cell>
          <cell r="AM66">
            <v>0</v>
          </cell>
          <cell r="AN66">
            <v>2</v>
          </cell>
        </row>
        <row r="67">
          <cell r="A67">
            <v>39248</v>
          </cell>
          <cell r="B67">
            <v>39248</v>
          </cell>
          <cell r="C67" t="str">
            <v>Past</v>
          </cell>
          <cell r="D67">
            <v>57.72</v>
          </cell>
          <cell r="E67" t="e">
            <v>#N/A</v>
          </cell>
          <cell r="F67" t="e">
            <v>#N/A</v>
          </cell>
          <cell r="G67" t="e">
            <v>#N/A</v>
          </cell>
          <cell r="H67" t="e">
            <v>#N/A</v>
          </cell>
          <cell r="I67" t="e">
            <v>#N/A</v>
          </cell>
          <cell r="J67" t="e">
            <v>#N/A</v>
          </cell>
          <cell r="K67" t="e">
            <v>#N/A</v>
          </cell>
          <cell r="L67" t="e">
            <v>#N/A</v>
          </cell>
          <cell r="M67" t="e">
            <v>#N/A</v>
          </cell>
          <cell r="N67" t="e">
            <v>#N/A</v>
          </cell>
          <cell r="O67" t="e">
            <v>#N/A</v>
          </cell>
          <cell r="P67">
            <v>57.72</v>
          </cell>
          <cell r="Q67">
            <v>4.9392000000000005</v>
          </cell>
          <cell r="R67" t="e">
            <v>#N/A</v>
          </cell>
          <cell r="S67" t="str">
            <v>default EndDate</v>
          </cell>
          <cell r="T67">
            <v>40327</v>
          </cell>
          <cell r="AI67" t="str">
            <v>DZD Algerian Dinar</v>
          </cell>
          <cell r="AJ67" t="str">
            <v>DZD</v>
          </cell>
          <cell r="AK67" t="str">
            <v>DZD</v>
          </cell>
          <cell r="AL67" t="str">
            <v>DZD</v>
          </cell>
          <cell r="AM67">
            <v>0</v>
          </cell>
          <cell r="AN67">
            <v>2</v>
          </cell>
        </row>
        <row r="68">
          <cell r="A68">
            <v>39251</v>
          </cell>
          <cell r="B68">
            <v>39251</v>
          </cell>
          <cell r="C68" t="str">
            <v>Past</v>
          </cell>
          <cell r="D68">
            <v>57.41</v>
          </cell>
          <cell r="E68" t="e">
            <v>#N/A</v>
          </cell>
          <cell r="F68" t="e">
            <v>#N/A</v>
          </cell>
          <cell r="G68" t="e">
            <v>#N/A</v>
          </cell>
          <cell r="H68" t="e">
            <v>#N/A</v>
          </cell>
          <cell r="I68" t="e">
            <v>#N/A</v>
          </cell>
          <cell r="J68" t="e">
            <v>#N/A</v>
          </cell>
          <cell r="K68" t="e">
            <v>#N/A</v>
          </cell>
          <cell r="L68" t="e">
            <v>#N/A</v>
          </cell>
          <cell r="M68" t="e">
            <v>#N/A</v>
          </cell>
          <cell r="N68" t="e">
            <v>#N/A</v>
          </cell>
          <cell r="O68" t="e">
            <v>#N/A</v>
          </cell>
          <cell r="P68">
            <v>57.41</v>
          </cell>
          <cell r="Q68">
            <v>3.0452239999999997</v>
          </cell>
          <cell r="R68" t="e">
            <v>#N/A</v>
          </cell>
          <cell r="S68" t="str">
            <v>Max sharePrice</v>
          </cell>
          <cell r="T68">
            <v>59.47</v>
          </cell>
          <cell r="AI68" t="str">
            <v>EGP Egyptian Pound</v>
          </cell>
          <cell r="AJ68" t="str">
            <v>EGP</v>
          </cell>
          <cell r="AK68" t="str">
            <v>EGP</v>
          </cell>
          <cell r="AL68" t="str">
            <v>EGP</v>
          </cell>
          <cell r="AM68">
            <v>0</v>
          </cell>
          <cell r="AN68">
            <v>2</v>
          </cell>
        </row>
        <row r="69">
          <cell r="A69">
            <v>39252</v>
          </cell>
          <cell r="B69">
            <v>39252</v>
          </cell>
          <cell r="C69" t="str">
            <v>Past</v>
          </cell>
          <cell r="D69">
            <v>57.75</v>
          </cell>
          <cell r="E69" t="e">
            <v>#N/A</v>
          </cell>
          <cell r="F69" t="e">
            <v>#N/A</v>
          </cell>
          <cell r="G69" t="e">
            <v>#N/A</v>
          </cell>
          <cell r="H69" t="e">
            <v>#N/A</v>
          </cell>
          <cell r="I69" t="e">
            <v>#N/A</v>
          </cell>
          <cell r="J69" t="e">
            <v>#N/A</v>
          </cell>
          <cell r="K69" t="e">
            <v>#N/A</v>
          </cell>
          <cell r="L69" t="e">
            <v>#N/A</v>
          </cell>
          <cell r="M69" t="e">
            <v>#N/A</v>
          </cell>
          <cell r="N69" t="e">
            <v>#N/A</v>
          </cell>
          <cell r="O69" t="e">
            <v>#N/A</v>
          </cell>
          <cell r="P69">
            <v>57.75</v>
          </cell>
          <cell r="Q69">
            <v>4.1207600000000006</v>
          </cell>
          <cell r="R69" t="e">
            <v>#N/A</v>
          </cell>
          <cell r="AI69" t="str">
            <v>EUR Euro</v>
          </cell>
          <cell r="AJ69" t="str">
            <v>€</v>
          </cell>
          <cell r="AK69" t="str">
            <v>EUR</v>
          </cell>
          <cell r="AL69" t="str">
            <v>EUR</v>
          </cell>
          <cell r="AM69">
            <v>0</v>
          </cell>
          <cell r="AN69">
            <v>2</v>
          </cell>
        </row>
        <row r="70">
          <cell r="A70">
            <v>39253</v>
          </cell>
          <cell r="B70">
            <v>39253</v>
          </cell>
          <cell r="C70" t="str">
            <v>Past</v>
          </cell>
          <cell r="D70">
            <v>56.77</v>
          </cell>
          <cell r="E70" t="e">
            <v>#N/A</v>
          </cell>
          <cell r="F70" t="e">
            <v>#N/A</v>
          </cell>
          <cell r="G70" t="e">
            <v>#N/A</v>
          </cell>
          <cell r="H70" t="e">
            <v>#N/A</v>
          </cell>
          <cell r="I70" t="e">
            <v>#N/A</v>
          </cell>
          <cell r="J70" t="e">
            <v>#N/A</v>
          </cell>
          <cell r="K70" t="e">
            <v>#N/A</v>
          </cell>
          <cell r="L70" t="e">
            <v>#N/A</v>
          </cell>
          <cell r="M70" t="e">
            <v>#N/A</v>
          </cell>
          <cell r="N70" t="e">
            <v>#N/A</v>
          </cell>
          <cell r="O70" t="e">
            <v>#N/A</v>
          </cell>
          <cell r="P70">
            <v>56.77</v>
          </cell>
          <cell r="Q70">
            <v>4.8172000000000006</v>
          </cell>
          <cell r="R70" t="e">
            <v>#N/A</v>
          </cell>
          <cell r="AI70" t="str">
            <v>GBp British Pence</v>
          </cell>
          <cell r="AJ70" t="str">
            <v>p</v>
          </cell>
          <cell r="AK70" t="str">
            <v>GBp</v>
          </cell>
          <cell r="AL70" t="str">
            <v>GBX</v>
          </cell>
          <cell r="AM70">
            <v>1</v>
          </cell>
          <cell r="AN70">
            <v>0</v>
          </cell>
        </row>
        <row r="71">
          <cell r="A71">
            <v>39254</v>
          </cell>
          <cell r="B71">
            <v>39254</v>
          </cell>
          <cell r="C71" t="str">
            <v>Past</v>
          </cell>
          <cell r="D71">
            <v>56.81</v>
          </cell>
          <cell r="E71" t="e">
            <v>#N/A</v>
          </cell>
          <cell r="F71" t="e">
            <v>#N/A</v>
          </cell>
          <cell r="G71" t="e">
            <v>#N/A</v>
          </cell>
          <cell r="H71" t="e">
            <v>#N/A</v>
          </cell>
          <cell r="I71" t="e">
            <v>#N/A</v>
          </cell>
          <cell r="J71" t="e">
            <v>#N/A</v>
          </cell>
          <cell r="K71" t="e">
            <v>#N/A</v>
          </cell>
          <cell r="L71" t="e">
            <v>#N/A</v>
          </cell>
          <cell r="M71" t="e">
            <v>#N/A</v>
          </cell>
          <cell r="N71" t="e">
            <v>#N/A</v>
          </cell>
          <cell r="O71" t="e">
            <v>#N/A</v>
          </cell>
          <cell r="P71">
            <v>56.81</v>
          </cell>
          <cell r="Q71">
            <v>4.1069849999999999</v>
          </cell>
          <cell r="R71" t="e">
            <v>#N/A</v>
          </cell>
          <cell r="AI71" t="str">
            <v>GBP British Pound</v>
          </cell>
          <cell r="AJ71" t="str">
            <v>₤</v>
          </cell>
          <cell r="AK71" t="str">
            <v>GBP</v>
          </cell>
          <cell r="AL71" t="str">
            <v>GBP</v>
          </cell>
          <cell r="AM71">
            <v>0</v>
          </cell>
          <cell r="AN71">
            <v>2</v>
          </cell>
        </row>
        <row r="72">
          <cell r="A72">
            <v>39255</v>
          </cell>
          <cell r="B72">
            <v>39255</v>
          </cell>
          <cell r="C72" t="str">
            <v>Past</v>
          </cell>
          <cell r="D72">
            <v>55.8</v>
          </cell>
          <cell r="E72" t="e">
            <v>#N/A</v>
          </cell>
          <cell r="F72" t="e">
            <v>#N/A</v>
          </cell>
          <cell r="G72" t="e">
            <v>#N/A</v>
          </cell>
          <cell r="H72" t="e">
            <v>#N/A</v>
          </cell>
          <cell r="I72" t="e">
            <v>#N/A</v>
          </cell>
          <cell r="J72" t="e">
            <v>#N/A</v>
          </cell>
          <cell r="K72" t="e">
            <v>#N/A</v>
          </cell>
          <cell r="L72" t="e">
            <v>#N/A</v>
          </cell>
          <cell r="M72" t="e">
            <v>#N/A</v>
          </cell>
          <cell r="N72" t="e">
            <v>#N/A</v>
          </cell>
          <cell r="O72" t="e">
            <v>#N/A</v>
          </cell>
          <cell r="P72">
            <v>55.8</v>
          </cell>
          <cell r="Q72">
            <v>5.7042630000000001</v>
          </cell>
          <cell r="R72" t="e">
            <v>#N/A</v>
          </cell>
          <cell r="AI72" t="str">
            <v>HKD Hong Kong Dollar</v>
          </cell>
          <cell r="AJ72" t="str">
            <v>HK$</v>
          </cell>
          <cell r="AK72" t="str">
            <v>HKD</v>
          </cell>
          <cell r="AL72" t="str">
            <v>HKD</v>
          </cell>
          <cell r="AM72">
            <v>0</v>
          </cell>
          <cell r="AN72">
            <v>2</v>
          </cell>
        </row>
        <row r="73">
          <cell r="A73">
            <v>39258</v>
          </cell>
          <cell r="B73">
            <v>39258</v>
          </cell>
          <cell r="C73" t="str">
            <v>Past</v>
          </cell>
          <cell r="D73">
            <v>55.48</v>
          </cell>
          <cell r="E73" t="e">
            <v>#N/A</v>
          </cell>
          <cell r="F73" t="e">
            <v>#N/A</v>
          </cell>
          <cell r="G73" t="e">
            <v>#N/A</v>
          </cell>
          <cell r="H73" t="e">
            <v>#N/A</v>
          </cell>
          <cell r="I73" t="e">
            <v>#N/A</v>
          </cell>
          <cell r="J73" t="e">
            <v>#N/A</v>
          </cell>
          <cell r="K73" t="e">
            <v>#N/A</v>
          </cell>
          <cell r="L73" t="e">
            <v>#N/A</v>
          </cell>
          <cell r="M73" t="e">
            <v>#N/A</v>
          </cell>
          <cell r="N73" t="e">
            <v>#N/A</v>
          </cell>
          <cell r="O73" t="e">
            <v>#N/A</v>
          </cell>
          <cell r="P73">
            <v>55.48</v>
          </cell>
          <cell r="Q73">
            <v>5.9312959999999997</v>
          </cell>
          <cell r="R73" t="e">
            <v>#N/A</v>
          </cell>
          <cell r="AI73" t="str">
            <v>HUF Hungarian forint</v>
          </cell>
          <cell r="AJ73" t="str">
            <v>Ft</v>
          </cell>
          <cell r="AK73" t="str">
            <v>HUF</v>
          </cell>
          <cell r="AL73" t="str">
            <v>HUF</v>
          </cell>
          <cell r="AM73">
            <v>0</v>
          </cell>
          <cell r="AN73">
            <v>2</v>
          </cell>
        </row>
        <row r="74">
          <cell r="A74">
            <v>39259</v>
          </cell>
          <cell r="B74">
            <v>39259</v>
          </cell>
          <cell r="C74" t="str">
            <v>Past</v>
          </cell>
          <cell r="D74">
            <v>55.87</v>
          </cell>
          <cell r="E74" t="e">
            <v>#N/A</v>
          </cell>
          <cell r="F74" t="e">
            <v>#N/A</v>
          </cell>
          <cell r="G74" t="e">
            <v>#N/A</v>
          </cell>
          <cell r="H74" t="e">
            <v>#N/A</v>
          </cell>
          <cell r="I74" t="e">
            <v>#N/A</v>
          </cell>
          <cell r="J74" t="e">
            <v>#N/A</v>
          </cell>
          <cell r="K74" t="e">
            <v>#N/A</v>
          </cell>
          <cell r="L74" t="e">
            <v>#N/A</v>
          </cell>
          <cell r="M74" t="e">
            <v>#N/A</v>
          </cell>
          <cell r="N74" t="e">
            <v>#N/A</v>
          </cell>
          <cell r="O74" t="e">
            <v>#N/A</v>
          </cell>
          <cell r="P74">
            <v>55.87</v>
          </cell>
          <cell r="Q74">
            <v>4.9879259999999999</v>
          </cell>
          <cell r="R74" t="e">
            <v>#N/A</v>
          </cell>
          <cell r="AI74" t="str">
            <v>IDR Indonesian Rupiah</v>
          </cell>
          <cell r="AJ74" t="str">
            <v>Rp</v>
          </cell>
          <cell r="AK74" t="str">
            <v>IDR</v>
          </cell>
          <cell r="AL74" t="str">
            <v>IDR</v>
          </cell>
          <cell r="AM74">
            <v>0</v>
          </cell>
          <cell r="AN74">
            <v>0</v>
          </cell>
        </row>
        <row r="75">
          <cell r="A75">
            <v>39260</v>
          </cell>
          <cell r="B75">
            <v>39260</v>
          </cell>
          <cell r="C75" t="str">
            <v>Past</v>
          </cell>
          <cell r="D75">
            <v>56.32</v>
          </cell>
          <cell r="E75" t="e">
            <v>#N/A</v>
          </cell>
          <cell r="F75" t="e">
            <v>#N/A</v>
          </cell>
          <cell r="G75" t="e">
            <v>#N/A</v>
          </cell>
          <cell r="H75" t="e">
            <v>#N/A</v>
          </cell>
          <cell r="I75" t="e">
            <v>#N/A</v>
          </cell>
          <cell r="J75" t="e">
            <v>#N/A</v>
          </cell>
          <cell r="K75" t="e">
            <v>#N/A</v>
          </cell>
          <cell r="L75" t="e">
            <v>#N/A</v>
          </cell>
          <cell r="M75" t="e">
            <v>#N/A</v>
          </cell>
          <cell r="N75" t="e">
            <v>#N/A</v>
          </cell>
          <cell r="O75" t="e">
            <v>#N/A</v>
          </cell>
          <cell r="P75">
            <v>56.32</v>
          </cell>
          <cell r="Q75">
            <v>5.0994830000000002</v>
          </cell>
          <cell r="R75" t="e">
            <v>#N/A</v>
          </cell>
          <cell r="AI75" t="str">
            <v>ILS Israeli shekel</v>
          </cell>
          <cell r="AJ75" t="str">
            <v>ILS</v>
          </cell>
          <cell r="AK75" t="str">
            <v>ILS</v>
          </cell>
          <cell r="AL75" t="str">
            <v>ILS</v>
          </cell>
          <cell r="AM75">
            <v>0</v>
          </cell>
          <cell r="AN75">
            <v>2</v>
          </cell>
        </row>
        <row r="76">
          <cell r="A76">
            <v>39261</v>
          </cell>
          <cell r="B76">
            <v>39261</v>
          </cell>
          <cell r="C76" t="str">
            <v>Past</v>
          </cell>
          <cell r="D76">
            <v>56.18</v>
          </cell>
          <cell r="E76" t="e">
            <v>#N/A</v>
          </cell>
          <cell r="F76" t="e">
            <v>#N/A</v>
          </cell>
          <cell r="G76" t="e">
            <v>#N/A</v>
          </cell>
          <cell r="H76" t="e">
            <v>#N/A</v>
          </cell>
          <cell r="I76" t="e">
            <v>#N/A</v>
          </cell>
          <cell r="J76" t="e">
            <v>#N/A</v>
          </cell>
          <cell r="K76" t="e">
            <v>#N/A</v>
          </cell>
          <cell r="L76" t="e">
            <v>#N/A</v>
          </cell>
          <cell r="M76" t="e">
            <v>#N/A</v>
          </cell>
          <cell r="N76" t="e">
            <v>#N/A</v>
          </cell>
          <cell r="O76" t="e">
            <v>#N/A</v>
          </cell>
          <cell r="P76">
            <v>56.18</v>
          </cell>
          <cell r="Q76">
            <v>3.4167700000000001</v>
          </cell>
          <cell r="R76" t="e">
            <v>#N/A</v>
          </cell>
          <cell r="AI76" t="str">
            <v>INR Indian Rupee</v>
          </cell>
          <cell r="AJ76" t="str">
            <v>Rs.</v>
          </cell>
          <cell r="AK76" t="str">
            <v>INR</v>
          </cell>
          <cell r="AL76" t="str">
            <v>INR</v>
          </cell>
          <cell r="AM76">
            <v>0</v>
          </cell>
          <cell r="AN76">
            <v>2</v>
          </cell>
        </row>
        <row r="77">
          <cell r="A77">
            <v>39262</v>
          </cell>
          <cell r="B77">
            <v>39262</v>
          </cell>
          <cell r="C77" t="str">
            <v>Past</v>
          </cell>
          <cell r="D77">
            <v>55.88</v>
          </cell>
          <cell r="E77" t="e">
            <v>#N/A</v>
          </cell>
          <cell r="F77" t="e">
            <v>#N/A</v>
          </cell>
          <cell r="G77" t="e">
            <v>#N/A</v>
          </cell>
          <cell r="H77" t="e">
            <v>#N/A</v>
          </cell>
          <cell r="I77" t="e">
            <v>#N/A</v>
          </cell>
          <cell r="J77" t="e">
            <v>#N/A</v>
          </cell>
          <cell r="K77" t="e">
            <v>#N/A</v>
          </cell>
          <cell r="L77" t="e">
            <v>#N/A</v>
          </cell>
          <cell r="M77" t="e">
            <v>#N/A</v>
          </cell>
          <cell r="N77" t="e">
            <v>#N/A</v>
          </cell>
          <cell r="O77" t="e">
            <v>#N/A</v>
          </cell>
          <cell r="P77">
            <v>55.88</v>
          </cell>
          <cell r="Q77">
            <v>4.4103110000000001</v>
          </cell>
          <cell r="R77" t="e">
            <v>#N/A</v>
          </cell>
          <cell r="AI77" t="str">
            <v>IQD Iraqi Dinar</v>
          </cell>
          <cell r="AJ77" t="str">
            <v>IQD</v>
          </cell>
          <cell r="AK77" t="str">
            <v>IQD</v>
          </cell>
          <cell r="AL77" t="str">
            <v>IQD</v>
          </cell>
          <cell r="AM77">
            <v>0</v>
          </cell>
          <cell r="AN77">
            <v>2</v>
          </cell>
        </row>
        <row r="78">
          <cell r="A78">
            <v>39265</v>
          </cell>
          <cell r="B78">
            <v>39265</v>
          </cell>
          <cell r="C78" t="str">
            <v>Past</v>
          </cell>
          <cell r="D78">
            <v>56.73</v>
          </cell>
          <cell r="E78" t="e">
            <v>#N/A</v>
          </cell>
          <cell r="F78" t="e">
            <v>#N/A</v>
          </cell>
          <cell r="G78" t="e">
            <v>#N/A</v>
          </cell>
          <cell r="H78" t="e">
            <v>#N/A</v>
          </cell>
          <cell r="I78" t="e">
            <v>#N/A</v>
          </cell>
          <cell r="J78" t="e">
            <v>#N/A</v>
          </cell>
          <cell r="K78" t="e">
            <v>#N/A</v>
          </cell>
          <cell r="L78" t="e">
            <v>#N/A</v>
          </cell>
          <cell r="M78" t="e">
            <v>#N/A</v>
          </cell>
          <cell r="N78" t="e">
            <v>#N/A</v>
          </cell>
          <cell r="O78" t="e">
            <v>#N/A</v>
          </cell>
          <cell r="P78">
            <v>56.73</v>
          </cell>
          <cell r="Q78">
            <v>3.6108500000000001</v>
          </cell>
          <cell r="R78" t="e">
            <v>#N/A</v>
          </cell>
          <cell r="AI78" t="str">
            <v>IRR Iranian Rial</v>
          </cell>
          <cell r="AJ78" t="str">
            <v>IRR</v>
          </cell>
          <cell r="AK78" t="str">
            <v>IRR</v>
          </cell>
          <cell r="AL78" t="str">
            <v>IRR</v>
          </cell>
          <cell r="AM78">
            <v>0</v>
          </cell>
          <cell r="AN78">
            <v>2</v>
          </cell>
        </row>
        <row r="79">
          <cell r="A79">
            <v>39266</v>
          </cell>
          <cell r="B79">
            <v>39266</v>
          </cell>
          <cell r="C79" t="str">
            <v>Past</v>
          </cell>
          <cell r="D79">
            <v>56.79</v>
          </cell>
          <cell r="E79" t="e">
            <v>#N/A</v>
          </cell>
          <cell r="F79" t="e">
            <v>#N/A</v>
          </cell>
          <cell r="G79" t="e">
            <v>#N/A</v>
          </cell>
          <cell r="H79" t="e">
            <v>#N/A</v>
          </cell>
          <cell r="I79" t="e">
            <v>#N/A</v>
          </cell>
          <cell r="J79" t="e">
            <v>#N/A</v>
          </cell>
          <cell r="K79" t="e">
            <v>#N/A</v>
          </cell>
          <cell r="L79" t="e">
            <v>#N/A</v>
          </cell>
          <cell r="M79" t="e">
            <v>#N/A</v>
          </cell>
          <cell r="N79" t="e">
            <v>#N/A</v>
          </cell>
          <cell r="O79" t="e">
            <v>#N/A</v>
          </cell>
          <cell r="P79">
            <v>56.79</v>
          </cell>
          <cell r="Q79">
            <v>1.4956779999999998</v>
          </cell>
          <cell r="R79" t="e">
            <v>#N/A</v>
          </cell>
          <cell r="AI79" t="str">
            <v>ISK Iceland Krona</v>
          </cell>
          <cell r="AJ79" t="str">
            <v>kr</v>
          </cell>
          <cell r="AK79" t="str">
            <v>ISK</v>
          </cell>
          <cell r="AL79" t="str">
            <v>ISK</v>
          </cell>
          <cell r="AM79">
            <v>0</v>
          </cell>
          <cell r="AN79">
            <v>2</v>
          </cell>
        </row>
        <row r="80">
          <cell r="A80">
            <v>39268</v>
          </cell>
          <cell r="B80">
            <v>39268</v>
          </cell>
          <cell r="C80" t="str">
            <v>Past</v>
          </cell>
          <cell r="D80">
            <v>56.56</v>
          </cell>
          <cell r="E80" t="e">
            <v>#N/A</v>
          </cell>
          <cell r="F80" t="e">
            <v>#N/A</v>
          </cell>
          <cell r="G80" t="e">
            <v>#N/A</v>
          </cell>
          <cell r="H80" t="e">
            <v>#N/A</v>
          </cell>
          <cell r="I80" t="e">
            <v>#N/A</v>
          </cell>
          <cell r="J80" t="e">
            <v>#N/A</v>
          </cell>
          <cell r="K80" t="e">
            <v>#N/A</v>
          </cell>
          <cell r="L80" t="e">
            <v>#N/A</v>
          </cell>
          <cell r="M80" t="e">
            <v>#N/A</v>
          </cell>
          <cell r="N80" t="e">
            <v>#N/A</v>
          </cell>
          <cell r="O80" t="e">
            <v>#N/A</v>
          </cell>
          <cell r="P80">
            <v>56.56</v>
          </cell>
          <cell r="Q80">
            <v>2.675608</v>
          </cell>
          <cell r="R80" t="e">
            <v>#N/A</v>
          </cell>
          <cell r="AI80" t="str">
            <v>JMD Jamaican Dollars</v>
          </cell>
          <cell r="AJ80" t="str">
            <v>JMD</v>
          </cell>
          <cell r="AK80" t="str">
            <v>JMD</v>
          </cell>
          <cell r="AL80" t="str">
            <v>JMD</v>
          </cell>
          <cell r="AM80">
            <v>0</v>
          </cell>
          <cell r="AN80">
            <v>2</v>
          </cell>
        </row>
        <row r="81">
          <cell r="A81">
            <v>39269</v>
          </cell>
          <cell r="B81">
            <v>39269</v>
          </cell>
          <cell r="C81" t="str">
            <v>Past</v>
          </cell>
          <cell r="D81">
            <v>56.64</v>
          </cell>
          <cell r="E81" t="e">
            <v>#N/A</v>
          </cell>
          <cell r="F81" t="e">
            <v>#N/A</v>
          </cell>
          <cell r="G81" t="e">
            <v>#N/A</v>
          </cell>
          <cell r="H81" t="e">
            <v>#N/A</v>
          </cell>
          <cell r="I81" t="e">
            <v>#N/A</v>
          </cell>
          <cell r="J81" t="e">
            <v>#N/A</v>
          </cell>
          <cell r="K81" t="e">
            <v>#N/A</v>
          </cell>
          <cell r="L81" t="e">
            <v>#N/A</v>
          </cell>
          <cell r="M81" t="e">
            <v>#N/A</v>
          </cell>
          <cell r="N81" t="e">
            <v>#N/A</v>
          </cell>
          <cell r="O81" t="e">
            <v>#N/A</v>
          </cell>
          <cell r="P81">
            <v>56.64</v>
          </cell>
          <cell r="Q81">
            <v>3.3121</v>
          </cell>
          <cell r="R81" t="e">
            <v>#N/A</v>
          </cell>
          <cell r="AI81" t="str">
            <v>JPY Japanese Yen</v>
          </cell>
          <cell r="AJ81" t="str">
            <v>¥</v>
          </cell>
          <cell r="AK81" t="str">
            <v>JPY</v>
          </cell>
          <cell r="AL81" t="str">
            <v>JPY</v>
          </cell>
          <cell r="AM81">
            <v>0</v>
          </cell>
          <cell r="AN81">
            <v>0</v>
          </cell>
        </row>
        <row r="82">
          <cell r="A82">
            <v>39272</v>
          </cell>
          <cell r="B82">
            <v>39272</v>
          </cell>
          <cell r="C82" t="str">
            <v>Past</v>
          </cell>
          <cell r="D82">
            <v>56.04</v>
          </cell>
          <cell r="E82" t="e">
            <v>#N/A</v>
          </cell>
          <cell r="F82" t="e">
            <v>#N/A</v>
          </cell>
          <cell r="G82" t="e">
            <v>#N/A</v>
          </cell>
          <cell r="H82" t="e">
            <v>#N/A</v>
          </cell>
          <cell r="I82" t="e">
            <v>#N/A</v>
          </cell>
          <cell r="J82" t="e">
            <v>#N/A</v>
          </cell>
          <cell r="K82" t="e">
            <v>#N/A</v>
          </cell>
          <cell r="L82" t="e">
            <v>#N/A</v>
          </cell>
          <cell r="M82" t="e">
            <v>#N/A</v>
          </cell>
          <cell r="N82" t="e">
            <v>#N/A</v>
          </cell>
          <cell r="O82" t="e">
            <v>#N/A</v>
          </cell>
          <cell r="P82">
            <v>56.04</v>
          </cell>
          <cell r="Q82">
            <v>5.2831489999999999</v>
          </cell>
          <cell r="R82" t="e">
            <v>#N/A</v>
          </cell>
          <cell r="AI82" t="str">
            <v>KES Kenyan Shilling</v>
          </cell>
          <cell r="AJ82" t="str">
            <v>KES</v>
          </cell>
          <cell r="AK82" t="str">
            <v>KES</v>
          </cell>
          <cell r="AL82" t="str">
            <v>KES</v>
          </cell>
          <cell r="AM82">
            <v>0</v>
          </cell>
          <cell r="AN82">
            <v>0</v>
          </cell>
        </row>
        <row r="83">
          <cell r="A83">
            <v>39273</v>
          </cell>
          <cell r="B83">
            <v>39273</v>
          </cell>
          <cell r="C83" t="str">
            <v>Past</v>
          </cell>
          <cell r="D83">
            <v>55.44</v>
          </cell>
          <cell r="E83" t="e">
            <v>#N/A</v>
          </cell>
          <cell r="F83" t="e">
            <v>#N/A</v>
          </cell>
          <cell r="G83" t="e">
            <v>#N/A</v>
          </cell>
          <cell r="H83" t="e">
            <v>#N/A</v>
          </cell>
          <cell r="I83" t="e">
            <v>#N/A</v>
          </cell>
          <cell r="J83" t="e">
            <v>#N/A</v>
          </cell>
          <cell r="K83" t="e">
            <v>#N/A</v>
          </cell>
          <cell r="L83" t="e">
            <v>#N/A</v>
          </cell>
          <cell r="M83" t="e">
            <v>#N/A</v>
          </cell>
          <cell r="N83" t="e">
            <v>#N/A</v>
          </cell>
          <cell r="O83" t="e">
            <v>#N/A</v>
          </cell>
          <cell r="P83">
            <v>55.44</v>
          </cell>
          <cell r="Q83">
            <v>4.202</v>
          </cell>
          <cell r="R83" t="e">
            <v>#N/A</v>
          </cell>
          <cell r="AI83" t="str">
            <v>KRW South Korean Won</v>
          </cell>
          <cell r="AJ83" t="str">
            <v>₩</v>
          </cell>
          <cell r="AK83" t="str">
            <v>KRW</v>
          </cell>
          <cell r="AL83" t="str">
            <v>KRW</v>
          </cell>
          <cell r="AM83">
            <v>0</v>
          </cell>
          <cell r="AN83">
            <v>0</v>
          </cell>
        </row>
        <row r="84">
          <cell r="A84">
            <v>39274</v>
          </cell>
          <cell r="B84">
            <v>39274</v>
          </cell>
          <cell r="C84" t="str">
            <v>Past</v>
          </cell>
          <cell r="D84">
            <v>55.76</v>
          </cell>
          <cell r="E84" t="e">
            <v>#N/A</v>
          </cell>
          <cell r="F84" t="e">
            <v>#N/A</v>
          </cell>
          <cell r="G84" t="e">
            <v>#N/A</v>
          </cell>
          <cell r="H84" t="e">
            <v>#N/A</v>
          </cell>
          <cell r="I84" t="e">
            <v>#N/A</v>
          </cell>
          <cell r="J84" t="e">
            <v>#N/A</v>
          </cell>
          <cell r="K84" t="e">
            <v>#N/A</v>
          </cell>
          <cell r="L84" t="e">
            <v>#N/A</v>
          </cell>
          <cell r="M84" t="e">
            <v>#N/A</v>
          </cell>
          <cell r="N84" t="e">
            <v>#N/A</v>
          </cell>
          <cell r="O84" t="e">
            <v>#N/A</v>
          </cell>
          <cell r="P84">
            <v>55.76</v>
          </cell>
          <cell r="Q84">
            <v>3.5052000000000003</v>
          </cell>
          <cell r="R84" t="e">
            <v>#N/A</v>
          </cell>
          <cell r="AI84" t="str">
            <v>KWD Kuwaiti Dinar</v>
          </cell>
          <cell r="AJ84" t="str">
            <v>KWD</v>
          </cell>
          <cell r="AK84" t="str">
            <v>KWD</v>
          </cell>
          <cell r="AL84" t="str">
            <v>KWD</v>
          </cell>
          <cell r="AM84">
            <v>0</v>
          </cell>
          <cell r="AN84">
            <v>2</v>
          </cell>
        </row>
        <row r="85">
          <cell r="A85">
            <v>39275</v>
          </cell>
          <cell r="B85">
            <v>39275</v>
          </cell>
          <cell r="C85" t="str">
            <v>Past</v>
          </cell>
          <cell r="D85">
            <v>56.79</v>
          </cell>
          <cell r="E85" t="e">
            <v>#N/A</v>
          </cell>
          <cell r="F85" t="e">
            <v>#N/A</v>
          </cell>
          <cell r="G85" t="e">
            <v>#N/A</v>
          </cell>
          <cell r="H85" t="e">
            <v>#N/A</v>
          </cell>
          <cell r="I85" t="e">
            <v>#N/A</v>
          </cell>
          <cell r="J85" t="e">
            <v>#N/A</v>
          </cell>
          <cell r="K85" t="e">
            <v>#N/A</v>
          </cell>
          <cell r="L85" t="e">
            <v>#N/A</v>
          </cell>
          <cell r="M85" t="e">
            <v>#N/A</v>
          </cell>
          <cell r="N85" t="e">
            <v>#N/A</v>
          </cell>
          <cell r="O85" t="e">
            <v>#N/A</v>
          </cell>
          <cell r="P85">
            <v>56.79</v>
          </cell>
          <cell r="Q85">
            <v>4.2929500000000003</v>
          </cell>
          <cell r="R85" t="e">
            <v>#N/A</v>
          </cell>
          <cell r="AI85" t="str">
            <v>KYD Cayman Dollars</v>
          </cell>
          <cell r="AJ85" t="str">
            <v>KYD</v>
          </cell>
          <cell r="AK85" t="str">
            <v>KYD</v>
          </cell>
          <cell r="AL85" t="str">
            <v>KYD</v>
          </cell>
          <cell r="AM85">
            <v>0</v>
          </cell>
          <cell r="AN85">
            <v>2</v>
          </cell>
        </row>
        <row r="86">
          <cell r="A86">
            <v>39276</v>
          </cell>
          <cell r="B86">
            <v>39276</v>
          </cell>
          <cell r="C86" t="str">
            <v>Past</v>
          </cell>
          <cell r="D86">
            <v>56.92</v>
          </cell>
          <cell r="E86" t="e">
            <v>#N/A</v>
          </cell>
          <cell r="F86" t="e">
            <v>#N/A</v>
          </cell>
          <cell r="G86" t="e">
            <v>#N/A</v>
          </cell>
          <cell r="H86" t="e">
            <v>#N/A</v>
          </cell>
          <cell r="I86" t="e">
            <v>#N/A</v>
          </cell>
          <cell r="J86" t="e">
            <v>#N/A</v>
          </cell>
          <cell r="K86" t="e">
            <v>#N/A</v>
          </cell>
          <cell r="L86" t="e">
            <v>#N/A</v>
          </cell>
          <cell r="M86" t="e">
            <v>#N/A</v>
          </cell>
          <cell r="N86" t="e">
            <v>#N/A</v>
          </cell>
          <cell r="O86" t="e">
            <v>#N/A</v>
          </cell>
          <cell r="P86">
            <v>56.92</v>
          </cell>
          <cell r="Q86">
            <v>2.8940379999999997</v>
          </cell>
          <cell r="R86" t="e">
            <v>#N/A</v>
          </cell>
          <cell r="AI86" t="str">
            <v>LKR Sri Lankan Rupee</v>
          </cell>
          <cell r="AJ86" t="str">
            <v>LKR</v>
          </cell>
          <cell r="AK86" t="str">
            <v>LKR</v>
          </cell>
          <cell r="AL86" t="str">
            <v>LKR</v>
          </cell>
          <cell r="AM86">
            <v>0</v>
          </cell>
          <cell r="AN86">
            <v>2</v>
          </cell>
        </row>
        <row r="87">
          <cell r="A87">
            <v>39279</v>
          </cell>
          <cell r="B87">
            <v>39279</v>
          </cell>
          <cell r="C87" t="str">
            <v>Past</v>
          </cell>
          <cell r="D87">
            <v>56.89</v>
          </cell>
          <cell r="E87" t="e">
            <v>#N/A</v>
          </cell>
          <cell r="F87" t="e">
            <v>#N/A</v>
          </cell>
          <cell r="G87" t="e">
            <v>#N/A</v>
          </cell>
          <cell r="H87" t="e">
            <v>#N/A</v>
          </cell>
          <cell r="I87" t="e">
            <v>#N/A</v>
          </cell>
          <cell r="J87" t="e">
            <v>#N/A</v>
          </cell>
          <cell r="K87" t="e">
            <v>#N/A</v>
          </cell>
          <cell r="L87" t="e">
            <v>#N/A</v>
          </cell>
          <cell r="M87" t="e">
            <v>#N/A</v>
          </cell>
          <cell r="N87" t="e">
            <v>#N/A</v>
          </cell>
          <cell r="O87" t="e">
            <v>#N/A</v>
          </cell>
          <cell r="P87">
            <v>56.89</v>
          </cell>
          <cell r="Q87">
            <v>3.6032000000000002</v>
          </cell>
          <cell r="R87" t="e">
            <v>#N/A</v>
          </cell>
          <cell r="AI87" t="str">
            <v>MAD Moroccan Dirham</v>
          </cell>
          <cell r="AJ87" t="str">
            <v>MAD</v>
          </cell>
          <cell r="AK87" t="str">
            <v>MAD</v>
          </cell>
          <cell r="AL87" t="str">
            <v>MAD</v>
          </cell>
          <cell r="AM87">
            <v>0</v>
          </cell>
          <cell r="AN87">
            <v>2</v>
          </cell>
        </row>
        <row r="88">
          <cell r="A88">
            <v>39280</v>
          </cell>
          <cell r="B88">
            <v>39280</v>
          </cell>
          <cell r="C88" t="str">
            <v>Past</v>
          </cell>
          <cell r="D88">
            <v>56.4</v>
          </cell>
          <cell r="E88" t="e">
            <v>#N/A</v>
          </cell>
          <cell r="F88" t="e">
            <v>#N/A</v>
          </cell>
          <cell r="G88" t="e">
            <v>#N/A</v>
          </cell>
          <cell r="H88" t="e">
            <v>#N/A</v>
          </cell>
          <cell r="I88" t="e">
            <v>#N/A</v>
          </cell>
          <cell r="J88" t="e">
            <v>#N/A</v>
          </cell>
          <cell r="K88" t="e">
            <v>#N/A</v>
          </cell>
          <cell r="L88" t="e">
            <v>#N/A</v>
          </cell>
          <cell r="M88" t="e">
            <v>#N/A</v>
          </cell>
          <cell r="N88" t="e">
            <v>#N/A</v>
          </cell>
          <cell r="O88" t="e">
            <v>#N/A</v>
          </cell>
          <cell r="P88">
            <v>56.4</v>
          </cell>
          <cell r="Q88">
            <v>4.2957900000000002</v>
          </cell>
          <cell r="R88" t="e">
            <v>#N/A</v>
          </cell>
          <cell r="AI88" t="str">
            <v>MXN Mexican Pesos (new)</v>
          </cell>
          <cell r="AJ88" t="str">
            <v>M$</v>
          </cell>
          <cell r="AK88" t="str">
            <v>MXN</v>
          </cell>
          <cell r="AL88" t="str">
            <v>MXN</v>
          </cell>
          <cell r="AM88">
            <v>0</v>
          </cell>
          <cell r="AN88">
            <v>2</v>
          </cell>
        </row>
        <row r="89">
          <cell r="A89">
            <v>39281</v>
          </cell>
          <cell r="B89">
            <v>39281</v>
          </cell>
          <cell r="C89" t="str">
            <v>Past</v>
          </cell>
          <cell r="D89">
            <v>56.05</v>
          </cell>
          <cell r="E89" t="e">
            <v>#N/A</v>
          </cell>
          <cell r="F89" t="e">
            <v>#N/A</v>
          </cell>
          <cell r="G89" t="e">
            <v>#N/A</v>
          </cell>
          <cell r="H89" t="e">
            <v>#N/A</v>
          </cell>
          <cell r="I89" t="e">
            <v>#N/A</v>
          </cell>
          <cell r="J89" t="e">
            <v>#N/A</v>
          </cell>
          <cell r="K89" t="e">
            <v>#N/A</v>
          </cell>
          <cell r="L89" t="e">
            <v>#N/A</v>
          </cell>
          <cell r="M89" t="e">
            <v>#N/A</v>
          </cell>
          <cell r="N89" t="e">
            <v>#N/A</v>
          </cell>
          <cell r="O89" t="e">
            <v>#N/A</v>
          </cell>
          <cell r="P89">
            <v>56.05</v>
          </cell>
          <cell r="Q89">
            <v>5.4182290000000002</v>
          </cell>
          <cell r="R89" t="e">
            <v>#N/A</v>
          </cell>
          <cell r="AI89" t="str">
            <v>MYR Malaysian Ringgit</v>
          </cell>
          <cell r="AJ89" t="str">
            <v>RM</v>
          </cell>
          <cell r="AK89" t="str">
            <v>MYR</v>
          </cell>
          <cell r="AL89" t="str">
            <v>MYR</v>
          </cell>
          <cell r="AM89">
            <v>0</v>
          </cell>
          <cell r="AN89">
            <v>2</v>
          </cell>
        </row>
        <row r="90">
          <cell r="A90">
            <v>39282</v>
          </cell>
          <cell r="B90">
            <v>39282</v>
          </cell>
          <cell r="C90" t="str">
            <v>Past</v>
          </cell>
          <cell r="D90">
            <v>56.38</v>
          </cell>
          <cell r="E90" t="e">
            <v>#N/A</v>
          </cell>
          <cell r="F90" t="e">
            <v>#N/A</v>
          </cell>
          <cell r="G90" t="e">
            <v>#N/A</v>
          </cell>
          <cell r="H90" t="e">
            <v>#N/A</v>
          </cell>
          <cell r="I90" t="e">
            <v>#N/A</v>
          </cell>
          <cell r="J90" t="e">
            <v>#N/A</v>
          </cell>
          <cell r="K90" t="e">
            <v>#N/A</v>
          </cell>
          <cell r="L90" t="e">
            <v>#N/A</v>
          </cell>
          <cell r="M90" t="e">
            <v>#N/A</v>
          </cell>
          <cell r="N90" t="e">
            <v>#N/A</v>
          </cell>
          <cell r="O90" t="e">
            <v>#N/A</v>
          </cell>
          <cell r="P90">
            <v>56.38</v>
          </cell>
          <cell r="Q90">
            <v>4.6968559999999995</v>
          </cell>
          <cell r="R90" t="e">
            <v>#N/A</v>
          </cell>
          <cell r="AI90" t="str">
            <v>NOK Norwegian Krone</v>
          </cell>
          <cell r="AJ90" t="str">
            <v>NKr</v>
          </cell>
          <cell r="AK90" t="str">
            <v>NOK</v>
          </cell>
          <cell r="AL90" t="str">
            <v>NOK</v>
          </cell>
          <cell r="AM90">
            <v>0</v>
          </cell>
          <cell r="AN90">
            <v>2</v>
          </cell>
        </row>
        <row r="91">
          <cell r="A91">
            <v>39283</v>
          </cell>
          <cell r="B91">
            <v>39283</v>
          </cell>
          <cell r="C91" t="str">
            <v>Past</v>
          </cell>
          <cell r="D91">
            <v>56.03</v>
          </cell>
          <cell r="E91" t="e">
            <v>#N/A</v>
          </cell>
          <cell r="F91" t="e">
            <v>#N/A</v>
          </cell>
          <cell r="G91" t="e">
            <v>#N/A</v>
          </cell>
          <cell r="H91" t="e">
            <v>#N/A</v>
          </cell>
          <cell r="I91" t="e">
            <v>#N/A</v>
          </cell>
          <cell r="J91" t="e">
            <v>#N/A</v>
          </cell>
          <cell r="K91" t="e">
            <v>#N/A</v>
          </cell>
          <cell r="L91" t="e">
            <v>#N/A</v>
          </cell>
          <cell r="M91" t="e">
            <v>#N/A</v>
          </cell>
          <cell r="N91" t="e">
            <v>#N/A</v>
          </cell>
          <cell r="O91" t="e">
            <v>#N/A</v>
          </cell>
          <cell r="P91">
            <v>56.03</v>
          </cell>
          <cell r="Q91">
            <v>6.8578999999999999</v>
          </cell>
          <cell r="R91" t="e">
            <v>#N/A</v>
          </cell>
          <cell r="AI91" t="str">
            <v>NZD New Zealand Dollars</v>
          </cell>
          <cell r="AJ91" t="str">
            <v>NZ$</v>
          </cell>
          <cell r="AK91" t="str">
            <v>NZD</v>
          </cell>
          <cell r="AL91" t="str">
            <v>NZD</v>
          </cell>
          <cell r="AM91">
            <v>0</v>
          </cell>
          <cell r="AN91">
            <v>2</v>
          </cell>
        </row>
        <row r="92">
          <cell r="A92">
            <v>39286</v>
          </cell>
          <cell r="B92">
            <v>39286</v>
          </cell>
          <cell r="C92" t="str">
            <v>Past</v>
          </cell>
          <cell r="D92">
            <v>57.17</v>
          </cell>
          <cell r="E92" t="e">
            <v>#N/A</v>
          </cell>
          <cell r="F92" t="e">
            <v>#N/A</v>
          </cell>
          <cell r="G92" t="e">
            <v>#N/A</v>
          </cell>
          <cell r="H92" t="e">
            <v>#N/A</v>
          </cell>
          <cell r="I92" t="e">
            <v>#N/A</v>
          </cell>
          <cell r="J92" t="e">
            <v>#N/A</v>
          </cell>
          <cell r="K92" t="e">
            <v>#N/A</v>
          </cell>
          <cell r="L92" t="e">
            <v>#N/A</v>
          </cell>
          <cell r="M92" t="e">
            <v>#N/A</v>
          </cell>
          <cell r="N92" t="e">
            <v>#N/A</v>
          </cell>
          <cell r="O92" t="e">
            <v>#N/A</v>
          </cell>
          <cell r="P92">
            <v>57.17</v>
          </cell>
          <cell r="Q92">
            <v>5.8880949999999999</v>
          </cell>
          <cell r="R92" t="e">
            <v>#N/A</v>
          </cell>
          <cell r="AI92" t="str">
            <v>OMR Rial Omani</v>
          </cell>
          <cell r="AJ92" t="str">
            <v>OMR</v>
          </cell>
          <cell r="AK92" t="str">
            <v>OMR</v>
          </cell>
          <cell r="AL92" t="str">
            <v>OMR</v>
          </cell>
          <cell r="AM92">
            <v>0</v>
          </cell>
          <cell r="AN92">
            <v>2</v>
          </cell>
        </row>
        <row r="93">
          <cell r="A93">
            <v>39287</v>
          </cell>
          <cell r="B93">
            <v>39287</v>
          </cell>
          <cell r="C93" t="str">
            <v>Past</v>
          </cell>
          <cell r="D93">
            <v>57.17</v>
          </cell>
          <cell r="E93" t="e">
            <v>#N/A</v>
          </cell>
          <cell r="F93" t="e">
            <v>#N/A</v>
          </cell>
          <cell r="G93" t="e">
            <v>#N/A</v>
          </cell>
          <cell r="H93" t="e">
            <v>#N/A</v>
          </cell>
          <cell r="I93" t="e">
            <v>#N/A</v>
          </cell>
          <cell r="J93" t="e">
            <v>#N/A</v>
          </cell>
          <cell r="K93" t="e">
            <v>#N/A</v>
          </cell>
          <cell r="L93" t="e">
            <v>#N/A</v>
          </cell>
          <cell r="M93" t="e">
            <v>#N/A</v>
          </cell>
          <cell r="N93" t="e">
            <v>#N/A</v>
          </cell>
          <cell r="O93" t="e">
            <v>#N/A</v>
          </cell>
          <cell r="P93">
            <v>57.17</v>
          </cell>
          <cell r="Q93">
            <v>10.90849</v>
          </cell>
          <cell r="R93" t="e">
            <v>#N/A</v>
          </cell>
          <cell r="AI93" t="str">
            <v>PAB Panamanian Balboa</v>
          </cell>
          <cell r="AJ93" t="str">
            <v>PAB</v>
          </cell>
          <cell r="AK93" t="str">
            <v>PAB</v>
          </cell>
          <cell r="AL93" t="str">
            <v>PAB</v>
          </cell>
          <cell r="AM93">
            <v>0</v>
          </cell>
          <cell r="AN93">
            <v>2</v>
          </cell>
        </row>
        <row r="94">
          <cell r="A94">
            <v>39288</v>
          </cell>
          <cell r="B94">
            <v>39288</v>
          </cell>
          <cell r="C94" t="str">
            <v>Past</v>
          </cell>
          <cell r="D94">
            <v>58.44</v>
          </cell>
          <cell r="E94" t="e">
            <v>#N/A</v>
          </cell>
          <cell r="F94" t="e">
            <v>#N/A</v>
          </cell>
          <cell r="G94" t="e">
            <v>#N/A</v>
          </cell>
          <cell r="H94" t="e">
            <v>#N/A</v>
          </cell>
          <cell r="I94" t="e">
            <v>#N/A</v>
          </cell>
          <cell r="J94" t="e">
            <v>#N/A</v>
          </cell>
          <cell r="K94" t="e">
            <v>#N/A</v>
          </cell>
          <cell r="L94" t="e">
            <v>#N/A</v>
          </cell>
          <cell r="M94" t="e">
            <v>#N/A</v>
          </cell>
          <cell r="N94" t="e">
            <v>#N/A</v>
          </cell>
          <cell r="O94" t="e">
            <v>#N/A</v>
          </cell>
          <cell r="P94">
            <v>58.44</v>
          </cell>
          <cell r="Q94">
            <v>7.3154709999999996</v>
          </cell>
          <cell r="R94" t="e">
            <v>#N/A</v>
          </cell>
          <cell r="AI94" t="str">
            <v>PEN Peruvian PEN</v>
          </cell>
          <cell r="AJ94" t="str">
            <v>PEN</v>
          </cell>
          <cell r="AK94" t="str">
            <v>PEN</v>
          </cell>
          <cell r="AL94" t="str">
            <v>PEN</v>
          </cell>
          <cell r="AM94">
            <v>0</v>
          </cell>
          <cell r="AN94">
            <v>2</v>
          </cell>
        </row>
        <row r="95">
          <cell r="A95">
            <v>39289</v>
          </cell>
          <cell r="B95">
            <v>39289</v>
          </cell>
          <cell r="C95" t="str">
            <v>Past</v>
          </cell>
          <cell r="D95">
            <v>56.7</v>
          </cell>
          <cell r="E95" t="e">
            <v>#N/A</v>
          </cell>
          <cell r="F95" t="e">
            <v>#N/A</v>
          </cell>
          <cell r="G95" t="e">
            <v>#N/A</v>
          </cell>
          <cell r="H95" t="e">
            <v>#N/A</v>
          </cell>
          <cell r="I95" t="e">
            <v>#N/A</v>
          </cell>
          <cell r="J95" t="e">
            <v>#N/A</v>
          </cell>
          <cell r="K95" t="e">
            <v>#N/A</v>
          </cell>
          <cell r="L95" t="e">
            <v>#N/A</v>
          </cell>
          <cell r="M95" t="e">
            <v>#N/A</v>
          </cell>
          <cell r="N95" t="e">
            <v>#N/A</v>
          </cell>
          <cell r="O95" t="e">
            <v>#N/A</v>
          </cell>
          <cell r="P95">
            <v>56.7</v>
          </cell>
          <cell r="Q95">
            <v>8.3653529999999989</v>
          </cell>
          <cell r="R95" t="e">
            <v>#N/A</v>
          </cell>
          <cell r="AI95" t="str">
            <v>PHP Philippino Peso</v>
          </cell>
          <cell r="AJ95" t="str">
            <v>PP</v>
          </cell>
          <cell r="AK95" t="str">
            <v>PHP</v>
          </cell>
          <cell r="AL95" t="str">
            <v>PHP</v>
          </cell>
          <cell r="AM95">
            <v>0</v>
          </cell>
          <cell r="AN95">
            <v>2</v>
          </cell>
        </row>
        <row r="96">
          <cell r="A96">
            <v>39290</v>
          </cell>
          <cell r="B96">
            <v>39290</v>
          </cell>
          <cell r="C96" t="str">
            <v>Past</v>
          </cell>
          <cell r="D96">
            <v>55.02</v>
          </cell>
          <cell r="E96" t="e">
            <v>#N/A</v>
          </cell>
          <cell r="F96" t="e">
            <v>#N/A</v>
          </cell>
          <cell r="G96" t="e">
            <v>#N/A</v>
          </cell>
          <cell r="H96" t="e">
            <v>#N/A</v>
          </cell>
          <cell r="I96" t="e">
            <v>#N/A</v>
          </cell>
          <cell r="J96" t="e">
            <v>#N/A</v>
          </cell>
          <cell r="K96" t="e">
            <v>#N/A</v>
          </cell>
          <cell r="L96" t="e">
            <v>#N/A</v>
          </cell>
          <cell r="M96" t="e">
            <v>#N/A</v>
          </cell>
          <cell r="N96" t="e">
            <v>#N/A</v>
          </cell>
          <cell r="O96" t="e">
            <v>#N/A</v>
          </cell>
          <cell r="P96">
            <v>55.02</v>
          </cell>
          <cell r="Q96">
            <v>6.3537309999999998</v>
          </cell>
          <cell r="R96" t="e">
            <v>#N/A</v>
          </cell>
          <cell r="AI96" t="str">
            <v>PKR Pakistani Rupee</v>
          </cell>
          <cell r="AJ96" t="str">
            <v>Rs.</v>
          </cell>
          <cell r="AK96" t="str">
            <v>PKR</v>
          </cell>
          <cell r="AL96" t="str">
            <v>PKR</v>
          </cell>
          <cell r="AM96">
            <v>0</v>
          </cell>
          <cell r="AN96">
            <v>2</v>
          </cell>
        </row>
        <row r="97">
          <cell r="A97">
            <v>39293</v>
          </cell>
          <cell r="B97">
            <v>39293</v>
          </cell>
          <cell r="C97" t="str">
            <v>Past</v>
          </cell>
          <cell r="D97">
            <v>54.77</v>
          </cell>
          <cell r="E97" t="e">
            <v>#N/A</v>
          </cell>
          <cell r="F97" t="e">
            <v>#N/A</v>
          </cell>
          <cell r="G97" t="e">
            <v>#N/A</v>
          </cell>
          <cell r="H97" t="e">
            <v>#N/A</v>
          </cell>
          <cell r="I97" t="e">
            <v>#N/A</v>
          </cell>
          <cell r="J97" t="e">
            <v>#N/A</v>
          </cell>
          <cell r="K97" t="e">
            <v>#N/A</v>
          </cell>
          <cell r="L97" t="e">
            <v>#N/A</v>
          </cell>
          <cell r="M97" t="e">
            <v>#N/A</v>
          </cell>
          <cell r="N97" t="e">
            <v>#N/A</v>
          </cell>
          <cell r="O97" t="e">
            <v>#N/A</v>
          </cell>
          <cell r="P97">
            <v>54.77</v>
          </cell>
          <cell r="Q97">
            <v>5.8481889999999996</v>
          </cell>
          <cell r="R97" t="e">
            <v>#N/A</v>
          </cell>
          <cell r="AI97" t="str">
            <v>PLN Polish Zloty</v>
          </cell>
          <cell r="AJ97" t="str">
            <v>zł</v>
          </cell>
          <cell r="AK97" t="str">
            <v>PLN</v>
          </cell>
          <cell r="AL97" t="str">
            <v>PLN</v>
          </cell>
          <cell r="AM97">
            <v>0</v>
          </cell>
          <cell r="AN97">
            <v>2</v>
          </cell>
        </row>
        <row r="98">
          <cell r="A98">
            <v>39294</v>
          </cell>
          <cell r="B98">
            <v>39294</v>
          </cell>
          <cell r="C98" t="str">
            <v>Past</v>
          </cell>
          <cell r="D98">
            <v>54.09</v>
          </cell>
          <cell r="E98" t="e">
            <v>#N/A</v>
          </cell>
          <cell r="F98" t="e">
            <v>#N/A</v>
          </cell>
          <cell r="G98" t="e">
            <v>#N/A</v>
          </cell>
          <cell r="H98" t="e">
            <v>#N/A</v>
          </cell>
          <cell r="I98" t="e">
            <v>#N/A</v>
          </cell>
          <cell r="J98" t="e">
            <v>#N/A</v>
          </cell>
          <cell r="K98" t="e">
            <v>#N/A</v>
          </cell>
          <cell r="L98" t="e">
            <v>#N/A</v>
          </cell>
          <cell r="M98" t="e">
            <v>#N/A</v>
          </cell>
          <cell r="N98" t="e">
            <v>#N/A</v>
          </cell>
          <cell r="O98" t="e">
            <v>#N/A</v>
          </cell>
          <cell r="P98">
            <v>54.09</v>
          </cell>
          <cell r="Q98">
            <v>8.2728470000000005</v>
          </cell>
          <cell r="R98" t="e">
            <v>#N/A</v>
          </cell>
          <cell r="AI98" t="str">
            <v>QAR Qatari Riyal</v>
          </cell>
          <cell r="AJ98" t="str">
            <v>QAR</v>
          </cell>
          <cell r="AK98" t="str">
            <v>QAR</v>
          </cell>
          <cell r="AL98" t="str">
            <v>QAR</v>
          </cell>
          <cell r="AM98">
            <v>0</v>
          </cell>
          <cell r="AN98">
            <v>2</v>
          </cell>
        </row>
        <row r="99">
          <cell r="A99">
            <v>39295</v>
          </cell>
          <cell r="B99">
            <v>39295</v>
          </cell>
          <cell r="C99" t="str">
            <v>Past</v>
          </cell>
          <cell r="D99">
            <v>54.2</v>
          </cell>
          <cell r="E99" t="e">
            <v>#N/A</v>
          </cell>
          <cell r="F99" t="e">
            <v>#N/A</v>
          </cell>
          <cell r="G99" t="e">
            <v>#N/A</v>
          </cell>
          <cell r="H99" t="e">
            <v>#N/A</v>
          </cell>
          <cell r="I99" t="e">
            <v>#N/A</v>
          </cell>
          <cell r="J99" t="e">
            <v>#N/A</v>
          </cell>
          <cell r="K99" t="e">
            <v>#N/A</v>
          </cell>
          <cell r="L99" t="e">
            <v>#N/A</v>
          </cell>
          <cell r="M99" t="e">
            <v>#N/A</v>
          </cell>
          <cell r="N99" t="e">
            <v>#N/A</v>
          </cell>
          <cell r="O99" t="e">
            <v>#N/A</v>
          </cell>
          <cell r="P99">
            <v>54.2</v>
          </cell>
          <cell r="Q99">
            <v>6.2463220000000002</v>
          </cell>
          <cell r="R99" t="e">
            <v>#N/A</v>
          </cell>
          <cell r="AI99" t="str">
            <v>RUB Russian Rouble</v>
          </cell>
          <cell r="AJ99" t="str">
            <v>RUB</v>
          </cell>
          <cell r="AK99" t="str">
            <v>RUB</v>
          </cell>
          <cell r="AL99" t="str">
            <v>RUB</v>
          </cell>
          <cell r="AM99">
            <v>0</v>
          </cell>
          <cell r="AN99">
            <v>2</v>
          </cell>
        </row>
        <row r="100">
          <cell r="A100">
            <v>39296</v>
          </cell>
          <cell r="B100">
            <v>39296</v>
          </cell>
          <cell r="C100" t="str">
            <v>Past</v>
          </cell>
          <cell r="D100">
            <v>54.6</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54.6</v>
          </cell>
          <cell r="Q100">
            <v>5.1132840000000002</v>
          </cell>
          <cell r="R100" t="e">
            <v>#N/A</v>
          </cell>
          <cell r="AI100" t="str">
            <v>SAR Saudi Riyal</v>
          </cell>
          <cell r="AJ100" t="str">
            <v>SAR</v>
          </cell>
          <cell r="AK100" t="str">
            <v>SAR</v>
          </cell>
          <cell r="AL100" t="str">
            <v>SAR</v>
          </cell>
          <cell r="AM100">
            <v>0</v>
          </cell>
          <cell r="AN100">
            <v>2</v>
          </cell>
        </row>
        <row r="101">
          <cell r="A101">
            <v>39297</v>
          </cell>
          <cell r="B101">
            <v>39297</v>
          </cell>
          <cell r="C101" t="str">
            <v>Past</v>
          </cell>
          <cell r="D101">
            <v>54.13</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54.13</v>
          </cell>
          <cell r="Q101">
            <v>5.5839489999999996</v>
          </cell>
          <cell r="R101" t="e">
            <v>#N/A</v>
          </cell>
          <cell r="AI101" t="str">
            <v>SEK Swedish Krona</v>
          </cell>
          <cell r="AJ101" t="str">
            <v>SKr</v>
          </cell>
          <cell r="AK101" t="str">
            <v>SEK</v>
          </cell>
          <cell r="AL101" t="str">
            <v>SEK</v>
          </cell>
          <cell r="AM101">
            <v>0</v>
          </cell>
          <cell r="AN101">
            <v>2</v>
          </cell>
        </row>
        <row r="102">
          <cell r="A102">
            <v>39300</v>
          </cell>
          <cell r="B102">
            <v>39300</v>
          </cell>
          <cell r="C102" t="str">
            <v>Past</v>
          </cell>
          <cell r="D102">
            <v>56.22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56.22</v>
          </cell>
          <cell r="Q102">
            <v>7.3999939999999995</v>
          </cell>
          <cell r="R102" t="e">
            <v>#N/A</v>
          </cell>
          <cell r="AI102" t="str">
            <v>SGD Singapore Dollar</v>
          </cell>
          <cell r="AJ102" t="str">
            <v>S$</v>
          </cell>
          <cell r="AK102" t="str">
            <v>SGD</v>
          </cell>
          <cell r="AL102" t="str">
            <v>SGD</v>
          </cell>
          <cell r="AM102">
            <v>0</v>
          </cell>
          <cell r="AN102">
            <v>2</v>
          </cell>
        </row>
        <row r="103">
          <cell r="A103">
            <v>39301</v>
          </cell>
          <cell r="B103">
            <v>39301</v>
          </cell>
          <cell r="C103" t="str">
            <v>Past</v>
          </cell>
          <cell r="D103">
            <v>56.52</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56.52</v>
          </cell>
          <cell r="Q103">
            <v>7.5100069999999999</v>
          </cell>
          <cell r="R103" t="e">
            <v>#N/A</v>
          </cell>
          <cell r="AI103" t="str">
            <v>THB Thailand Baht</v>
          </cell>
          <cell r="AJ103" t="str">
            <v>Bt</v>
          </cell>
          <cell r="AK103" t="str">
            <v>THB</v>
          </cell>
          <cell r="AL103" t="str">
            <v>THB</v>
          </cell>
          <cell r="AM103">
            <v>0</v>
          </cell>
          <cell r="AN103">
            <v>2</v>
          </cell>
        </row>
        <row r="104">
          <cell r="A104">
            <v>39302</v>
          </cell>
          <cell r="B104">
            <v>39302</v>
          </cell>
          <cell r="C104" t="str">
            <v>Past</v>
          </cell>
          <cell r="D104">
            <v>58.4</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58.4</v>
          </cell>
          <cell r="Q104">
            <v>6.7241919999999995</v>
          </cell>
          <cell r="R104" t="e">
            <v>#N/A</v>
          </cell>
          <cell r="AI104" t="str">
            <v>TND Tunisian Dinar</v>
          </cell>
          <cell r="AJ104" t="str">
            <v>TND</v>
          </cell>
          <cell r="AK104" t="str">
            <v>TND</v>
          </cell>
          <cell r="AL104" t="str">
            <v>TND</v>
          </cell>
          <cell r="AM104">
            <v>0</v>
          </cell>
          <cell r="AN104">
            <v>2</v>
          </cell>
        </row>
        <row r="105">
          <cell r="A105">
            <v>39303</v>
          </cell>
          <cell r="B105">
            <v>39303</v>
          </cell>
          <cell r="C105" t="str">
            <v>Past</v>
          </cell>
          <cell r="D105">
            <v>57.85</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57.85</v>
          </cell>
          <cell r="Q105">
            <v>8.5117840000000005</v>
          </cell>
          <cell r="R105" t="e">
            <v>#N/A</v>
          </cell>
          <cell r="AI105" t="str">
            <v>TRY Turkish Lira</v>
          </cell>
          <cell r="AJ105" t="str">
            <v>TL</v>
          </cell>
          <cell r="AK105" t="str">
            <v>TRY</v>
          </cell>
          <cell r="AL105" t="str">
            <v>TRY</v>
          </cell>
          <cell r="AM105">
            <v>0</v>
          </cell>
          <cell r="AN105">
            <v>2</v>
          </cell>
        </row>
        <row r="106">
          <cell r="A106">
            <v>39304</v>
          </cell>
          <cell r="B106">
            <v>39304</v>
          </cell>
          <cell r="C106" t="str">
            <v>Past</v>
          </cell>
          <cell r="D106">
            <v>57.16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57.16</v>
          </cell>
          <cell r="Q106">
            <v>8.0407329999999995</v>
          </cell>
          <cell r="R106" t="e">
            <v>#N/A</v>
          </cell>
          <cell r="AI106" t="str">
            <v>TWD New Taiwan Dollar</v>
          </cell>
          <cell r="AJ106" t="str">
            <v>NT$</v>
          </cell>
          <cell r="AK106" t="str">
            <v>TWD</v>
          </cell>
          <cell r="AL106" t="str">
            <v>TWD</v>
          </cell>
          <cell r="AM106">
            <v>0</v>
          </cell>
          <cell r="AN106">
            <v>2</v>
          </cell>
        </row>
        <row r="107">
          <cell r="A107">
            <v>39307</v>
          </cell>
          <cell r="B107">
            <v>39307</v>
          </cell>
          <cell r="C107" t="str">
            <v>Past</v>
          </cell>
          <cell r="D107">
            <v>56.93</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56.93</v>
          </cell>
          <cell r="Q107">
            <v>4.0047000000000006</v>
          </cell>
          <cell r="R107" t="e">
            <v>#N/A</v>
          </cell>
          <cell r="AI107" t="str">
            <v>UAH Ukrainian Hryvnia</v>
          </cell>
          <cell r="AJ107" t="str">
            <v>UAH</v>
          </cell>
          <cell r="AK107" t="str">
            <v>UAH</v>
          </cell>
          <cell r="AL107" t="str">
            <v>UAH</v>
          </cell>
          <cell r="AM107">
            <v>0</v>
          </cell>
          <cell r="AN107">
            <v>2</v>
          </cell>
        </row>
        <row r="108">
          <cell r="A108">
            <v>39308</v>
          </cell>
          <cell r="B108">
            <v>39308</v>
          </cell>
          <cell r="C108" t="str">
            <v>Past</v>
          </cell>
          <cell r="D108">
            <v>55.44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55.44</v>
          </cell>
          <cell r="Q108">
            <v>5.3788500000000008</v>
          </cell>
          <cell r="R108" t="e">
            <v>#N/A</v>
          </cell>
          <cell r="AI108" t="str">
            <v>USD American Dollar</v>
          </cell>
          <cell r="AJ108" t="str">
            <v>$</v>
          </cell>
          <cell r="AK108" t="str">
            <v>USD</v>
          </cell>
          <cell r="AL108" t="str">
            <v>USD</v>
          </cell>
          <cell r="AM108">
            <v>0</v>
          </cell>
          <cell r="AN108">
            <v>2</v>
          </cell>
        </row>
        <row r="109">
          <cell r="A109">
            <v>39309</v>
          </cell>
          <cell r="B109">
            <v>39309</v>
          </cell>
          <cell r="C109" t="str">
            <v>Past</v>
          </cell>
          <cell r="D109">
            <v>55.18</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55.18</v>
          </cell>
          <cell r="Q109">
            <v>4.9745500000000007</v>
          </cell>
          <cell r="R109" t="e">
            <v>#N/A</v>
          </cell>
          <cell r="AI109" t="str">
            <v>VEB Venezuelan Bolivar</v>
          </cell>
          <cell r="AJ109" t="str">
            <v>VEB</v>
          </cell>
          <cell r="AK109" t="str">
            <v>VEB</v>
          </cell>
          <cell r="AL109" t="str">
            <v>VEB</v>
          </cell>
          <cell r="AM109">
            <v>0</v>
          </cell>
          <cell r="AN109">
            <v>2</v>
          </cell>
        </row>
        <row r="110">
          <cell r="A110">
            <v>39310</v>
          </cell>
          <cell r="B110">
            <v>39310</v>
          </cell>
          <cell r="C110" t="str">
            <v>Past</v>
          </cell>
          <cell r="D110">
            <v>54.83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54.83</v>
          </cell>
          <cell r="Q110">
            <v>8.8786000000000005</v>
          </cell>
          <cell r="R110" t="e">
            <v>#N/A</v>
          </cell>
          <cell r="AI110" t="str">
            <v>ZAc South African Cent</v>
          </cell>
          <cell r="AJ110" t="str">
            <v>ZAc</v>
          </cell>
          <cell r="AK110" t="str">
            <v>ZAc</v>
          </cell>
          <cell r="AL110" t="str">
            <v>ZAc</v>
          </cell>
          <cell r="AM110">
            <v>0</v>
          </cell>
          <cell r="AN110">
            <v>0</v>
          </cell>
        </row>
        <row r="111">
          <cell r="A111">
            <v>39311</v>
          </cell>
          <cell r="B111">
            <v>39311</v>
          </cell>
          <cell r="C111" t="str">
            <v>Past</v>
          </cell>
          <cell r="D111">
            <v>55.81</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55.81</v>
          </cell>
          <cell r="Q111">
            <v>6.8274999999999997</v>
          </cell>
          <cell r="R111" t="e">
            <v>#N/A</v>
          </cell>
          <cell r="AI111" t="str">
            <v>ZAR South African rand</v>
          </cell>
          <cell r="AJ111" t="str">
            <v>ZAR</v>
          </cell>
          <cell r="AK111" t="str">
            <v>ZAR</v>
          </cell>
          <cell r="AL111" t="str">
            <v>ZAR</v>
          </cell>
          <cell r="AM111">
            <v>0</v>
          </cell>
          <cell r="AN111">
            <v>2</v>
          </cell>
        </row>
        <row r="112">
          <cell r="A112">
            <v>39314</v>
          </cell>
          <cell r="B112">
            <v>39314</v>
          </cell>
          <cell r="C112" t="str">
            <v>Past</v>
          </cell>
          <cell r="D112">
            <v>55.63</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55.63</v>
          </cell>
          <cell r="Q112">
            <v>4.8591000000000006</v>
          </cell>
          <cell r="R112" t="e">
            <v>#N/A</v>
          </cell>
          <cell r="AI112" t="str">
            <v xml:space="preserve">ZMK Zambian Kwacha </v>
          </cell>
          <cell r="AJ112" t="str">
            <v>ZMK</v>
          </cell>
          <cell r="AK112" t="str">
            <v>ZMK</v>
          </cell>
          <cell r="AL112" t="str">
            <v>ZMK</v>
          </cell>
          <cell r="AM112">
            <v>0</v>
          </cell>
          <cell r="AN112">
            <v>2</v>
          </cell>
        </row>
        <row r="113">
          <cell r="A113">
            <v>39315</v>
          </cell>
          <cell r="B113">
            <v>39315</v>
          </cell>
          <cell r="C113" t="str">
            <v>Past</v>
          </cell>
          <cell r="D113">
            <v>55.28</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55.28</v>
          </cell>
          <cell r="Q113">
            <v>3.3652000000000002</v>
          </cell>
          <cell r="R113" t="e">
            <v>#N/A</v>
          </cell>
        </row>
        <row r="114">
          <cell r="A114">
            <v>39316</v>
          </cell>
          <cell r="B114">
            <v>39316</v>
          </cell>
          <cell r="C114" t="str">
            <v>Past</v>
          </cell>
          <cell r="D114">
            <v>55.74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55.74</v>
          </cell>
          <cell r="Q114">
            <v>4.6797000000000004</v>
          </cell>
          <cell r="R114" t="e">
            <v>#N/A</v>
          </cell>
        </row>
        <row r="115">
          <cell r="A115">
            <v>39317</v>
          </cell>
          <cell r="B115">
            <v>39317</v>
          </cell>
          <cell r="C115" t="str">
            <v>Past</v>
          </cell>
          <cell r="D115">
            <v>55.87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55.87</v>
          </cell>
          <cell r="Q115">
            <v>2.7577000000000003</v>
          </cell>
          <cell r="R115" t="e">
            <v>#N/A</v>
          </cell>
        </row>
        <row r="116">
          <cell r="A116">
            <v>39318</v>
          </cell>
          <cell r="B116">
            <v>39318</v>
          </cell>
          <cell r="C116" t="str">
            <v>Past</v>
          </cell>
          <cell r="D116">
            <v>56.61</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56.61</v>
          </cell>
          <cell r="Q116">
            <v>5.5994999999999999</v>
          </cell>
          <cell r="R116" t="e">
            <v>#N/A</v>
          </cell>
        </row>
        <row r="117">
          <cell r="A117">
            <v>39321</v>
          </cell>
          <cell r="B117">
            <v>39321</v>
          </cell>
          <cell r="C117" t="str">
            <v>Past</v>
          </cell>
          <cell r="D117">
            <v>56.39</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56.39</v>
          </cell>
          <cell r="Q117">
            <v>3.1044</v>
          </cell>
          <cell r="R117" t="e">
            <v>#N/A</v>
          </cell>
        </row>
        <row r="118">
          <cell r="A118">
            <v>39322</v>
          </cell>
          <cell r="B118">
            <v>39322</v>
          </cell>
          <cell r="C118" t="str">
            <v>Past</v>
          </cell>
          <cell r="D118">
            <v>56.1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56.1</v>
          </cell>
          <cell r="Q118">
            <v>5.4973999999999998</v>
          </cell>
          <cell r="R118" t="e">
            <v>#N/A</v>
          </cell>
        </row>
        <row r="119">
          <cell r="A119">
            <v>39323</v>
          </cell>
          <cell r="B119">
            <v>39323</v>
          </cell>
          <cell r="C119" t="str">
            <v>Past</v>
          </cell>
          <cell r="D119">
            <v>56.32</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56.32</v>
          </cell>
          <cell r="Q119">
            <v>5.9315000000000007</v>
          </cell>
          <cell r="R119" t="e">
            <v>#N/A</v>
          </cell>
        </row>
        <row r="120">
          <cell r="A120">
            <v>39324</v>
          </cell>
          <cell r="B120">
            <v>39324</v>
          </cell>
          <cell r="C120" t="str">
            <v>Past</v>
          </cell>
          <cell r="D120">
            <v>56.67</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56.67</v>
          </cell>
          <cell r="Q120">
            <v>4.6493000000000002</v>
          </cell>
          <cell r="R120" t="e">
            <v>#N/A</v>
          </cell>
        </row>
        <row r="121">
          <cell r="A121">
            <v>39325</v>
          </cell>
          <cell r="B121">
            <v>39325</v>
          </cell>
          <cell r="C121" t="str">
            <v>Past</v>
          </cell>
          <cell r="D121">
            <v>57.35</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57.35</v>
          </cell>
          <cell r="Q121">
            <v>5.6558999999999999</v>
          </cell>
          <cell r="R121" t="e">
            <v>#N/A</v>
          </cell>
        </row>
        <row r="122">
          <cell r="A122">
            <v>39329</v>
          </cell>
          <cell r="B122">
            <v>39329</v>
          </cell>
          <cell r="C122" t="str">
            <v>Past</v>
          </cell>
          <cell r="D122">
            <v>58.13</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58.13</v>
          </cell>
          <cell r="Q122">
            <v>5.6059000000000001</v>
          </cell>
          <cell r="R122" t="e">
            <v>#N/A</v>
          </cell>
        </row>
        <row r="123">
          <cell r="A123">
            <v>39330</v>
          </cell>
          <cell r="B123">
            <v>39330</v>
          </cell>
          <cell r="C123" t="str">
            <v>Past</v>
          </cell>
          <cell r="D123">
            <v>57.29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57.29</v>
          </cell>
          <cell r="Q123">
            <v>4.7473000000000001</v>
          </cell>
          <cell r="R123" t="e">
            <v>#N/A</v>
          </cell>
        </row>
        <row r="124">
          <cell r="A124">
            <v>39331</v>
          </cell>
          <cell r="B124">
            <v>39331</v>
          </cell>
          <cell r="C124" t="str">
            <v>Past</v>
          </cell>
          <cell r="D124">
            <v>57.45</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57.45</v>
          </cell>
          <cell r="Q124">
            <v>4.0737000000000005</v>
          </cell>
          <cell r="R124" t="e">
            <v>#N/A</v>
          </cell>
        </row>
        <row r="125">
          <cell r="A125">
            <v>39332</v>
          </cell>
          <cell r="B125">
            <v>39332</v>
          </cell>
          <cell r="C125" t="str">
            <v>Past</v>
          </cell>
          <cell r="D125">
            <v>56.17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56.17</v>
          </cell>
          <cell r="Q125">
            <v>5.9727000000000006</v>
          </cell>
          <cell r="R125" t="e">
            <v>#N/A</v>
          </cell>
        </row>
        <row r="126">
          <cell r="A126">
            <v>39335</v>
          </cell>
          <cell r="B126">
            <v>39335</v>
          </cell>
          <cell r="C126" t="str">
            <v>Past</v>
          </cell>
          <cell r="D126">
            <v>56.14</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56.14</v>
          </cell>
          <cell r="Q126">
            <v>4.4197000000000006</v>
          </cell>
          <cell r="R126" t="e">
            <v>#N/A</v>
          </cell>
        </row>
        <row r="127">
          <cell r="A127">
            <v>39336</v>
          </cell>
          <cell r="B127">
            <v>39336</v>
          </cell>
          <cell r="C127" t="str">
            <v>Past</v>
          </cell>
          <cell r="D127">
            <v>56.6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56.6</v>
          </cell>
          <cell r="Q127">
            <v>4.0674000000000001</v>
          </cell>
          <cell r="R127" t="e">
            <v>#N/A</v>
          </cell>
        </row>
        <row r="128">
          <cell r="A128">
            <v>39337</v>
          </cell>
          <cell r="B128">
            <v>39337</v>
          </cell>
          <cell r="C128" t="str">
            <v>Past</v>
          </cell>
          <cell r="D128">
            <v>57.05</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57.05</v>
          </cell>
          <cell r="Q128">
            <v>4.3474000000000004</v>
          </cell>
          <cell r="R128" t="e">
            <v>#N/A</v>
          </cell>
        </row>
        <row r="129">
          <cell r="A129">
            <v>39338</v>
          </cell>
          <cell r="B129">
            <v>39338</v>
          </cell>
          <cell r="C129" t="str">
            <v>Past</v>
          </cell>
          <cell r="D129">
            <v>57.18</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57.18</v>
          </cell>
          <cell r="Q129">
            <v>4.7561</v>
          </cell>
          <cell r="R129" t="e">
            <v>#N/A</v>
          </cell>
        </row>
        <row r="130">
          <cell r="A130">
            <v>39339</v>
          </cell>
          <cell r="B130">
            <v>39339</v>
          </cell>
          <cell r="C130" t="str">
            <v>Past</v>
          </cell>
          <cell r="D130">
            <v>56.82</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56.82</v>
          </cell>
          <cell r="Q130">
            <v>4.9930000000000003</v>
          </cell>
          <cell r="R130" t="e">
            <v>#N/A</v>
          </cell>
        </row>
        <row r="131">
          <cell r="A131">
            <v>39342</v>
          </cell>
          <cell r="B131">
            <v>39342</v>
          </cell>
          <cell r="C131" t="str">
            <v>Past</v>
          </cell>
          <cell r="D131">
            <v>55.95</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55.95</v>
          </cell>
          <cell r="Q131">
            <v>4.3845000000000001</v>
          </cell>
          <cell r="R131" t="e">
            <v>#N/A</v>
          </cell>
        </row>
        <row r="132">
          <cell r="A132">
            <v>39343</v>
          </cell>
          <cell r="B132">
            <v>39343</v>
          </cell>
          <cell r="C132" t="str">
            <v>Past</v>
          </cell>
          <cell r="D132">
            <v>57.14</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57.14</v>
          </cell>
          <cell r="Q132">
            <v>4.0749000000000004</v>
          </cell>
          <cell r="R132" t="e">
            <v>#N/A</v>
          </cell>
        </row>
        <row r="133">
          <cell r="A133">
            <v>39344</v>
          </cell>
          <cell r="B133">
            <v>39344</v>
          </cell>
          <cell r="C133" t="str">
            <v>Past</v>
          </cell>
          <cell r="D133">
            <v>57.53</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57.53</v>
          </cell>
          <cell r="Q133">
            <v>5.4957000000000003</v>
          </cell>
          <cell r="R133" t="e">
            <v>#N/A</v>
          </cell>
        </row>
        <row r="134">
          <cell r="A134">
            <v>39345</v>
          </cell>
          <cell r="B134">
            <v>39345</v>
          </cell>
          <cell r="C134" t="str">
            <v>Past</v>
          </cell>
          <cell r="D134">
            <v>57.08</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57.08</v>
          </cell>
          <cell r="Q134">
            <v>3.6789000000000001</v>
          </cell>
          <cell r="R134" t="e">
            <v>#N/A</v>
          </cell>
        </row>
        <row r="135">
          <cell r="A135">
            <v>39346</v>
          </cell>
          <cell r="B135">
            <v>39346</v>
          </cell>
          <cell r="C135" t="str">
            <v>Past</v>
          </cell>
          <cell r="D135">
            <v>57.62</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57.62</v>
          </cell>
          <cell r="Q135">
            <v>4.8921000000000001</v>
          </cell>
          <cell r="R135" t="e">
            <v>#N/A</v>
          </cell>
        </row>
        <row r="136">
          <cell r="A136">
            <v>39349</v>
          </cell>
          <cell r="B136">
            <v>39349</v>
          </cell>
          <cell r="C136" t="str">
            <v>Past</v>
          </cell>
          <cell r="D136">
            <v>57.53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57.53</v>
          </cell>
          <cell r="Q136">
            <v>3.286476</v>
          </cell>
          <cell r="R136" t="e">
            <v>#N/A</v>
          </cell>
        </row>
        <row r="137">
          <cell r="A137">
            <v>39350</v>
          </cell>
          <cell r="B137">
            <v>39350</v>
          </cell>
          <cell r="C137" t="str">
            <v>Past</v>
          </cell>
          <cell r="D137">
            <v>57.21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57.21</v>
          </cell>
          <cell r="Q137">
            <v>4.5377999999999998</v>
          </cell>
          <cell r="R137" t="e">
            <v>#N/A</v>
          </cell>
        </row>
        <row r="138">
          <cell r="A138">
            <v>39351</v>
          </cell>
          <cell r="B138">
            <v>39351</v>
          </cell>
          <cell r="C138" t="str">
            <v>Past</v>
          </cell>
          <cell r="D138">
            <v>57.4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57.4</v>
          </cell>
          <cell r="Q138">
            <v>5.3738659999999996</v>
          </cell>
          <cell r="R138" t="e">
            <v>#N/A</v>
          </cell>
        </row>
        <row r="139">
          <cell r="A139">
            <v>39352</v>
          </cell>
          <cell r="B139">
            <v>39352</v>
          </cell>
          <cell r="C139" t="str">
            <v>Past</v>
          </cell>
          <cell r="D139">
            <v>57.37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57.37</v>
          </cell>
          <cell r="Q139">
            <v>4.0761000000000003</v>
          </cell>
          <cell r="R139" t="e">
            <v>#N/A</v>
          </cell>
        </row>
        <row r="140">
          <cell r="A140">
            <v>39353</v>
          </cell>
          <cell r="B140">
            <v>39353</v>
          </cell>
          <cell r="C140" t="str">
            <v>Past</v>
          </cell>
          <cell r="D140">
            <v>56.93</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56.93</v>
          </cell>
          <cell r="Q140">
            <v>4.3292000000000002</v>
          </cell>
          <cell r="R140" t="e">
            <v>#N/A</v>
          </cell>
        </row>
        <row r="141">
          <cell r="A141">
            <v>39356</v>
          </cell>
          <cell r="B141">
            <v>39356</v>
          </cell>
          <cell r="C141" t="str">
            <v>Past</v>
          </cell>
          <cell r="D141">
            <v>58.29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58.29</v>
          </cell>
          <cell r="Q141">
            <v>5.6298800000000009</v>
          </cell>
          <cell r="R141" t="e">
            <v>#N/A</v>
          </cell>
        </row>
        <row r="142">
          <cell r="A142">
            <v>39357</v>
          </cell>
          <cell r="B142">
            <v>39357</v>
          </cell>
          <cell r="C142" t="str">
            <v>Past</v>
          </cell>
          <cell r="D142">
            <v>58.42</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58.42</v>
          </cell>
          <cell r="Q142">
            <v>2.8894000000000002</v>
          </cell>
          <cell r="R142" t="e">
            <v>#N/A</v>
          </cell>
        </row>
        <row r="143">
          <cell r="A143">
            <v>39358</v>
          </cell>
          <cell r="B143">
            <v>39358</v>
          </cell>
          <cell r="C143" t="str">
            <v>Past</v>
          </cell>
          <cell r="D143">
            <v>58.88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58.88</v>
          </cell>
          <cell r="Q143">
            <v>4.1013000000000002</v>
          </cell>
          <cell r="R143" t="e">
            <v>#N/A</v>
          </cell>
        </row>
        <row r="144">
          <cell r="A144">
            <v>39359</v>
          </cell>
          <cell r="B144">
            <v>39359</v>
          </cell>
          <cell r="C144" t="str">
            <v>Past</v>
          </cell>
          <cell r="D144">
            <v>58.96</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58.96</v>
          </cell>
          <cell r="Q144">
            <v>4.8692000000000002</v>
          </cell>
          <cell r="R144" t="e">
            <v>#N/A</v>
          </cell>
        </row>
        <row r="145">
          <cell r="A145">
            <v>39360</v>
          </cell>
          <cell r="B145">
            <v>39360</v>
          </cell>
          <cell r="C145" t="str">
            <v>Past</v>
          </cell>
          <cell r="D145">
            <v>59.47</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59.47</v>
          </cell>
          <cell r="Q145">
            <v>3.7002000000000002</v>
          </cell>
          <cell r="R145" t="e">
            <v>#N/A</v>
          </cell>
        </row>
        <row r="146">
          <cell r="A146">
            <v>39363</v>
          </cell>
          <cell r="B146">
            <v>39363</v>
          </cell>
          <cell r="C146" t="str">
            <v>Past</v>
          </cell>
          <cell r="D146">
            <v>59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59</v>
          </cell>
          <cell r="Q146">
            <v>2.6903000000000001</v>
          </cell>
          <cell r="R146" t="e">
            <v>#N/A</v>
          </cell>
        </row>
        <row r="147">
          <cell r="A147">
            <v>39364</v>
          </cell>
          <cell r="B147">
            <v>39364</v>
          </cell>
          <cell r="C147" t="str">
            <v>Past</v>
          </cell>
          <cell r="D147">
            <v>58.55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58.55</v>
          </cell>
          <cell r="Q147">
            <v>4.1751000000000005</v>
          </cell>
          <cell r="R147" t="e">
            <v>#N/A</v>
          </cell>
        </row>
        <row r="148">
          <cell r="A148">
            <v>39365</v>
          </cell>
          <cell r="B148">
            <v>39365</v>
          </cell>
          <cell r="C148" t="str">
            <v>Past</v>
          </cell>
          <cell r="D148">
            <v>58.4</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58.4</v>
          </cell>
          <cell r="Q148">
            <v>4.3499999999999996</v>
          </cell>
          <cell r="R148" t="e">
            <v>#N/A</v>
          </cell>
        </row>
        <row r="149">
          <cell r="A149">
            <v>39366</v>
          </cell>
          <cell r="B149">
            <v>39366</v>
          </cell>
          <cell r="C149" t="str">
            <v>Past</v>
          </cell>
          <cell r="D149">
            <v>58.35</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58.35</v>
          </cell>
          <cell r="Q149">
            <v>5.1157000000000004</v>
          </cell>
          <cell r="R149" t="e">
            <v>#N/A</v>
          </cell>
        </row>
        <row r="150">
          <cell r="A150">
            <v>39367</v>
          </cell>
          <cell r="B150">
            <v>39367</v>
          </cell>
          <cell r="C150" t="str">
            <v>Past</v>
          </cell>
          <cell r="D150">
            <v>58.53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58.53</v>
          </cell>
          <cell r="Q150">
            <v>2.8653300000000002</v>
          </cell>
          <cell r="R150" t="e">
            <v>#N/A</v>
          </cell>
        </row>
        <row r="151">
          <cell r="A151">
            <v>39370</v>
          </cell>
          <cell r="B151">
            <v>39370</v>
          </cell>
          <cell r="C151" t="str">
            <v>Past</v>
          </cell>
          <cell r="D151">
            <v>57.94</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57.94</v>
          </cell>
          <cell r="Q151">
            <v>5.585</v>
          </cell>
          <cell r="R151" t="e">
            <v>#N/A</v>
          </cell>
        </row>
        <row r="152">
          <cell r="A152">
            <v>39371</v>
          </cell>
          <cell r="B152">
            <v>39371</v>
          </cell>
          <cell r="C152" t="str">
            <v>Past</v>
          </cell>
          <cell r="D152">
            <v>57.15</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57.15</v>
          </cell>
          <cell r="Q152">
            <v>6.5124000000000004</v>
          </cell>
          <cell r="R152" t="e">
            <v>#N/A</v>
          </cell>
        </row>
        <row r="153">
          <cell r="A153">
            <v>39372</v>
          </cell>
          <cell r="B153">
            <v>39372</v>
          </cell>
          <cell r="C153" t="str">
            <v>Past</v>
          </cell>
          <cell r="D153">
            <v>56.95</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56.95</v>
          </cell>
          <cell r="Q153">
            <v>6.0697000000000001</v>
          </cell>
          <cell r="R153" t="e">
            <v>#N/A</v>
          </cell>
        </row>
        <row r="154">
          <cell r="A154">
            <v>39373</v>
          </cell>
          <cell r="B154">
            <v>39373</v>
          </cell>
          <cell r="C154" t="str">
            <v>Past</v>
          </cell>
          <cell r="D154">
            <v>56.65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56.65</v>
          </cell>
          <cell r="Q154">
            <v>8.3421000000000003</v>
          </cell>
          <cell r="R154" t="e">
            <v>#N/A</v>
          </cell>
        </row>
        <row r="155">
          <cell r="A155">
            <v>39374</v>
          </cell>
          <cell r="B155">
            <v>39374</v>
          </cell>
          <cell r="C155" t="str">
            <v>Past</v>
          </cell>
          <cell r="D155">
            <v>56.06</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56.06</v>
          </cell>
          <cell r="Q155">
            <v>5.6345000000000001</v>
          </cell>
          <cell r="R155" t="e">
            <v>#N/A</v>
          </cell>
        </row>
        <row r="156">
          <cell r="A156">
            <v>39377</v>
          </cell>
          <cell r="B156">
            <v>39377</v>
          </cell>
          <cell r="C156" t="str">
            <v>Past</v>
          </cell>
          <cell r="D156">
            <v>56.08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56.08</v>
          </cell>
          <cell r="Q156">
            <v>5.1609249999999998</v>
          </cell>
          <cell r="R156" t="e">
            <v>#N/A</v>
          </cell>
        </row>
        <row r="157">
          <cell r="A157">
            <v>39378</v>
          </cell>
          <cell r="B157">
            <v>39378</v>
          </cell>
          <cell r="C157" t="str">
            <v>Past</v>
          </cell>
          <cell r="D157">
            <v>57.13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57.13</v>
          </cell>
          <cell r="Q157">
            <v>4.4173</v>
          </cell>
          <cell r="R157" t="e">
            <v>#N/A</v>
          </cell>
        </row>
        <row r="158">
          <cell r="A158">
            <v>39379</v>
          </cell>
          <cell r="B158">
            <v>39379</v>
          </cell>
          <cell r="C158" t="str">
            <v>Past</v>
          </cell>
          <cell r="D158">
            <v>56.15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56.15</v>
          </cell>
          <cell r="Q158">
            <v>5.9507000000000003</v>
          </cell>
          <cell r="R158" t="e">
            <v>#N/A</v>
          </cell>
        </row>
        <row r="159">
          <cell r="A159">
            <v>39380</v>
          </cell>
          <cell r="B159">
            <v>39380</v>
          </cell>
          <cell r="C159" t="str">
            <v>Past</v>
          </cell>
          <cell r="D159">
            <v>52.43</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52.43</v>
          </cell>
          <cell r="Q159">
            <v>22.833000000000002</v>
          </cell>
          <cell r="R159" t="e">
            <v>#N/A</v>
          </cell>
        </row>
        <row r="160">
          <cell r="A160">
            <v>39381</v>
          </cell>
          <cell r="B160">
            <v>39381</v>
          </cell>
          <cell r="C160" t="str">
            <v>Past</v>
          </cell>
          <cell r="D160">
            <v>52.68</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52.68</v>
          </cell>
          <cell r="Q160">
            <v>9.4371000000000009</v>
          </cell>
          <cell r="R160" t="e">
            <v>#N/A</v>
          </cell>
        </row>
        <row r="161">
          <cell r="A161">
            <v>39384</v>
          </cell>
          <cell r="B161">
            <v>39384</v>
          </cell>
          <cell r="C161" t="str">
            <v>Past</v>
          </cell>
          <cell r="D161">
            <v>53.52</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53.52</v>
          </cell>
          <cell r="Q161">
            <v>9.7986000000000004</v>
          </cell>
          <cell r="R161" t="e">
            <v>#N/A</v>
          </cell>
        </row>
        <row r="162">
          <cell r="A162">
            <v>39385</v>
          </cell>
          <cell r="B162">
            <v>39385</v>
          </cell>
          <cell r="C162" t="str">
            <v>Past</v>
          </cell>
          <cell r="D162">
            <v>53.69</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53.69</v>
          </cell>
          <cell r="Q162">
            <v>5.8564000000000007</v>
          </cell>
          <cell r="R162" t="e">
            <v>#N/A</v>
          </cell>
        </row>
        <row r="163">
          <cell r="A163">
            <v>39386</v>
          </cell>
          <cell r="B163">
            <v>39386</v>
          </cell>
          <cell r="C163" t="str">
            <v>Past</v>
          </cell>
          <cell r="D163">
            <v>54.15</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54.15</v>
          </cell>
          <cell r="Q163">
            <v>9.7141999999999999</v>
          </cell>
          <cell r="R163" t="e">
            <v>#N/A</v>
          </cell>
        </row>
        <row r="164">
          <cell r="A164">
            <v>39387</v>
          </cell>
          <cell r="B164">
            <v>39387</v>
          </cell>
          <cell r="C164" t="str">
            <v>Past</v>
          </cell>
          <cell r="D164">
            <v>52.77</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52.77</v>
          </cell>
          <cell r="Q164">
            <v>8.0312999999999999</v>
          </cell>
          <cell r="R164" t="e">
            <v>#N/A</v>
          </cell>
        </row>
        <row r="165">
          <cell r="A165">
            <v>39388</v>
          </cell>
          <cell r="B165">
            <v>39388</v>
          </cell>
          <cell r="C165" t="str">
            <v>Past</v>
          </cell>
          <cell r="D165">
            <v>52.67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52.67</v>
          </cell>
          <cell r="Q165">
            <v>11.8513</v>
          </cell>
          <cell r="R165" t="e">
            <v>#N/A</v>
          </cell>
        </row>
        <row r="166">
          <cell r="A166">
            <v>39391</v>
          </cell>
          <cell r="B166">
            <v>39391</v>
          </cell>
          <cell r="C166" t="str">
            <v>Past</v>
          </cell>
          <cell r="D166">
            <v>52.16</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52.16</v>
          </cell>
          <cell r="Q166">
            <v>12.31057</v>
          </cell>
          <cell r="R166" t="e">
            <v>#N/A</v>
          </cell>
        </row>
        <row r="167">
          <cell r="A167">
            <v>39392</v>
          </cell>
          <cell r="B167">
            <v>39392</v>
          </cell>
          <cell r="C167" t="str">
            <v>Past</v>
          </cell>
          <cell r="D167">
            <v>52.48</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52.48</v>
          </cell>
          <cell r="Q167">
            <v>7.184342</v>
          </cell>
          <cell r="R167" t="e">
            <v>#N/A</v>
          </cell>
        </row>
        <row r="168">
          <cell r="A168">
            <v>39393</v>
          </cell>
          <cell r="B168">
            <v>39393</v>
          </cell>
          <cell r="C168" t="str">
            <v>Past</v>
          </cell>
          <cell r="D168">
            <v>51.53</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51.53</v>
          </cell>
          <cell r="Q168">
            <v>5.9616600000000002</v>
          </cell>
          <cell r="R168" t="e">
            <v>#N/A</v>
          </cell>
        </row>
        <row r="169">
          <cell r="A169">
            <v>39394</v>
          </cell>
          <cell r="B169">
            <v>39394</v>
          </cell>
          <cell r="C169" t="str">
            <v>Past</v>
          </cell>
          <cell r="D169">
            <v>51.62</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51.62</v>
          </cell>
          <cell r="Q169">
            <v>8.3388410000000004</v>
          </cell>
          <cell r="R169" t="e">
            <v>#N/A</v>
          </cell>
        </row>
        <row r="170">
          <cell r="A170">
            <v>39395</v>
          </cell>
          <cell r="B170">
            <v>39395</v>
          </cell>
          <cell r="C170" t="str">
            <v>Past</v>
          </cell>
          <cell r="D170">
            <v>51.51</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51.51</v>
          </cell>
          <cell r="Q170">
            <v>6.8331679999999997</v>
          </cell>
          <cell r="R170" t="e">
            <v>#N/A</v>
          </cell>
        </row>
        <row r="171">
          <cell r="A171">
            <v>39398</v>
          </cell>
          <cell r="B171">
            <v>39398</v>
          </cell>
          <cell r="C171" t="str">
            <v>Past</v>
          </cell>
          <cell r="D171">
            <v>52.5</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52.5</v>
          </cell>
          <cell r="Q171">
            <v>6.6622859999999999</v>
          </cell>
          <cell r="R171" t="e">
            <v>#N/A</v>
          </cell>
        </row>
        <row r="172">
          <cell r="A172">
            <v>39399</v>
          </cell>
          <cell r="B172">
            <v>39399</v>
          </cell>
          <cell r="C172" t="str">
            <v>Past</v>
          </cell>
          <cell r="D172">
            <v>52.64</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52.64</v>
          </cell>
          <cell r="Q172">
            <v>8.5277119999999993</v>
          </cell>
          <cell r="R172" t="e">
            <v>#N/A</v>
          </cell>
        </row>
        <row r="173">
          <cell r="A173">
            <v>39400</v>
          </cell>
          <cell r="B173">
            <v>39400</v>
          </cell>
          <cell r="C173" t="str">
            <v>Past</v>
          </cell>
          <cell r="D173">
            <v>53.03</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53.03</v>
          </cell>
          <cell r="Q173">
            <v>6.5612000000000004</v>
          </cell>
          <cell r="R173" t="e">
            <v>#N/A</v>
          </cell>
        </row>
        <row r="174">
          <cell r="A174">
            <v>39401</v>
          </cell>
          <cell r="B174">
            <v>39401</v>
          </cell>
          <cell r="C174" t="str">
            <v>Past</v>
          </cell>
          <cell r="D174">
            <v>52.06</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52.06</v>
          </cell>
          <cell r="Q174">
            <v>5.8742300000000007</v>
          </cell>
          <cell r="R174" t="e">
            <v>#N/A</v>
          </cell>
        </row>
        <row r="175">
          <cell r="A175">
            <v>39402</v>
          </cell>
          <cell r="B175">
            <v>39402</v>
          </cell>
          <cell r="C175" t="str">
            <v>Past</v>
          </cell>
          <cell r="D175">
            <v>51.81</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51.81</v>
          </cell>
          <cell r="Q175">
            <v>6.7527569999999999</v>
          </cell>
          <cell r="R175" t="e">
            <v>#N/A</v>
          </cell>
        </row>
        <row r="176">
          <cell r="A176">
            <v>39405</v>
          </cell>
          <cell r="B176">
            <v>39405</v>
          </cell>
          <cell r="C176" t="str">
            <v>Past</v>
          </cell>
          <cell r="D176">
            <v>50.77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50.77</v>
          </cell>
          <cell r="Q176">
            <v>8.6474580000000003</v>
          </cell>
          <cell r="R176" t="e">
            <v>#N/A</v>
          </cell>
        </row>
        <row r="177">
          <cell r="A177">
            <v>39406</v>
          </cell>
          <cell r="B177">
            <v>39406</v>
          </cell>
          <cell r="C177" t="str">
            <v>Past</v>
          </cell>
          <cell r="D177">
            <v>50.35</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50.35</v>
          </cell>
          <cell r="Q177">
            <v>6.0834000000000001</v>
          </cell>
          <cell r="R177" t="e">
            <v>#N/A</v>
          </cell>
        </row>
        <row r="178">
          <cell r="A178">
            <v>39407</v>
          </cell>
          <cell r="B178">
            <v>39407</v>
          </cell>
          <cell r="C178" t="str">
            <v>Past</v>
          </cell>
          <cell r="D178">
            <v>49.09</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49.09</v>
          </cell>
          <cell r="Q178">
            <v>5.9949200000000005</v>
          </cell>
          <cell r="R178" t="e">
            <v>#N/A</v>
          </cell>
        </row>
        <row r="179">
          <cell r="A179">
            <v>39409</v>
          </cell>
          <cell r="B179">
            <v>39409</v>
          </cell>
          <cell r="C179" t="str">
            <v>Past</v>
          </cell>
          <cell r="D179">
            <v>50.79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50.79</v>
          </cell>
          <cell r="Q179">
            <v>2.8371400000000002</v>
          </cell>
          <cell r="R179" t="e">
            <v>#N/A</v>
          </cell>
        </row>
        <row r="180">
          <cell r="A180">
            <v>39412</v>
          </cell>
          <cell r="B180">
            <v>39412</v>
          </cell>
          <cell r="C180" t="str">
            <v>Past</v>
          </cell>
          <cell r="D180">
            <v>49.67</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49.67</v>
          </cell>
          <cell r="Q180">
            <v>4.9809609999999997</v>
          </cell>
          <cell r="R180" t="e">
            <v>#N/A</v>
          </cell>
        </row>
        <row r="181">
          <cell r="A181">
            <v>39413</v>
          </cell>
          <cell r="B181">
            <v>39413</v>
          </cell>
          <cell r="C181" t="str">
            <v>Past</v>
          </cell>
          <cell r="D181">
            <v>50.91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50.91</v>
          </cell>
          <cell r="Q181">
            <v>6.4337459999999993</v>
          </cell>
          <cell r="R181" t="e">
            <v>#N/A</v>
          </cell>
        </row>
        <row r="182">
          <cell r="A182">
            <v>39414</v>
          </cell>
          <cell r="B182">
            <v>39414</v>
          </cell>
          <cell r="C182" t="str">
            <v>Past</v>
          </cell>
          <cell r="D182">
            <v>52.26</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52.26</v>
          </cell>
          <cell r="Q182">
            <v>6.0850039999999996</v>
          </cell>
          <cell r="R182" t="e">
            <v>#N/A</v>
          </cell>
        </row>
        <row r="183">
          <cell r="A183">
            <v>39415</v>
          </cell>
          <cell r="B183">
            <v>39415</v>
          </cell>
          <cell r="C183" t="str">
            <v>Past</v>
          </cell>
          <cell r="D183">
            <v>52.79</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52.79</v>
          </cell>
          <cell r="Q183">
            <v>6.5835209999999993</v>
          </cell>
          <cell r="R183" t="e">
            <v>#N/A</v>
          </cell>
        </row>
        <row r="184">
          <cell r="A184">
            <v>39416</v>
          </cell>
          <cell r="B184">
            <v>39416</v>
          </cell>
          <cell r="C184" t="str">
            <v>Past</v>
          </cell>
          <cell r="D184">
            <v>52.95</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52.95</v>
          </cell>
          <cell r="Q184">
            <v>5.9264969999999995</v>
          </cell>
          <cell r="R184" t="e">
            <v>#N/A</v>
          </cell>
        </row>
        <row r="185">
          <cell r="A185">
            <v>39419</v>
          </cell>
          <cell r="B185">
            <v>39419</v>
          </cell>
          <cell r="C185" t="str">
            <v>Past</v>
          </cell>
          <cell r="D185">
            <v>52.53</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52.53</v>
          </cell>
          <cell r="Q185">
            <v>4.885675</v>
          </cell>
          <cell r="R185" t="e">
            <v>#N/A</v>
          </cell>
        </row>
        <row r="186">
          <cell r="A186">
            <v>39420</v>
          </cell>
          <cell r="B186">
            <v>39420</v>
          </cell>
          <cell r="C186" t="str">
            <v>Past</v>
          </cell>
          <cell r="D186">
            <v>52.11</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52.11</v>
          </cell>
          <cell r="Q186">
            <v>5.4505400000000002</v>
          </cell>
          <cell r="R186" t="e">
            <v>#N/A</v>
          </cell>
        </row>
        <row r="187">
          <cell r="A187">
            <v>39421</v>
          </cell>
          <cell r="B187">
            <v>39421</v>
          </cell>
          <cell r="C187" t="str">
            <v>Past</v>
          </cell>
          <cell r="D187">
            <v>53.49</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53.49</v>
          </cell>
          <cell r="Q187">
            <v>4.8627000000000002</v>
          </cell>
          <cell r="R187" t="e">
            <v>#N/A</v>
          </cell>
        </row>
        <row r="188">
          <cell r="A188">
            <v>39422</v>
          </cell>
          <cell r="B188">
            <v>39422</v>
          </cell>
          <cell r="C188" t="str">
            <v>Past</v>
          </cell>
          <cell r="D188">
            <v>53.93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53.93</v>
          </cell>
          <cell r="Q188">
            <v>6.5228649999999995</v>
          </cell>
          <cell r="R188" t="e">
            <v>#N/A</v>
          </cell>
        </row>
        <row r="189">
          <cell r="A189">
            <v>39423</v>
          </cell>
          <cell r="B189">
            <v>39423</v>
          </cell>
          <cell r="C189" t="str">
            <v>Past</v>
          </cell>
          <cell r="D189">
            <v>54.3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54.3</v>
          </cell>
          <cell r="Q189">
            <v>4.4646129999999999</v>
          </cell>
          <cell r="R189" t="e">
            <v>#N/A</v>
          </cell>
        </row>
        <row r="190">
          <cell r="A190">
            <v>39426</v>
          </cell>
          <cell r="B190">
            <v>39426</v>
          </cell>
          <cell r="C190" t="str">
            <v>Past</v>
          </cell>
          <cell r="D190">
            <v>54.78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54.78</v>
          </cell>
          <cell r="Q190">
            <v>4.6066440000000002</v>
          </cell>
          <cell r="R190" t="e">
            <v>#N/A</v>
          </cell>
        </row>
        <row r="191">
          <cell r="A191">
            <v>39427</v>
          </cell>
          <cell r="B191">
            <v>39427</v>
          </cell>
          <cell r="C191" t="str">
            <v>Past</v>
          </cell>
          <cell r="D191">
            <v>54.06</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54.06</v>
          </cell>
          <cell r="Q191">
            <v>5.7134960000000001</v>
          </cell>
          <cell r="R191" t="e">
            <v>#N/A</v>
          </cell>
        </row>
        <row r="192">
          <cell r="A192">
            <v>39428</v>
          </cell>
          <cell r="B192">
            <v>39428</v>
          </cell>
          <cell r="C192" t="str">
            <v>Past</v>
          </cell>
          <cell r="D192">
            <v>54.08</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54.08</v>
          </cell>
          <cell r="Q192">
            <v>7.2993449999999998</v>
          </cell>
          <cell r="R192" t="e">
            <v>#N/A</v>
          </cell>
        </row>
        <row r="193">
          <cell r="A193">
            <v>39429</v>
          </cell>
          <cell r="B193">
            <v>39429</v>
          </cell>
          <cell r="C193" t="str">
            <v>Past</v>
          </cell>
          <cell r="D193">
            <v>54.18</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54.18</v>
          </cell>
          <cell r="Q193">
            <v>5.670229</v>
          </cell>
          <cell r="R193" t="e">
            <v>#N/A</v>
          </cell>
        </row>
        <row r="194">
          <cell r="A194">
            <v>39430</v>
          </cell>
          <cell r="B194">
            <v>39430</v>
          </cell>
          <cell r="C194" t="str">
            <v>Past</v>
          </cell>
          <cell r="D194">
            <v>53.71</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53.71</v>
          </cell>
          <cell r="Q194">
            <v>5.0293600000000005</v>
          </cell>
          <cell r="R194" t="e">
            <v>#N/A</v>
          </cell>
        </row>
        <row r="195">
          <cell r="A195">
            <v>39433</v>
          </cell>
          <cell r="B195">
            <v>39433</v>
          </cell>
          <cell r="C195" t="str">
            <v>Past</v>
          </cell>
          <cell r="D195">
            <v>53.18</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53.18</v>
          </cell>
          <cell r="Q195">
            <v>4.7989839999999999</v>
          </cell>
          <cell r="R195" t="e">
            <v>#N/A</v>
          </cell>
        </row>
        <row r="196">
          <cell r="A196">
            <v>39434</v>
          </cell>
          <cell r="B196">
            <v>39434</v>
          </cell>
          <cell r="C196" t="str">
            <v>Past</v>
          </cell>
          <cell r="D196">
            <v>53.49</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53.49</v>
          </cell>
          <cell r="Q196">
            <v>9.4068189999999987</v>
          </cell>
          <cell r="R196" t="e">
            <v>#N/A</v>
          </cell>
        </row>
        <row r="197">
          <cell r="A197">
            <v>39435</v>
          </cell>
          <cell r="B197">
            <v>39435</v>
          </cell>
          <cell r="C197" t="str">
            <v>Past</v>
          </cell>
          <cell r="D197">
            <v>53.18</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53.18</v>
          </cell>
          <cell r="Q197">
            <v>6.3503749999999997</v>
          </cell>
          <cell r="R197" t="e">
            <v>#N/A</v>
          </cell>
        </row>
        <row r="198">
          <cell r="A198">
            <v>39436</v>
          </cell>
          <cell r="B198">
            <v>39436</v>
          </cell>
          <cell r="C198" t="str">
            <v>Past</v>
          </cell>
          <cell r="D198">
            <v>53.23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53.23</v>
          </cell>
          <cell r="Q198">
            <v>5.5566759999999995</v>
          </cell>
          <cell r="R198" t="e">
            <v>#N/A</v>
          </cell>
        </row>
        <row r="199">
          <cell r="A199">
            <v>39437</v>
          </cell>
          <cell r="B199">
            <v>39437</v>
          </cell>
          <cell r="C199" t="str">
            <v>Past</v>
          </cell>
          <cell r="D199">
            <v>54.23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54.23</v>
          </cell>
          <cell r="Q199">
            <v>7.5032889999999997</v>
          </cell>
          <cell r="R199" t="e">
            <v>#N/A</v>
          </cell>
        </row>
        <row r="200">
          <cell r="A200">
            <v>39440</v>
          </cell>
          <cell r="B200">
            <v>39440</v>
          </cell>
          <cell r="C200" t="str">
            <v>Past</v>
          </cell>
          <cell r="D200">
            <v>54.49</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54.49</v>
          </cell>
          <cell r="Q200">
            <v>1.468871</v>
          </cell>
          <cell r="R200" t="e">
            <v>#N/A</v>
          </cell>
        </row>
        <row r="201">
          <cell r="A201">
            <v>39442</v>
          </cell>
          <cell r="B201">
            <v>39442</v>
          </cell>
          <cell r="C201" t="str">
            <v>Past</v>
          </cell>
          <cell r="D201">
            <v>54.31</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54.31</v>
          </cell>
          <cell r="Q201">
            <v>2.5081150000000001</v>
          </cell>
          <cell r="R201" t="e">
            <v>#N/A</v>
          </cell>
        </row>
        <row r="202">
          <cell r="A202">
            <v>39443</v>
          </cell>
          <cell r="B202">
            <v>39443</v>
          </cell>
          <cell r="C202" t="str">
            <v>Past</v>
          </cell>
          <cell r="D202">
            <v>53.88</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53.88</v>
          </cell>
          <cell r="Q202">
            <v>3.3693939999999998</v>
          </cell>
          <cell r="R202" t="e">
            <v>#N/A</v>
          </cell>
        </row>
        <row r="203">
          <cell r="A203">
            <v>39444</v>
          </cell>
          <cell r="B203">
            <v>39444</v>
          </cell>
          <cell r="C203" t="str">
            <v>Past</v>
          </cell>
          <cell r="D203">
            <v>54.05</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54.05</v>
          </cell>
          <cell r="Q203">
            <v>3.0262359999999999</v>
          </cell>
          <cell r="R203" t="e">
            <v>#N/A</v>
          </cell>
        </row>
        <row r="204">
          <cell r="A204">
            <v>39447</v>
          </cell>
          <cell r="B204">
            <v>39447</v>
          </cell>
          <cell r="C204" t="str">
            <v>Past</v>
          </cell>
          <cell r="D204">
            <v>53.39</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53.39</v>
          </cell>
          <cell r="Q204">
            <v>3.9101249999999999</v>
          </cell>
          <cell r="R204" t="e">
            <v>#N/A</v>
          </cell>
        </row>
        <row r="205">
          <cell r="A205">
            <v>39449</v>
          </cell>
          <cell r="B205">
            <v>39449</v>
          </cell>
          <cell r="C205" t="str">
            <v>Past</v>
          </cell>
          <cell r="D205">
            <v>52.55</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52.55</v>
          </cell>
          <cell r="Q205">
            <v>5.5567800000000007</v>
          </cell>
          <cell r="R205" t="e">
            <v>#N/A</v>
          </cell>
        </row>
        <row r="206">
          <cell r="A206">
            <v>39450</v>
          </cell>
          <cell r="B206">
            <v>39450</v>
          </cell>
          <cell r="C206" t="str">
            <v>Past</v>
          </cell>
          <cell r="D206">
            <v>52.99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52.99</v>
          </cell>
          <cell r="Q206">
            <v>4.5123329999999999</v>
          </cell>
          <cell r="R206" t="e">
            <v>#N/A</v>
          </cell>
        </row>
        <row r="207">
          <cell r="A207">
            <v>39451</v>
          </cell>
          <cell r="B207">
            <v>39451</v>
          </cell>
          <cell r="C207" t="str">
            <v>Past</v>
          </cell>
          <cell r="D207">
            <v>51.8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51.8</v>
          </cell>
          <cell r="Q207">
            <v>6.1864909999999993</v>
          </cell>
          <cell r="R207" t="e">
            <v>#N/A</v>
          </cell>
        </row>
        <row r="208">
          <cell r="A208">
            <v>39454</v>
          </cell>
          <cell r="B208">
            <v>39454</v>
          </cell>
          <cell r="C208" t="str">
            <v>Past</v>
          </cell>
          <cell r="D208">
            <v>54.55</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54.55</v>
          </cell>
          <cell r="Q208">
            <v>10.376010000000001</v>
          </cell>
          <cell r="R208" t="e">
            <v>#N/A</v>
          </cell>
        </row>
        <row r="209">
          <cell r="A209">
            <v>39455</v>
          </cell>
          <cell r="B209">
            <v>39455</v>
          </cell>
          <cell r="C209" t="str">
            <v>Past</v>
          </cell>
          <cell r="D209">
            <v>56.06</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56.06</v>
          </cell>
          <cell r="Q209">
            <v>12.197900000000001</v>
          </cell>
          <cell r="R209" t="e">
            <v>#N/A</v>
          </cell>
        </row>
        <row r="210">
          <cell r="A210">
            <v>39456</v>
          </cell>
          <cell r="B210">
            <v>39456</v>
          </cell>
          <cell r="C210" t="str">
            <v>Past</v>
          </cell>
          <cell r="D210">
            <v>56.86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56.86</v>
          </cell>
          <cell r="Q210">
            <v>9.5773159999999997</v>
          </cell>
          <cell r="R210" t="e">
            <v>#N/A</v>
          </cell>
        </row>
        <row r="211">
          <cell r="A211">
            <v>39457</v>
          </cell>
          <cell r="B211">
            <v>39457</v>
          </cell>
          <cell r="C211" t="str">
            <v>Past</v>
          </cell>
          <cell r="D211">
            <v>56.85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56.85</v>
          </cell>
          <cell r="Q211">
            <v>6.2881279999999995</v>
          </cell>
          <cell r="R211" t="e">
            <v>#N/A</v>
          </cell>
        </row>
        <row r="212">
          <cell r="A212">
            <v>39458</v>
          </cell>
          <cell r="B212">
            <v>39458</v>
          </cell>
          <cell r="C212" t="str">
            <v>Past</v>
          </cell>
          <cell r="D212">
            <v>56.81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56.81</v>
          </cell>
          <cell r="Q212">
            <v>5.3605770000000001</v>
          </cell>
          <cell r="R212" t="e">
            <v>#N/A</v>
          </cell>
        </row>
        <row r="213">
          <cell r="A213">
            <v>39461</v>
          </cell>
          <cell r="B213">
            <v>39461</v>
          </cell>
          <cell r="C213" t="str">
            <v>Past</v>
          </cell>
          <cell r="D213">
            <v>57.18</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57.18</v>
          </cell>
          <cell r="Q213">
            <v>5.5638000000000005</v>
          </cell>
          <cell r="R213" t="e">
            <v>#N/A</v>
          </cell>
        </row>
        <row r="214">
          <cell r="A214">
            <v>39462</v>
          </cell>
          <cell r="B214">
            <v>39462</v>
          </cell>
          <cell r="C214" t="str">
            <v>Past</v>
          </cell>
          <cell r="D214">
            <v>56.59</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56.59</v>
          </cell>
          <cell r="Q214">
            <v>5.8839459999999999</v>
          </cell>
          <cell r="R214" t="e">
            <v>#N/A</v>
          </cell>
        </row>
        <row r="215">
          <cell r="A215">
            <v>39463</v>
          </cell>
          <cell r="B215">
            <v>39463</v>
          </cell>
          <cell r="C215" t="str">
            <v>Past</v>
          </cell>
          <cell r="D215">
            <v>56.07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56.07</v>
          </cell>
          <cell r="Q215">
            <v>7.9743740000000001</v>
          </cell>
          <cell r="R215" t="e">
            <v>#N/A</v>
          </cell>
        </row>
        <row r="216">
          <cell r="A216">
            <v>39464</v>
          </cell>
          <cell r="B216">
            <v>39464</v>
          </cell>
          <cell r="C216" t="str">
            <v>Past</v>
          </cell>
          <cell r="D216">
            <v>54.84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54.84</v>
          </cell>
          <cell r="Q216">
            <v>9.6793959999999988</v>
          </cell>
          <cell r="R216" t="e">
            <v>#N/A</v>
          </cell>
        </row>
        <row r="217">
          <cell r="A217">
            <v>39465</v>
          </cell>
          <cell r="B217">
            <v>39465</v>
          </cell>
          <cell r="C217" t="str">
            <v>Past</v>
          </cell>
          <cell r="D217">
            <v>53.71</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53.71</v>
          </cell>
          <cell r="Q217">
            <v>10.013580000000001</v>
          </cell>
          <cell r="R217" t="e">
            <v>#N/A</v>
          </cell>
        </row>
        <row r="218">
          <cell r="A218">
            <v>39469</v>
          </cell>
          <cell r="B218">
            <v>39469</v>
          </cell>
          <cell r="C218" t="str">
            <v>Past</v>
          </cell>
          <cell r="D218">
            <v>52.17</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52.17</v>
          </cell>
          <cell r="Q218">
            <v>10.932950000000002</v>
          </cell>
          <cell r="R218" t="e">
            <v>#N/A</v>
          </cell>
        </row>
        <row r="219">
          <cell r="A219">
            <v>39470</v>
          </cell>
          <cell r="B219">
            <v>39470</v>
          </cell>
          <cell r="C219" t="str">
            <v>Past</v>
          </cell>
          <cell r="D219">
            <v>52.18</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52.18</v>
          </cell>
          <cell r="Q219">
            <v>8.778276</v>
          </cell>
          <cell r="R219" t="e">
            <v>#N/A</v>
          </cell>
        </row>
        <row r="220">
          <cell r="A220">
            <v>39471</v>
          </cell>
          <cell r="B220">
            <v>39471</v>
          </cell>
          <cell r="C220" t="str">
            <v>Past</v>
          </cell>
          <cell r="D220">
            <v>51.32</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51.32</v>
          </cell>
          <cell r="Q220">
            <v>12.998130000000002</v>
          </cell>
          <cell r="R220" t="e">
            <v>#N/A</v>
          </cell>
        </row>
        <row r="221">
          <cell r="A221">
            <v>39472</v>
          </cell>
          <cell r="B221">
            <v>39472</v>
          </cell>
          <cell r="C221" t="str">
            <v>Past</v>
          </cell>
          <cell r="D221">
            <v>50.74</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50.74</v>
          </cell>
          <cell r="Q221">
            <v>9.5241689999999988</v>
          </cell>
          <cell r="R221" t="e">
            <v>#N/A</v>
          </cell>
        </row>
        <row r="222">
          <cell r="A222">
            <v>39475</v>
          </cell>
          <cell r="B222">
            <v>39475</v>
          </cell>
          <cell r="C222" t="str">
            <v>Past</v>
          </cell>
          <cell r="D222">
            <v>51.4</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51.4</v>
          </cell>
          <cell r="Q222">
            <v>7.0740200000000009</v>
          </cell>
          <cell r="R222" t="e">
            <v>#N/A</v>
          </cell>
        </row>
        <row r="223">
          <cell r="A223">
            <v>39476</v>
          </cell>
          <cell r="B223">
            <v>39476</v>
          </cell>
          <cell r="C223" t="str">
            <v>Past</v>
          </cell>
          <cell r="D223">
            <v>52.31</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52.31</v>
          </cell>
          <cell r="Q223">
            <v>9.2642879999999987</v>
          </cell>
          <cell r="R223" t="e">
            <v>#N/A</v>
          </cell>
        </row>
        <row r="224">
          <cell r="A224">
            <v>39477</v>
          </cell>
          <cell r="B224">
            <v>39477</v>
          </cell>
          <cell r="C224" t="str">
            <v>Past</v>
          </cell>
          <cell r="D224">
            <v>51.35</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51.35</v>
          </cell>
          <cell r="Q224">
            <v>7.3581029999999998</v>
          </cell>
          <cell r="R224" t="e">
            <v>#N/A</v>
          </cell>
        </row>
        <row r="225">
          <cell r="A225">
            <v>39478</v>
          </cell>
          <cell r="B225">
            <v>39478</v>
          </cell>
          <cell r="C225" t="str">
            <v>Past</v>
          </cell>
          <cell r="D225">
            <v>51.39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51.39</v>
          </cell>
          <cell r="Q225">
            <v>9.9696859999999994</v>
          </cell>
          <cell r="R225" t="e">
            <v>#N/A</v>
          </cell>
        </row>
        <row r="226">
          <cell r="A226">
            <v>39479</v>
          </cell>
          <cell r="B226">
            <v>39479</v>
          </cell>
          <cell r="C226" t="str">
            <v>Past</v>
          </cell>
          <cell r="D226">
            <v>51.66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51.66</v>
          </cell>
          <cell r="Q226">
            <v>7.3747679999999995</v>
          </cell>
          <cell r="R226" t="e">
            <v>#N/A</v>
          </cell>
        </row>
        <row r="227">
          <cell r="A227">
            <v>39482</v>
          </cell>
          <cell r="B227">
            <v>39482</v>
          </cell>
          <cell r="C227" t="str">
            <v>Past</v>
          </cell>
          <cell r="D227">
            <v>52.08</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52.08</v>
          </cell>
          <cell r="Q227">
            <v>4.8363800000000001</v>
          </cell>
          <cell r="R227" t="e">
            <v>#N/A</v>
          </cell>
        </row>
        <row r="228">
          <cell r="A228">
            <v>39483</v>
          </cell>
          <cell r="B228">
            <v>39483</v>
          </cell>
          <cell r="C228" t="str">
            <v>Past</v>
          </cell>
          <cell r="D228">
            <v>51.24</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51.24</v>
          </cell>
          <cell r="Q228">
            <v>5.4406659999999993</v>
          </cell>
          <cell r="R228" t="e">
            <v>#N/A</v>
          </cell>
        </row>
        <row r="229">
          <cell r="A229">
            <v>39484</v>
          </cell>
          <cell r="B229">
            <v>39484</v>
          </cell>
          <cell r="C229" t="str">
            <v>Past</v>
          </cell>
          <cell r="D229">
            <v>51.4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51.4</v>
          </cell>
          <cell r="Q229">
            <v>4.1012500000000003</v>
          </cell>
          <cell r="R229" t="e">
            <v>#N/A</v>
          </cell>
        </row>
        <row r="230">
          <cell r="A230">
            <v>39485</v>
          </cell>
          <cell r="B230">
            <v>39485</v>
          </cell>
          <cell r="C230" t="str">
            <v>Past</v>
          </cell>
          <cell r="D230">
            <v>51.22</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51.22</v>
          </cell>
          <cell r="Q230">
            <v>7.1532549999999997</v>
          </cell>
          <cell r="R230" t="e">
            <v>#N/A</v>
          </cell>
        </row>
        <row r="231">
          <cell r="A231">
            <v>39486</v>
          </cell>
          <cell r="B231">
            <v>39486</v>
          </cell>
          <cell r="C231" t="str">
            <v>Past</v>
          </cell>
          <cell r="D231">
            <v>50.23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50.23</v>
          </cell>
          <cell r="Q231">
            <v>4.5241039999999995</v>
          </cell>
          <cell r="R231" t="e">
            <v>#N/A</v>
          </cell>
        </row>
        <row r="232">
          <cell r="A232">
            <v>39489</v>
          </cell>
          <cell r="B232">
            <v>39489</v>
          </cell>
          <cell r="C232" t="str">
            <v>Past</v>
          </cell>
          <cell r="D232">
            <v>50.23</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50.23</v>
          </cell>
          <cell r="Q232">
            <v>4.2224079999999997</v>
          </cell>
          <cell r="R232" t="e">
            <v>#N/A</v>
          </cell>
        </row>
        <row r="233">
          <cell r="A233">
            <v>39490</v>
          </cell>
          <cell r="B233">
            <v>39490</v>
          </cell>
          <cell r="C233" t="str">
            <v>Past</v>
          </cell>
          <cell r="D233">
            <v>51.02</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51.02</v>
          </cell>
          <cell r="Q233">
            <v>5.2176679999999998</v>
          </cell>
          <cell r="R233" t="e">
            <v>#N/A</v>
          </cell>
        </row>
        <row r="234">
          <cell r="A234">
            <v>39491</v>
          </cell>
          <cell r="B234">
            <v>39491</v>
          </cell>
          <cell r="C234" t="str">
            <v>Past</v>
          </cell>
          <cell r="D234">
            <v>50.34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50.34</v>
          </cell>
          <cell r="Q234">
            <v>6.5031339999999993</v>
          </cell>
          <cell r="R234" t="e">
            <v>#N/A</v>
          </cell>
        </row>
        <row r="235">
          <cell r="A235">
            <v>39492</v>
          </cell>
          <cell r="B235">
            <v>39492</v>
          </cell>
          <cell r="C235" t="str">
            <v>Past</v>
          </cell>
          <cell r="D235">
            <v>49.98</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49.98</v>
          </cell>
          <cell r="Q235">
            <v>5.2135579999999999</v>
          </cell>
          <cell r="R235" t="e">
            <v>#N/A</v>
          </cell>
        </row>
        <row r="236">
          <cell r="A236">
            <v>39493</v>
          </cell>
          <cell r="B236">
            <v>39493</v>
          </cell>
          <cell r="C236" t="str">
            <v>Past</v>
          </cell>
          <cell r="D236">
            <v>50.82</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50.82</v>
          </cell>
          <cell r="Q236">
            <v>6.4792709999999998</v>
          </cell>
          <cell r="R236" t="e">
            <v>#N/A</v>
          </cell>
        </row>
        <row r="237">
          <cell r="A237">
            <v>39497</v>
          </cell>
          <cell r="B237">
            <v>39497</v>
          </cell>
          <cell r="C237" t="str">
            <v>Past</v>
          </cell>
          <cell r="D237">
            <v>50.3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50.3</v>
          </cell>
          <cell r="Q237">
            <v>5.9148000000000005</v>
          </cell>
          <cell r="R237" t="e">
            <v>#N/A</v>
          </cell>
        </row>
        <row r="238">
          <cell r="A238">
            <v>39498</v>
          </cell>
          <cell r="B238">
            <v>39498</v>
          </cell>
          <cell r="C238" t="str">
            <v>Past</v>
          </cell>
          <cell r="D238">
            <v>50.37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50.37</v>
          </cell>
          <cell r="Q238">
            <v>4.2902149999999999</v>
          </cell>
          <cell r="R238" t="e">
            <v>#N/A</v>
          </cell>
        </row>
        <row r="239">
          <cell r="A239">
            <v>39499</v>
          </cell>
          <cell r="B239">
            <v>39499</v>
          </cell>
          <cell r="C239" t="str">
            <v>Past</v>
          </cell>
          <cell r="D239">
            <v>49.82</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49.82</v>
          </cell>
          <cell r="Q239">
            <v>5.4567869999999994</v>
          </cell>
          <cell r="R239" t="e">
            <v>#N/A</v>
          </cell>
        </row>
        <row r="240">
          <cell r="A240">
            <v>39500</v>
          </cell>
          <cell r="B240">
            <v>39500</v>
          </cell>
          <cell r="C240" t="str">
            <v>Past</v>
          </cell>
          <cell r="D240">
            <v>50.51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50.51</v>
          </cell>
          <cell r="Q240">
            <v>9.058940999999999</v>
          </cell>
          <cell r="R240" t="e">
            <v>#N/A</v>
          </cell>
        </row>
        <row r="241">
          <cell r="A241">
            <v>39503</v>
          </cell>
          <cell r="B241">
            <v>39503</v>
          </cell>
          <cell r="C241" t="str">
            <v>Past</v>
          </cell>
          <cell r="D241">
            <v>51.3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51.3</v>
          </cell>
          <cell r="Q241">
            <v>5.266845</v>
          </cell>
          <cell r="R241" t="e">
            <v>#N/A</v>
          </cell>
        </row>
        <row r="242">
          <cell r="A242">
            <v>39504</v>
          </cell>
          <cell r="B242">
            <v>39504</v>
          </cell>
          <cell r="C242" t="str">
            <v>Past</v>
          </cell>
          <cell r="D242">
            <v>52.45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52.45</v>
          </cell>
          <cell r="Q242">
            <v>8.0599000000000007</v>
          </cell>
          <cell r="R242" t="e">
            <v>#N/A</v>
          </cell>
        </row>
        <row r="243">
          <cell r="A243">
            <v>39505</v>
          </cell>
          <cell r="B243">
            <v>39505</v>
          </cell>
          <cell r="C243" t="str">
            <v>Past</v>
          </cell>
          <cell r="D243">
            <v>51.83</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51.83</v>
          </cell>
          <cell r="Q243">
            <v>3.6485909999999997</v>
          </cell>
          <cell r="R243" t="e">
            <v>#N/A</v>
          </cell>
        </row>
        <row r="244">
          <cell r="A244">
            <v>39506</v>
          </cell>
          <cell r="B244">
            <v>39506</v>
          </cell>
          <cell r="C244" t="str">
            <v>Past</v>
          </cell>
          <cell r="D244">
            <v>50.93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50.93</v>
          </cell>
          <cell r="Q244">
            <v>4.396744</v>
          </cell>
          <cell r="R244" t="e">
            <v>#N/A</v>
          </cell>
        </row>
        <row r="245">
          <cell r="A245">
            <v>39507</v>
          </cell>
          <cell r="B245">
            <v>39507</v>
          </cell>
          <cell r="C245" t="str">
            <v>Past</v>
          </cell>
          <cell r="D245">
            <v>50.02</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50.02</v>
          </cell>
          <cell r="Q245">
            <v>6.9025270000000001</v>
          </cell>
          <cell r="R245" t="e">
            <v>#N/A</v>
          </cell>
        </row>
        <row r="246">
          <cell r="A246">
            <v>39510</v>
          </cell>
          <cell r="B246">
            <v>39510</v>
          </cell>
          <cell r="C246" t="str">
            <v>Past</v>
          </cell>
          <cell r="D246">
            <v>50.19</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50.19</v>
          </cell>
          <cell r="Q246">
            <v>4.0996920000000001</v>
          </cell>
          <cell r="R246" t="e">
            <v>#N/A</v>
          </cell>
        </row>
        <row r="247">
          <cell r="A247">
            <v>39511</v>
          </cell>
          <cell r="B247">
            <v>39511</v>
          </cell>
          <cell r="C247" t="str">
            <v>Past</v>
          </cell>
          <cell r="D247">
            <v>50.01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50.01</v>
          </cell>
          <cell r="Q247">
            <v>5.8622290000000001</v>
          </cell>
          <cell r="R247" t="e">
            <v>#N/A</v>
          </cell>
        </row>
        <row r="248">
          <cell r="A248">
            <v>39512</v>
          </cell>
          <cell r="B248">
            <v>39512</v>
          </cell>
          <cell r="C248" t="str">
            <v>Past</v>
          </cell>
          <cell r="D248">
            <v>50.42</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50.42</v>
          </cell>
          <cell r="Q248">
            <v>4.5204360000000001</v>
          </cell>
          <cell r="R248" t="e">
            <v>#N/A</v>
          </cell>
        </row>
        <row r="249">
          <cell r="A249">
            <v>39513</v>
          </cell>
          <cell r="B249">
            <v>39513</v>
          </cell>
          <cell r="C249" t="str">
            <v>Past</v>
          </cell>
          <cell r="D249">
            <v>49.68</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49.68</v>
          </cell>
          <cell r="Q249">
            <v>4.4463159999999995</v>
          </cell>
          <cell r="R249" t="e">
            <v>#N/A</v>
          </cell>
        </row>
        <row r="250">
          <cell r="A250">
            <v>39514</v>
          </cell>
          <cell r="B250">
            <v>39514</v>
          </cell>
          <cell r="C250" t="str">
            <v>Past</v>
          </cell>
          <cell r="D250">
            <v>49.7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49.7</v>
          </cell>
          <cell r="Q250">
            <v>7.2755619999999999</v>
          </cell>
          <cell r="R250" t="e">
            <v>#N/A</v>
          </cell>
        </row>
        <row r="251">
          <cell r="A251">
            <v>39517</v>
          </cell>
          <cell r="B251">
            <v>39517</v>
          </cell>
          <cell r="C251" t="str">
            <v>Past</v>
          </cell>
          <cell r="D251">
            <v>49.42</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49.42</v>
          </cell>
          <cell r="Q251">
            <v>7.0326489999999993</v>
          </cell>
          <cell r="R251" t="e">
            <v>#N/A</v>
          </cell>
        </row>
        <row r="252">
          <cell r="A252">
            <v>39518</v>
          </cell>
          <cell r="B252">
            <v>39518</v>
          </cell>
          <cell r="C252" t="str">
            <v>Past</v>
          </cell>
          <cell r="D252">
            <v>50.59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50.59</v>
          </cell>
          <cell r="Q252">
            <v>7.4423949999999994</v>
          </cell>
          <cell r="R252" t="e">
            <v>#N/A</v>
          </cell>
        </row>
        <row r="253">
          <cell r="A253">
            <v>39519</v>
          </cell>
          <cell r="B253">
            <v>39519</v>
          </cell>
          <cell r="C253" t="str">
            <v>Past</v>
          </cell>
          <cell r="D253">
            <v>49.78</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49.78</v>
          </cell>
          <cell r="Q253">
            <v>5.8788689999999999</v>
          </cell>
          <cell r="R253" t="e">
            <v>#N/A</v>
          </cell>
        </row>
        <row r="254">
          <cell r="A254">
            <v>39520</v>
          </cell>
          <cell r="B254">
            <v>39520</v>
          </cell>
          <cell r="C254" t="str">
            <v>Past</v>
          </cell>
          <cell r="D254">
            <v>49.16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49.16</v>
          </cell>
          <cell r="Q254">
            <v>6.654693</v>
          </cell>
          <cell r="R254" t="e">
            <v>#N/A</v>
          </cell>
        </row>
        <row r="255">
          <cell r="A255">
            <v>39521</v>
          </cell>
          <cell r="B255">
            <v>39521</v>
          </cell>
          <cell r="C255" t="str">
            <v>Past</v>
          </cell>
          <cell r="D255">
            <v>47.81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47.81</v>
          </cell>
          <cell r="Q255">
            <v>8.4282450000000004</v>
          </cell>
          <cell r="R255" t="e">
            <v>#N/A</v>
          </cell>
        </row>
        <row r="256">
          <cell r="A256">
            <v>39524</v>
          </cell>
          <cell r="B256">
            <v>39524</v>
          </cell>
          <cell r="C256" t="str">
            <v>Past</v>
          </cell>
          <cell r="D256">
            <v>48.87</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48.87</v>
          </cell>
          <cell r="Q256">
            <v>6.8472469999999994</v>
          </cell>
          <cell r="R256" t="e">
            <v>#N/A</v>
          </cell>
        </row>
        <row r="257">
          <cell r="A257">
            <v>39525</v>
          </cell>
          <cell r="B257">
            <v>39525</v>
          </cell>
          <cell r="C257" t="str">
            <v>Past</v>
          </cell>
          <cell r="D257">
            <v>49.92</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49.92</v>
          </cell>
          <cell r="Q257">
            <v>5.3921999999999999</v>
          </cell>
          <cell r="R257" t="e">
            <v>#N/A</v>
          </cell>
        </row>
        <row r="258">
          <cell r="A258">
            <v>39526</v>
          </cell>
          <cell r="B258">
            <v>39526</v>
          </cell>
          <cell r="C258" t="str">
            <v>Past</v>
          </cell>
          <cell r="D258">
            <v>49.97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49.97</v>
          </cell>
          <cell r="Q258">
            <v>5.7588840000000001</v>
          </cell>
          <cell r="R258" t="e">
            <v>#N/A</v>
          </cell>
        </row>
        <row r="259">
          <cell r="A259">
            <v>39527</v>
          </cell>
          <cell r="B259">
            <v>39527</v>
          </cell>
          <cell r="C259" t="str">
            <v>Past</v>
          </cell>
          <cell r="D259">
            <v>49.84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49.84</v>
          </cell>
          <cell r="Q259">
            <v>9.1662759999999999</v>
          </cell>
          <cell r="R259" t="e">
            <v>#N/A</v>
          </cell>
        </row>
        <row r="260">
          <cell r="A260">
            <v>39531</v>
          </cell>
          <cell r="B260">
            <v>39531</v>
          </cell>
          <cell r="C260" t="str">
            <v>Past</v>
          </cell>
          <cell r="D260">
            <v>50.1</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50.1</v>
          </cell>
          <cell r="Q260">
            <v>5.7913179999999995</v>
          </cell>
          <cell r="R260" t="e">
            <v>#N/A</v>
          </cell>
        </row>
        <row r="261">
          <cell r="A261">
            <v>39532</v>
          </cell>
          <cell r="B261">
            <v>39532</v>
          </cell>
          <cell r="C261" t="str">
            <v>Past</v>
          </cell>
          <cell r="D261">
            <v>50.17</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50.17</v>
          </cell>
          <cell r="Q261">
            <v>4.5670100000000007</v>
          </cell>
          <cell r="R261" t="e">
            <v>#N/A</v>
          </cell>
        </row>
        <row r="262">
          <cell r="A262">
            <v>39533</v>
          </cell>
          <cell r="B262">
            <v>39533</v>
          </cell>
          <cell r="C262" t="str">
            <v>Past</v>
          </cell>
          <cell r="D262">
            <v>50.19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50.19</v>
          </cell>
          <cell r="Q262">
            <v>6.3212000000000002</v>
          </cell>
          <cell r="R262" t="e">
            <v>#N/A</v>
          </cell>
        </row>
        <row r="263">
          <cell r="A263">
            <v>39534</v>
          </cell>
          <cell r="B263">
            <v>39534</v>
          </cell>
          <cell r="C263" t="str">
            <v>Past</v>
          </cell>
          <cell r="D263">
            <v>50.43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50.43</v>
          </cell>
          <cell r="Q263">
            <v>4.9405919999999997</v>
          </cell>
          <cell r="R263" t="e">
            <v>#N/A</v>
          </cell>
        </row>
        <row r="264">
          <cell r="A264">
            <v>39535</v>
          </cell>
          <cell r="B264">
            <v>39535</v>
          </cell>
          <cell r="C264" t="str">
            <v>Past</v>
          </cell>
          <cell r="D264">
            <v>50.29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50.29</v>
          </cell>
          <cell r="Q264">
            <v>5.3374350000000002</v>
          </cell>
          <cell r="R264" t="e">
            <v>#N/A</v>
          </cell>
        </row>
        <row r="265">
          <cell r="A265">
            <v>39538</v>
          </cell>
          <cell r="B265">
            <v>39538</v>
          </cell>
          <cell r="C265" t="str">
            <v>Past</v>
          </cell>
          <cell r="D265">
            <v>51.59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51.59</v>
          </cell>
          <cell r="Q265">
            <v>8.4783720000000002</v>
          </cell>
          <cell r="R265" t="e">
            <v>#N/A</v>
          </cell>
        </row>
        <row r="266">
          <cell r="A266">
            <v>39539</v>
          </cell>
          <cell r="B266">
            <v>39539</v>
          </cell>
          <cell r="C266" t="str">
            <v>Past</v>
          </cell>
          <cell r="D266">
            <v>52.03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52.03</v>
          </cell>
          <cell r="Q266">
            <v>7.230181</v>
          </cell>
          <cell r="R266" t="e">
            <v>#N/A</v>
          </cell>
        </row>
        <row r="267">
          <cell r="A267">
            <v>39540</v>
          </cell>
          <cell r="B267">
            <v>39540</v>
          </cell>
          <cell r="C267" t="str">
            <v>Past</v>
          </cell>
          <cell r="D267">
            <v>51.76</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51.76</v>
          </cell>
          <cell r="Q267">
            <v>5.5314839999999998</v>
          </cell>
          <cell r="R267" t="e">
            <v>#N/A</v>
          </cell>
        </row>
        <row r="268">
          <cell r="A268">
            <v>39541</v>
          </cell>
          <cell r="B268">
            <v>39541</v>
          </cell>
          <cell r="C268" t="str">
            <v>Past</v>
          </cell>
          <cell r="D268">
            <v>51.8</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51.8</v>
          </cell>
          <cell r="Q268">
            <v>5.0750000000000002</v>
          </cell>
          <cell r="R268" t="e">
            <v>#N/A</v>
          </cell>
        </row>
        <row r="269">
          <cell r="A269">
            <v>39542</v>
          </cell>
          <cell r="B269">
            <v>39542</v>
          </cell>
          <cell r="C269" t="str">
            <v>Past</v>
          </cell>
          <cell r="D269">
            <v>52.28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52.28</v>
          </cell>
          <cell r="Q269">
            <v>5.583723</v>
          </cell>
          <cell r="R269" t="e">
            <v>#N/A</v>
          </cell>
        </row>
        <row r="270">
          <cell r="A270">
            <v>39545</v>
          </cell>
          <cell r="B270">
            <v>39545</v>
          </cell>
          <cell r="C270" t="str">
            <v>Past</v>
          </cell>
          <cell r="D270">
            <v>53.06</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53.06</v>
          </cell>
          <cell r="Q270">
            <v>6.1278569999999997</v>
          </cell>
          <cell r="R270" t="e">
            <v>#N/A</v>
          </cell>
        </row>
        <row r="271">
          <cell r="A271">
            <v>39546</v>
          </cell>
          <cell r="B271">
            <v>39546</v>
          </cell>
          <cell r="C271" t="str">
            <v>Past</v>
          </cell>
          <cell r="D271">
            <v>52.3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52.3</v>
          </cell>
          <cell r="Q271">
            <v>4.8953959999999999</v>
          </cell>
          <cell r="R271" t="e">
            <v>#N/A</v>
          </cell>
        </row>
        <row r="272">
          <cell r="A272">
            <v>39547</v>
          </cell>
          <cell r="B272">
            <v>39547</v>
          </cell>
          <cell r="C272" t="str">
            <v>Past</v>
          </cell>
          <cell r="D272">
            <v>51.77</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51.77</v>
          </cell>
          <cell r="Q272">
            <v>5.0903510000000001</v>
          </cell>
          <cell r="R272" t="e">
            <v>#N/A</v>
          </cell>
        </row>
        <row r="273">
          <cell r="A273">
            <v>39548</v>
          </cell>
          <cell r="B273">
            <v>39548</v>
          </cell>
          <cell r="C273" t="str">
            <v>Past</v>
          </cell>
          <cell r="D273">
            <v>52.39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52.39</v>
          </cell>
          <cell r="Q273">
            <v>5.4585059999999999</v>
          </cell>
          <cell r="R273" t="e">
            <v>#N/A</v>
          </cell>
        </row>
        <row r="274">
          <cell r="A274">
            <v>39549</v>
          </cell>
          <cell r="B274">
            <v>39549</v>
          </cell>
          <cell r="C274" t="str">
            <v>Past</v>
          </cell>
          <cell r="D274">
            <v>51.93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51.93</v>
          </cell>
          <cell r="Q274">
            <v>5.3465759999999998</v>
          </cell>
          <cell r="R274" t="e">
            <v>#N/A</v>
          </cell>
        </row>
        <row r="275">
          <cell r="A275">
            <v>39552</v>
          </cell>
          <cell r="B275">
            <v>39552</v>
          </cell>
          <cell r="C275" t="str">
            <v>Past</v>
          </cell>
          <cell r="D275">
            <v>51.82</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51.82</v>
          </cell>
          <cell r="Q275">
            <v>4.8003</v>
          </cell>
          <cell r="R275" t="e">
            <v>#N/A</v>
          </cell>
        </row>
        <row r="276">
          <cell r="A276">
            <v>39553</v>
          </cell>
          <cell r="B276">
            <v>39553</v>
          </cell>
          <cell r="C276" t="str">
            <v>Past</v>
          </cell>
          <cell r="D276">
            <v>51.55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51.55</v>
          </cell>
          <cell r="Q276">
            <v>5.6022179999999997</v>
          </cell>
          <cell r="R276" t="e">
            <v>#N/A</v>
          </cell>
        </row>
        <row r="277">
          <cell r="A277">
            <v>39554</v>
          </cell>
          <cell r="B277">
            <v>39554</v>
          </cell>
          <cell r="C277" t="str">
            <v>Past</v>
          </cell>
          <cell r="D277">
            <v>52.55</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52.55</v>
          </cell>
          <cell r="Q277">
            <v>4.3013560000000002</v>
          </cell>
          <cell r="R277" t="e">
            <v>#N/A</v>
          </cell>
        </row>
        <row r="278">
          <cell r="A278">
            <v>39555</v>
          </cell>
          <cell r="B278">
            <v>39555</v>
          </cell>
          <cell r="C278" t="str">
            <v>Past</v>
          </cell>
          <cell r="D278">
            <v>51.39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51.39</v>
          </cell>
          <cell r="Q278">
            <v>6.9287829999999992</v>
          </cell>
          <cell r="R278" t="e">
            <v>#N/A</v>
          </cell>
        </row>
        <row r="279">
          <cell r="A279">
            <v>39556</v>
          </cell>
          <cell r="B279">
            <v>39556</v>
          </cell>
          <cell r="C279" t="str">
            <v>Past</v>
          </cell>
          <cell r="D279">
            <v>52.07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52.07</v>
          </cell>
          <cell r="Q279">
            <v>6.2235579999999997</v>
          </cell>
          <cell r="R279" t="e">
            <v>#N/A</v>
          </cell>
        </row>
        <row r="280">
          <cell r="A280">
            <v>39559</v>
          </cell>
          <cell r="B280">
            <v>39559</v>
          </cell>
          <cell r="C280" t="str">
            <v>Past</v>
          </cell>
          <cell r="D280">
            <v>49.59</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49.59</v>
          </cell>
          <cell r="Q280">
            <v>10.13949</v>
          </cell>
          <cell r="R280" t="e">
            <v>#N/A</v>
          </cell>
        </row>
        <row r="281">
          <cell r="A281">
            <v>39560</v>
          </cell>
          <cell r="B281">
            <v>39560</v>
          </cell>
          <cell r="C281" t="str">
            <v>Past</v>
          </cell>
          <cell r="D281">
            <v>49.05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49.05</v>
          </cell>
          <cell r="Q281">
            <v>8.5261739999999993</v>
          </cell>
          <cell r="R281" t="e">
            <v>#N/A</v>
          </cell>
        </row>
        <row r="282">
          <cell r="A282">
            <v>39561</v>
          </cell>
          <cell r="B282">
            <v>39561</v>
          </cell>
          <cell r="C282" t="str">
            <v>Past</v>
          </cell>
          <cell r="D282">
            <v>49.19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49.19</v>
          </cell>
          <cell r="Q282">
            <v>6.5452360000000001</v>
          </cell>
          <cell r="R282" t="e">
            <v>#N/A</v>
          </cell>
        </row>
        <row r="283">
          <cell r="A283">
            <v>39562</v>
          </cell>
          <cell r="B283">
            <v>39562</v>
          </cell>
          <cell r="C283" t="str">
            <v>Past</v>
          </cell>
          <cell r="D283">
            <v>49.04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49.04</v>
          </cell>
          <cell r="Q283">
            <v>4.4469729999999998</v>
          </cell>
          <cell r="R283" t="e">
            <v>#N/A</v>
          </cell>
        </row>
        <row r="284">
          <cell r="A284">
            <v>39563</v>
          </cell>
          <cell r="B284">
            <v>39563</v>
          </cell>
          <cell r="C284" t="str">
            <v>Past</v>
          </cell>
          <cell r="D284">
            <v>49.36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49.36</v>
          </cell>
          <cell r="Q284">
            <v>4.609451</v>
          </cell>
          <cell r="R284" t="e">
            <v>#N/A</v>
          </cell>
        </row>
        <row r="285">
          <cell r="A285">
            <v>39566</v>
          </cell>
          <cell r="B285">
            <v>39566</v>
          </cell>
          <cell r="C285" t="str">
            <v>Past</v>
          </cell>
          <cell r="D285">
            <v>49.36</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49.36</v>
          </cell>
          <cell r="Q285">
            <v>4.9131529999999994</v>
          </cell>
          <cell r="R285" t="e">
            <v>#N/A</v>
          </cell>
        </row>
        <row r="286">
          <cell r="A286">
            <v>39567</v>
          </cell>
          <cell r="B286">
            <v>39567</v>
          </cell>
          <cell r="C286" t="str">
            <v>Past</v>
          </cell>
          <cell r="D286">
            <v>48.11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48.11</v>
          </cell>
          <cell r="Q286">
            <v>8.5598390000000002</v>
          </cell>
          <cell r="R286" t="e">
            <v>#N/A</v>
          </cell>
        </row>
        <row r="287">
          <cell r="A287">
            <v>39568</v>
          </cell>
          <cell r="B287">
            <v>39568</v>
          </cell>
          <cell r="C287" t="str">
            <v>Past</v>
          </cell>
          <cell r="D287">
            <v>48.14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48.14</v>
          </cell>
          <cell r="Q287">
            <v>6.1428139999999996</v>
          </cell>
          <cell r="R287" t="e">
            <v>#N/A</v>
          </cell>
        </row>
        <row r="288">
          <cell r="A288">
            <v>39569</v>
          </cell>
          <cell r="B288">
            <v>39569</v>
          </cell>
          <cell r="C288" t="str">
            <v>Past</v>
          </cell>
          <cell r="D288">
            <v>49.72</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49.72</v>
          </cell>
          <cell r="Q288">
            <v>6.2675000000000001</v>
          </cell>
          <cell r="R288" t="e">
            <v>#N/A</v>
          </cell>
        </row>
        <row r="289">
          <cell r="A289">
            <v>39570</v>
          </cell>
          <cell r="B289">
            <v>39570</v>
          </cell>
          <cell r="C289" t="str">
            <v>Past</v>
          </cell>
          <cell r="D289">
            <v>49.38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49.38</v>
          </cell>
          <cell r="Q289">
            <v>3.6564389999999998</v>
          </cell>
          <cell r="R289" t="e">
            <v>#N/A</v>
          </cell>
        </row>
        <row r="290">
          <cell r="A290">
            <v>39573</v>
          </cell>
          <cell r="B290">
            <v>39573</v>
          </cell>
          <cell r="C290" t="str">
            <v>Past</v>
          </cell>
          <cell r="D290">
            <v>48.99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48.99</v>
          </cell>
          <cell r="Q290">
            <v>3.4593929999999999</v>
          </cell>
          <cell r="R290" t="e">
            <v>#N/A</v>
          </cell>
        </row>
        <row r="291">
          <cell r="A291">
            <v>39574</v>
          </cell>
          <cell r="B291">
            <v>39574</v>
          </cell>
          <cell r="C291" t="str">
            <v>Past</v>
          </cell>
          <cell r="D291">
            <v>48.75</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48.75</v>
          </cell>
          <cell r="Q291">
            <v>4.2778359999999997</v>
          </cell>
          <cell r="R291" t="e">
            <v>#N/A</v>
          </cell>
        </row>
        <row r="292">
          <cell r="A292">
            <v>39575</v>
          </cell>
          <cell r="B292">
            <v>39575</v>
          </cell>
          <cell r="C292" t="str">
            <v>Past</v>
          </cell>
          <cell r="D292">
            <v>48.65</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48.65</v>
          </cell>
          <cell r="Q292">
            <v>5.5046119999999998</v>
          </cell>
          <cell r="R292" t="e">
            <v>#N/A</v>
          </cell>
        </row>
        <row r="293">
          <cell r="A293">
            <v>39576</v>
          </cell>
          <cell r="B293">
            <v>39576</v>
          </cell>
          <cell r="C293" t="str">
            <v>Past</v>
          </cell>
          <cell r="D293">
            <v>48.43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48.43</v>
          </cell>
          <cell r="Q293">
            <v>5.3023039999999995</v>
          </cell>
          <cell r="R293" t="e">
            <v>#N/A</v>
          </cell>
        </row>
        <row r="294">
          <cell r="A294">
            <v>39577</v>
          </cell>
          <cell r="B294">
            <v>39577</v>
          </cell>
          <cell r="C294" t="str">
            <v>Past</v>
          </cell>
          <cell r="D294">
            <v>48.25</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48.25</v>
          </cell>
          <cell r="Q294">
            <v>4.2933690000000002</v>
          </cell>
          <cell r="R294" t="e">
            <v>#N/A</v>
          </cell>
        </row>
        <row r="295">
          <cell r="A295">
            <v>39580</v>
          </cell>
          <cell r="B295">
            <v>39580</v>
          </cell>
          <cell r="C295" t="str">
            <v>Past</v>
          </cell>
          <cell r="D295">
            <v>48.76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48.76</v>
          </cell>
          <cell r="Q295">
            <v>3.5420409999999998</v>
          </cell>
          <cell r="R295" t="e">
            <v>#N/A</v>
          </cell>
        </row>
        <row r="296">
          <cell r="A296">
            <v>39581</v>
          </cell>
          <cell r="B296">
            <v>39581</v>
          </cell>
          <cell r="C296" t="str">
            <v>Past</v>
          </cell>
          <cell r="D296">
            <v>47.55</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47.55</v>
          </cell>
          <cell r="Q296">
            <v>5.3672779999999998</v>
          </cell>
          <cell r="R296" t="e">
            <v>#N/A</v>
          </cell>
        </row>
        <row r="297">
          <cell r="A297">
            <v>39582</v>
          </cell>
          <cell r="B297">
            <v>39582</v>
          </cell>
          <cell r="C297" t="str">
            <v>Past</v>
          </cell>
          <cell r="D297">
            <v>48.3</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48.3</v>
          </cell>
          <cell r="Q297">
            <v>4.3714700000000004</v>
          </cell>
          <cell r="R297" t="e">
            <v>#N/A</v>
          </cell>
        </row>
        <row r="298">
          <cell r="A298">
            <v>39583</v>
          </cell>
          <cell r="B298">
            <v>39583</v>
          </cell>
          <cell r="C298" t="str">
            <v>Past</v>
          </cell>
          <cell r="D298">
            <v>48.67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48.67</v>
          </cell>
          <cell r="Q298">
            <v>5.1942259999999996</v>
          </cell>
          <cell r="R298" t="e">
            <v>#N/A</v>
          </cell>
        </row>
        <row r="299">
          <cell r="A299">
            <v>39584</v>
          </cell>
          <cell r="B299">
            <v>39584</v>
          </cell>
          <cell r="C299" t="str">
            <v>Past</v>
          </cell>
          <cell r="D299">
            <v>48.95</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48.95</v>
          </cell>
          <cell r="Q299">
            <v>5.1961449999999996</v>
          </cell>
          <cell r="R299" t="e">
            <v>#N/A</v>
          </cell>
        </row>
        <row r="300">
          <cell r="A300">
            <v>39587</v>
          </cell>
          <cell r="B300">
            <v>39587</v>
          </cell>
          <cell r="C300" t="str">
            <v>Past</v>
          </cell>
          <cell r="D300">
            <v>49.53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49.53</v>
          </cell>
          <cell r="Q300">
            <v>3.7795079999999999</v>
          </cell>
          <cell r="R300" t="e">
            <v>#N/A</v>
          </cell>
        </row>
        <row r="301">
          <cell r="A301">
            <v>39588</v>
          </cell>
          <cell r="B301">
            <v>39588</v>
          </cell>
          <cell r="C301" t="str">
            <v>Past</v>
          </cell>
          <cell r="D301">
            <v>48.96</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48.96</v>
          </cell>
          <cell r="Q301">
            <v>4.1332800000000001</v>
          </cell>
          <cell r="R301" t="e">
            <v>#N/A</v>
          </cell>
        </row>
        <row r="302">
          <cell r="A302">
            <v>39589</v>
          </cell>
          <cell r="B302">
            <v>39589</v>
          </cell>
          <cell r="C302" t="str">
            <v>Past</v>
          </cell>
          <cell r="D302">
            <v>48.1</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48.1</v>
          </cell>
          <cell r="Q302">
            <v>4.6815200000000008</v>
          </cell>
          <cell r="R302" t="e">
            <v>#N/A</v>
          </cell>
        </row>
        <row r="303">
          <cell r="A303">
            <v>39590</v>
          </cell>
          <cell r="B303">
            <v>39590</v>
          </cell>
          <cell r="C303" t="str">
            <v>Past</v>
          </cell>
          <cell r="D303">
            <v>48.48</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48.48</v>
          </cell>
          <cell r="Q303">
            <v>3.1060369999999997</v>
          </cell>
          <cell r="R303" t="e">
            <v>#N/A</v>
          </cell>
        </row>
        <row r="304">
          <cell r="A304">
            <v>39591</v>
          </cell>
          <cell r="B304">
            <v>39591</v>
          </cell>
          <cell r="C304" t="str">
            <v>Past</v>
          </cell>
          <cell r="D304">
            <v>47.57</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47.57</v>
          </cell>
          <cell r="Q304">
            <v>3.602738</v>
          </cell>
          <cell r="R304" t="e">
            <v>#N/A</v>
          </cell>
        </row>
        <row r="305">
          <cell r="A305">
            <v>39595</v>
          </cell>
          <cell r="B305">
            <v>39595</v>
          </cell>
          <cell r="C305" t="str">
            <v>Past</v>
          </cell>
          <cell r="D305">
            <v>47.94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47.94</v>
          </cell>
          <cell r="Q305">
            <v>2.9895320000000001</v>
          </cell>
          <cell r="R305" t="e">
            <v>#N/A</v>
          </cell>
        </row>
        <row r="306">
          <cell r="A306">
            <v>39596</v>
          </cell>
          <cell r="B306">
            <v>39596</v>
          </cell>
          <cell r="C306" t="str">
            <v>Past</v>
          </cell>
          <cell r="D306">
            <v>47.85</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47.85</v>
          </cell>
          <cell r="Q306">
            <v>3.5206619999999997</v>
          </cell>
          <cell r="R306" t="e">
            <v>#N/A</v>
          </cell>
        </row>
        <row r="307">
          <cell r="A307">
            <v>39597</v>
          </cell>
          <cell r="B307">
            <v>39597</v>
          </cell>
          <cell r="C307" t="str">
            <v>Past</v>
          </cell>
          <cell r="D307">
            <v>48.6</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48.6</v>
          </cell>
          <cell r="Q307">
            <v>6.289917</v>
          </cell>
          <cell r="R307" t="e">
            <v>#N/A</v>
          </cell>
        </row>
        <row r="308">
          <cell r="A308">
            <v>39598</v>
          </cell>
          <cell r="B308">
            <v>39598</v>
          </cell>
          <cell r="C308" t="str">
            <v>Past</v>
          </cell>
          <cell r="D308">
            <v>48.14</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48.14</v>
          </cell>
          <cell r="Q308">
            <v>4.0569929999999994</v>
          </cell>
          <cell r="R308" t="e">
            <v>#N/A</v>
          </cell>
        </row>
        <row r="309">
          <cell r="A309">
            <v>39601</v>
          </cell>
          <cell r="B309">
            <v>39601</v>
          </cell>
          <cell r="C309" t="str">
            <v>Past</v>
          </cell>
          <cell r="D309">
            <v>47.59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47.59</v>
          </cell>
          <cell r="Q309">
            <v>5.9305129999999995</v>
          </cell>
          <cell r="R309" t="e">
            <v>#N/A</v>
          </cell>
        </row>
        <row r="310">
          <cell r="A310">
            <v>39602</v>
          </cell>
          <cell r="B310">
            <v>39602</v>
          </cell>
          <cell r="C310" t="str">
            <v>Past</v>
          </cell>
          <cell r="D310">
            <v>48.28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48.28</v>
          </cell>
          <cell r="Q310">
            <v>7.2632879999999993</v>
          </cell>
          <cell r="R310" t="e">
            <v>#N/A</v>
          </cell>
        </row>
        <row r="311">
          <cell r="A311">
            <v>39603</v>
          </cell>
          <cell r="B311">
            <v>39603</v>
          </cell>
          <cell r="C311" t="str">
            <v>Past</v>
          </cell>
          <cell r="D311">
            <v>49.04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49.04</v>
          </cell>
          <cell r="Q311">
            <v>7.4087769999999997</v>
          </cell>
          <cell r="R311" t="e">
            <v>#N/A</v>
          </cell>
        </row>
        <row r="312">
          <cell r="A312">
            <v>39604</v>
          </cell>
          <cell r="B312">
            <v>39604</v>
          </cell>
          <cell r="C312" t="str">
            <v>Past</v>
          </cell>
          <cell r="D312">
            <v>49.46</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49.46</v>
          </cell>
          <cell r="Q312">
            <v>7.8629619999999996</v>
          </cell>
          <cell r="R312" t="e">
            <v>#N/A</v>
          </cell>
        </row>
        <row r="313">
          <cell r="A313">
            <v>39605</v>
          </cell>
          <cell r="B313">
            <v>39605</v>
          </cell>
          <cell r="C313" t="str">
            <v>Past</v>
          </cell>
          <cell r="D313">
            <v>48.42</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48.42</v>
          </cell>
          <cell r="Q313">
            <v>7.8118429999999996</v>
          </cell>
          <cell r="R313" t="e">
            <v>#N/A</v>
          </cell>
        </row>
        <row r="314">
          <cell r="A314">
            <v>39608</v>
          </cell>
          <cell r="B314">
            <v>39608</v>
          </cell>
          <cell r="C314" t="str">
            <v>Past</v>
          </cell>
          <cell r="D314">
            <v>48.18</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48.18</v>
          </cell>
          <cell r="Q314">
            <v>6.4204279999999994</v>
          </cell>
          <cell r="R314" t="e">
            <v>#N/A</v>
          </cell>
        </row>
        <row r="315">
          <cell r="A315">
            <v>39609</v>
          </cell>
          <cell r="B315">
            <v>39609</v>
          </cell>
          <cell r="C315" t="str">
            <v>Past</v>
          </cell>
          <cell r="D315">
            <v>47.94</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47.94</v>
          </cell>
          <cell r="Q315">
            <v>5.1661869999999999</v>
          </cell>
          <cell r="R315" t="e">
            <v>#N/A</v>
          </cell>
        </row>
        <row r="316">
          <cell r="A316">
            <v>39610</v>
          </cell>
          <cell r="B316">
            <v>39610</v>
          </cell>
          <cell r="C316" t="str">
            <v>Past</v>
          </cell>
          <cell r="D316">
            <v>47.43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47.43</v>
          </cell>
          <cell r="Q316">
            <v>4.0563459999999996</v>
          </cell>
          <cell r="R316" t="e">
            <v>#N/A</v>
          </cell>
        </row>
        <row r="317">
          <cell r="A317">
            <v>39611</v>
          </cell>
          <cell r="B317">
            <v>39611</v>
          </cell>
          <cell r="C317" t="str">
            <v>Past</v>
          </cell>
          <cell r="D317">
            <v>47.7</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47.7</v>
          </cell>
          <cell r="Q317">
            <v>4.5953330000000001</v>
          </cell>
          <cell r="R317" t="e">
            <v>#N/A</v>
          </cell>
        </row>
        <row r="318">
          <cell r="A318">
            <v>39612</v>
          </cell>
          <cell r="B318">
            <v>39612</v>
          </cell>
          <cell r="C318" t="str">
            <v>Past</v>
          </cell>
          <cell r="D318">
            <v>48.33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48.33</v>
          </cell>
          <cell r="Q318">
            <v>4.2988210000000002</v>
          </cell>
          <cell r="R318" t="e">
            <v>#N/A</v>
          </cell>
        </row>
        <row r="319">
          <cell r="A319">
            <v>39615</v>
          </cell>
          <cell r="B319">
            <v>39615</v>
          </cell>
          <cell r="C319" t="str">
            <v>Past</v>
          </cell>
          <cell r="D319">
            <v>47.85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47.85</v>
          </cell>
          <cell r="Q319">
            <v>5.5685279999999997</v>
          </cell>
          <cell r="R319" t="e">
            <v>#N/A</v>
          </cell>
        </row>
        <row r="320">
          <cell r="A320">
            <v>39616</v>
          </cell>
          <cell r="B320">
            <v>39616</v>
          </cell>
          <cell r="C320" t="str">
            <v>Past</v>
          </cell>
          <cell r="D320">
            <v>47.78</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47.78</v>
          </cell>
          <cell r="Q320">
            <v>3.4322689999999998</v>
          </cell>
          <cell r="R320" t="e">
            <v>#N/A</v>
          </cell>
        </row>
        <row r="321">
          <cell r="A321">
            <v>39617</v>
          </cell>
          <cell r="B321">
            <v>39617</v>
          </cell>
          <cell r="C321" t="str">
            <v>Past</v>
          </cell>
          <cell r="D321">
            <v>46.97</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46.97</v>
          </cell>
          <cell r="Q321">
            <v>4.2175900000000004</v>
          </cell>
          <cell r="R321" t="e">
            <v>#N/A</v>
          </cell>
        </row>
        <row r="322">
          <cell r="A322">
            <v>39618</v>
          </cell>
          <cell r="B322">
            <v>39618</v>
          </cell>
          <cell r="C322" t="str">
            <v>Past</v>
          </cell>
          <cell r="D322">
            <v>47.79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47.79</v>
          </cell>
          <cell r="Q322">
            <v>8.2233280000000004</v>
          </cell>
          <cell r="R322" t="e">
            <v>#N/A</v>
          </cell>
        </row>
        <row r="323">
          <cell r="A323">
            <v>39619</v>
          </cell>
          <cell r="B323">
            <v>39619</v>
          </cell>
          <cell r="C323" t="str">
            <v>Past</v>
          </cell>
          <cell r="D323">
            <v>46.93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46.93</v>
          </cell>
          <cell r="Q323">
            <v>7.4238809999999997</v>
          </cell>
          <cell r="R323" t="e">
            <v>#N/A</v>
          </cell>
        </row>
        <row r="324">
          <cell r="A324">
            <v>39622</v>
          </cell>
          <cell r="B324">
            <v>39622</v>
          </cell>
          <cell r="C324" t="str">
            <v>Past</v>
          </cell>
          <cell r="D324">
            <v>47.6</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47.6</v>
          </cell>
          <cell r="Q324">
            <v>5.4291179999999999</v>
          </cell>
          <cell r="R324" t="e">
            <v>#N/A</v>
          </cell>
        </row>
        <row r="325">
          <cell r="A325">
            <v>39623</v>
          </cell>
          <cell r="B325">
            <v>39623</v>
          </cell>
          <cell r="C325" t="str">
            <v>Past</v>
          </cell>
          <cell r="D325">
            <v>46.94</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46.94</v>
          </cell>
          <cell r="Q325">
            <v>9.2603100000000005</v>
          </cell>
          <cell r="R325" t="e">
            <v>#N/A</v>
          </cell>
        </row>
        <row r="326">
          <cell r="A326">
            <v>39624</v>
          </cell>
          <cell r="B326">
            <v>39624</v>
          </cell>
          <cell r="C326" t="str">
            <v>Past</v>
          </cell>
          <cell r="D326">
            <v>47</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47</v>
          </cell>
          <cell r="Q326">
            <v>6.0174319999999994</v>
          </cell>
          <cell r="R326" t="e">
            <v>#N/A</v>
          </cell>
        </row>
        <row r="327">
          <cell r="A327">
            <v>39625</v>
          </cell>
          <cell r="B327">
            <v>39625</v>
          </cell>
          <cell r="C327" t="str">
            <v>Past</v>
          </cell>
          <cell r="D327">
            <v>46.02</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46.02</v>
          </cell>
          <cell r="Q327">
            <v>6.5172559999999997</v>
          </cell>
          <cell r="R327" t="e">
            <v>#N/A</v>
          </cell>
        </row>
        <row r="328">
          <cell r="A328">
            <v>39626</v>
          </cell>
          <cell r="B328">
            <v>39626</v>
          </cell>
          <cell r="C328" t="str">
            <v>Past</v>
          </cell>
          <cell r="D328">
            <v>45.61</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45.61</v>
          </cell>
          <cell r="Q328">
            <v>7.4178179999999996</v>
          </cell>
          <cell r="R328" t="e">
            <v>#N/A</v>
          </cell>
        </row>
        <row r="329">
          <cell r="A329">
            <v>39629</v>
          </cell>
          <cell r="B329">
            <v>39629</v>
          </cell>
          <cell r="C329" t="str">
            <v>Past</v>
          </cell>
          <cell r="D329">
            <v>46.16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46.16</v>
          </cell>
          <cell r="Q329">
            <v>5.4170349999999994</v>
          </cell>
          <cell r="R329" t="e">
            <v>#N/A</v>
          </cell>
        </row>
        <row r="330">
          <cell r="A330">
            <v>39630</v>
          </cell>
          <cell r="B330">
            <v>39630</v>
          </cell>
          <cell r="C330" t="str">
            <v>Past</v>
          </cell>
          <cell r="D330">
            <v>46.1</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46.1</v>
          </cell>
          <cell r="Q330">
            <v>6.4543559999999998</v>
          </cell>
          <cell r="R330" t="e">
            <v>#N/A</v>
          </cell>
        </row>
        <row r="331">
          <cell r="A331">
            <v>39631</v>
          </cell>
          <cell r="B331">
            <v>39631</v>
          </cell>
          <cell r="C331" t="str">
            <v>Past</v>
          </cell>
          <cell r="D331">
            <v>46.09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46.09</v>
          </cell>
          <cell r="Q331">
            <v>4.656085</v>
          </cell>
          <cell r="R331" t="e">
            <v>#N/A</v>
          </cell>
        </row>
        <row r="332">
          <cell r="A332">
            <v>39632</v>
          </cell>
          <cell r="B332">
            <v>39632</v>
          </cell>
          <cell r="C332" t="str">
            <v>Past</v>
          </cell>
          <cell r="D332">
            <v>46.98</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46.98</v>
          </cell>
          <cell r="Q332">
            <v>4.531256</v>
          </cell>
          <cell r="R332" t="e">
            <v>#N/A</v>
          </cell>
        </row>
        <row r="333">
          <cell r="A333">
            <v>39636</v>
          </cell>
          <cell r="B333">
            <v>39636</v>
          </cell>
          <cell r="C333" t="str">
            <v>Past</v>
          </cell>
          <cell r="D333">
            <v>46.21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46.21</v>
          </cell>
          <cell r="Q333">
            <v>6.0968329999999993</v>
          </cell>
          <cell r="R333" t="e">
            <v>#N/A</v>
          </cell>
        </row>
        <row r="334">
          <cell r="A334">
            <v>39637</v>
          </cell>
          <cell r="B334">
            <v>39637</v>
          </cell>
          <cell r="C334" t="str">
            <v>Past</v>
          </cell>
          <cell r="D334">
            <v>48.46</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48.46</v>
          </cell>
          <cell r="Q334">
            <v>9.3727459999999994</v>
          </cell>
          <cell r="R334" t="e">
            <v>#N/A</v>
          </cell>
        </row>
        <row r="335">
          <cell r="A335">
            <v>39638</v>
          </cell>
          <cell r="B335">
            <v>39638</v>
          </cell>
          <cell r="C335" t="str">
            <v>Past</v>
          </cell>
          <cell r="D335">
            <v>48.37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48.37</v>
          </cell>
          <cell r="Q335">
            <v>6.5000749999999998</v>
          </cell>
          <cell r="R335" t="e">
            <v>#N/A</v>
          </cell>
        </row>
        <row r="336">
          <cell r="A336">
            <v>39639</v>
          </cell>
          <cell r="B336">
            <v>39639</v>
          </cell>
          <cell r="C336" t="str">
            <v>Past</v>
          </cell>
          <cell r="D336">
            <v>48.16</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48.16</v>
          </cell>
          <cell r="Q336">
            <v>7.3747479999999994</v>
          </cell>
          <cell r="R336" t="e">
            <v>#N/A</v>
          </cell>
        </row>
        <row r="337">
          <cell r="A337">
            <v>39640</v>
          </cell>
          <cell r="B337">
            <v>39640</v>
          </cell>
          <cell r="C337" t="str">
            <v>Past</v>
          </cell>
          <cell r="D337">
            <v>47.67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47.67</v>
          </cell>
          <cell r="Q337">
            <v>4.5388700000000002</v>
          </cell>
          <cell r="R337" t="e">
            <v>#N/A</v>
          </cell>
        </row>
        <row r="338">
          <cell r="A338">
            <v>39643</v>
          </cell>
          <cell r="B338">
            <v>39643</v>
          </cell>
          <cell r="C338" t="str">
            <v>Past</v>
          </cell>
          <cell r="D338">
            <v>48.01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48.01</v>
          </cell>
          <cell r="Q338">
            <v>5.7160969999999995</v>
          </cell>
          <cell r="R338" t="e">
            <v>#N/A</v>
          </cell>
        </row>
        <row r="339">
          <cell r="A339">
            <v>39644</v>
          </cell>
          <cell r="B339">
            <v>39644</v>
          </cell>
          <cell r="C339" t="str">
            <v>Past</v>
          </cell>
          <cell r="D339">
            <v>48.11</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48.11</v>
          </cell>
          <cell r="Q339">
            <v>8.1845389999999991</v>
          </cell>
          <cell r="R339" t="e">
            <v>#N/A</v>
          </cell>
        </row>
        <row r="340">
          <cell r="A340">
            <v>39645</v>
          </cell>
          <cell r="B340">
            <v>39645</v>
          </cell>
          <cell r="C340" t="str">
            <v>Past</v>
          </cell>
          <cell r="D340">
            <v>48.28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48.28</v>
          </cell>
          <cell r="Q340">
            <v>6.356236</v>
          </cell>
          <cell r="R340" t="e">
            <v>#N/A</v>
          </cell>
        </row>
        <row r="341">
          <cell r="A341">
            <v>39646</v>
          </cell>
          <cell r="B341">
            <v>39646</v>
          </cell>
          <cell r="C341" t="str">
            <v>Past</v>
          </cell>
          <cell r="D341">
            <v>48.38</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48.38</v>
          </cell>
          <cell r="Q341">
            <v>6.514837</v>
          </cell>
          <cell r="R341" t="e">
            <v>#N/A</v>
          </cell>
        </row>
        <row r="342">
          <cell r="A342">
            <v>39647</v>
          </cell>
          <cell r="B342">
            <v>39647</v>
          </cell>
          <cell r="C342" t="str">
            <v>Past</v>
          </cell>
          <cell r="D342">
            <v>47.91</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47.91</v>
          </cell>
          <cell r="Q342">
            <v>6.4213829999999996</v>
          </cell>
          <cell r="R342" t="e">
            <v>#N/A</v>
          </cell>
        </row>
        <row r="343">
          <cell r="A343">
            <v>39650</v>
          </cell>
          <cell r="B343">
            <v>39650</v>
          </cell>
          <cell r="C343" t="str">
            <v>Past</v>
          </cell>
          <cell r="D343">
            <v>47.18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47.18</v>
          </cell>
          <cell r="Q343">
            <v>4.7416919999999996</v>
          </cell>
          <cell r="R343" t="e">
            <v>#N/A</v>
          </cell>
        </row>
        <row r="344">
          <cell r="A344">
            <v>39651</v>
          </cell>
          <cell r="B344">
            <v>39651</v>
          </cell>
          <cell r="C344" t="str">
            <v>Past</v>
          </cell>
          <cell r="D344">
            <v>46.73</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46.73</v>
          </cell>
          <cell r="Q344">
            <v>6.6683329999999996</v>
          </cell>
          <cell r="R344" t="e">
            <v>#N/A</v>
          </cell>
        </row>
        <row r="345">
          <cell r="A345">
            <v>39652</v>
          </cell>
          <cell r="B345">
            <v>39652</v>
          </cell>
          <cell r="C345" t="str">
            <v>Past</v>
          </cell>
          <cell r="D345">
            <v>47.62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47.62</v>
          </cell>
          <cell r="Q345">
            <v>5.6084069999999997</v>
          </cell>
          <cell r="R345" t="e">
            <v>#N/A</v>
          </cell>
        </row>
        <row r="346">
          <cell r="A346">
            <v>39653</v>
          </cell>
          <cell r="B346">
            <v>39653</v>
          </cell>
          <cell r="C346" t="str">
            <v>Past</v>
          </cell>
          <cell r="D346">
            <v>48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v>
          </cell>
          <cell r="Q346">
            <v>4.9491429999999994</v>
          </cell>
          <cell r="R346" t="e">
            <v>#N/A</v>
          </cell>
        </row>
        <row r="347">
          <cell r="A347">
            <v>39654</v>
          </cell>
          <cell r="B347">
            <v>39654</v>
          </cell>
          <cell r="C347" t="str">
            <v>Past</v>
          </cell>
          <cell r="D347">
            <v>47.81</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47.81</v>
          </cell>
          <cell r="Q347">
            <v>4.2006809999999994</v>
          </cell>
          <cell r="R347" t="e">
            <v>#N/A</v>
          </cell>
        </row>
        <row r="348">
          <cell r="A348">
            <v>39657</v>
          </cell>
          <cell r="B348">
            <v>39657</v>
          </cell>
          <cell r="C348" t="str">
            <v>Past</v>
          </cell>
          <cell r="D348">
            <v>47.62</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47.62</v>
          </cell>
          <cell r="Q348">
            <v>5.1311879999999999</v>
          </cell>
          <cell r="R348" t="e">
            <v>#N/A</v>
          </cell>
        </row>
        <row r="349">
          <cell r="A349">
            <v>39658</v>
          </cell>
          <cell r="B349">
            <v>39658</v>
          </cell>
          <cell r="C349" t="str">
            <v>Past</v>
          </cell>
          <cell r="D349">
            <v>48.26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48.26</v>
          </cell>
          <cell r="Q349">
            <v>5.5355879999999997</v>
          </cell>
          <cell r="R349" t="e">
            <v>#N/A</v>
          </cell>
        </row>
        <row r="350">
          <cell r="A350">
            <v>39659</v>
          </cell>
          <cell r="B350">
            <v>39659</v>
          </cell>
          <cell r="C350" t="str">
            <v>Past</v>
          </cell>
          <cell r="D350">
            <v>47.41</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47.41</v>
          </cell>
          <cell r="Q350">
            <v>7.4262059999999996</v>
          </cell>
          <cell r="R350" t="e">
            <v>#N/A</v>
          </cell>
        </row>
        <row r="351">
          <cell r="A351">
            <v>39660</v>
          </cell>
          <cell r="B351">
            <v>39660</v>
          </cell>
          <cell r="C351" t="str">
            <v>Past</v>
          </cell>
          <cell r="D351">
            <v>47.11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47.11</v>
          </cell>
          <cell r="Q351">
            <v>4.9318520000000001</v>
          </cell>
          <cell r="R351" t="e">
            <v>#N/A</v>
          </cell>
        </row>
        <row r="352">
          <cell r="A352">
            <v>39661</v>
          </cell>
          <cell r="B352">
            <v>39661</v>
          </cell>
          <cell r="C352" t="str">
            <v>Past</v>
          </cell>
          <cell r="D352">
            <v>47.04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47.04</v>
          </cell>
          <cell r="Q352">
            <v>4.3291810000000002</v>
          </cell>
          <cell r="R352" t="e">
            <v>#N/A</v>
          </cell>
        </row>
        <row r="353">
          <cell r="A353">
            <v>39664</v>
          </cell>
          <cell r="B353">
            <v>39664</v>
          </cell>
          <cell r="C353" t="str">
            <v>Past</v>
          </cell>
          <cell r="D353">
            <v>47.37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47.37</v>
          </cell>
          <cell r="Q353">
            <v>4.7518129999999994</v>
          </cell>
          <cell r="R353" t="e">
            <v>#N/A</v>
          </cell>
        </row>
        <row r="354">
          <cell r="A354">
            <v>39665</v>
          </cell>
          <cell r="B354">
            <v>39665</v>
          </cell>
          <cell r="C354" t="str">
            <v>Past</v>
          </cell>
          <cell r="D354">
            <v>47.79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47.79</v>
          </cell>
          <cell r="Q354">
            <v>6.4860509999999998</v>
          </cell>
          <cell r="R354" t="e">
            <v>#N/A</v>
          </cell>
        </row>
        <row r="355">
          <cell r="A355">
            <v>39666</v>
          </cell>
          <cell r="B355">
            <v>39666</v>
          </cell>
          <cell r="C355" t="str">
            <v>Past</v>
          </cell>
          <cell r="D355">
            <v>48</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48</v>
          </cell>
          <cell r="Q355">
            <v>3.5196000000000001</v>
          </cell>
          <cell r="R355" t="e">
            <v>#N/A</v>
          </cell>
        </row>
        <row r="356">
          <cell r="A356">
            <v>39667</v>
          </cell>
          <cell r="B356">
            <v>39667</v>
          </cell>
          <cell r="C356" t="str">
            <v>Past</v>
          </cell>
          <cell r="D356">
            <v>47.58</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47.58</v>
          </cell>
          <cell r="Q356">
            <v>4.5968609999999996</v>
          </cell>
          <cell r="R356" t="e">
            <v>#N/A</v>
          </cell>
        </row>
        <row r="357">
          <cell r="A357">
            <v>39668</v>
          </cell>
          <cell r="B357">
            <v>39668</v>
          </cell>
          <cell r="C357" t="str">
            <v>Past</v>
          </cell>
          <cell r="D357">
            <v>48.51</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48.51</v>
          </cell>
          <cell r="Q357">
            <v>4.1587300000000003</v>
          </cell>
          <cell r="R357" t="e">
            <v>#N/A</v>
          </cell>
        </row>
        <row r="358">
          <cell r="A358">
            <v>39671</v>
          </cell>
          <cell r="B358">
            <v>39671</v>
          </cell>
          <cell r="C358" t="str">
            <v>Past</v>
          </cell>
          <cell r="D358">
            <v>49.05</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49.05</v>
          </cell>
          <cell r="Q358">
            <v>6.1157829999999995</v>
          </cell>
          <cell r="R358" t="e">
            <v>#N/A</v>
          </cell>
        </row>
        <row r="359">
          <cell r="A359">
            <v>39672</v>
          </cell>
          <cell r="B359">
            <v>39672</v>
          </cell>
          <cell r="C359" t="str">
            <v>Past</v>
          </cell>
          <cell r="D359">
            <v>49.25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49.25</v>
          </cell>
          <cell r="Q359">
            <v>6.038087</v>
          </cell>
          <cell r="R359" t="e">
            <v>#N/A</v>
          </cell>
        </row>
        <row r="360">
          <cell r="A360">
            <v>39673</v>
          </cell>
          <cell r="B360">
            <v>39673</v>
          </cell>
          <cell r="C360" t="str">
            <v>Past</v>
          </cell>
          <cell r="D360">
            <v>48.38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48.38</v>
          </cell>
          <cell r="Q360">
            <v>4.9549279999999998</v>
          </cell>
          <cell r="R360" t="e">
            <v>#N/A</v>
          </cell>
        </row>
        <row r="361">
          <cell r="A361">
            <v>39674</v>
          </cell>
          <cell r="B361">
            <v>39674</v>
          </cell>
          <cell r="C361" t="str">
            <v>Past</v>
          </cell>
          <cell r="D361">
            <v>48.34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48.34</v>
          </cell>
          <cell r="Q361">
            <v>4.7061489999999999</v>
          </cell>
          <cell r="R361" t="e">
            <v>#N/A</v>
          </cell>
        </row>
        <row r="362">
          <cell r="A362">
            <v>39675</v>
          </cell>
          <cell r="B362">
            <v>39675</v>
          </cell>
          <cell r="C362" t="str">
            <v>Past</v>
          </cell>
          <cell r="D362">
            <v>48.78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48.78</v>
          </cell>
          <cell r="Q362">
            <v>4.6113580000000001</v>
          </cell>
          <cell r="R362" t="e">
            <v>#N/A</v>
          </cell>
        </row>
        <row r="363">
          <cell r="A363">
            <v>39678</v>
          </cell>
          <cell r="B363">
            <v>39678</v>
          </cell>
          <cell r="C363" t="str">
            <v>Past</v>
          </cell>
          <cell r="D363">
            <v>48.05</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48.05</v>
          </cell>
          <cell r="Q363">
            <v>6.2457180000000001</v>
          </cell>
          <cell r="R363" t="e">
            <v>#N/A</v>
          </cell>
        </row>
        <row r="364">
          <cell r="A364">
            <v>39679</v>
          </cell>
          <cell r="B364">
            <v>39679</v>
          </cell>
          <cell r="C364" t="str">
            <v>Past</v>
          </cell>
          <cell r="D364">
            <v>47.8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47.8</v>
          </cell>
          <cell r="Q364">
            <v>5.4486829999999999</v>
          </cell>
          <cell r="R364" t="e">
            <v>#N/A</v>
          </cell>
        </row>
        <row r="365">
          <cell r="A365">
            <v>39680</v>
          </cell>
          <cell r="B365">
            <v>39680</v>
          </cell>
          <cell r="C365" t="str">
            <v>Past</v>
          </cell>
          <cell r="D365">
            <v>47.41</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47.41</v>
          </cell>
          <cell r="Q365">
            <v>4.5450109999999997</v>
          </cell>
          <cell r="R365" t="e">
            <v>#N/A</v>
          </cell>
        </row>
        <row r="366">
          <cell r="A366">
            <v>39681</v>
          </cell>
          <cell r="B366">
            <v>39681</v>
          </cell>
          <cell r="C366" t="str">
            <v>Past</v>
          </cell>
          <cell r="D366">
            <v>47.17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47.17</v>
          </cell>
          <cell r="Q366">
            <v>4.1615440000000001</v>
          </cell>
          <cell r="R366" t="e">
            <v>#N/A</v>
          </cell>
        </row>
        <row r="367">
          <cell r="A367">
            <v>39682</v>
          </cell>
          <cell r="B367">
            <v>39682</v>
          </cell>
          <cell r="C367" t="str">
            <v>Past</v>
          </cell>
          <cell r="D367">
            <v>48.03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48.03</v>
          </cell>
          <cell r="Q367">
            <v>5.1343179999999995</v>
          </cell>
          <cell r="R367" t="e">
            <v>#N/A</v>
          </cell>
        </row>
        <row r="368">
          <cell r="A368">
            <v>39685</v>
          </cell>
          <cell r="B368">
            <v>39685</v>
          </cell>
          <cell r="C368" t="str">
            <v>Past</v>
          </cell>
          <cell r="D368">
            <v>47.52</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47.52</v>
          </cell>
          <cell r="Q368">
            <v>3.9402059999999999</v>
          </cell>
          <cell r="R368" t="e">
            <v>#N/A</v>
          </cell>
        </row>
        <row r="369">
          <cell r="A369">
            <v>39686</v>
          </cell>
          <cell r="B369">
            <v>39686</v>
          </cell>
          <cell r="C369" t="str">
            <v>Past</v>
          </cell>
          <cell r="D369">
            <v>47.02</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47.02</v>
          </cell>
          <cell r="Q369">
            <v>3.3715219999999997</v>
          </cell>
          <cell r="R369" t="e">
            <v>#N/A</v>
          </cell>
        </row>
        <row r="370">
          <cell r="A370">
            <v>39687</v>
          </cell>
          <cell r="B370">
            <v>39687</v>
          </cell>
          <cell r="C370" t="str">
            <v>Past</v>
          </cell>
          <cell r="D370">
            <v>46.87</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46.87</v>
          </cell>
          <cell r="Q370">
            <v>5.5200829999999996</v>
          </cell>
          <cell r="R370" t="e">
            <v>#N/A</v>
          </cell>
        </row>
        <row r="371">
          <cell r="A371">
            <v>39688</v>
          </cell>
          <cell r="B371">
            <v>39688</v>
          </cell>
          <cell r="C371" t="str">
            <v>Past</v>
          </cell>
          <cell r="D371">
            <v>46.91</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46.91</v>
          </cell>
          <cell r="Q371">
            <v>4.285463</v>
          </cell>
          <cell r="R371" t="e">
            <v>#N/A</v>
          </cell>
        </row>
        <row r="372">
          <cell r="A372">
            <v>39689</v>
          </cell>
          <cell r="B372">
            <v>39689</v>
          </cell>
          <cell r="C372" t="str">
            <v>Past</v>
          </cell>
          <cell r="D372">
            <v>46.65</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46.65</v>
          </cell>
          <cell r="Q372">
            <v>4.7651479999999999</v>
          </cell>
          <cell r="R372" t="e">
            <v>#N/A</v>
          </cell>
        </row>
        <row r="373">
          <cell r="A373">
            <v>39693</v>
          </cell>
          <cell r="B373">
            <v>39693</v>
          </cell>
          <cell r="C373" t="str">
            <v>Past</v>
          </cell>
          <cell r="D373">
            <v>46.66</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46.66</v>
          </cell>
          <cell r="Q373">
            <v>5.2418079999999998</v>
          </cell>
          <cell r="R373" t="e">
            <v>#N/A</v>
          </cell>
        </row>
        <row r="374">
          <cell r="A374">
            <v>39694</v>
          </cell>
          <cell r="B374">
            <v>39694</v>
          </cell>
          <cell r="C374" t="str">
            <v>Past</v>
          </cell>
          <cell r="D374">
            <v>46.91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46.91</v>
          </cell>
          <cell r="Q374">
            <v>4.4258259999999998</v>
          </cell>
          <cell r="R374" t="e">
            <v>#N/A</v>
          </cell>
        </row>
        <row r="375">
          <cell r="A375">
            <v>39695</v>
          </cell>
          <cell r="B375">
            <v>39695</v>
          </cell>
          <cell r="C375" t="str">
            <v>Past</v>
          </cell>
          <cell r="D375">
            <v>46.09</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46.09</v>
          </cell>
          <cell r="Q375">
            <v>4.7143489999999995</v>
          </cell>
          <cell r="R375" t="e">
            <v>#N/A</v>
          </cell>
        </row>
        <row r="376">
          <cell r="A376">
            <v>39696</v>
          </cell>
          <cell r="B376">
            <v>39696</v>
          </cell>
          <cell r="C376" t="str">
            <v>Past</v>
          </cell>
          <cell r="D376">
            <v>45.44</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45.44</v>
          </cell>
          <cell r="Q376">
            <v>5.1277609999999996</v>
          </cell>
          <cell r="R376" t="e">
            <v>#N/A</v>
          </cell>
        </row>
        <row r="377">
          <cell r="A377">
            <v>39699</v>
          </cell>
          <cell r="B377">
            <v>39699</v>
          </cell>
          <cell r="C377" t="str">
            <v>Past</v>
          </cell>
          <cell r="D377">
            <v>46.67</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46.67</v>
          </cell>
          <cell r="Q377">
            <v>5.791283</v>
          </cell>
          <cell r="R377" t="e">
            <v>#N/A</v>
          </cell>
        </row>
        <row r="378">
          <cell r="A378">
            <v>39700</v>
          </cell>
          <cell r="B378">
            <v>39700</v>
          </cell>
          <cell r="C378" t="str">
            <v>Past</v>
          </cell>
          <cell r="D378">
            <v>46.46</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46.46</v>
          </cell>
          <cell r="Q378">
            <v>7.8215509999999995</v>
          </cell>
          <cell r="R378" t="e">
            <v>#N/A</v>
          </cell>
        </row>
        <row r="379">
          <cell r="A379">
            <v>39701</v>
          </cell>
          <cell r="B379">
            <v>39701</v>
          </cell>
          <cell r="C379" t="str">
            <v>Past</v>
          </cell>
          <cell r="D379">
            <v>46.73</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46.73</v>
          </cell>
          <cell r="Q379">
            <v>6.1061689999999995</v>
          </cell>
          <cell r="R379" t="e">
            <v>#N/A</v>
          </cell>
        </row>
        <row r="380">
          <cell r="A380">
            <v>39702</v>
          </cell>
          <cell r="B380">
            <v>39702</v>
          </cell>
          <cell r="C380" t="str">
            <v>Past</v>
          </cell>
          <cell r="D380">
            <v>46.72</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46.72</v>
          </cell>
          <cell r="Q380">
            <v>4.7126969999999995</v>
          </cell>
          <cell r="R380" t="e">
            <v>#N/A</v>
          </cell>
        </row>
        <row r="381">
          <cell r="A381">
            <v>39703</v>
          </cell>
          <cell r="B381">
            <v>39703</v>
          </cell>
          <cell r="C381" t="str">
            <v>Past</v>
          </cell>
          <cell r="D381">
            <v>46.6</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46.6</v>
          </cell>
          <cell r="Q381">
            <v>4.2716479999999999</v>
          </cell>
          <cell r="R381" t="e">
            <v>#N/A</v>
          </cell>
        </row>
        <row r="382">
          <cell r="A382">
            <v>39706</v>
          </cell>
          <cell r="B382">
            <v>39706</v>
          </cell>
          <cell r="C382" t="str">
            <v>Past</v>
          </cell>
          <cell r="D382">
            <v>46.04</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46.04</v>
          </cell>
          <cell r="Q382">
            <v>5.3281909999999995</v>
          </cell>
          <cell r="R382" t="e">
            <v>#N/A</v>
          </cell>
        </row>
        <row r="383">
          <cell r="A383">
            <v>39707</v>
          </cell>
          <cell r="B383">
            <v>39707</v>
          </cell>
          <cell r="C383" t="str">
            <v>Past</v>
          </cell>
          <cell r="D383">
            <v>45.26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45.26</v>
          </cell>
          <cell r="Q383">
            <v>10.0488</v>
          </cell>
          <cell r="R383" t="e">
            <v>#N/A</v>
          </cell>
        </row>
        <row r="384">
          <cell r="A384">
            <v>39708</v>
          </cell>
          <cell r="B384">
            <v>39708</v>
          </cell>
          <cell r="C384" t="str">
            <v>Past</v>
          </cell>
          <cell r="D384">
            <v>43.92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43.92</v>
          </cell>
          <cell r="Q384">
            <v>7.1758479999999993</v>
          </cell>
          <cell r="R384" t="e">
            <v>#N/A</v>
          </cell>
        </row>
        <row r="385">
          <cell r="A385">
            <v>39709</v>
          </cell>
          <cell r="B385">
            <v>39709</v>
          </cell>
          <cell r="C385" t="str">
            <v>Past</v>
          </cell>
          <cell r="D385">
            <v>45.42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45.42</v>
          </cell>
          <cell r="Q385">
            <v>9.9173390000000001</v>
          </cell>
          <cell r="R385" t="e">
            <v>#N/A</v>
          </cell>
        </row>
        <row r="386">
          <cell r="A386">
            <v>39710</v>
          </cell>
          <cell r="B386">
            <v>39710</v>
          </cell>
          <cell r="C386" t="str">
            <v>Past</v>
          </cell>
          <cell r="D386">
            <v>46.69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46.69</v>
          </cell>
          <cell r="Q386">
            <v>12.047700000000001</v>
          </cell>
          <cell r="R386" t="e">
            <v>#N/A</v>
          </cell>
        </row>
        <row r="387">
          <cell r="A387">
            <v>39713</v>
          </cell>
          <cell r="B387">
            <v>39713</v>
          </cell>
          <cell r="C387" t="str">
            <v>Past</v>
          </cell>
          <cell r="D387">
            <v>45.9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45.9</v>
          </cell>
          <cell r="Q387">
            <v>5.7838919999999998</v>
          </cell>
          <cell r="R387" t="e">
            <v>#N/A</v>
          </cell>
        </row>
        <row r="388">
          <cell r="A388">
            <v>39714</v>
          </cell>
          <cell r="B388">
            <v>39714</v>
          </cell>
          <cell r="C388" t="str">
            <v>Past</v>
          </cell>
          <cell r="D388">
            <v>45.73</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45.73</v>
          </cell>
          <cell r="Q388">
            <v>7.8780429999999999</v>
          </cell>
          <cell r="R388" t="e">
            <v>#N/A</v>
          </cell>
        </row>
        <row r="389">
          <cell r="A389">
            <v>39715</v>
          </cell>
          <cell r="B389">
            <v>39715</v>
          </cell>
          <cell r="C389" t="str">
            <v>Past</v>
          </cell>
          <cell r="D389">
            <v>46.34</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46.34</v>
          </cell>
          <cell r="Q389">
            <v>7.2406400000000009</v>
          </cell>
          <cell r="R389" t="e">
            <v>#N/A</v>
          </cell>
        </row>
        <row r="390">
          <cell r="A390">
            <v>39716</v>
          </cell>
          <cell r="B390">
            <v>39716</v>
          </cell>
          <cell r="C390" t="str">
            <v>Past</v>
          </cell>
          <cell r="D390">
            <v>46.6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46.6</v>
          </cell>
          <cell r="Q390">
            <v>9.338139</v>
          </cell>
          <cell r="R390" t="e">
            <v>#N/A</v>
          </cell>
        </row>
        <row r="391">
          <cell r="A391">
            <v>39717</v>
          </cell>
          <cell r="B391">
            <v>39717</v>
          </cell>
          <cell r="C391" t="str">
            <v>Past</v>
          </cell>
          <cell r="D391">
            <v>46.82</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46.82</v>
          </cell>
          <cell r="Q391">
            <v>5.7698029999999996</v>
          </cell>
          <cell r="R391" t="e">
            <v>#N/A</v>
          </cell>
        </row>
        <row r="392">
          <cell r="A392">
            <v>39720</v>
          </cell>
          <cell r="B392">
            <v>39720</v>
          </cell>
          <cell r="C392" t="str">
            <v>Past</v>
          </cell>
          <cell r="D392">
            <v>43.92</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43.92</v>
          </cell>
          <cell r="Q392">
            <v>9.7914779999999997</v>
          </cell>
          <cell r="R392" t="e">
            <v>#N/A</v>
          </cell>
        </row>
        <row r="393">
          <cell r="A393">
            <v>39721</v>
          </cell>
          <cell r="B393">
            <v>39721</v>
          </cell>
          <cell r="C393" t="str">
            <v>Past</v>
          </cell>
          <cell r="D393">
            <v>44.03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44.03</v>
          </cell>
          <cell r="Q393">
            <v>8.43872</v>
          </cell>
          <cell r="R393" t="e">
            <v>#N/A</v>
          </cell>
        </row>
        <row r="394">
          <cell r="A394">
            <v>39722</v>
          </cell>
          <cell r="B394">
            <v>39722</v>
          </cell>
          <cell r="C394" t="str">
            <v>Past</v>
          </cell>
          <cell r="D394">
            <v>43.69</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43.69</v>
          </cell>
          <cell r="Q394">
            <v>6.3403209999999994</v>
          </cell>
          <cell r="R394" t="e">
            <v>#N/A</v>
          </cell>
        </row>
        <row r="395">
          <cell r="A395">
            <v>39723</v>
          </cell>
          <cell r="B395">
            <v>39723</v>
          </cell>
          <cell r="C395" t="str">
            <v>Past</v>
          </cell>
          <cell r="D395">
            <v>42.55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42.55</v>
          </cell>
          <cell r="Q395">
            <v>6.5659789999999996</v>
          </cell>
          <cell r="R395" t="e">
            <v>#N/A</v>
          </cell>
        </row>
        <row r="396">
          <cell r="A396">
            <v>39724</v>
          </cell>
          <cell r="B396">
            <v>39724</v>
          </cell>
          <cell r="C396" t="str">
            <v>Past</v>
          </cell>
          <cell r="D396">
            <v>41.31</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41.31</v>
          </cell>
          <cell r="Q396">
            <v>9.4462289999999989</v>
          </cell>
          <cell r="R396" t="e">
            <v>#N/A</v>
          </cell>
        </row>
        <row r="397">
          <cell r="A397">
            <v>39727</v>
          </cell>
          <cell r="B397">
            <v>39727</v>
          </cell>
          <cell r="C397" t="str">
            <v>Past</v>
          </cell>
          <cell r="D397">
            <v>38.42</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38.42</v>
          </cell>
          <cell r="Q397">
            <v>18.989150000000002</v>
          </cell>
          <cell r="R397" t="e">
            <v>#N/A</v>
          </cell>
        </row>
        <row r="398">
          <cell r="A398">
            <v>39728</v>
          </cell>
          <cell r="B398">
            <v>39728</v>
          </cell>
          <cell r="C398" t="str">
            <v>Past</v>
          </cell>
          <cell r="D398">
            <v>38.61</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38.61</v>
          </cell>
          <cell r="Q398">
            <v>12.466280000000001</v>
          </cell>
          <cell r="R398" t="e">
            <v>#N/A</v>
          </cell>
        </row>
        <row r="399">
          <cell r="A399">
            <v>39729</v>
          </cell>
          <cell r="B399">
            <v>39729</v>
          </cell>
          <cell r="C399" t="str">
            <v>Past</v>
          </cell>
          <cell r="D399">
            <v>37.9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37.9</v>
          </cell>
          <cell r="Q399">
            <v>8.946200000000001</v>
          </cell>
          <cell r="R399" t="e">
            <v>#N/A</v>
          </cell>
        </row>
        <row r="400">
          <cell r="A400">
            <v>39730</v>
          </cell>
          <cell r="B400">
            <v>39730</v>
          </cell>
          <cell r="C400" t="str">
            <v>Past</v>
          </cell>
          <cell r="D400">
            <v>33.22</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33.22</v>
          </cell>
          <cell r="Q400">
            <v>13.833860000000001</v>
          </cell>
          <cell r="R400" t="e">
            <v>#N/A</v>
          </cell>
        </row>
        <row r="401">
          <cell r="A401">
            <v>39731</v>
          </cell>
          <cell r="B401">
            <v>39731</v>
          </cell>
          <cell r="C401" t="str">
            <v>Past</v>
          </cell>
          <cell r="D401">
            <v>31.36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31.36</v>
          </cell>
          <cell r="Q401">
            <v>15.866700000000002</v>
          </cell>
          <cell r="R401" t="e">
            <v>#N/A</v>
          </cell>
        </row>
        <row r="402">
          <cell r="A402">
            <v>39734</v>
          </cell>
          <cell r="B402">
            <v>39734</v>
          </cell>
          <cell r="C402" t="str">
            <v>Past</v>
          </cell>
          <cell r="D402">
            <v>35.86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35.86</v>
          </cell>
          <cell r="Q402">
            <v>8.2861390000000004</v>
          </cell>
          <cell r="R402" t="e">
            <v>#N/A</v>
          </cell>
        </row>
        <row r="403">
          <cell r="A403">
            <v>39735</v>
          </cell>
          <cell r="B403">
            <v>39735</v>
          </cell>
          <cell r="C403" t="str">
            <v>Past</v>
          </cell>
          <cell r="D403">
            <v>34.94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34.94</v>
          </cell>
          <cell r="Q403">
            <v>10.643370000000001</v>
          </cell>
          <cell r="R403" t="e">
            <v>#N/A</v>
          </cell>
        </row>
        <row r="404">
          <cell r="A404">
            <v>39736</v>
          </cell>
          <cell r="B404">
            <v>39736</v>
          </cell>
          <cell r="C404" t="str">
            <v>Past</v>
          </cell>
          <cell r="D404">
            <v>32.54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32.54</v>
          </cell>
          <cell r="Q404">
            <v>10.602690000000001</v>
          </cell>
          <cell r="R404" t="e">
            <v>#N/A</v>
          </cell>
        </row>
        <row r="405">
          <cell r="A405">
            <v>39737</v>
          </cell>
          <cell r="B405">
            <v>39737</v>
          </cell>
          <cell r="C405" t="str">
            <v>Past</v>
          </cell>
          <cell r="D405">
            <v>34.380000000000003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34.380000000000003</v>
          </cell>
          <cell r="Q405">
            <v>10.297870000000001</v>
          </cell>
          <cell r="R405" t="e">
            <v>#N/A</v>
          </cell>
        </row>
        <row r="406">
          <cell r="A406">
            <v>39738</v>
          </cell>
          <cell r="B406">
            <v>39738</v>
          </cell>
          <cell r="C406" t="str">
            <v>Past</v>
          </cell>
          <cell r="D406">
            <v>32.200000000000003</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32.200000000000003</v>
          </cell>
          <cell r="Q406">
            <v>9.1611349999999998</v>
          </cell>
          <cell r="R406" t="e">
            <v>#N/A</v>
          </cell>
        </row>
        <row r="407">
          <cell r="A407">
            <v>39741</v>
          </cell>
          <cell r="B407">
            <v>39741</v>
          </cell>
          <cell r="C407" t="str">
            <v>Past</v>
          </cell>
          <cell r="D407">
            <v>34.1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34.1</v>
          </cell>
          <cell r="Q407">
            <v>9.0492119999999989</v>
          </cell>
          <cell r="R407" t="e">
            <v>#N/A</v>
          </cell>
        </row>
        <row r="408">
          <cell r="A408">
            <v>39742</v>
          </cell>
          <cell r="B408">
            <v>39742</v>
          </cell>
          <cell r="C408" t="str">
            <v>Past</v>
          </cell>
          <cell r="D408">
            <v>33.68</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33.68</v>
          </cell>
          <cell r="Q408">
            <v>7.7329600000000003</v>
          </cell>
          <cell r="R408" t="e">
            <v>#N/A</v>
          </cell>
        </row>
        <row r="409">
          <cell r="A409">
            <v>39743</v>
          </cell>
          <cell r="B409">
            <v>39743</v>
          </cell>
          <cell r="C409" t="str">
            <v>Past</v>
          </cell>
          <cell r="D409">
            <v>32.11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32.11</v>
          </cell>
          <cell r="Q409">
            <v>6.6719949999999999</v>
          </cell>
          <cell r="R409" t="e">
            <v>#N/A</v>
          </cell>
        </row>
        <row r="410">
          <cell r="A410">
            <v>39744</v>
          </cell>
          <cell r="B410">
            <v>39744</v>
          </cell>
          <cell r="C410" t="str">
            <v>Past</v>
          </cell>
          <cell r="D410">
            <v>33.479999999999997</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33.479999999999997</v>
          </cell>
          <cell r="Q410">
            <v>8.7292550000000002</v>
          </cell>
          <cell r="R410" t="e">
            <v>#N/A</v>
          </cell>
        </row>
        <row r="411">
          <cell r="A411">
            <v>39745</v>
          </cell>
          <cell r="B411">
            <v>39745</v>
          </cell>
          <cell r="C411" t="str">
            <v>Past</v>
          </cell>
          <cell r="D411">
            <v>31.73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31.73</v>
          </cell>
          <cell r="Q411">
            <v>7.2242579999999998</v>
          </cell>
          <cell r="R411" t="e">
            <v>#N/A</v>
          </cell>
        </row>
        <row r="412">
          <cell r="A412">
            <v>39748</v>
          </cell>
          <cell r="B412">
            <v>39748</v>
          </cell>
          <cell r="C412" t="str">
            <v>Past</v>
          </cell>
          <cell r="D412">
            <v>30.4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30.4</v>
          </cell>
          <cell r="Q412">
            <v>7.5269170000000001</v>
          </cell>
          <cell r="R412" t="e">
            <v>#N/A</v>
          </cell>
        </row>
        <row r="413">
          <cell r="A413">
            <v>39749</v>
          </cell>
          <cell r="B413">
            <v>39749</v>
          </cell>
          <cell r="C413" t="str">
            <v>Past</v>
          </cell>
          <cell r="D413">
            <v>33.380000000000003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33.380000000000003</v>
          </cell>
          <cell r="Q413">
            <v>8.3281400000000012</v>
          </cell>
          <cell r="R413" t="e">
            <v>#N/A</v>
          </cell>
        </row>
        <row r="414">
          <cell r="A414">
            <v>39750</v>
          </cell>
          <cell r="B414">
            <v>39750</v>
          </cell>
          <cell r="C414" t="str">
            <v>Past</v>
          </cell>
          <cell r="D414">
            <v>32.03</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32.03</v>
          </cell>
          <cell r="Q414">
            <v>9.1801659999999998</v>
          </cell>
          <cell r="R414" t="e">
            <v>#N/A</v>
          </cell>
        </row>
        <row r="415">
          <cell r="A415">
            <v>39751</v>
          </cell>
          <cell r="B415">
            <v>39751</v>
          </cell>
          <cell r="C415" t="str">
            <v>Past</v>
          </cell>
          <cell r="D415">
            <v>32.83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32.83</v>
          </cell>
          <cell r="Q415">
            <v>7.3632809999999997</v>
          </cell>
          <cell r="R415" t="e">
            <v>#N/A</v>
          </cell>
        </row>
        <row r="416">
          <cell r="A416">
            <v>39752</v>
          </cell>
          <cell r="B416">
            <v>39752</v>
          </cell>
          <cell r="C416" t="str">
            <v>Past</v>
          </cell>
          <cell r="D416">
            <v>33.82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33.82</v>
          </cell>
          <cell r="Q416">
            <v>6.8747219999999993</v>
          </cell>
          <cell r="R416" t="e">
            <v>#N/A</v>
          </cell>
        </row>
        <row r="417">
          <cell r="A417">
            <v>39755</v>
          </cell>
          <cell r="B417">
            <v>39755</v>
          </cell>
          <cell r="C417" t="str">
            <v>Past</v>
          </cell>
          <cell r="D417">
            <v>34.01</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34.01</v>
          </cell>
          <cell r="Q417">
            <v>4.8018919999999996</v>
          </cell>
          <cell r="R417" t="e">
            <v>#N/A</v>
          </cell>
        </row>
        <row r="418">
          <cell r="A418">
            <v>39756</v>
          </cell>
          <cell r="B418">
            <v>39756</v>
          </cell>
          <cell r="C418" t="str">
            <v>Past</v>
          </cell>
          <cell r="D418">
            <v>35.15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35.15</v>
          </cell>
          <cell r="Q418">
            <v>7.7893819999999998</v>
          </cell>
          <cell r="R418" t="e">
            <v>#N/A</v>
          </cell>
        </row>
        <row r="419">
          <cell r="A419">
            <v>39757</v>
          </cell>
          <cell r="B419">
            <v>39757</v>
          </cell>
          <cell r="C419" t="str">
            <v>Past</v>
          </cell>
          <cell r="D419">
            <v>33.76</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33.76</v>
          </cell>
          <cell r="Q419">
            <v>5.8583129999999999</v>
          </cell>
          <cell r="R419" t="e">
            <v>#N/A</v>
          </cell>
        </row>
        <row r="420">
          <cell r="A420">
            <v>39758</v>
          </cell>
          <cell r="B420">
            <v>39758</v>
          </cell>
          <cell r="C420" t="str">
            <v>Past</v>
          </cell>
          <cell r="D420">
            <v>32.869999999999997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32.869999999999997</v>
          </cell>
          <cell r="Q420">
            <v>6.4474269999999994</v>
          </cell>
          <cell r="R420" t="e">
            <v>#N/A</v>
          </cell>
        </row>
        <row r="421">
          <cell r="A421">
            <v>39759</v>
          </cell>
          <cell r="B421">
            <v>39759</v>
          </cell>
          <cell r="C421" t="str">
            <v>Past</v>
          </cell>
          <cell r="D421">
            <v>34.200000000000003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34.200000000000003</v>
          </cell>
          <cell r="Q421">
            <v>4.023854</v>
          </cell>
          <cell r="R421" t="e">
            <v>#N/A</v>
          </cell>
        </row>
        <row r="422">
          <cell r="A422">
            <v>39762</v>
          </cell>
          <cell r="B422">
            <v>39762</v>
          </cell>
          <cell r="C422" t="str">
            <v>Past</v>
          </cell>
          <cell r="D422">
            <v>34.869999999999997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34.869999999999997</v>
          </cell>
          <cell r="Q422">
            <v>5.9272800000000005</v>
          </cell>
          <cell r="R422" t="e">
            <v>#N/A</v>
          </cell>
        </row>
        <row r="423">
          <cell r="A423">
            <v>39763</v>
          </cell>
          <cell r="B423">
            <v>39763</v>
          </cell>
          <cell r="C423" t="str">
            <v>Past</v>
          </cell>
          <cell r="D423">
            <v>33.97</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33.97</v>
          </cell>
          <cell r="Q423">
            <v>4.9625000000000004</v>
          </cell>
          <cell r="R423" t="e">
            <v>#N/A</v>
          </cell>
        </row>
        <row r="424">
          <cell r="A424">
            <v>39764</v>
          </cell>
          <cell r="B424">
            <v>39764</v>
          </cell>
          <cell r="C424" t="str">
            <v>Past</v>
          </cell>
          <cell r="D424">
            <v>31.99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31.99</v>
          </cell>
          <cell r="Q424">
            <v>6.1608130000000001</v>
          </cell>
          <cell r="R424" t="e">
            <v>#N/A</v>
          </cell>
        </row>
        <row r="425">
          <cell r="A425">
            <v>39765</v>
          </cell>
          <cell r="B425">
            <v>39765</v>
          </cell>
          <cell r="C425" t="str">
            <v>Past</v>
          </cell>
          <cell r="D425">
            <v>34.119999999999997</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34.119999999999997</v>
          </cell>
          <cell r="Q425">
            <v>13.039400000000001</v>
          </cell>
          <cell r="R425" t="e">
            <v>#N/A</v>
          </cell>
        </row>
        <row r="426">
          <cell r="A426">
            <v>39766</v>
          </cell>
          <cell r="B426">
            <v>39766</v>
          </cell>
          <cell r="C426" t="str">
            <v>Past</v>
          </cell>
          <cell r="D426">
            <v>32.06</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32.06</v>
          </cell>
          <cell r="Q426">
            <v>8.1136920000000003</v>
          </cell>
          <cell r="R426" t="e">
            <v>#N/A</v>
          </cell>
        </row>
        <row r="427">
          <cell r="A427">
            <v>39769</v>
          </cell>
          <cell r="B427">
            <v>39769</v>
          </cell>
          <cell r="C427" t="str">
            <v>Past</v>
          </cell>
          <cell r="D427">
            <v>32.130000000000003</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32.130000000000003</v>
          </cell>
          <cell r="Q427">
            <v>6.4393359999999999</v>
          </cell>
          <cell r="R427" t="e">
            <v>#N/A</v>
          </cell>
        </row>
        <row r="428">
          <cell r="A428">
            <v>39770</v>
          </cell>
          <cell r="B428">
            <v>39770</v>
          </cell>
          <cell r="C428" t="str">
            <v>Past</v>
          </cell>
          <cell r="D428">
            <v>33.340000000000003</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33.340000000000003</v>
          </cell>
          <cell r="Q428">
            <v>6.5812459999999993</v>
          </cell>
          <cell r="R428" t="e">
            <v>#N/A</v>
          </cell>
        </row>
        <row r="429">
          <cell r="A429">
            <v>39771</v>
          </cell>
          <cell r="B429">
            <v>39771</v>
          </cell>
          <cell r="C429" t="str">
            <v>Past</v>
          </cell>
          <cell r="D429">
            <v>31.41</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31.41</v>
          </cell>
          <cell r="Q429">
            <v>7.1641959999999996</v>
          </cell>
          <cell r="R429" t="e">
            <v>#N/A</v>
          </cell>
        </row>
        <row r="430">
          <cell r="A430">
            <v>39772</v>
          </cell>
          <cell r="B430">
            <v>39772</v>
          </cell>
          <cell r="C430" t="str">
            <v>Past</v>
          </cell>
          <cell r="D430">
            <v>29.91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29.91</v>
          </cell>
          <cell r="Q430">
            <v>7.9666109999999994</v>
          </cell>
          <cell r="R430" t="e">
            <v>#N/A</v>
          </cell>
        </row>
        <row r="431">
          <cell r="A431">
            <v>39773</v>
          </cell>
          <cell r="B431">
            <v>39773</v>
          </cell>
          <cell r="C431" t="str">
            <v>Past</v>
          </cell>
          <cell r="D431">
            <v>30.43</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30.43</v>
          </cell>
          <cell r="Q431">
            <v>9.9475600000000011</v>
          </cell>
          <cell r="R431" t="e">
            <v>#N/A</v>
          </cell>
        </row>
        <row r="432">
          <cell r="A432">
            <v>39776</v>
          </cell>
          <cell r="B432">
            <v>39776</v>
          </cell>
          <cell r="C432" t="str">
            <v>Past</v>
          </cell>
          <cell r="D432">
            <v>32.08</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32.08</v>
          </cell>
          <cell r="Q432">
            <v>7.845186</v>
          </cell>
          <cell r="R432" t="e">
            <v>#N/A</v>
          </cell>
        </row>
        <row r="433">
          <cell r="A433">
            <v>39777</v>
          </cell>
          <cell r="B433">
            <v>39777</v>
          </cell>
          <cell r="C433" t="str">
            <v>Past</v>
          </cell>
          <cell r="D433">
            <v>32.799999999999997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32.799999999999997</v>
          </cell>
          <cell r="Q433">
            <v>6.4954510000000001</v>
          </cell>
          <cell r="R433" t="e">
            <v>#N/A</v>
          </cell>
        </row>
        <row r="434">
          <cell r="A434">
            <v>39778</v>
          </cell>
          <cell r="B434">
            <v>39778</v>
          </cell>
          <cell r="C434" t="str">
            <v>Past</v>
          </cell>
          <cell r="D434">
            <v>32.869999999999997</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32.869999999999997</v>
          </cell>
          <cell r="Q434">
            <v>5.8867069999999995</v>
          </cell>
          <cell r="R434" t="e">
            <v>#N/A</v>
          </cell>
        </row>
        <row r="435">
          <cell r="A435">
            <v>39780</v>
          </cell>
          <cell r="B435">
            <v>39780</v>
          </cell>
          <cell r="C435" t="str">
            <v>Past</v>
          </cell>
          <cell r="D435">
            <v>34.15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34.15</v>
          </cell>
          <cell r="Q435">
            <v>2.7362479999999998</v>
          </cell>
          <cell r="R435" t="e">
            <v>#N/A</v>
          </cell>
        </row>
        <row r="436">
          <cell r="A436">
            <v>39783</v>
          </cell>
          <cell r="B436">
            <v>39783</v>
          </cell>
          <cell r="C436" t="str">
            <v>Past</v>
          </cell>
          <cell r="D436">
            <v>31.12</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31.12</v>
          </cell>
          <cell r="Q436">
            <v>6.3300539999999996</v>
          </cell>
          <cell r="R436" t="e">
            <v>#N/A</v>
          </cell>
        </row>
        <row r="437">
          <cell r="A437">
            <v>39784</v>
          </cell>
          <cell r="B437">
            <v>39784</v>
          </cell>
          <cell r="C437" t="str">
            <v>Past</v>
          </cell>
          <cell r="D437">
            <v>33.19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33.19</v>
          </cell>
          <cell r="Q437">
            <v>6.817895</v>
          </cell>
          <cell r="R437" t="e">
            <v>#N/A</v>
          </cell>
        </row>
        <row r="438">
          <cell r="A438">
            <v>39785</v>
          </cell>
          <cell r="B438">
            <v>39785</v>
          </cell>
          <cell r="C438" t="str">
            <v>Past</v>
          </cell>
          <cell r="D438">
            <v>34.97</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34.97</v>
          </cell>
          <cell r="Q438">
            <v>7.7707500000000005</v>
          </cell>
          <cell r="R438" t="e">
            <v>#N/A</v>
          </cell>
        </row>
        <row r="439">
          <cell r="A439">
            <v>39786</v>
          </cell>
          <cell r="B439">
            <v>39786</v>
          </cell>
          <cell r="C439" t="str">
            <v>Past</v>
          </cell>
          <cell r="D439">
            <v>33.89</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33.89</v>
          </cell>
          <cell r="Q439">
            <v>6.8564449999999999</v>
          </cell>
          <cell r="R439" t="e">
            <v>#N/A</v>
          </cell>
        </row>
        <row r="440">
          <cell r="A440">
            <v>39787</v>
          </cell>
          <cell r="B440">
            <v>39787</v>
          </cell>
          <cell r="C440" t="str">
            <v>Past</v>
          </cell>
          <cell r="D440">
            <v>34.94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34.94</v>
          </cell>
          <cell r="Q440">
            <v>7.5709859999999995</v>
          </cell>
          <cell r="R440" t="e">
            <v>#N/A</v>
          </cell>
        </row>
        <row r="441">
          <cell r="A441">
            <v>39790</v>
          </cell>
          <cell r="B441">
            <v>39790</v>
          </cell>
          <cell r="C441" t="str">
            <v>Past</v>
          </cell>
          <cell r="D441">
            <v>34.86</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34.86</v>
          </cell>
          <cell r="Q441">
            <v>6.8849669999999996</v>
          </cell>
          <cell r="R441" t="e">
            <v>#N/A</v>
          </cell>
        </row>
        <row r="442">
          <cell r="A442">
            <v>39791</v>
          </cell>
          <cell r="B442">
            <v>39791</v>
          </cell>
          <cell r="C442" t="str">
            <v>Past</v>
          </cell>
          <cell r="D442">
            <v>34.57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34.57</v>
          </cell>
          <cell r="Q442">
            <v>4.4716059999999995</v>
          </cell>
          <cell r="R442" t="e">
            <v>#N/A</v>
          </cell>
        </row>
        <row r="443">
          <cell r="A443">
            <v>39792</v>
          </cell>
          <cell r="B443">
            <v>39792</v>
          </cell>
          <cell r="C443" t="str">
            <v>Past</v>
          </cell>
          <cell r="D443">
            <v>35.01</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35.01</v>
          </cell>
          <cell r="Q443">
            <v>4.8541800000000004</v>
          </cell>
          <cell r="R443" t="e">
            <v>#N/A</v>
          </cell>
        </row>
        <row r="444">
          <cell r="A444">
            <v>39793</v>
          </cell>
          <cell r="B444">
            <v>39793</v>
          </cell>
          <cell r="C444" t="str">
            <v>Past</v>
          </cell>
          <cell r="D444">
            <v>35.619999999999997</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35.619999999999997</v>
          </cell>
          <cell r="Q444">
            <v>8.0255299999999998</v>
          </cell>
          <cell r="R444" t="e">
            <v>#N/A</v>
          </cell>
        </row>
        <row r="445">
          <cell r="A445">
            <v>39794</v>
          </cell>
          <cell r="B445">
            <v>39794</v>
          </cell>
          <cell r="C445" t="str">
            <v>Past</v>
          </cell>
          <cell r="D445">
            <v>36.409999999999997</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36.409999999999997</v>
          </cell>
          <cell r="Q445">
            <v>6.6373489999999995</v>
          </cell>
          <cell r="R445" t="e">
            <v>#N/A</v>
          </cell>
        </row>
        <row r="446">
          <cell r="A446">
            <v>39797</v>
          </cell>
          <cell r="B446">
            <v>39797</v>
          </cell>
          <cell r="C446" t="str">
            <v>Past</v>
          </cell>
          <cell r="D446">
            <v>35.32</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35.32</v>
          </cell>
          <cell r="Q446">
            <v>5.7284609999999994</v>
          </cell>
          <cell r="R446" t="e">
            <v>#N/A</v>
          </cell>
        </row>
        <row r="447">
          <cell r="A447">
            <v>39798</v>
          </cell>
          <cell r="B447">
            <v>39798</v>
          </cell>
          <cell r="C447" t="str">
            <v>Past</v>
          </cell>
          <cell r="D447">
            <v>37.21</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37.21</v>
          </cell>
          <cell r="Q447">
            <v>6.1563619999999997</v>
          </cell>
          <cell r="R447" t="e">
            <v>#N/A</v>
          </cell>
        </row>
        <row r="448">
          <cell r="A448">
            <v>39799</v>
          </cell>
          <cell r="B448">
            <v>39799</v>
          </cell>
          <cell r="C448" t="str">
            <v>Past</v>
          </cell>
          <cell r="D448">
            <v>36.94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36.94</v>
          </cell>
          <cell r="Q448">
            <v>5.2769369999999993</v>
          </cell>
          <cell r="R448" t="e">
            <v>#N/A</v>
          </cell>
        </row>
        <row r="449">
          <cell r="A449">
            <v>39800</v>
          </cell>
          <cell r="B449">
            <v>39800</v>
          </cell>
          <cell r="C449" t="str">
            <v>Past</v>
          </cell>
          <cell r="D449">
            <v>36.869999999999997</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36.869999999999997</v>
          </cell>
          <cell r="Q449">
            <v>6.6499489999999994</v>
          </cell>
          <cell r="R449" t="e">
            <v>#N/A</v>
          </cell>
        </row>
        <row r="450">
          <cell r="A450">
            <v>39801</v>
          </cell>
          <cell r="B450">
            <v>39801</v>
          </cell>
          <cell r="C450" t="str">
            <v>Past</v>
          </cell>
          <cell r="D450">
            <v>38.26</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38.26</v>
          </cell>
          <cell r="Q450">
            <v>10.252540000000002</v>
          </cell>
          <cell r="R450" t="e">
            <v>#N/A</v>
          </cell>
        </row>
        <row r="451">
          <cell r="A451">
            <v>39804</v>
          </cell>
          <cell r="B451">
            <v>39804</v>
          </cell>
          <cell r="C451" t="str">
            <v>Past</v>
          </cell>
          <cell r="D451">
            <v>37.340000000000003</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37.340000000000003</v>
          </cell>
          <cell r="Q451">
            <v>5.0688139999999997</v>
          </cell>
          <cell r="R451" t="e">
            <v>#N/A</v>
          </cell>
        </row>
        <row r="452">
          <cell r="A452">
            <v>39805</v>
          </cell>
          <cell r="B452">
            <v>39805</v>
          </cell>
          <cell r="C452" t="str">
            <v>Past</v>
          </cell>
          <cell r="D452">
            <v>37.49</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37.49</v>
          </cell>
          <cell r="Q452">
            <v>4.2378779999999994</v>
          </cell>
          <cell r="R452" t="e">
            <v>#N/A</v>
          </cell>
        </row>
        <row r="453">
          <cell r="A453">
            <v>39806</v>
          </cell>
          <cell r="B453">
            <v>39806</v>
          </cell>
          <cell r="C453" t="str">
            <v>Past</v>
          </cell>
          <cell r="D453">
            <v>37.799999999999997</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37.799999999999997</v>
          </cell>
          <cell r="Q453">
            <v>1.2376589999999998</v>
          </cell>
          <cell r="R453" t="e">
            <v>#N/A</v>
          </cell>
        </row>
        <row r="454">
          <cell r="A454">
            <v>39808</v>
          </cell>
          <cell r="B454">
            <v>39808</v>
          </cell>
          <cell r="C454" t="str">
            <v>Past</v>
          </cell>
          <cell r="D454">
            <v>37.979999999999997</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37.979999999999997</v>
          </cell>
          <cell r="Q454">
            <v>1.6140219999999998</v>
          </cell>
          <cell r="R454" t="e">
            <v>#N/A</v>
          </cell>
        </row>
        <row r="455">
          <cell r="A455">
            <v>39811</v>
          </cell>
          <cell r="B455">
            <v>39811</v>
          </cell>
          <cell r="C455" t="str">
            <v>Past</v>
          </cell>
          <cell r="D455">
            <v>38.479999999999997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38.479999999999997</v>
          </cell>
          <cell r="Q455">
            <v>4.0112319999999997</v>
          </cell>
          <cell r="R455" t="e">
            <v>#N/A</v>
          </cell>
        </row>
        <row r="456">
          <cell r="A456">
            <v>39812</v>
          </cell>
          <cell r="B456">
            <v>39812</v>
          </cell>
          <cell r="C456" t="str">
            <v>Past</v>
          </cell>
          <cell r="D456">
            <v>39.67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39.67</v>
          </cell>
          <cell r="Q456">
            <v>4.7436539999999994</v>
          </cell>
          <cell r="R456" t="e">
            <v>#N/A</v>
          </cell>
        </row>
        <row r="457">
          <cell r="A457">
            <v>39813</v>
          </cell>
          <cell r="B457">
            <v>39813</v>
          </cell>
          <cell r="C457" t="str">
            <v>Past</v>
          </cell>
          <cell r="D457">
            <v>40.270000000000003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40.270000000000003</v>
          </cell>
          <cell r="Q457">
            <v>4.7353500000000004</v>
          </cell>
          <cell r="R457" t="e">
            <v>#N/A</v>
          </cell>
        </row>
        <row r="458">
          <cell r="A458">
            <v>39815</v>
          </cell>
          <cell r="B458">
            <v>39815</v>
          </cell>
          <cell r="C458" t="str">
            <v>Past</v>
          </cell>
          <cell r="D458">
            <v>40.57</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40.57</v>
          </cell>
          <cell r="Q458">
            <v>6.0319430000000001</v>
          </cell>
          <cell r="R458" t="e">
            <v>#N/A</v>
          </cell>
        </row>
        <row r="459">
          <cell r="A459">
            <v>39818</v>
          </cell>
          <cell r="B459">
            <v>39818</v>
          </cell>
          <cell r="C459" t="str">
            <v>Past</v>
          </cell>
          <cell r="D459">
            <v>39.46</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39.46</v>
          </cell>
          <cell r="Q459">
            <v>6.8690400000000009</v>
          </cell>
          <cell r="R459" t="e">
            <v>#N/A</v>
          </cell>
        </row>
        <row r="460">
          <cell r="A460">
            <v>39819</v>
          </cell>
          <cell r="B460">
            <v>39819</v>
          </cell>
          <cell r="C460" t="str">
            <v>Past</v>
          </cell>
          <cell r="D460">
            <v>39.57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39.57</v>
          </cell>
          <cell r="Q460">
            <v>9.0501200000000015</v>
          </cell>
          <cell r="R460" t="e">
            <v>#N/A</v>
          </cell>
        </row>
        <row r="461">
          <cell r="A461">
            <v>39820</v>
          </cell>
          <cell r="B461">
            <v>39820</v>
          </cell>
          <cell r="C461" t="str">
            <v>Past</v>
          </cell>
          <cell r="D461">
            <v>38.619999999999997</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38.619999999999997</v>
          </cell>
          <cell r="Q461">
            <v>6.3655789999999994</v>
          </cell>
          <cell r="R461" t="e">
            <v>#N/A</v>
          </cell>
        </row>
        <row r="462">
          <cell r="A462">
            <v>39821</v>
          </cell>
          <cell r="B462">
            <v>39821</v>
          </cell>
          <cell r="C462" t="str">
            <v>Past</v>
          </cell>
          <cell r="D462">
            <v>38.81</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38.81</v>
          </cell>
          <cell r="Q462">
            <v>5.6269049999999998</v>
          </cell>
          <cell r="R462" t="e">
            <v>#N/A</v>
          </cell>
        </row>
        <row r="463">
          <cell r="A463">
            <v>39822</v>
          </cell>
          <cell r="B463">
            <v>39822</v>
          </cell>
          <cell r="C463" t="str">
            <v>Past</v>
          </cell>
          <cell r="D463">
            <v>38.479999999999997</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38.479999999999997</v>
          </cell>
          <cell r="Q463">
            <v>5.9375529999999994</v>
          </cell>
          <cell r="R463" t="e">
            <v>#N/A</v>
          </cell>
        </row>
        <row r="464">
          <cell r="A464">
            <v>39825</v>
          </cell>
          <cell r="B464">
            <v>39825</v>
          </cell>
          <cell r="C464" t="str">
            <v>Past</v>
          </cell>
          <cell r="D464">
            <v>38.130000000000003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38.130000000000003</v>
          </cell>
          <cell r="Q464">
            <v>5.1992759999999993</v>
          </cell>
          <cell r="R464" t="e">
            <v>#N/A</v>
          </cell>
        </row>
        <row r="465">
          <cell r="A465">
            <v>39826</v>
          </cell>
          <cell r="B465">
            <v>39826</v>
          </cell>
          <cell r="C465" t="str">
            <v>Past</v>
          </cell>
          <cell r="D465">
            <v>38.520000000000003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38.520000000000003</v>
          </cell>
          <cell r="Q465">
            <v>5.3014000000000001</v>
          </cell>
          <cell r="R465" t="e">
            <v>#N/A</v>
          </cell>
        </row>
        <row r="466">
          <cell r="A466">
            <v>39827</v>
          </cell>
          <cell r="B466">
            <v>39827</v>
          </cell>
          <cell r="C466" t="str">
            <v>Past</v>
          </cell>
          <cell r="D466">
            <v>37.47</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37.47</v>
          </cell>
          <cell r="Q466">
            <v>6.5570919999999999</v>
          </cell>
          <cell r="R466" t="e">
            <v>#N/A</v>
          </cell>
        </row>
        <row r="467">
          <cell r="A467">
            <v>39828</v>
          </cell>
          <cell r="B467">
            <v>39828</v>
          </cell>
          <cell r="C467" t="str">
            <v>Past</v>
          </cell>
          <cell r="D467">
            <v>37.549999999999997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37.549999999999997</v>
          </cell>
          <cell r="Q467">
            <v>4.9573479999999996</v>
          </cell>
          <cell r="R467" t="e">
            <v>#N/A</v>
          </cell>
        </row>
        <row r="468">
          <cell r="A468">
            <v>39829</v>
          </cell>
          <cell r="B468">
            <v>39829</v>
          </cell>
          <cell r="C468" t="str">
            <v>Past</v>
          </cell>
          <cell r="D468">
            <v>38.130000000000003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38.130000000000003</v>
          </cell>
          <cell r="Q468">
            <v>5.4438930000000001</v>
          </cell>
          <cell r="R468" t="e">
            <v>#N/A</v>
          </cell>
        </row>
        <row r="469">
          <cell r="A469">
            <v>39833</v>
          </cell>
          <cell r="B469">
            <v>39833</v>
          </cell>
          <cell r="C469" t="str">
            <v>Past</v>
          </cell>
          <cell r="D469">
            <v>37.39</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37.39</v>
          </cell>
          <cell r="Q469">
            <v>9.4422870000000003</v>
          </cell>
          <cell r="R469" t="e">
            <v>#N/A</v>
          </cell>
        </row>
        <row r="470">
          <cell r="A470">
            <v>39834</v>
          </cell>
          <cell r="B470">
            <v>39834</v>
          </cell>
          <cell r="C470" t="str">
            <v>Past</v>
          </cell>
          <cell r="D470">
            <v>38.24</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38.24</v>
          </cell>
          <cell r="Q470">
            <v>6.8359109999999994</v>
          </cell>
          <cell r="R470" t="e">
            <v>#N/A</v>
          </cell>
        </row>
        <row r="471">
          <cell r="A471">
            <v>39835</v>
          </cell>
          <cell r="B471">
            <v>39835</v>
          </cell>
          <cell r="C471" t="str">
            <v>Past</v>
          </cell>
          <cell r="D471">
            <v>37.799999999999997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37.799999999999997</v>
          </cell>
          <cell r="Q471">
            <v>5.5477039999999995</v>
          </cell>
          <cell r="R471" t="e">
            <v>#N/A</v>
          </cell>
        </row>
        <row r="472">
          <cell r="A472">
            <v>39836</v>
          </cell>
          <cell r="B472">
            <v>39836</v>
          </cell>
          <cell r="C472" t="str">
            <v>Past</v>
          </cell>
          <cell r="D472">
            <v>37.42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37.42</v>
          </cell>
          <cell r="Q472">
            <v>6.2286000000000001</v>
          </cell>
          <cell r="R472" t="e">
            <v>#N/A</v>
          </cell>
        </row>
        <row r="473">
          <cell r="A473">
            <v>39839</v>
          </cell>
          <cell r="B473">
            <v>39839</v>
          </cell>
          <cell r="C473" t="str">
            <v>Past</v>
          </cell>
          <cell r="D473">
            <v>37.57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37.57</v>
          </cell>
          <cell r="Q473">
            <v>6.7665639999999998</v>
          </cell>
          <cell r="R473" t="e">
            <v>#N/A</v>
          </cell>
        </row>
        <row r="474">
          <cell r="A474">
            <v>39840</v>
          </cell>
          <cell r="B474">
            <v>39840</v>
          </cell>
          <cell r="C474" t="str">
            <v>Past</v>
          </cell>
          <cell r="D474">
            <v>38.61</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38.61</v>
          </cell>
          <cell r="Q474">
            <v>5.4036520000000001</v>
          </cell>
          <cell r="R474" t="e">
            <v>#N/A</v>
          </cell>
        </row>
        <row r="475">
          <cell r="A475">
            <v>39841</v>
          </cell>
          <cell r="B475">
            <v>39841</v>
          </cell>
          <cell r="C475" t="str">
            <v>Past</v>
          </cell>
          <cell r="D475">
            <v>39.090000000000003</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39.090000000000003</v>
          </cell>
          <cell r="Q475">
            <v>5.3712</v>
          </cell>
          <cell r="R475" t="e">
            <v>#N/A</v>
          </cell>
        </row>
        <row r="476">
          <cell r="A476">
            <v>39842</v>
          </cell>
          <cell r="B476">
            <v>39842</v>
          </cell>
          <cell r="C476" t="str">
            <v>Past</v>
          </cell>
          <cell r="D476">
            <v>37.97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37.97</v>
          </cell>
          <cell r="Q476">
            <v>6.4738359999999995</v>
          </cell>
          <cell r="R476" t="e">
            <v>#N/A</v>
          </cell>
        </row>
        <row r="477">
          <cell r="A477">
            <v>39843</v>
          </cell>
          <cell r="B477">
            <v>39843</v>
          </cell>
          <cell r="C477" t="str">
            <v>Past</v>
          </cell>
          <cell r="D477">
            <v>36.82</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36.82</v>
          </cell>
          <cell r="Q477">
            <v>9.5991330000000001</v>
          </cell>
          <cell r="R477" t="e">
            <v>#N/A</v>
          </cell>
        </row>
        <row r="478">
          <cell r="A478">
            <v>39846</v>
          </cell>
          <cell r="B478">
            <v>39846</v>
          </cell>
          <cell r="C478" t="str">
            <v>Past</v>
          </cell>
          <cell r="D478">
            <v>37.270000000000003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37.270000000000003</v>
          </cell>
          <cell r="Q478">
            <v>5.5051160000000001</v>
          </cell>
          <cell r="R478" t="e">
            <v>#N/A</v>
          </cell>
        </row>
        <row r="479">
          <cell r="A479">
            <v>39847</v>
          </cell>
          <cell r="B479">
            <v>39847</v>
          </cell>
          <cell r="C479" t="str">
            <v>Past</v>
          </cell>
          <cell r="D479">
            <v>38.69</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38.69</v>
          </cell>
          <cell r="Q479">
            <v>10.013140000000002</v>
          </cell>
          <cell r="R479" t="e">
            <v>#N/A</v>
          </cell>
        </row>
        <row r="480">
          <cell r="A480">
            <v>39848</v>
          </cell>
          <cell r="B480">
            <v>39848</v>
          </cell>
          <cell r="C480" t="str">
            <v>Past</v>
          </cell>
          <cell r="D480">
            <v>38.01</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38.01</v>
          </cell>
          <cell r="Q480">
            <v>7.4171279999999999</v>
          </cell>
          <cell r="R480" t="e">
            <v>#N/A</v>
          </cell>
        </row>
        <row r="481">
          <cell r="A481">
            <v>39849</v>
          </cell>
          <cell r="B481">
            <v>39849</v>
          </cell>
          <cell r="C481" t="str">
            <v>Past</v>
          </cell>
          <cell r="D481">
            <v>38.159999999999997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38.159999999999997</v>
          </cell>
          <cell r="Q481">
            <v>5.0512559999999995</v>
          </cell>
          <cell r="R481" t="e">
            <v>#N/A</v>
          </cell>
        </row>
        <row r="482">
          <cell r="A482">
            <v>39850</v>
          </cell>
          <cell r="B482">
            <v>39850</v>
          </cell>
          <cell r="C482" t="str">
            <v>Past</v>
          </cell>
          <cell r="D482">
            <v>38.18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38.18</v>
          </cell>
          <cell r="Q482">
            <v>4.9782630000000001</v>
          </cell>
          <cell r="R482" t="e">
            <v>#N/A</v>
          </cell>
        </row>
        <row r="483">
          <cell r="A483">
            <v>39853</v>
          </cell>
          <cell r="B483">
            <v>39853</v>
          </cell>
          <cell r="C483" t="str">
            <v>Past</v>
          </cell>
          <cell r="D483">
            <v>38.119999999999997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38.119999999999997</v>
          </cell>
          <cell r="Q483">
            <v>4.1329539999999998</v>
          </cell>
          <cell r="R483" t="e">
            <v>#N/A</v>
          </cell>
        </row>
        <row r="484">
          <cell r="A484">
            <v>39854</v>
          </cell>
          <cell r="B484">
            <v>39854</v>
          </cell>
          <cell r="C484" t="str">
            <v>Past</v>
          </cell>
          <cell r="D484">
            <v>36.94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36.94</v>
          </cell>
          <cell r="Q484">
            <v>5.7219000000000007</v>
          </cell>
          <cell r="R484" t="e">
            <v>#N/A</v>
          </cell>
        </row>
        <row r="485">
          <cell r="A485">
            <v>39855</v>
          </cell>
          <cell r="B485">
            <v>39855</v>
          </cell>
          <cell r="C485" t="str">
            <v>Past</v>
          </cell>
          <cell r="D485">
            <v>36.72</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36.72</v>
          </cell>
          <cell r="Q485">
            <v>4.2443919999999995</v>
          </cell>
          <cell r="R485" t="e">
            <v>#N/A</v>
          </cell>
        </row>
        <row r="486">
          <cell r="A486">
            <v>39856</v>
          </cell>
          <cell r="B486">
            <v>39856</v>
          </cell>
          <cell r="C486" t="str">
            <v>Past</v>
          </cell>
          <cell r="D486">
            <v>36.340000000000003</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36.340000000000003</v>
          </cell>
          <cell r="Q486">
            <v>6.0982659999999997</v>
          </cell>
          <cell r="R486" t="e">
            <v>#N/A</v>
          </cell>
        </row>
        <row r="487">
          <cell r="A487">
            <v>39857</v>
          </cell>
          <cell r="B487">
            <v>39857</v>
          </cell>
          <cell r="C487" t="str">
            <v>Past</v>
          </cell>
          <cell r="D487">
            <v>35.43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35.43</v>
          </cell>
          <cell r="Q487">
            <v>6.0230549999999994</v>
          </cell>
          <cell r="R487" t="e">
            <v>#N/A</v>
          </cell>
        </row>
        <row r="488">
          <cell r="A488">
            <v>39861</v>
          </cell>
          <cell r="B488">
            <v>39861</v>
          </cell>
          <cell r="C488" t="str">
            <v>Past</v>
          </cell>
          <cell r="D488">
            <v>34.58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34.58</v>
          </cell>
          <cell r="Q488">
            <v>7.4004500000000002</v>
          </cell>
          <cell r="R488" t="e">
            <v>#N/A</v>
          </cell>
        </row>
        <row r="489">
          <cell r="A489">
            <v>39862</v>
          </cell>
          <cell r="B489">
            <v>39862</v>
          </cell>
          <cell r="C489" t="str">
            <v>Past</v>
          </cell>
          <cell r="D489">
            <v>34.4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34.4</v>
          </cell>
          <cell r="Q489">
            <v>5.9168149999999997</v>
          </cell>
          <cell r="R489" t="e">
            <v>#N/A</v>
          </cell>
        </row>
        <row r="490">
          <cell r="A490">
            <v>39863</v>
          </cell>
          <cell r="B490">
            <v>39863</v>
          </cell>
          <cell r="C490" t="str">
            <v>Past</v>
          </cell>
          <cell r="D490">
            <v>34.479999999999997</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34.479999999999997</v>
          </cell>
          <cell r="Q490">
            <v>4.241352</v>
          </cell>
          <cell r="R490" t="e">
            <v>#N/A</v>
          </cell>
        </row>
        <row r="491">
          <cell r="A491">
            <v>39864</v>
          </cell>
          <cell r="B491">
            <v>39864</v>
          </cell>
          <cell r="C491" t="str">
            <v>Past</v>
          </cell>
          <cell r="D491">
            <v>33.24</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33.24</v>
          </cell>
          <cell r="Q491">
            <v>8.3610439999999997</v>
          </cell>
          <cell r="R491" t="e">
            <v>#N/A</v>
          </cell>
        </row>
        <row r="492">
          <cell r="A492">
            <v>39867</v>
          </cell>
          <cell r="B492">
            <v>39867</v>
          </cell>
          <cell r="C492" t="str">
            <v>Past</v>
          </cell>
          <cell r="D492">
            <v>32.31</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32.31</v>
          </cell>
          <cell r="Q492">
            <v>5.5451389999999998</v>
          </cell>
          <cell r="R492" t="e">
            <v>#N/A</v>
          </cell>
        </row>
        <row r="493">
          <cell r="A493">
            <v>39868</v>
          </cell>
          <cell r="B493">
            <v>39868</v>
          </cell>
          <cell r="C493" t="str">
            <v>Past</v>
          </cell>
          <cell r="D493">
            <v>32.909999999999997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32.909999999999997</v>
          </cell>
          <cell r="Q493">
            <v>7.3455969999999997</v>
          </cell>
          <cell r="R493" t="e">
            <v>#N/A</v>
          </cell>
        </row>
        <row r="494">
          <cell r="A494">
            <v>39869</v>
          </cell>
          <cell r="B494">
            <v>39869</v>
          </cell>
          <cell r="C494" t="str">
            <v>Past</v>
          </cell>
          <cell r="D494">
            <v>32.56</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32.56</v>
          </cell>
          <cell r="Q494">
            <v>6.9441649999999999</v>
          </cell>
          <cell r="R494" t="e">
            <v>#N/A</v>
          </cell>
        </row>
        <row r="495">
          <cell r="A495">
            <v>39870</v>
          </cell>
          <cell r="B495">
            <v>39870</v>
          </cell>
          <cell r="C495" t="str">
            <v>Past</v>
          </cell>
          <cell r="D495">
            <v>31.04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31.04</v>
          </cell>
          <cell r="Q495">
            <v>12.1358</v>
          </cell>
          <cell r="R495" t="e">
            <v>#N/A</v>
          </cell>
        </row>
        <row r="496">
          <cell r="A496">
            <v>39871</v>
          </cell>
          <cell r="B496">
            <v>39871</v>
          </cell>
          <cell r="C496" t="str">
            <v>Past</v>
          </cell>
          <cell r="D496">
            <v>29.38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29.38</v>
          </cell>
          <cell r="Q496">
            <v>9.5235319999999994</v>
          </cell>
          <cell r="R496" t="e">
            <v>#N/A</v>
          </cell>
        </row>
        <row r="497">
          <cell r="A497">
            <v>39874</v>
          </cell>
          <cell r="B497">
            <v>39874</v>
          </cell>
          <cell r="C497" t="str">
            <v>Past</v>
          </cell>
          <cell r="D497">
            <v>27.75</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27.75</v>
          </cell>
          <cell r="Q497">
            <v>13.436470000000002</v>
          </cell>
          <cell r="R497" t="e">
            <v>#N/A</v>
          </cell>
        </row>
        <row r="498">
          <cell r="A498">
            <v>39875</v>
          </cell>
          <cell r="B498">
            <v>39875</v>
          </cell>
          <cell r="C498" t="str">
            <v>Past</v>
          </cell>
          <cell r="D498">
            <v>27.49</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27.49</v>
          </cell>
          <cell r="Q498">
            <v>9.490162999999999</v>
          </cell>
          <cell r="R498" t="e">
            <v>#N/A</v>
          </cell>
        </row>
        <row r="499">
          <cell r="A499">
            <v>39876</v>
          </cell>
          <cell r="B499">
            <v>39876</v>
          </cell>
          <cell r="C499" t="str">
            <v>Past</v>
          </cell>
          <cell r="D499">
            <v>28.5</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28.5</v>
          </cell>
          <cell r="Q499">
            <v>8.8650219999999997</v>
          </cell>
          <cell r="R499" t="e">
            <v>#N/A</v>
          </cell>
        </row>
        <row r="500">
          <cell r="A500">
            <v>39877</v>
          </cell>
          <cell r="B500">
            <v>39877</v>
          </cell>
          <cell r="C500" t="str">
            <v>Past</v>
          </cell>
          <cell r="D500">
            <v>27.47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27.47</v>
          </cell>
          <cell r="Q500">
            <v>9.0288579999999996</v>
          </cell>
          <cell r="R500" t="e">
            <v>#N/A</v>
          </cell>
        </row>
        <row r="501">
          <cell r="A501">
            <v>39878</v>
          </cell>
          <cell r="B501">
            <v>39878</v>
          </cell>
          <cell r="C501" t="str">
            <v>Past</v>
          </cell>
          <cell r="D501">
            <v>27.98</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27.98</v>
          </cell>
          <cell r="Q501">
            <v>8.7001270000000002</v>
          </cell>
          <cell r="R501" t="e">
            <v>#N/A</v>
          </cell>
        </row>
        <row r="502">
          <cell r="A502">
            <v>39881</v>
          </cell>
          <cell r="B502">
            <v>39881</v>
          </cell>
          <cell r="C502" t="str">
            <v>Past</v>
          </cell>
          <cell r="D502">
            <v>27.97</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27.97</v>
          </cell>
          <cell r="Q502">
            <v>8.6357489999999988</v>
          </cell>
          <cell r="R502" t="e">
            <v>#N/A</v>
          </cell>
        </row>
        <row r="503">
          <cell r="A503">
            <v>39882</v>
          </cell>
          <cell r="B503">
            <v>39882</v>
          </cell>
          <cell r="C503" t="str">
            <v>Past</v>
          </cell>
          <cell r="D503">
            <v>29.72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29.72</v>
          </cell>
          <cell r="Q503">
            <v>10.124770000000002</v>
          </cell>
          <cell r="R503" t="e">
            <v>#N/A</v>
          </cell>
        </row>
        <row r="504">
          <cell r="A504">
            <v>39883</v>
          </cell>
          <cell r="B504">
            <v>39883</v>
          </cell>
          <cell r="C504" t="str">
            <v>Past</v>
          </cell>
          <cell r="D504">
            <v>28.85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28.85</v>
          </cell>
          <cell r="Q504">
            <v>9.624606</v>
          </cell>
          <cell r="R504" t="e">
            <v>#N/A</v>
          </cell>
        </row>
        <row r="505">
          <cell r="A505">
            <v>39884</v>
          </cell>
          <cell r="B505">
            <v>39884</v>
          </cell>
          <cell r="C505" t="str">
            <v>Past</v>
          </cell>
          <cell r="D505">
            <v>30.03</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30.03</v>
          </cell>
          <cell r="Q505">
            <v>6.3600959999999995</v>
          </cell>
          <cell r="R505" t="e">
            <v>#N/A</v>
          </cell>
        </row>
        <row r="506">
          <cell r="A506">
            <v>39885</v>
          </cell>
          <cell r="B506">
            <v>39885</v>
          </cell>
          <cell r="C506" t="str">
            <v>Past</v>
          </cell>
          <cell r="D506">
            <v>30.64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30.64</v>
          </cell>
          <cell r="Q506">
            <v>6.790419</v>
          </cell>
          <cell r="R506" t="e">
            <v>#N/A</v>
          </cell>
        </row>
        <row r="507">
          <cell r="A507">
            <v>39888</v>
          </cell>
          <cell r="B507">
            <v>39888</v>
          </cell>
          <cell r="C507" t="str">
            <v>Past</v>
          </cell>
          <cell r="D507">
            <v>30.81</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30.81</v>
          </cell>
          <cell r="Q507">
            <v>6.6244000000000005</v>
          </cell>
          <cell r="R507" t="e">
            <v>#N/A</v>
          </cell>
        </row>
        <row r="508">
          <cell r="A508">
            <v>39889</v>
          </cell>
          <cell r="B508">
            <v>39889</v>
          </cell>
          <cell r="C508" t="str">
            <v>Past</v>
          </cell>
          <cell r="D508">
            <v>31.76</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31.76</v>
          </cell>
          <cell r="Q508">
            <v>5.0318000000000005</v>
          </cell>
          <cell r="R508" t="e">
            <v>#N/A</v>
          </cell>
        </row>
        <row r="509">
          <cell r="A509">
            <v>39890</v>
          </cell>
          <cell r="B509">
            <v>39890</v>
          </cell>
          <cell r="C509" t="str">
            <v>Past</v>
          </cell>
          <cell r="D509">
            <v>32.5</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32.5</v>
          </cell>
          <cell r="Q509">
            <v>6.5189179999999993</v>
          </cell>
          <cell r="R509" t="e">
            <v>#N/A</v>
          </cell>
        </row>
        <row r="510">
          <cell r="A510">
            <v>39891</v>
          </cell>
          <cell r="B510">
            <v>39891</v>
          </cell>
          <cell r="C510" t="str">
            <v>Past</v>
          </cell>
          <cell r="D510">
            <v>31.83</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31.83</v>
          </cell>
          <cell r="Q510">
            <v>5.1708379999999998</v>
          </cell>
          <cell r="R510" t="e">
            <v>#N/A</v>
          </cell>
        </row>
        <row r="511">
          <cell r="A511">
            <v>39892</v>
          </cell>
          <cell r="B511">
            <v>39892</v>
          </cell>
          <cell r="C511" t="str">
            <v>Past</v>
          </cell>
          <cell r="D511">
            <v>32.549999999999997</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32.549999999999997</v>
          </cell>
          <cell r="Q511">
            <v>10.262180000000001</v>
          </cell>
          <cell r="R511" t="e">
            <v>#N/A</v>
          </cell>
        </row>
        <row r="512">
          <cell r="A512">
            <v>39895</v>
          </cell>
          <cell r="B512">
            <v>39895</v>
          </cell>
          <cell r="C512" t="str">
            <v>Past</v>
          </cell>
          <cell r="D512">
            <v>34.090000000000003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34.090000000000003</v>
          </cell>
          <cell r="Q512">
            <v>6.6119249999999994</v>
          </cell>
          <cell r="R512" t="e">
            <v>#N/A</v>
          </cell>
        </row>
        <row r="513">
          <cell r="A513">
            <v>39896</v>
          </cell>
          <cell r="B513">
            <v>39896</v>
          </cell>
          <cell r="C513" t="str">
            <v>Past</v>
          </cell>
          <cell r="D513">
            <v>33.17</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33.17</v>
          </cell>
          <cell r="Q513">
            <v>8.4878</v>
          </cell>
          <cell r="R513" t="e">
            <v>#N/A</v>
          </cell>
        </row>
        <row r="514">
          <cell r="A514">
            <v>39897</v>
          </cell>
          <cell r="B514">
            <v>39897</v>
          </cell>
          <cell r="C514" t="str">
            <v>Past</v>
          </cell>
          <cell r="D514">
            <v>33.53</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33.53</v>
          </cell>
          <cell r="Q514">
            <v>7.747814</v>
          </cell>
          <cell r="R514" t="e">
            <v>#N/A</v>
          </cell>
        </row>
        <row r="515">
          <cell r="A515">
            <v>39898</v>
          </cell>
          <cell r="B515">
            <v>39898</v>
          </cell>
          <cell r="C515" t="str">
            <v>Past</v>
          </cell>
          <cell r="D515">
            <v>34.22</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34.22</v>
          </cell>
          <cell r="Q515">
            <v>7.406955</v>
          </cell>
          <cell r="R515" t="e">
            <v>#N/A</v>
          </cell>
        </row>
        <row r="516">
          <cell r="A516">
            <v>39899</v>
          </cell>
          <cell r="B516">
            <v>39899</v>
          </cell>
          <cell r="C516" t="str">
            <v>Past</v>
          </cell>
          <cell r="D516">
            <v>33.75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33.75</v>
          </cell>
          <cell r="Q516">
            <v>5.4617819999999995</v>
          </cell>
          <cell r="R516" t="e">
            <v>#N/A</v>
          </cell>
        </row>
        <row r="517">
          <cell r="A517">
            <v>39902</v>
          </cell>
          <cell r="B517">
            <v>39902</v>
          </cell>
          <cell r="C517" t="str">
            <v>Past</v>
          </cell>
          <cell r="D517">
            <v>32.840000000000003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32.840000000000003</v>
          </cell>
          <cell r="Q517">
            <v>7.1063069999999993</v>
          </cell>
          <cell r="R517" t="e">
            <v>#N/A</v>
          </cell>
        </row>
        <row r="518">
          <cell r="A518">
            <v>39903</v>
          </cell>
          <cell r="B518">
            <v>39903</v>
          </cell>
          <cell r="C518" t="str">
            <v>Past</v>
          </cell>
          <cell r="D518">
            <v>33.409999999999997</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33.409999999999997</v>
          </cell>
          <cell r="Q518">
            <v>6.7019339999999996</v>
          </cell>
          <cell r="R518" t="e">
            <v>#N/A</v>
          </cell>
        </row>
        <row r="519">
          <cell r="A519">
            <v>39904</v>
          </cell>
          <cell r="B519">
            <v>39904</v>
          </cell>
          <cell r="C519" t="str">
            <v>Past</v>
          </cell>
          <cell r="D519">
            <v>33.78</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33.78</v>
          </cell>
          <cell r="Q519">
            <v>5.4834000000000005</v>
          </cell>
          <cell r="R519" t="e">
            <v>#N/A</v>
          </cell>
        </row>
        <row r="520">
          <cell r="A520">
            <v>39905</v>
          </cell>
          <cell r="B520">
            <v>39905</v>
          </cell>
          <cell r="C520" t="str">
            <v>Past</v>
          </cell>
          <cell r="D520">
            <v>33.9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33.9</v>
          </cell>
          <cell r="Q520">
            <v>6.6657339999999996</v>
          </cell>
          <cell r="R520" t="e">
            <v>#N/A</v>
          </cell>
        </row>
        <row r="521">
          <cell r="A521">
            <v>39906</v>
          </cell>
          <cell r="B521">
            <v>39906</v>
          </cell>
          <cell r="C521" t="str">
            <v>Past</v>
          </cell>
          <cell r="D521">
            <v>33.01</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33.01</v>
          </cell>
          <cell r="Q521">
            <v>7.124409</v>
          </cell>
          <cell r="R521" t="e">
            <v>#N/A</v>
          </cell>
        </row>
        <row r="522">
          <cell r="A522">
            <v>39909</v>
          </cell>
          <cell r="B522">
            <v>39909</v>
          </cell>
          <cell r="C522" t="str">
            <v>Past</v>
          </cell>
          <cell r="D522">
            <v>32.840000000000003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32.840000000000003</v>
          </cell>
          <cell r="Q522">
            <v>6.6188349999999998</v>
          </cell>
          <cell r="R522" t="e">
            <v>#N/A</v>
          </cell>
        </row>
        <row r="523">
          <cell r="A523">
            <v>39910</v>
          </cell>
          <cell r="B523">
            <v>39910</v>
          </cell>
          <cell r="C523" t="str">
            <v>Past</v>
          </cell>
          <cell r="D523">
            <v>31.88</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31.88</v>
          </cell>
          <cell r="Q523">
            <v>6.0334700000000003</v>
          </cell>
          <cell r="R523" t="e">
            <v>#N/A</v>
          </cell>
        </row>
        <row r="524">
          <cell r="A524">
            <v>39911</v>
          </cell>
          <cell r="B524">
            <v>39911</v>
          </cell>
          <cell r="C524" t="str">
            <v>Past</v>
          </cell>
          <cell r="D524">
            <v>32.340000000000003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32.340000000000003</v>
          </cell>
          <cell r="Q524">
            <v>5.2268109999999997</v>
          </cell>
          <cell r="R524" t="e">
            <v>#N/A</v>
          </cell>
        </row>
        <row r="525">
          <cell r="A525">
            <v>39912</v>
          </cell>
          <cell r="B525">
            <v>39912</v>
          </cell>
          <cell r="C525" t="str">
            <v>Past</v>
          </cell>
          <cell r="D525">
            <v>32.64</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32.64</v>
          </cell>
          <cell r="Q525">
            <v>4.9841300000000004</v>
          </cell>
          <cell r="R525" t="e">
            <v>#N/A</v>
          </cell>
        </row>
        <row r="526">
          <cell r="A526">
            <v>39916</v>
          </cell>
          <cell r="B526">
            <v>39916</v>
          </cell>
          <cell r="C526" t="str">
            <v>Past</v>
          </cell>
          <cell r="D526">
            <v>32.57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32.57</v>
          </cell>
          <cell r="Q526">
            <v>3.405227</v>
          </cell>
          <cell r="R526" t="e">
            <v>#N/A</v>
          </cell>
        </row>
        <row r="527">
          <cell r="A527">
            <v>39917</v>
          </cell>
          <cell r="B527">
            <v>39917</v>
          </cell>
          <cell r="C527" t="str">
            <v>Past</v>
          </cell>
          <cell r="D527">
            <v>32.15</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32.15</v>
          </cell>
          <cell r="Q527">
            <v>5.2493910000000001</v>
          </cell>
          <cell r="R527" t="e">
            <v>#N/A</v>
          </cell>
        </row>
        <row r="528">
          <cell r="A528">
            <v>39918</v>
          </cell>
          <cell r="B528">
            <v>39918</v>
          </cell>
          <cell r="C528" t="str">
            <v>Past</v>
          </cell>
          <cell r="D528">
            <v>32.81</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32.81</v>
          </cell>
          <cell r="Q528">
            <v>6.1552609999999994</v>
          </cell>
          <cell r="R528" t="e">
            <v>#N/A</v>
          </cell>
        </row>
        <row r="529">
          <cell r="A529">
            <v>39919</v>
          </cell>
          <cell r="B529">
            <v>39919</v>
          </cell>
          <cell r="C529" t="str">
            <v>Past</v>
          </cell>
          <cell r="D529">
            <v>33.270000000000003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33.270000000000003</v>
          </cell>
          <cell r="Q529">
            <v>4.9672969999999994</v>
          </cell>
          <cell r="R529" t="e">
            <v>#N/A</v>
          </cell>
        </row>
        <row r="530">
          <cell r="A530">
            <v>39920</v>
          </cell>
          <cell r="B530">
            <v>39920</v>
          </cell>
          <cell r="C530" t="str">
            <v>Past</v>
          </cell>
          <cell r="D530">
            <v>33.75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33.75</v>
          </cell>
          <cell r="Q530">
            <v>6.6703789999999996</v>
          </cell>
          <cell r="R530" t="e">
            <v>#N/A</v>
          </cell>
        </row>
        <row r="531">
          <cell r="A531">
            <v>39923</v>
          </cell>
          <cell r="B531">
            <v>39923</v>
          </cell>
          <cell r="C531" t="str">
            <v>Past</v>
          </cell>
          <cell r="D531">
            <v>32.99</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32.99</v>
          </cell>
          <cell r="Q531">
            <v>9.7992270000000001</v>
          </cell>
          <cell r="R531" t="e">
            <v>#N/A</v>
          </cell>
        </row>
        <row r="532">
          <cell r="A532">
            <v>39924</v>
          </cell>
          <cell r="B532">
            <v>39924</v>
          </cell>
          <cell r="C532" t="str">
            <v>Past</v>
          </cell>
          <cell r="D532">
            <v>33.340000000000003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33.340000000000003</v>
          </cell>
          <cell r="Q532">
            <v>6.4096329999999995</v>
          </cell>
          <cell r="R532" t="e">
            <v>#N/A</v>
          </cell>
        </row>
        <row r="533">
          <cell r="A533">
            <v>39925</v>
          </cell>
          <cell r="B533">
            <v>39925</v>
          </cell>
          <cell r="C533" t="str">
            <v>Past</v>
          </cell>
          <cell r="D533">
            <v>32.74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32.74</v>
          </cell>
          <cell r="Q533">
            <v>11.130370000000001</v>
          </cell>
          <cell r="R533" t="e">
            <v>#N/A</v>
          </cell>
        </row>
        <row r="534">
          <cell r="A534">
            <v>39926</v>
          </cell>
          <cell r="B534">
            <v>39926</v>
          </cell>
          <cell r="C534" t="str">
            <v>Past</v>
          </cell>
          <cell r="D534">
            <v>32.880000000000003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32.880000000000003</v>
          </cell>
          <cell r="Q534">
            <v>8.591372999999999</v>
          </cell>
          <cell r="R534" t="e">
            <v>#N/A</v>
          </cell>
        </row>
        <row r="535">
          <cell r="A535">
            <v>39927</v>
          </cell>
          <cell r="B535">
            <v>39927</v>
          </cell>
          <cell r="C535" t="str">
            <v>Past</v>
          </cell>
          <cell r="D535">
            <v>33.01</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33.01</v>
          </cell>
          <cell r="Q535">
            <v>8.328225999999999</v>
          </cell>
          <cell r="R535" t="e">
            <v>#N/A</v>
          </cell>
        </row>
        <row r="536">
          <cell r="A536">
            <v>39930</v>
          </cell>
          <cell r="B536">
            <v>39930</v>
          </cell>
          <cell r="C536" t="str">
            <v>Past</v>
          </cell>
          <cell r="D536">
            <v>33.130000000000003</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33.130000000000003</v>
          </cell>
          <cell r="Q536">
            <v>4.16866</v>
          </cell>
          <cell r="R536" t="e">
            <v>#N/A</v>
          </cell>
        </row>
        <row r="537">
          <cell r="A537">
            <v>39931</v>
          </cell>
          <cell r="B537">
            <v>39931</v>
          </cell>
          <cell r="C537" t="str">
            <v>Past</v>
          </cell>
          <cell r="D537">
            <v>33.200000000000003</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33.200000000000003</v>
          </cell>
          <cell r="Q537">
            <v>7.6634069999999994</v>
          </cell>
          <cell r="R537" t="e">
            <v>#N/A</v>
          </cell>
        </row>
        <row r="538">
          <cell r="A538">
            <v>39932</v>
          </cell>
          <cell r="B538">
            <v>39932</v>
          </cell>
          <cell r="C538" t="str">
            <v>Past</v>
          </cell>
          <cell r="D538">
            <v>33.36</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33.36</v>
          </cell>
          <cell r="Q538">
            <v>6.7499750000000001</v>
          </cell>
          <cell r="R538" t="e">
            <v>#N/A</v>
          </cell>
        </row>
        <row r="539">
          <cell r="A539">
            <v>39933</v>
          </cell>
          <cell r="B539">
            <v>39933</v>
          </cell>
          <cell r="C539" t="str">
            <v>Past</v>
          </cell>
          <cell r="D539">
            <v>32.92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32.92</v>
          </cell>
          <cell r="Q539">
            <v>8.2910430000000002</v>
          </cell>
          <cell r="R539" t="e">
            <v>#N/A</v>
          </cell>
        </row>
        <row r="540">
          <cell r="A540">
            <v>39934</v>
          </cell>
          <cell r="B540">
            <v>39934</v>
          </cell>
          <cell r="C540" t="str">
            <v>Past</v>
          </cell>
          <cell r="D540">
            <v>33.49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33.49</v>
          </cell>
          <cell r="Q540">
            <v>5.4118600000000008</v>
          </cell>
          <cell r="R540" t="e">
            <v>#N/A</v>
          </cell>
        </row>
        <row r="541">
          <cell r="A541">
            <v>39937</v>
          </cell>
          <cell r="B541">
            <v>39937</v>
          </cell>
          <cell r="C541" t="str">
            <v>Past</v>
          </cell>
          <cell r="D541">
            <v>33.81</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33.81</v>
          </cell>
          <cell r="Q541">
            <v>5.3630269999999998</v>
          </cell>
          <cell r="R541" t="e">
            <v>#N/A</v>
          </cell>
        </row>
        <row r="542">
          <cell r="A542">
            <v>39938</v>
          </cell>
          <cell r="B542">
            <v>39938</v>
          </cell>
          <cell r="C542" t="str">
            <v>Past</v>
          </cell>
          <cell r="D542">
            <v>34.54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34.54</v>
          </cell>
          <cell r="Q542">
            <v>8.3934090000000001</v>
          </cell>
          <cell r="R542" t="e">
            <v>#N/A</v>
          </cell>
        </row>
        <row r="543">
          <cell r="A543">
            <v>39939</v>
          </cell>
          <cell r="B543">
            <v>39939</v>
          </cell>
          <cell r="C543" t="str">
            <v>Past</v>
          </cell>
          <cell r="D543">
            <v>34.43</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34.43</v>
          </cell>
          <cell r="Q543">
            <v>5.6968429999999994</v>
          </cell>
          <cell r="R543" t="e">
            <v>#N/A</v>
          </cell>
        </row>
        <row r="544">
          <cell r="A544">
            <v>39940</v>
          </cell>
          <cell r="B544">
            <v>39940</v>
          </cell>
          <cell r="C544" t="str">
            <v>Past</v>
          </cell>
          <cell r="D544">
            <v>35.85</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35.85</v>
          </cell>
          <cell r="Q544">
            <v>11.239310000000001</v>
          </cell>
          <cell r="R544" t="e">
            <v>#N/A</v>
          </cell>
        </row>
        <row r="545">
          <cell r="A545">
            <v>39941</v>
          </cell>
          <cell r="B545">
            <v>39941</v>
          </cell>
          <cell r="C545" t="str">
            <v>Past</v>
          </cell>
          <cell r="D545">
            <v>35.950000000000003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35.950000000000003</v>
          </cell>
          <cell r="Q545">
            <v>7.1747929999999993</v>
          </cell>
          <cell r="R545" t="e">
            <v>#N/A</v>
          </cell>
        </row>
        <row r="546">
          <cell r="A546">
            <v>39944</v>
          </cell>
          <cell r="B546">
            <v>39944</v>
          </cell>
          <cell r="C546" t="str">
            <v>Past</v>
          </cell>
          <cell r="D546">
            <v>35.35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35.35</v>
          </cell>
          <cell r="Q546">
            <v>6.3392400000000002</v>
          </cell>
          <cell r="R546" t="e">
            <v>#N/A</v>
          </cell>
        </row>
        <row r="547">
          <cell r="A547">
            <v>39945</v>
          </cell>
          <cell r="B547">
            <v>39945</v>
          </cell>
          <cell r="C547" t="str">
            <v>Past</v>
          </cell>
          <cell r="D547">
            <v>35.9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35.9</v>
          </cell>
          <cell r="Q547">
            <v>6.4275129999999994</v>
          </cell>
          <cell r="R547" t="e">
            <v>#N/A</v>
          </cell>
        </row>
        <row r="548">
          <cell r="A548">
            <v>39946</v>
          </cell>
          <cell r="B548">
            <v>39946</v>
          </cell>
          <cell r="C548" t="str">
            <v>Past</v>
          </cell>
          <cell r="D548">
            <v>35.15</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35.15</v>
          </cell>
          <cell r="Q548">
            <v>6.0419159999999996</v>
          </cell>
          <cell r="R548" t="e">
            <v>#N/A</v>
          </cell>
        </row>
        <row r="549">
          <cell r="A549">
            <v>39947</v>
          </cell>
          <cell r="B549">
            <v>39947</v>
          </cell>
          <cell r="C549" t="str">
            <v>Past</v>
          </cell>
          <cell r="D549">
            <v>35.119999999999997</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35.119999999999997</v>
          </cell>
          <cell r="Q549">
            <v>4.6474060000000001</v>
          </cell>
          <cell r="R549" t="e">
            <v>#N/A</v>
          </cell>
        </row>
        <row r="550">
          <cell r="A550">
            <v>39948</v>
          </cell>
          <cell r="B550">
            <v>39948</v>
          </cell>
          <cell r="C550" t="str">
            <v>Past</v>
          </cell>
          <cell r="D550">
            <v>34.17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34.17</v>
          </cell>
          <cell r="Q550">
            <v>6.1764999999999999</v>
          </cell>
          <cell r="R550" t="e">
            <v>#N/A</v>
          </cell>
        </row>
        <row r="551">
          <cell r="A551">
            <v>39951</v>
          </cell>
          <cell r="B551">
            <v>39951</v>
          </cell>
          <cell r="C551" t="str">
            <v>Past</v>
          </cell>
          <cell r="D551">
            <v>34.67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34.67</v>
          </cell>
          <cell r="Q551">
            <v>5.5593709999999996</v>
          </cell>
          <cell r="R551" t="e">
            <v>#N/A</v>
          </cell>
        </row>
        <row r="552">
          <cell r="A552">
            <v>39952</v>
          </cell>
          <cell r="B552">
            <v>39952</v>
          </cell>
          <cell r="C552" t="str">
            <v>Past</v>
          </cell>
          <cell r="D552">
            <v>34.53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34.53</v>
          </cell>
          <cell r="Q552">
            <v>4.3698869999999994</v>
          </cell>
          <cell r="R552" t="e">
            <v>#N/A</v>
          </cell>
        </row>
        <row r="553">
          <cell r="A553">
            <v>39953</v>
          </cell>
          <cell r="B553">
            <v>39953</v>
          </cell>
          <cell r="C553" t="str">
            <v>Past</v>
          </cell>
          <cell r="D553">
            <v>34.729999999999997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34.729999999999997</v>
          </cell>
          <cell r="Q553">
            <v>4.7807459999999997</v>
          </cell>
          <cell r="R553" t="e">
            <v>#N/A</v>
          </cell>
        </row>
        <row r="554">
          <cell r="A554">
            <v>39954</v>
          </cell>
          <cell r="B554">
            <v>39954</v>
          </cell>
          <cell r="C554" t="str">
            <v>Past</v>
          </cell>
          <cell r="D554">
            <v>34.619999999999997</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34.619999999999997</v>
          </cell>
          <cell r="Q554">
            <v>5.2200850000000001</v>
          </cell>
          <cell r="R554" t="e">
            <v>#N/A</v>
          </cell>
        </row>
        <row r="555">
          <cell r="A555">
            <v>39955</v>
          </cell>
          <cell r="B555">
            <v>39955</v>
          </cell>
          <cell r="C555" t="str">
            <v>Past</v>
          </cell>
          <cell r="D555">
            <v>34.340000000000003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34.340000000000003</v>
          </cell>
          <cell r="Q555">
            <v>3.3391259999999998</v>
          </cell>
          <cell r="R555" t="e">
            <v>#N/A</v>
          </cell>
        </row>
        <row r="556">
          <cell r="A556">
            <v>39959</v>
          </cell>
          <cell r="B556">
            <v>39959</v>
          </cell>
          <cell r="C556" t="str">
            <v>Past</v>
          </cell>
          <cell r="D556">
            <v>34.85</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34.85</v>
          </cell>
          <cell r="Q556">
            <v>3.953217</v>
          </cell>
          <cell r="R556" t="e">
            <v>#N/A</v>
          </cell>
        </row>
        <row r="557">
          <cell r="A557">
            <v>39960</v>
          </cell>
          <cell r="B557">
            <v>39960</v>
          </cell>
          <cell r="C557" t="str">
            <v>Past</v>
          </cell>
          <cell r="D557">
            <v>33.67</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33.67</v>
          </cell>
          <cell r="Q557">
            <v>5.1936239999999998</v>
          </cell>
          <cell r="R557" t="e">
            <v>#N/A</v>
          </cell>
        </row>
        <row r="558">
          <cell r="A558">
            <v>39961</v>
          </cell>
          <cell r="B558">
            <v>39961</v>
          </cell>
          <cell r="C558" t="str">
            <v>Past</v>
          </cell>
          <cell r="D558">
            <v>33.78</v>
          </cell>
          <cell r="E558" t="e">
            <v>#N/A</v>
          </cell>
          <cell r="F558" t="e">
            <v>#N/A</v>
          </cell>
          <cell r="G558" t="e">
            <v>#N/A</v>
          </cell>
          <cell r="H558" t="e">
            <v>#N/A</v>
          </cell>
          <cell r="I558" t="e">
            <v>#N/A</v>
          </cell>
          <cell r="J558" t="e">
            <v>#N/A</v>
          </cell>
          <cell r="K558" t="e">
            <v>#N/A</v>
          </cell>
          <cell r="L558" t="e">
            <v>#N/A</v>
          </cell>
          <cell r="M558" t="e">
            <v>#N/A</v>
          </cell>
          <cell r="N558" t="e">
            <v>#N/A</v>
          </cell>
          <cell r="O558">
            <v>0</v>
          </cell>
          <cell r="P558">
            <v>33.78</v>
          </cell>
          <cell r="Q558">
            <v>4.4986489999999995</v>
          </cell>
          <cell r="R558" t="e">
            <v>#N/A</v>
          </cell>
        </row>
        <row r="559">
          <cell r="A559">
            <v>39962</v>
          </cell>
          <cell r="B559">
            <v>39962</v>
          </cell>
          <cell r="C559" t="str">
            <v>Current</v>
          </cell>
          <cell r="D559">
            <v>34.57</v>
          </cell>
          <cell r="E559">
            <v>34.57</v>
          </cell>
          <cell r="F559">
            <v>34.57</v>
          </cell>
          <cell r="G559">
            <v>34.57</v>
          </cell>
          <cell r="H559">
            <v>34.57</v>
          </cell>
          <cell r="I559">
            <v>34.57</v>
          </cell>
          <cell r="J559" t="e">
            <v>#N/A</v>
          </cell>
          <cell r="K559" t="e">
            <v>#N/A</v>
          </cell>
          <cell r="L559" t="e">
            <v>#N/A</v>
          </cell>
          <cell r="M559" t="e">
            <v>#N/A</v>
          </cell>
          <cell r="N559" t="e">
            <v>#N/A</v>
          </cell>
          <cell r="O559">
            <v>114.16500000000001</v>
          </cell>
          <cell r="P559">
            <v>34.57</v>
          </cell>
          <cell r="Q559">
            <v>4.873189</v>
          </cell>
          <cell r="R559" t="e">
            <v>#N/A</v>
          </cell>
        </row>
        <row r="560">
          <cell r="A560">
            <v>39965</v>
          </cell>
          <cell r="B560">
            <v>39965</v>
          </cell>
          <cell r="C560" t="str">
            <v>Future</v>
          </cell>
          <cell r="D560" t="e">
            <v>#N/A</v>
          </cell>
          <cell r="E560">
            <v>34.433359683794464</v>
          </cell>
          <cell r="F560">
            <v>34.599367588932807</v>
          </cell>
          <cell r="G560">
            <v>34.559841897233198</v>
          </cell>
          <cell r="H560">
            <v>34.559841897233198</v>
          </cell>
          <cell r="I560" t="e">
            <v>#N/A</v>
          </cell>
          <cell r="J560" t="e">
            <v>#N/A</v>
          </cell>
          <cell r="K560" t="e">
            <v>#N/A</v>
          </cell>
          <cell r="L560" t="e">
            <v>#N/A</v>
          </cell>
          <cell r="M560" t="e">
            <v>#N/A</v>
          </cell>
          <cell r="N560" t="e">
            <v>#N/A</v>
          </cell>
          <cell r="O560" t="e">
            <v>#N/A</v>
          </cell>
          <cell r="P560">
            <v>34.65</v>
          </cell>
          <cell r="Q560">
            <v>5.3196200000000005</v>
          </cell>
          <cell r="R560" t="e">
            <v>#N/A</v>
          </cell>
        </row>
        <row r="561">
          <cell r="A561">
            <v>39966</v>
          </cell>
          <cell r="B561">
            <v>39966</v>
          </cell>
          <cell r="C561" t="str">
            <v>Future</v>
          </cell>
          <cell r="D561" t="e">
            <v>#N/A</v>
          </cell>
          <cell r="E561">
            <v>34.296719367588928</v>
          </cell>
          <cell r="F561">
            <v>34.628735177865615</v>
          </cell>
          <cell r="G561">
            <v>34.549683794466397</v>
          </cell>
          <cell r="H561">
            <v>34.549683794466397</v>
          </cell>
          <cell r="I561" t="e">
            <v>#N/A</v>
          </cell>
          <cell r="J561" t="e">
            <v>#N/A</v>
          </cell>
          <cell r="K561" t="e">
            <v>#N/A</v>
          </cell>
          <cell r="L561" t="e">
            <v>#N/A</v>
          </cell>
          <cell r="M561" t="e">
            <v>#N/A</v>
          </cell>
          <cell r="N561" t="e">
            <v>#N/A</v>
          </cell>
          <cell r="O561" t="e">
            <v>#N/A</v>
          </cell>
          <cell r="P561">
            <v>34.65</v>
          </cell>
          <cell r="Q561" t="str">
            <v/>
          </cell>
          <cell r="R561" t="e">
            <v>#N/A</v>
          </cell>
        </row>
        <row r="562">
          <cell r="A562">
            <v>39967</v>
          </cell>
          <cell r="B562">
            <v>39967</v>
          </cell>
          <cell r="C562" t="str">
            <v>Future</v>
          </cell>
          <cell r="D562" t="e">
            <v>#N/A</v>
          </cell>
          <cell r="E562">
            <v>34.160079051383391</v>
          </cell>
          <cell r="F562">
            <v>34.658102766798422</v>
          </cell>
          <cell r="G562">
            <v>34.539525691699595</v>
          </cell>
          <cell r="H562">
            <v>34.539525691699595</v>
          </cell>
          <cell r="I562" t="e">
            <v>#N/A</v>
          </cell>
          <cell r="J562" t="e">
            <v>#N/A</v>
          </cell>
          <cell r="K562" t="e">
            <v>#N/A</v>
          </cell>
          <cell r="L562" t="e">
            <v>#N/A</v>
          </cell>
          <cell r="M562" t="e">
            <v>#N/A</v>
          </cell>
          <cell r="N562" t="e">
            <v>#N/A</v>
          </cell>
          <cell r="O562" t="e">
            <v>#N/A</v>
          </cell>
          <cell r="P562">
            <v>34.65</v>
          </cell>
          <cell r="Q562" t="str">
            <v/>
          </cell>
          <cell r="R562" t="e">
            <v>#N/A</v>
          </cell>
        </row>
        <row r="563">
          <cell r="A563">
            <v>39968</v>
          </cell>
          <cell r="B563">
            <v>39968</v>
          </cell>
          <cell r="C563" t="str">
            <v>Future</v>
          </cell>
          <cell r="D563" t="e">
            <v>#N/A</v>
          </cell>
          <cell r="E563">
            <v>34.023438735177855</v>
          </cell>
          <cell r="F563">
            <v>34.687470355731229</v>
          </cell>
          <cell r="G563">
            <v>34.529367588932793</v>
          </cell>
          <cell r="H563">
            <v>34.529367588932793</v>
          </cell>
          <cell r="I563" t="e">
            <v>#N/A</v>
          </cell>
          <cell r="J563" t="e">
            <v>#N/A</v>
          </cell>
          <cell r="K563" t="e">
            <v>#N/A</v>
          </cell>
          <cell r="L563" t="e">
            <v>#N/A</v>
          </cell>
          <cell r="M563" t="e">
            <v>#N/A</v>
          </cell>
          <cell r="N563" t="e">
            <v>#N/A</v>
          </cell>
          <cell r="O563" t="e">
            <v>#N/A</v>
          </cell>
          <cell r="P563">
            <v>34.65</v>
          </cell>
          <cell r="Q563" t="str">
            <v/>
          </cell>
          <cell r="R563" t="e">
            <v>#N/A</v>
          </cell>
        </row>
        <row r="564">
          <cell r="A564">
            <v>39969</v>
          </cell>
          <cell r="B564">
            <v>39969</v>
          </cell>
          <cell r="C564" t="str">
            <v>Future</v>
          </cell>
          <cell r="D564" t="e">
            <v>#N/A</v>
          </cell>
          <cell r="E564">
            <v>33.886798418972319</v>
          </cell>
          <cell r="F564">
            <v>34.716837944664036</v>
          </cell>
          <cell r="G564">
            <v>34.519209486165991</v>
          </cell>
          <cell r="H564">
            <v>34.519209486165991</v>
          </cell>
          <cell r="I564" t="e">
            <v>#N/A</v>
          </cell>
          <cell r="J564" t="e">
            <v>#N/A</v>
          </cell>
          <cell r="K564" t="e">
            <v>#N/A</v>
          </cell>
          <cell r="L564" t="e">
            <v>#N/A</v>
          </cell>
          <cell r="M564" t="e">
            <v>#N/A</v>
          </cell>
          <cell r="N564" t="e">
            <v>#N/A</v>
          </cell>
          <cell r="O564" t="e">
            <v>#N/A</v>
          </cell>
          <cell r="P564">
            <v>34.65</v>
          </cell>
          <cell r="Q564" t="str">
            <v/>
          </cell>
          <cell r="R564" t="e">
            <v>#N/A</v>
          </cell>
        </row>
        <row r="565">
          <cell r="A565">
            <v>39972</v>
          </cell>
          <cell r="B565">
            <v>39972</v>
          </cell>
          <cell r="C565" t="str">
            <v>Future</v>
          </cell>
          <cell r="D565" t="e">
            <v>#N/A</v>
          </cell>
          <cell r="E565">
            <v>33.750158102766783</v>
          </cell>
          <cell r="F565">
            <v>34.746205533596843</v>
          </cell>
          <cell r="G565">
            <v>34.509051383399189</v>
          </cell>
          <cell r="H565">
            <v>34.509051383399189</v>
          </cell>
          <cell r="I565" t="e">
            <v>#N/A</v>
          </cell>
          <cell r="J565" t="e">
            <v>#N/A</v>
          </cell>
          <cell r="K565" t="e">
            <v>#N/A</v>
          </cell>
          <cell r="L565" t="e">
            <v>#N/A</v>
          </cell>
          <cell r="M565" t="e">
            <v>#N/A</v>
          </cell>
          <cell r="N565" t="e">
            <v>#N/A</v>
          </cell>
          <cell r="O565" t="e">
            <v>#N/A</v>
          </cell>
          <cell r="P565">
            <v>34.65</v>
          </cell>
          <cell r="Q565" t="str">
            <v/>
          </cell>
          <cell r="R565" t="e">
            <v>#N/A</v>
          </cell>
        </row>
        <row r="566">
          <cell r="A566">
            <v>39973</v>
          </cell>
          <cell r="B566">
            <v>39973</v>
          </cell>
          <cell r="C566" t="str">
            <v>Future</v>
          </cell>
          <cell r="D566" t="e">
            <v>#N/A</v>
          </cell>
          <cell r="E566">
            <v>33.613517786561246</v>
          </cell>
          <cell r="F566">
            <v>34.77557312252965</v>
          </cell>
          <cell r="G566">
            <v>34.498893280632387</v>
          </cell>
          <cell r="H566">
            <v>34.498893280632387</v>
          </cell>
          <cell r="I566" t="e">
            <v>#N/A</v>
          </cell>
          <cell r="J566" t="e">
            <v>#N/A</v>
          </cell>
          <cell r="K566" t="e">
            <v>#N/A</v>
          </cell>
          <cell r="L566" t="e">
            <v>#N/A</v>
          </cell>
          <cell r="M566" t="e">
            <v>#N/A</v>
          </cell>
          <cell r="N566" t="e">
            <v>#N/A</v>
          </cell>
          <cell r="O566" t="e">
            <v>#N/A</v>
          </cell>
          <cell r="P566">
            <v>34.65</v>
          </cell>
          <cell r="Q566" t="str">
            <v/>
          </cell>
          <cell r="R566" t="e">
            <v>#N/A</v>
          </cell>
        </row>
        <row r="567">
          <cell r="A567">
            <v>39974</v>
          </cell>
          <cell r="B567">
            <v>39974</v>
          </cell>
          <cell r="C567" t="str">
            <v>Future</v>
          </cell>
          <cell r="D567" t="e">
            <v>#N/A</v>
          </cell>
          <cell r="E567">
            <v>33.47687747035571</v>
          </cell>
          <cell r="F567">
            <v>34.804940711462457</v>
          </cell>
          <cell r="G567">
            <v>34.488735177865586</v>
          </cell>
          <cell r="H567">
            <v>34.488735177865586</v>
          </cell>
          <cell r="I567" t="e">
            <v>#N/A</v>
          </cell>
          <cell r="J567" t="e">
            <v>#N/A</v>
          </cell>
          <cell r="K567" t="e">
            <v>#N/A</v>
          </cell>
          <cell r="L567" t="e">
            <v>#N/A</v>
          </cell>
          <cell r="M567" t="e">
            <v>#N/A</v>
          </cell>
          <cell r="N567" t="e">
            <v>#N/A</v>
          </cell>
          <cell r="O567" t="e">
            <v>#N/A</v>
          </cell>
          <cell r="P567">
            <v>34.65</v>
          </cell>
          <cell r="Q567" t="str">
            <v/>
          </cell>
          <cell r="R567" t="e">
            <v>#N/A</v>
          </cell>
        </row>
        <row r="568">
          <cell r="A568">
            <v>39975</v>
          </cell>
          <cell r="B568">
            <v>39975</v>
          </cell>
          <cell r="C568" t="str">
            <v>Future</v>
          </cell>
          <cell r="D568" t="e">
            <v>#N/A</v>
          </cell>
          <cell r="E568">
            <v>33.340237154150174</v>
          </cell>
          <cell r="F568">
            <v>34.834308300395264</v>
          </cell>
          <cell r="G568">
            <v>34.478577075098784</v>
          </cell>
          <cell r="H568">
            <v>34.478577075098784</v>
          </cell>
          <cell r="I568" t="e">
            <v>#N/A</v>
          </cell>
          <cell r="J568" t="e">
            <v>#N/A</v>
          </cell>
          <cell r="K568" t="e">
            <v>#N/A</v>
          </cell>
          <cell r="L568" t="e">
            <v>#N/A</v>
          </cell>
          <cell r="M568" t="e">
            <v>#N/A</v>
          </cell>
          <cell r="N568" t="e">
            <v>#N/A</v>
          </cell>
          <cell r="O568" t="e">
            <v>#N/A</v>
          </cell>
          <cell r="P568">
            <v>34.65</v>
          </cell>
          <cell r="Q568" t="str">
            <v/>
          </cell>
          <cell r="R568" t="e">
            <v>#N/A</v>
          </cell>
        </row>
        <row r="569">
          <cell r="A569">
            <v>39976</v>
          </cell>
          <cell r="B569">
            <v>39976</v>
          </cell>
          <cell r="C569" t="str">
            <v>Future</v>
          </cell>
          <cell r="D569" t="e">
            <v>#N/A</v>
          </cell>
          <cell r="E569">
            <v>33.203596837944637</v>
          </cell>
          <cell r="F569">
            <v>34.863675889328071</v>
          </cell>
          <cell r="G569">
            <v>34.468418972331982</v>
          </cell>
          <cell r="H569">
            <v>34.468418972331982</v>
          </cell>
          <cell r="I569" t="e">
            <v>#N/A</v>
          </cell>
          <cell r="J569" t="e">
            <v>#N/A</v>
          </cell>
          <cell r="K569" t="e">
            <v>#N/A</v>
          </cell>
          <cell r="L569" t="e">
            <v>#N/A</v>
          </cell>
          <cell r="M569" t="e">
            <v>#N/A</v>
          </cell>
          <cell r="N569" t="e">
            <v>#N/A</v>
          </cell>
          <cell r="O569" t="e">
            <v>#N/A</v>
          </cell>
          <cell r="P569">
            <v>34.65</v>
          </cell>
          <cell r="Q569" t="str">
            <v/>
          </cell>
          <cell r="R569" t="e">
            <v>#N/A</v>
          </cell>
        </row>
        <row r="570">
          <cell r="A570">
            <v>39979</v>
          </cell>
          <cell r="B570">
            <v>39979</v>
          </cell>
          <cell r="C570" t="str">
            <v>Future</v>
          </cell>
          <cell r="D570" t="e">
            <v>#N/A</v>
          </cell>
          <cell r="E570">
            <v>33.066956521739101</v>
          </cell>
          <cell r="F570">
            <v>34.893043478260878</v>
          </cell>
          <cell r="G570">
            <v>34.45826086956518</v>
          </cell>
          <cell r="H570">
            <v>34.45826086956518</v>
          </cell>
          <cell r="I570" t="e">
            <v>#N/A</v>
          </cell>
          <cell r="J570" t="e">
            <v>#N/A</v>
          </cell>
          <cell r="K570" t="e">
            <v>#N/A</v>
          </cell>
          <cell r="L570" t="e">
            <v>#N/A</v>
          </cell>
          <cell r="M570" t="e">
            <v>#N/A</v>
          </cell>
          <cell r="N570" t="e">
            <v>#N/A</v>
          </cell>
          <cell r="O570" t="e">
            <v>#N/A</v>
          </cell>
          <cell r="P570">
            <v>34.65</v>
          </cell>
          <cell r="Q570" t="str">
            <v/>
          </cell>
          <cell r="R570" t="e">
            <v>#N/A</v>
          </cell>
        </row>
        <row r="571">
          <cell r="A571">
            <v>39980</v>
          </cell>
          <cell r="B571">
            <v>39980</v>
          </cell>
          <cell r="C571" t="str">
            <v>Future</v>
          </cell>
          <cell r="D571" t="e">
            <v>#N/A</v>
          </cell>
          <cell r="E571">
            <v>32.930316205533565</v>
          </cell>
          <cell r="F571">
            <v>34.922411067193686</v>
          </cell>
          <cell r="G571">
            <v>34.448102766798378</v>
          </cell>
          <cell r="H571">
            <v>34.448102766798378</v>
          </cell>
          <cell r="I571" t="e">
            <v>#N/A</v>
          </cell>
          <cell r="J571" t="e">
            <v>#N/A</v>
          </cell>
          <cell r="K571" t="e">
            <v>#N/A</v>
          </cell>
          <cell r="L571" t="e">
            <v>#N/A</v>
          </cell>
          <cell r="M571" t="e">
            <v>#N/A</v>
          </cell>
          <cell r="N571" t="e">
            <v>#N/A</v>
          </cell>
          <cell r="O571" t="e">
            <v>#N/A</v>
          </cell>
          <cell r="P571">
            <v>34.65</v>
          </cell>
          <cell r="Q571" t="str">
            <v/>
          </cell>
          <cell r="R571" t="e">
            <v>#N/A</v>
          </cell>
        </row>
        <row r="572">
          <cell r="A572">
            <v>39981</v>
          </cell>
          <cell r="B572">
            <v>39981</v>
          </cell>
          <cell r="C572" t="str">
            <v>Future</v>
          </cell>
          <cell r="D572" t="e">
            <v>#N/A</v>
          </cell>
          <cell r="E572">
            <v>32.793675889328028</v>
          </cell>
          <cell r="F572">
            <v>34.951778656126493</v>
          </cell>
          <cell r="G572">
            <v>34.437944664031576</v>
          </cell>
          <cell r="H572">
            <v>34.437944664031576</v>
          </cell>
          <cell r="I572" t="e">
            <v>#N/A</v>
          </cell>
          <cell r="J572" t="e">
            <v>#N/A</v>
          </cell>
          <cell r="K572" t="e">
            <v>#N/A</v>
          </cell>
          <cell r="L572" t="e">
            <v>#N/A</v>
          </cell>
          <cell r="M572" t="e">
            <v>#N/A</v>
          </cell>
          <cell r="N572" t="e">
            <v>#N/A</v>
          </cell>
          <cell r="O572" t="e">
            <v>#N/A</v>
          </cell>
          <cell r="P572">
            <v>34.65</v>
          </cell>
          <cell r="Q572" t="str">
            <v/>
          </cell>
          <cell r="R572" t="e">
            <v>#N/A</v>
          </cell>
        </row>
        <row r="573">
          <cell r="A573">
            <v>39982</v>
          </cell>
          <cell r="B573">
            <v>39982</v>
          </cell>
          <cell r="C573" t="str">
            <v>Future</v>
          </cell>
          <cell r="D573" t="e">
            <v>#N/A</v>
          </cell>
          <cell r="E573">
            <v>32.657035573122492</v>
          </cell>
          <cell r="F573">
            <v>34.9811462450593</v>
          </cell>
          <cell r="G573">
            <v>34.427786561264774</v>
          </cell>
          <cell r="H573">
            <v>34.427786561264774</v>
          </cell>
          <cell r="I573" t="e">
            <v>#N/A</v>
          </cell>
          <cell r="J573" t="e">
            <v>#N/A</v>
          </cell>
          <cell r="K573" t="e">
            <v>#N/A</v>
          </cell>
          <cell r="L573" t="e">
            <v>#N/A</v>
          </cell>
          <cell r="M573" t="e">
            <v>#N/A</v>
          </cell>
          <cell r="N573" t="e">
            <v>#N/A</v>
          </cell>
          <cell r="O573" t="e">
            <v>#N/A</v>
          </cell>
          <cell r="P573">
            <v>34.65</v>
          </cell>
          <cell r="Q573" t="str">
            <v/>
          </cell>
          <cell r="R573" t="e">
            <v>#N/A</v>
          </cell>
        </row>
        <row r="574">
          <cell r="A574">
            <v>39983</v>
          </cell>
          <cell r="B574">
            <v>39983</v>
          </cell>
          <cell r="C574" t="str">
            <v>Future</v>
          </cell>
          <cell r="D574" t="e">
            <v>#N/A</v>
          </cell>
          <cell r="E574">
            <v>32.520395256916956</v>
          </cell>
          <cell r="F574">
            <v>35.010513833992107</v>
          </cell>
          <cell r="G574">
            <v>34.417628458497973</v>
          </cell>
          <cell r="H574">
            <v>34.417628458497973</v>
          </cell>
          <cell r="I574" t="e">
            <v>#N/A</v>
          </cell>
          <cell r="J574" t="e">
            <v>#N/A</v>
          </cell>
          <cell r="K574" t="e">
            <v>#N/A</v>
          </cell>
          <cell r="L574" t="e">
            <v>#N/A</v>
          </cell>
          <cell r="M574" t="e">
            <v>#N/A</v>
          </cell>
          <cell r="N574" t="e">
            <v>#N/A</v>
          </cell>
          <cell r="O574" t="e">
            <v>#N/A</v>
          </cell>
          <cell r="P574">
            <v>34.65</v>
          </cell>
          <cell r="Q574" t="str">
            <v/>
          </cell>
          <cell r="R574" t="e">
            <v>#N/A</v>
          </cell>
        </row>
        <row r="575">
          <cell r="A575">
            <v>39986</v>
          </cell>
          <cell r="B575">
            <v>39986</v>
          </cell>
          <cell r="C575" t="str">
            <v>Future</v>
          </cell>
          <cell r="D575" t="e">
            <v>#N/A</v>
          </cell>
          <cell r="E575">
            <v>32.38375494071142</v>
          </cell>
          <cell r="F575">
            <v>35.039881422924914</v>
          </cell>
          <cell r="G575">
            <v>34.407470355731171</v>
          </cell>
          <cell r="H575">
            <v>34.407470355731171</v>
          </cell>
          <cell r="I575" t="e">
            <v>#N/A</v>
          </cell>
          <cell r="J575" t="e">
            <v>#N/A</v>
          </cell>
          <cell r="K575" t="e">
            <v>#N/A</v>
          </cell>
          <cell r="L575" t="e">
            <v>#N/A</v>
          </cell>
          <cell r="M575" t="e">
            <v>#N/A</v>
          </cell>
          <cell r="N575" t="e">
            <v>#N/A</v>
          </cell>
          <cell r="O575" t="e">
            <v>#N/A</v>
          </cell>
          <cell r="P575">
            <v>34.65</v>
          </cell>
          <cell r="Q575" t="str">
            <v/>
          </cell>
          <cell r="R575" t="e">
            <v>#N/A</v>
          </cell>
        </row>
        <row r="576">
          <cell r="A576">
            <v>39987</v>
          </cell>
          <cell r="B576">
            <v>39987</v>
          </cell>
          <cell r="C576" t="str">
            <v>Future</v>
          </cell>
          <cell r="D576" t="e">
            <v>#N/A</v>
          </cell>
          <cell r="E576">
            <v>32.247114624505883</v>
          </cell>
          <cell r="F576">
            <v>35.069249011857721</v>
          </cell>
          <cell r="G576">
            <v>34.397312252964369</v>
          </cell>
          <cell r="H576">
            <v>34.397312252964369</v>
          </cell>
          <cell r="I576" t="e">
            <v>#N/A</v>
          </cell>
          <cell r="J576" t="e">
            <v>#N/A</v>
          </cell>
          <cell r="K576" t="e">
            <v>#N/A</v>
          </cell>
          <cell r="L576" t="e">
            <v>#N/A</v>
          </cell>
          <cell r="M576" t="e">
            <v>#N/A</v>
          </cell>
          <cell r="N576" t="e">
            <v>#N/A</v>
          </cell>
          <cell r="O576" t="e">
            <v>#N/A</v>
          </cell>
          <cell r="P576">
            <v>34.65</v>
          </cell>
          <cell r="Q576" t="str">
            <v/>
          </cell>
          <cell r="R576" t="e">
            <v>#N/A</v>
          </cell>
        </row>
        <row r="577">
          <cell r="A577">
            <v>39988</v>
          </cell>
          <cell r="B577">
            <v>39988</v>
          </cell>
          <cell r="C577" t="str">
            <v>Future</v>
          </cell>
          <cell r="D577" t="e">
            <v>#N/A</v>
          </cell>
          <cell r="E577">
            <v>32.110474308300347</v>
          </cell>
          <cell r="F577">
            <v>35.098616600790528</v>
          </cell>
          <cell r="G577">
            <v>34.387154150197567</v>
          </cell>
          <cell r="H577">
            <v>34.387154150197567</v>
          </cell>
          <cell r="I577" t="e">
            <v>#N/A</v>
          </cell>
          <cell r="J577" t="e">
            <v>#N/A</v>
          </cell>
          <cell r="K577" t="e">
            <v>#N/A</v>
          </cell>
          <cell r="L577" t="e">
            <v>#N/A</v>
          </cell>
          <cell r="M577" t="e">
            <v>#N/A</v>
          </cell>
          <cell r="N577" t="e">
            <v>#N/A</v>
          </cell>
          <cell r="O577" t="e">
            <v>#N/A</v>
          </cell>
          <cell r="P577">
            <v>34.65</v>
          </cell>
          <cell r="Q577" t="str">
            <v/>
          </cell>
          <cell r="R577" t="e">
            <v>#N/A</v>
          </cell>
        </row>
        <row r="578">
          <cell r="A578">
            <v>39989</v>
          </cell>
          <cell r="B578">
            <v>39989</v>
          </cell>
          <cell r="C578" t="str">
            <v>Future</v>
          </cell>
          <cell r="D578" t="e">
            <v>#N/A</v>
          </cell>
          <cell r="E578">
            <v>31.973833992094814</v>
          </cell>
          <cell r="F578">
            <v>35.127984189723335</v>
          </cell>
          <cell r="G578">
            <v>34.376996047430765</v>
          </cell>
          <cell r="H578">
            <v>34.376996047430765</v>
          </cell>
          <cell r="I578" t="e">
            <v>#N/A</v>
          </cell>
          <cell r="J578" t="e">
            <v>#N/A</v>
          </cell>
          <cell r="K578" t="e">
            <v>#N/A</v>
          </cell>
          <cell r="L578" t="e">
            <v>#N/A</v>
          </cell>
          <cell r="M578" t="e">
            <v>#N/A</v>
          </cell>
          <cell r="N578" t="e">
            <v>#N/A</v>
          </cell>
          <cell r="O578" t="e">
            <v>#N/A</v>
          </cell>
          <cell r="P578">
            <v>34.65</v>
          </cell>
          <cell r="Q578" t="str">
            <v/>
          </cell>
          <cell r="R578" t="e">
            <v>#N/A</v>
          </cell>
        </row>
        <row r="579">
          <cell r="A579">
            <v>39990</v>
          </cell>
          <cell r="B579">
            <v>39990</v>
          </cell>
          <cell r="C579" t="str">
            <v>Future</v>
          </cell>
          <cell r="D579" t="e">
            <v>#N/A</v>
          </cell>
          <cell r="E579">
            <v>31.837193675889282</v>
          </cell>
          <cell r="F579">
            <v>35.157351778656142</v>
          </cell>
          <cell r="G579">
            <v>34.366837944663963</v>
          </cell>
          <cell r="H579">
            <v>34.366837944663963</v>
          </cell>
          <cell r="I579" t="e">
            <v>#N/A</v>
          </cell>
          <cell r="J579" t="e">
            <v>#N/A</v>
          </cell>
          <cell r="K579" t="e">
            <v>#N/A</v>
          </cell>
          <cell r="L579" t="e">
            <v>#N/A</v>
          </cell>
          <cell r="M579" t="e">
            <v>#N/A</v>
          </cell>
          <cell r="N579" t="e">
            <v>#N/A</v>
          </cell>
          <cell r="O579" t="e">
            <v>#N/A</v>
          </cell>
          <cell r="P579">
            <v>34.65</v>
          </cell>
          <cell r="Q579" t="str">
            <v/>
          </cell>
          <cell r="R579" t="e">
            <v>#N/A</v>
          </cell>
        </row>
        <row r="580">
          <cell r="A580">
            <v>39993</v>
          </cell>
          <cell r="B580">
            <v>39993</v>
          </cell>
          <cell r="C580" t="str">
            <v>Future</v>
          </cell>
          <cell r="D580" t="e">
            <v>#N/A</v>
          </cell>
          <cell r="E580">
            <v>31.700553359683749</v>
          </cell>
          <cell r="F580">
            <v>35.18671936758895</v>
          </cell>
          <cell r="G580">
            <v>34.356679841897162</v>
          </cell>
          <cell r="H580">
            <v>34.356679841897162</v>
          </cell>
          <cell r="I580" t="e">
            <v>#N/A</v>
          </cell>
          <cell r="J580" t="e">
            <v>#N/A</v>
          </cell>
          <cell r="K580" t="e">
            <v>#N/A</v>
          </cell>
          <cell r="L580" t="e">
            <v>#N/A</v>
          </cell>
          <cell r="M580" t="e">
            <v>#N/A</v>
          </cell>
          <cell r="N580" t="e">
            <v>#N/A</v>
          </cell>
          <cell r="O580" t="e">
            <v>#N/A</v>
          </cell>
          <cell r="P580">
            <v>34.65</v>
          </cell>
          <cell r="Q580" t="str">
            <v/>
          </cell>
          <cell r="R580" t="e">
            <v>#N/A</v>
          </cell>
        </row>
        <row r="581">
          <cell r="A581">
            <v>39994</v>
          </cell>
          <cell r="B581">
            <v>39994</v>
          </cell>
          <cell r="C581" t="str">
            <v>Future</v>
          </cell>
          <cell r="D581" t="e">
            <v>#N/A</v>
          </cell>
          <cell r="E581">
            <v>31.563913043478216</v>
          </cell>
          <cell r="F581">
            <v>35.216086956521757</v>
          </cell>
          <cell r="G581">
            <v>34.34652173913036</v>
          </cell>
          <cell r="H581">
            <v>34.34652173913036</v>
          </cell>
          <cell r="I581" t="e">
            <v>#N/A</v>
          </cell>
          <cell r="J581" t="e">
            <v>#N/A</v>
          </cell>
          <cell r="K581" t="e">
            <v>#N/A</v>
          </cell>
          <cell r="L581" t="e">
            <v>#N/A</v>
          </cell>
          <cell r="M581" t="e">
            <v>#N/A</v>
          </cell>
          <cell r="N581" t="e">
            <v>#N/A</v>
          </cell>
          <cell r="O581" t="e">
            <v>#N/A</v>
          </cell>
          <cell r="P581">
            <v>34.65</v>
          </cell>
          <cell r="Q581" t="str">
            <v/>
          </cell>
          <cell r="R581" t="e">
            <v>#N/A</v>
          </cell>
        </row>
        <row r="582">
          <cell r="A582">
            <v>39995</v>
          </cell>
          <cell r="B582">
            <v>39995</v>
          </cell>
          <cell r="C582" t="str">
            <v>Future</v>
          </cell>
          <cell r="D582" t="e">
            <v>#N/A</v>
          </cell>
          <cell r="E582">
            <v>31.427272727272683</v>
          </cell>
          <cell r="F582">
            <v>35.245454545454564</v>
          </cell>
          <cell r="G582">
            <v>34.336363636363558</v>
          </cell>
          <cell r="H582">
            <v>34.336363636363558</v>
          </cell>
          <cell r="I582" t="e">
            <v>#N/A</v>
          </cell>
          <cell r="J582" t="e">
            <v>#N/A</v>
          </cell>
          <cell r="K582" t="e">
            <v>#N/A</v>
          </cell>
          <cell r="L582" t="e">
            <v>#N/A</v>
          </cell>
          <cell r="M582" t="e">
            <v>#N/A</v>
          </cell>
          <cell r="N582" t="e">
            <v>#N/A</v>
          </cell>
          <cell r="O582" t="e">
            <v>#N/A</v>
          </cell>
          <cell r="P582">
            <v>34.65</v>
          </cell>
          <cell r="Q582" t="str">
            <v/>
          </cell>
          <cell r="R582" t="e">
            <v>#N/A</v>
          </cell>
        </row>
        <row r="583">
          <cell r="A583">
            <v>39996</v>
          </cell>
          <cell r="B583">
            <v>39996</v>
          </cell>
          <cell r="C583" t="str">
            <v>Future</v>
          </cell>
          <cell r="D583" t="e">
            <v>#N/A</v>
          </cell>
          <cell r="E583">
            <v>31.290632411067151</v>
          </cell>
          <cell r="F583">
            <v>35.274822134387371</v>
          </cell>
          <cell r="G583">
            <v>34.326205533596756</v>
          </cell>
          <cell r="H583">
            <v>34.326205533596756</v>
          </cell>
          <cell r="I583" t="e">
            <v>#N/A</v>
          </cell>
          <cell r="J583" t="e">
            <v>#N/A</v>
          </cell>
          <cell r="K583" t="e">
            <v>#N/A</v>
          </cell>
          <cell r="L583" t="e">
            <v>#N/A</v>
          </cell>
          <cell r="M583" t="e">
            <v>#N/A</v>
          </cell>
          <cell r="N583" t="e">
            <v>#N/A</v>
          </cell>
          <cell r="O583" t="e">
            <v>#N/A</v>
          </cell>
          <cell r="P583">
            <v>34.65</v>
          </cell>
          <cell r="Q583" t="str">
            <v/>
          </cell>
          <cell r="R583" t="e">
            <v>#N/A</v>
          </cell>
        </row>
        <row r="584">
          <cell r="A584">
            <v>40000</v>
          </cell>
          <cell r="B584">
            <v>40000</v>
          </cell>
          <cell r="C584" t="str">
            <v>Future</v>
          </cell>
          <cell r="D584" t="e">
            <v>#N/A</v>
          </cell>
          <cell r="E584">
            <v>31.153992094861618</v>
          </cell>
          <cell r="F584">
            <v>35.304189723320178</v>
          </cell>
          <cell r="G584">
            <v>34.316047430829954</v>
          </cell>
          <cell r="H584">
            <v>34.316047430829954</v>
          </cell>
          <cell r="I584" t="e">
            <v>#N/A</v>
          </cell>
          <cell r="J584" t="e">
            <v>#N/A</v>
          </cell>
          <cell r="K584" t="e">
            <v>#N/A</v>
          </cell>
          <cell r="L584" t="e">
            <v>#N/A</v>
          </cell>
          <cell r="M584" t="e">
            <v>#N/A</v>
          </cell>
          <cell r="N584" t="e">
            <v>#N/A</v>
          </cell>
          <cell r="O584" t="e">
            <v>#N/A</v>
          </cell>
          <cell r="P584">
            <v>34.65</v>
          </cell>
          <cell r="Q584" t="str">
            <v/>
          </cell>
          <cell r="R584" t="e">
            <v>#N/A</v>
          </cell>
        </row>
        <row r="585">
          <cell r="A585">
            <v>40001</v>
          </cell>
          <cell r="B585">
            <v>40001</v>
          </cell>
          <cell r="C585" t="str">
            <v>Future</v>
          </cell>
          <cell r="D585" t="e">
            <v>#N/A</v>
          </cell>
          <cell r="E585">
            <v>31.017351778656085</v>
          </cell>
          <cell r="F585">
            <v>35.333557312252985</v>
          </cell>
          <cell r="G585">
            <v>34.305889328063152</v>
          </cell>
          <cell r="H585">
            <v>34.305889328063152</v>
          </cell>
          <cell r="I585" t="e">
            <v>#N/A</v>
          </cell>
          <cell r="J585" t="e">
            <v>#N/A</v>
          </cell>
          <cell r="K585" t="e">
            <v>#N/A</v>
          </cell>
          <cell r="L585" t="e">
            <v>#N/A</v>
          </cell>
          <cell r="M585" t="e">
            <v>#N/A</v>
          </cell>
          <cell r="N585" t="e">
            <v>#N/A</v>
          </cell>
          <cell r="O585" t="e">
            <v>#N/A</v>
          </cell>
          <cell r="P585">
            <v>34.65</v>
          </cell>
          <cell r="Q585" t="str">
            <v/>
          </cell>
          <cell r="R585" t="e">
            <v>#N/A</v>
          </cell>
        </row>
        <row r="586">
          <cell r="A586">
            <v>40002</v>
          </cell>
          <cell r="B586">
            <v>40002</v>
          </cell>
          <cell r="C586" t="str">
            <v>Future</v>
          </cell>
          <cell r="D586" t="e">
            <v>#N/A</v>
          </cell>
          <cell r="E586">
            <v>30.880711462450552</v>
          </cell>
          <cell r="F586">
            <v>35.362924901185792</v>
          </cell>
          <cell r="G586">
            <v>34.29573122529635</v>
          </cell>
          <cell r="H586">
            <v>34.29573122529635</v>
          </cell>
          <cell r="I586" t="e">
            <v>#N/A</v>
          </cell>
          <cell r="J586" t="e">
            <v>#N/A</v>
          </cell>
          <cell r="K586" t="e">
            <v>#N/A</v>
          </cell>
          <cell r="L586" t="e">
            <v>#N/A</v>
          </cell>
          <cell r="M586" t="e">
            <v>#N/A</v>
          </cell>
          <cell r="N586" t="e">
            <v>#N/A</v>
          </cell>
          <cell r="O586" t="e">
            <v>#N/A</v>
          </cell>
          <cell r="P586">
            <v>34.65</v>
          </cell>
          <cell r="Q586" t="str">
            <v/>
          </cell>
          <cell r="R586" t="e">
            <v>#N/A</v>
          </cell>
        </row>
        <row r="587">
          <cell r="A587">
            <v>40003</v>
          </cell>
          <cell r="B587">
            <v>40003</v>
          </cell>
          <cell r="C587" t="str">
            <v>Future</v>
          </cell>
          <cell r="D587" t="e">
            <v>#N/A</v>
          </cell>
          <cell r="E587">
            <v>30.74407114624502</v>
          </cell>
          <cell r="F587">
            <v>35.392292490118599</v>
          </cell>
          <cell r="G587">
            <v>34.285573122529549</v>
          </cell>
          <cell r="H587">
            <v>34.285573122529549</v>
          </cell>
          <cell r="I587" t="e">
            <v>#N/A</v>
          </cell>
          <cell r="J587" t="e">
            <v>#N/A</v>
          </cell>
          <cell r="K587" t="e">
            <v>#N/A</v>
          </cell>
          <cell r="L587" t="e">
            <v>#N/A</v>
          </cell>
          <cell r="M587" t="e">
            <v>#N/A</v>
          </cell>
          <cell r="N587" t="e">
            <v>#N/A</v>
          </cell>
          <cell r="O587" t="e">
            <v>#N/A</v>
          </cell>
          <cell r="P587">
            <v>34.65</v>
          </cell>
          <cell r="Q587" t="str">
            <v/>
          </cell>
          <cell r="R587" t="e">
            <v>#N/A</v>
          </cell>
        </row>
        <row r="588">
          <cell r="A588">
            <v>40004</v>
          </cell>
          <cell r="B588">
            <v>40004</v>
          </cell>
          <cell r="C588" t="str">
            <v>Future</v>
          </cell>
          <cell r="D588" t="e">
            <v>#N/A</v>
          </cell>
          <cell r="E588">
            <v>30.607430830039487</v>
          </cell>
          <cell r="F588">
            <v>35.421660079051406</v>
          </cell>
          <cell r="G588">
            <v>34.275415019762747</v>
          </cell>
          <cell r="H588">
            <v>34.275415019762747</v>
          </cell>
          <cell r="I588" t="e">
            <v>#N/A</v>
          </cell>
          <cell r="J588" t="e">
            <v>#N/A</v>
          </cell>
          <cell r="K588" t="e">
            <v>#N/A</v>
          </cell>
          <cell r="L588" t="e">
            <v>#N/A</v>
          </cell>
          <cell r="M588" t="e">
            <v>#N/A</v>
          </cell>
          <cell r="N588" t="e">
            <v>#N/A</v>
          </cell>
          <cell r="O588" t="e">
            <v>#N/A</v>
          </cell>
          <cell r="P588">
            <v>34.65</v>
          </cell>
          <cell r="Q588" t="str">
            <v/>
          </cell>
          <cell r="R588" t="e">
            <v>#N/A</v>
          </cell>
        </row>
        <row r="589">
          <cell r="A589">
            <v>40007</v>
          </cell>
          <cell r="B589">
            <v>40007</v>
          </cell>
          <cell r="C589" t="str">
            <v>Future</v>
          </cell>
          <cell r="D589" t="e">
            <v>#N/A</v>
          </cell>
          <cell r="E589">
            <v>30.470790513833954</v>
          </cell>
          <cell r="F589">
            <v>35.451027667984214</v>
          </cell>
          <cell r="G589">
            <v>34.265256916995945</v>
          </cell>
          <cell r="H589">
            <v>34.265256916995945</v>
          </cell>
          <cell r="I589" t="e">
            <v>#N/A</v>
          </cell>
          <cell r="J589" t="e">
            <v>#N/A</v>
          </cell>
          <cell r="K589" t="e">
            <v>#N/A</v>
          </cell>
          <cell r="L589" t="e">
            <v>#N/A</v>
          </cell>
          <cell r="M589" t="e">
            <v>#N/A</v>
          </cell>
          <cell r="N589" t="e">
            <v>#N/A</v>
          </cell>
          <cell r="O589" t="e">
            <v>#N/A</v>
          </cell>
          <cell r="P589">
            <v>34.65</v>
          </cell>
          <cell r="Q589" t="str">
            <v/>
          </cell>
          <cell r="R589" t="e">
            <v>#N/A</v>
          </cell>
        </row>
        <row r="590">
          <cell r="A590">
            <v>40008</v>
          </cell>
          <cell r="B590">
            <v>40008</v>
          </cell>
          <cell r="C590" t="str">
            <v>Future</v>
          </cell>
          <cell r="D590" t="e">
            <v>#N/A</v>
          </cell>
          <cell r="E590">
            <v>30.334150197628421</v>
          </cell>
          <cell r="F590">
            <v>35.480395256917021</v>
          </cell>
          <cell r="G590">
            <v>34.255098814229143</v>
          </cell>
          <cell r="H590">
            <v>34.255098814229143</v>
          </cell>
          <cell r="I590" t="e">
            <v>#N/A</v>
          </cell>
          <cell r="J590" t="e">
            <v>#N/A</v>
          </cell>
          <cell r="K590" t="e">
            <v>#N/A</v>
          </cell>
          <cell r="L590" t="e">
            <v>#N/A</v>
          </cell>
          <cell r="M590" t="e">
            <v>#N/A</v>
          </cell>
          <cell r="N590" t="e">
            <v>#N/A</v>
          </cell>
          <cell r="O590" t="e">
            <v>#N/A</v>
          </cell>
          <cell r="P590">
            <v>34.65</v>
          </cell>
          <cell r="Q590" t="str">
            <v/>
          </cell>
          <cell r="R590" t="e">
            <v>#N/A</v>
          </cell>
        </row>
        <row r="591">
          <cell r="A591">
            <v>40009</v>
          </cell>
          <cell r="B591">
            <v>40009</v>
          </cell>
          <cell r="C591" t="str">
            <v>Future</v>
          </cell>
          <cell r="D591" t="e">
            <v>#N/A</v>
          </cell>
          <cell r="E591">
            <v>30.197509881422889</v>
          </cell>
          <cell r="F591">
            <v>35.509762845849828</v>
          </cell>
          <cell r="G591">
            <v>34.244940711462341</v>
          </cell>
          <cell r="H591">
            <v>34.244940711462341</v>
          </cell>
          <cell r="I591" t="e">
            <v>#N/A</v>
          </cell>
          <cell r="J591" t="e">
            <v>#N/A</v>
          </cell>
          <cell r="K591" t="e">
            <v>#N/A</v>
          </cell>
          <cell r="L591" t="e">
            <v>#N/A</v>
          </cell>
          <cell r="M591" t="e">
            <v>#N/A</v>
          </cell>
          <cell r="N591" t="e">
            <v>#N/A</v>
          </cell>
          <cell r="O591" t="e">
            <v>#N/A</v>
          </cell>
          <cell r="P591">
            <v>34.65</v>
          </cell>
          <cell r="Q591" t="str">
            <v/>
          </cell>
          <cell r="R591" t="e">
            <v>#N/A</v>
          </cell>
        </row>
        <row r="592">
          <cell r="A592">
            <v>40010</v>
          </cell>
          <cell r="B592">
            <v>40010</v>
          </cell>
          <cell r="C592" t="str">
            <v>Future</v>
          </cell>
          <cell r="D592" t="e">
            <v>#N/A</v>
          </cell>
          <cell r="E592">
            <v>30.060869565217356</v>
          </cell>
          <cell r="F592">
            <v>35.539130434782635</v>
          </cell>
          <cell r="G592">
            <v>34.234782608695539</v>
          </cell>
          <cell r="H592">
            <v>34.234782608695539</v>
          </cell>
          <cell r="I592" t="e">
            <v>#N/A</v>
          </cell>
          <cell r="J592" t="e">
            <v>#N/A</v>
          </cell>
          <cell r="K592" t="e">
            <v>#N/A</v>
          </cell>
          <cell r="L592" t="e">
            <v>#N/A</v>
          </cell>
          <cell r="M592" t="e">
            <v>#N/A</v>
          </cell>
          <cell r="N592" t="e">
            <v>#N/A</v>
          </cell>
          <cell r="O592" t="e">
            <v>#N/A</v>
          </cell>
          <cell r="P592">
            <v>34.65</v>
          </cell>
          <cell r="Q592" t="str">
            <v/>
          </cell>
          <cell r="R592" t="e">
            <v>#N/A</v>
          </cell>
        </row>
        <row r="593">
          <cell r="A593">
            <v>40011</v>
          </cell>
          <cell r="B593">
            <v>40011</v>
          </cell>
          <cell r="C593" t="str">
            <v>Future</v>
          </cell>
          <cell r="D593" t="e">
            <v>#N/A</v>
          </cell>
          <cell r="E593">
            <v>29.924229249011823</v>
          </cell>
          <cell r="F593">
            <v>35.568498023715442</v>
          </cell>
          <cell r="G593">
            <v>34.224624505928738</v>
          </cell>
          <cell r="H593">
            <v>34.224624505928738</v>
          </cell>
          <cell r="I593" t="e">
            <v>#N/A</v>
          </cell>
          <cell r="J593" t="e">
            <v>#N/A</v>
          </cell>
          <cell r="K593" t="e">
            <v>#N/A</v>
          </cell>
          <cell r="L593" t="e">
            <v>#N/A</v>
          </cell>
          <cell r="M593" t="e">
            <v>#N/A</v>
          </cell>
          <cell r="N593" t="e">
            <v>#N/A</v>
          </cell>
          <cell r="O593" t="e">
            <v>#N/A</v>
          </cell>
          <cell r="P593">
            <v>34.65</v>
          </cell>
          <cell r="Q593" t="str">
            <v/>
          </cell>
          <cell r="R593" t="e">
            <v>#N/A</v>
          </cell>
        </row>
        <row r="594">
          <cell r="A594">
            <v>40014</v>
          </cell>
          <cell r="B594">
            <v>40014</v>
          </cell>
          <cell r="C594" t="str">
            <v>Future</v>
          </cell>
          <cell r="D594" t="e">
            <v>#N/A</v>
          </cell>
          <cell r="E594">
            <v>29.78758893280629</v>
          </cell>
          <cell r="F594">
            <v>35.597865612648249</v>
          </cell>
          <cell r="G594">
            <v>34.214466403161936</v>
          </cell>
          <cell r="H594">
            <v>34.214466403161936</v>
          </cell>
          <cell r="I594" t="e">
            <v>#N/A</v>
          </cell>
          <cell r="J594" t="e">
            <v>#N/A</v>
          </cell>
          <cell r="K594" t="e">
            <v>#N/A</v>
          </cell>
          <cell r="L594" t="e">
            <v>#N/A</v>
          </cell>
          <cell r="M594" t="e">
            <v>#N/A</v>
          </cell>
          <cell r="N594" t="e">
            <v>#N/A</v>
          </cell>
          <cell r="O594" t="e">
            <v>#N/A</v>
          </cell>
          <cell r="P594">
            <v>34.65</v>
          </cell>
          <cell r="Q594" t="str">
            <v/>
          </cell>
          <cell r="R594" t="e">
            <v>#N/A</v>
          </cell>
        </row>
        <row r="595">
          <cell r="A595">
            <v>40015</v>
          </cell>
          <cell r="B595">
            <v>40015</v>
          </cell>
          <cell r="C595" t="str">
            <v>Future</v>
          </cell>
          <cell r="D595" t="e">
            <v>#N/A</v>
          </cell>
          <cell r="E595">
            <v>29.650948616600758</v>
          </cell>
          <cell r="F595">
            <v>35.627233201581056</v>
          </cell>
          <cell r="G595">
            <v>34.204308300395134</v>
          </cell>
          <cell r="H595">
            <v>34.204308300395134</v>
          </cell>
          <cell r="I595" t="e">
            <v>#N/A</v>
          </cell>
          <cell r="J595" t="e">
            <v>#N/A</v>
          </cell>
          <cell r="K595" t="e">
            <v>#N/A</v>
          </cell>
          <cell r="L595" t="e">
            <v>#N/A</v>
          </cell>
          <cell r="M595" t="e">
            <v>#N/A</v>
          </cell>
          <cell r="N595" t="e">
            <v>#N/A</v>
          </cell>
          <cell r="O595" t="e">
            <v>#N/A</v>
          </cell>
          <cell r="P595">
            <v>34.65</v>
          </cell>
          <cell r="Q595" t="str">
            <v/>
          </cell>
          <cell r="R595" t="e">
            <v>#N/A</v>
          </cell>
        </row>
        <row r="596">
          <cell r="A596">
            <v>40016</v>
          </cell>
          <cell r="B596">
            <v>40016</v>
          </cell>
          <cell r="C596" t="str">
            <v>Future</v>
          </cell>
          <cell r="D596" t="e">
            <v>#N/A</v>
          </cell>
          <cell r="E596">
            <v>29.514308300395225</v>
          </cell>
          <cell r="F596">
            <v>35.656600790513863</v>
          </cell>
          <cell r="G596">
            <v>34.194150197628332</v>
          </cell>
          <cell r="H596">
            <v>34.194150197628332</v>
          </cell>
          <cell r="I596" t="e">
            <v>#N/A</v>
          </cell>
          <cell r="J596" t="e">
            <v>#N/A</v>
          </cell>
          <cell r="K596" t="e">
            <v>#N/A</v>
          </cell>
          <cell r="L596" t="e">
            <v>#N/A</v>
          </cell>
          <cell r="M596" t="e">
            <v>#N/A</v>
          </cell>
          <cell r="N596" t="e">
            <v>#N/A</v>
          </cell>
          <cell r="O596" t="e">
            <v>#N/A</v>
          </cell>
          <cell r="P596">
            <v>34.65</v>
          </cell>
          <cell r="Q596" t="str">
            <v/>
          </cell>
          <cell r="R596" t="e">
            <v>#N/A</v>
          </cell>
        </row>
        <row r="597">
          <cell r="A597">
            <v>40017</v>
          </cell>
          <cell r="B597">
            <v>40017</v>
          </cell>
          <cell r="C597" t="str">
            <v>Future</v>
          </cell>
          <cell r="D597" t="e">
            <v>#N/A</v>
          </cell>
          <cell r="E597">
            <v>29.377667984189692</v>
          </cell>
          <cell r="F597">
            <v>35.68596837944667</v>
          </cell>
          <cell r="G597">
            <v>34.18399209486153</v>
          </cell>
          <cell r="H597">
            <v>34.18399209486153</v>
          </cell>
          <cell r="I597" t="e">
            <v>#N/A</v>
          </cell>
          <cell r="J597" t="e">
            <v>#N/A</v>
          </cell>
          <cell r="K597" t="e">
            <v>#N/A</v>
          </cell>
          <cell r="L597" t="e">
            <v>#N/A</v>
          </cell>
          <cell r="M597" t="e">
            <v>#N/A</v>
          </cell>
          <cell r="N597" t="e">
            <v>#N/A</v>
          </cell>
          <cell r="O597" t="e">
            <v>#N/A</v>
          </cell>
          <cell r="P597">
            <v>34.65</v>
          </cell>
          <cell r="Q597" t="str">
            <v/>
          </cell>
          <cell r="R597" t="e">
            <v>#N/A</v>
          </cell>
        </row>
        <row r="598">
          <cell r="A598">
            <v>40018</v>
          </cell>
          <cell r="B598">
            <v>40018</v>
          </cell>
          <cell r="C598" t="str">
            <v>Future</v>
          </cell>
          <cell r="D598" t="e">
            <v>#N/A</v>
          </cell>
          <cell r="E598">
            <v>29.241027667984159</v>
          </cell>
          <cell r="F598">
            <v>35.715335968379478</v>
          </cell>
          <cell r="G598">
            <v>34.173833992094728</v>
          </cell>
          <cell r="H598">
            <v>34.173833992094728</v>
          </cell>
          <cell r="I598" t="e">
            <v>#N/A</v>
          </cell>
          <cell r="J598" t="e">
            <v>#N/A</v>
          </cell>
          <cell r="K598" t="e">
            <v>#N/A</v>
          </cell>
          <cell r="L598" t="e">
            <v>#N/A</v>
          </cell>
          <cell r="M598" t="e">
            <v>#N/A</v>
          </cell>
          <cell r="N598" t="e">
            <v>#N/A</v>
          </cell>
          <cell r="O598" t="e">
            <v>#N/A</v>
          </cell>
          <cell r="P598">
            <v>34.65</v>
          </cell>
          <cell r="Q598" t="str">
            <v/>
          </cell>
          <cell r="R598" t="e">
            <v>#N/A</v>
          </cell>
        </row>
        <row r="599">
          <cell r="A599">
            <v>40021</v>
          </cell>
          <cell r="B599">
            <v>40021</v>
          </cell>
          <cell r="C599" t="str">
            <v>Future</v>
          </cell>
          <cell r="D599" t="e">
            <v>#N/A</v>
          </cell>
          <cell r="E599">
            <v>29.104387351778627</v>
          </cell>
          <cell r="F599">
            <v>35.744703557312285</v>
          </cell>
          <cell r="G599">
            <v>34.163675889327926</v>
          </cell>
          <cell r="H599">
            <v>34.163675889327926</v>
          </cell>
          <cell r="I599" t="e">
            <v>#N/A</v>
          </cell>
          <cell r="J599" t="e">
            <v>#N/A</v>
          </cell>
          <cell r="K599" t="e">
            <v>#N/A</v>
          </cell>
          <cell r="L599" t="e">
            <v>#N/A</v>
          </cell>
          <cell r="M599" t="e">
            <v>#N/A</v>
          </cell>
          <cell r="N599" t="e">
            <v>#N/A</v>
          </cell>
          <cell r="O599" t="e">
            <v>#N/A</v>
          </cell>
          <cell r="P599">
            <v>34.65</v>
          </cell>
          <cell r="Q599" t="str">
            <v/>
          </cell>
          <cell r="R599" t="e">
            <v>#N/A</v>
          </cell>
        </row>
        <row r="600">
          <cell r="A600">
            <v>40022</v>
          </cell>
          <cell r="B600">
            <v>40022</v>
          </cell>
          <cell r="C600" t="str">
            <v>Future</v>
          </cell>
          <cell r="D600" t="e">
            <v>#N/A</v>
          </cell>
          <cell r="E600">
            <v>28.967747035573094</v>
          </cell>
          <cell r="F600">
            <v>35.774071146245092</v>
          </cell>
          <cell r="G600">
            <v>34.153517786561125</v>
          </cell>
          <cell r="H600">
            <v>34.153517786561125</v>
          </cell>
          <cell r="I600" t="e">
            <v>#N/A</v>
          </cell>
          <cell r="J600" t="e">
            <v>#N/A</v>
          </cell>
          <cell r="K600" t="e">
            <v>#N/A</v>
          </cell>
          <cell r="L600" t="e">
            <v>#N/A</v>
          </cell>
          <cell r="M600" t="e">
            <v>#N/A</v>
          </cell>
          <cell r="N600" t="e">
            <v>#N/A</v>
          </cell>
          <cell r="O600" t="e">
            <v>#N/A</v>
          </cell>
          <cell r="P600">
            <v>34.65</v>
          </cell>
          <cell r="Q600" t="str">
            <v/>
          </cell>
          <cell r="R600" t="e">
            <v>#N/A</v>
          </cell>
        </row>
        <row r="601">
          <cell r="A601">
            <v>40023</v>
          </cell>
          <cell r="B601">
            <v>40023</v>
          </cell>
          <cell r="C601" t="str">
            <v>Future</v>
          </cell>
          <cell r="D601" t="e">
            <v>#N/A</v>
          </cell>
          <cell r="E601">
            <v>28.831106719367561</v>
          </cell>
          <cell r="F601">
            <v>35.803438735177899</v>
          </cell>
          <cell r="G601">
            <v>34.143359683794323</v>
          </cell>
          <cell r="H601">
            <v>34.143359683794323</v>
          </cell>
          <cell r="I601" t="e">
            <v>#N/A</v>
          </cell>
          <cell r="J601" t="e">
            <v>#N/A</v>
          </cell>
          <cell r="K601" t="e">
            <v>#N/A</v>
          </cell>
          <cell r="L601" t="e">
            <v>#N/A</v>
          </cell>
          <cell r="M601" t="e">
            <v>#N/A</v>
          </cell>
          <cell r="N601" t="e">
            <v>#N/A</v>
          </cell>
          <cell r="O601" t="e">
            <v>#N/A</v>
          </cell>
          <cell r="P601">
            <v>34.65</v>
          </cell>
          <cell r="Q601" t="str">
            <v/>
          </cell>
          <cell r="R601" t="e">
            <v>#N/A</v>
          </cell>
        </row>
        <row r="602">
          <cell r="A602">
            <v>40024</v>
          </cell>
          <cell r="B602">
            <v>40024</v>
          </cell>
          <cell r="C602" t="str">
            <v>Future</v>
          </cell>
          <cell r="D602" t="e">
            <v>#N/A</v>
          </cell>
          <cell r="E602">
            <v>28.694466403162028</v>
          </cell>
          <cell r="F602">
            <v>35.832806324110706</v>
          </cell>
          <cell r="G602">
            <v>34.133201581027521</v>
          </cell>
          <cell r="H602">
            <v>34.133201581027521</v>
          </cell>
          <cell r="I602" t="e">
            <v>#N/A</v>
          </cell>
          <cell r="J602" t="e">
            <v>#N/A</v>
          </cell>
          <cell r="K602" t="e">
            <v>#N/A</v>
          </cell>
          <cell r="L602" t="e">
            <v>#N/A</v>
          </cell>
          <cell r="M602" t="e">
            <v>#N/A</v>
          </cell>
          <cell r="N602" t="e">
            <v>#N/A</v>
          </cell>
          <cell r="O602" t="e">
            <v>#N/A</v>
          </cell>
          <cell r="P602">
            <v>34.65</v>
          </cell>
          <cell r="Q602" t="str">
            <v/>
          </cell>
          <cell r="R602" t="e">
            <v>#N/A</v>
          </cell>
        </row>
        <row r="603">
          <cell r="A603">
            <v>40025</v>
          </cell>
          <cell r="B603">
            <v>40025</v>
          </cell>
          <cell r="C603" t="str">
            <v>Future</v>
          </cell>
          <cell r="D603" t="e">
            <v>#N/A</v>
          </cell>
          <cell r="E603">
            <v>28.557826086956496</v>
          </cell>
          <cell r="F603">
            <v>35.862173913043513</v>
          </cell>
          <cell r="G603">
            <v>34.123043478260719</v>
          </cell>
          <cell r="H603">
            <v>34.123043478260719</v>
          </cell>
          <cell r="I603" t="e">
            <v>#N/A</v>
          </cell>
          <cell r="J603" t="e">
            <v>#N/A</v>
          </cell>
          <cell r="K603" t="e">
            <v>#N/A</v>
          </cell>
          <cell r="L603" t="e">
            <v>#N/A</v>
          </cell>
          <cell r="M603" t="e">
            <v>#N/A</v>
          </cell>
          <cell r="N603" t="e">
            <v>#N/A</v>
          </cell>
          <cell r="O603" t="e">
            <v>#N/A</v>
          </cell>
          <cell r="P603">
            <v>34.65</v>
          </cell>
          <cell r="Q603" t="str">
            <v/>
          </cell>
          <cell r="R603" t="e">
            <v>#N/A</v>
          </cell>
        </row>
        <row r="604">
          <cell r="A604">
            <v>40028</v>
          </cell>
          <cell r="B604">
            <v>40028</v>
          </cell>
          <cell r="C604" t="str">
            <v>Future</v>
          </cell>
          <cell r="D604" t="e">
            <v>#N/A</v>
          </cell>
          <cell r="E604">
            <v>28.421185770750963</v>
          </cell>
          <cell r="F604">
            <v>35.89154150197632</v>
          </cell>
          <cell r="G604">
            <v>34.112885375493917</v>
          </cell>
          <cell r="H604">
            <v>34.112885375493917</v>
          </cell>
          <cell r="I604" t="e">
            <v>#N/A</v>
          </cell>
          <cell r="J604" t="e">
            <v>#N/A</v>
          </cell>
          <cell r="K604" t="e">
            <v>#N/A</v>
          </cell>
          <cell r="L604" t="e">
            <v>#N/A</v>
          </cell>
          <cell r="M604" t="e">
            <v>#N/A</v>
          </cell>
          <cell r="N604" t="e">
            <v>#N/A</v>
          </cell>
          <cell r="O604" t="e">
            <v>#N/A</v>
          </cell>
          <cell r="P604">
            <v>34.65</v>
          </cell>
          <cell r="Q604" t="str">
            <v/>
          </cell>
          <cell r="R604" t="e">
            <v>#N/A</v>
          </cell>
        </row>
        <row r="605">
          <cell r="A605">
            <v>40029</v>
          </cell>
          <cell r="B605">
            <v>40029</v>
          </cell>
          <cell r="C605" t="str">
            <v>Future</v>
          </cell>
          <cell r="D605" t="e">
            <v>#N/A</v>
          </cell>
          <cell r="E605">
            <v>28.28454545454543</v>
          </cell>
          <cell r="F605">
            <v>35.920909090909127</v>
          </cell>
          <cell r="G605">
            <v>34.102727272727115</v>
          </cell>
          <cell r="H605">
            <v>34.102727272727115</v>
          </cell>
          <cell r="I605" t="e">
            <v>#N/A</v>
          </cell>
          <cell r="J605" t="e">
            <v>#N/A</v>
          </cell>
          <cell r="K605" t="e">
            <v>#N/A</v>
          </cell>
          <cell r="L605" t="e">
            <v>#N/A</v>
          </cell>
          <cell r="M605" t="e">
            <v>#N/A</v>
          </cell>
          <cell r="N605" t="e">
            <v>#N/A</v>
          </cell>
          <cell r="O605" t="e">
            <v>#N/A</v>
          </cell>
          <cell r="P605">
            <v>34.65</v>
          </cell>
          <cell r="Q605" t="str">
            <v/>
          </cell>
          <cell r="R605" t="e">
            <v>#N/A</v>
          </cell>
        </row>
        <row r="606">
          <cell r="A606">
            <v>40030</v>
          </cell>
          <cell r="B606">
            <v>40030</v>
          </cell>
          <cell r="C606" t="str">
            <v>Future</v>
          </cell>
          <cell r="D606" t="e">
            <v>#N/A</v>
          </cell>
          <cell r="E606">
            <v>28.147905138339897</v>
          </cell>
          <cell r="F606">
            <v>35.950276679841934</v>
          </cell>
          <cell r="G606">
            <v>34.092569169960314</v>
          </cell>
          <cell r="H606">
            <v>34.092569169960314</v>
          </cell>
          <cell r="I606" t="e">
            <v>#N/A</v>
          </cell>
          <cell r="J606" t="e">
            <v>#N/A</v>
          </cell>
          <cell r="K606" t="e">
            <v>#N/A</v>
          </cell>
          <cell r="L606" t="e">
            <v>#N/A</v>
          </cell>
          <cell r="M606" t="e">
            <v>#N/A</v>
          </cell>
          <cell r="N606" t="e">
            <v>#N/A</v>
          </cell>
          <cell r="O606" t="e">
            <v>#N/A</v>
          </cell>
          <cell r="P606">
            <v>34.65</v>
          </cell>
          <cell r="Q606" t="str">
            <v/>
          </cell>
          <cell r="R606" t="e">
            <v>#N/A</v>
          </cell>
        </row>
        <row r="607">
          <cell r="A607">
            <v>40031</v>
          </cell>
          <cell r="B607">
            <v>40031</v>
          </cell>
          <cell r="C607" t="str">
            <v>Future</v>
          </cell>
          <cell r="D607" t="e">
            <v>#N/A</v>
          </cell>
          <cell r="E607">
            <v>28.011264822134365</v>
          </cell>
          <cell r="F607">
            <v>35.979644268774742</v>
          </cell>
          <cell r="G607">
            <v>34.082411067193512</v>
          </cell>
          <cell r="H607">
            <v>34.082411067193512</v>
          </cell>
          <cell r="I607" t="e">
            <v>#N/A</v>
          </cell>
          <cell r="J607" t="e">
            <v>#N/A</v>
          </cell>
          <cell r="K607" t="e">
            <v>#N/A</v>
          </cell>
          <cell r="L607" t="e">
            <v>#N/A</v>
          </cell>
          <cell r="M607" t="e">
            <v>#N/A</v>
          </cell>
          <cell r="N607" t="e">
            <v>#N/A</v>
          </cell>
          <cell r="O607" t="e">
            <v>#N/A</v>
          </cell>
          <cell r="P607">
            <v>34.65</v>
          </cell>
          <cell r="Q607" t="str">
            <v/>
          </cell>
          <cell r="R607" t="e">
            <v>#N/A</v>
          </cell>
        </row>
        <row r="608">
          <cell r="A608">
            <v>40032</v>
          </cell>
          <cell r="B608">
            <v>40032</v>
          </cell>
          <cell r="C608" t="str">
            <v>Future</v>
          </cell>
          <cell r="D608" t="e">
            <v>#N/A</v>
          </cell>
          <cell r="E608">
            <v>27.874624505928832</v>
          </cell>
          <cell r="F608">
            <v>36.009011857707549</v>
          </cell>
          <cell r="G608">
            <v>34.07225296442671</v>
          </cell>
          <cell r="H608">
            <v>34.07225296442671</v>
          </cell>
          <cell r="I608" t="e">
            <v>#N/A</v>
          </cell>
          <cell r="J608" t="e">
            <v>#N/A</v>
          </cell>
          <cell r="K608" t="e">
            <v>#N/A</v>
          </cell>
          <cell r="L608" t="e">
            <v>#N/A</v>
          </cell>
          <cell r="M608" t="e">
            <v>#N/A</v>
          </cell>
          <cell r="N608" t="e">
            <v>#N/A</v>
          </cell>
          <cell r="O608" t="e">
            <v>#N/A</v>
          </cell>
          <cell r="P608">
            <v>34.65</v>
          </cell>
          <cell r="Q608" t="str">
            <v/>
          </cell>
          <cell r="R608" t="e">
            <v>#N/A</v>
          </cell>
        </row>
        <row r="609">
          <cell r="A609">
            <v>40035</v>
          </cell>
          <cell r="B609">
            <v>40035</v>
          </cell>
          <cell r="C609" t="str">
            <v>Future</v>
          </cell>
          <cell r="D609" t="e">
            <v>#N/A</v>
          </cell>
          <cell r="E609">
            <v>27.737984189723299</v>
          </cell>
          <cell r="F609">
            <v>36.038379446640356</v>
          </cell>
          <cell r="G609">
            <v>34.062094861659908</v>
          </cell>
          <cell r="H609">
            <v>34.062094861659908</v>
          </cell>
          <cell r="I609" t="e">
            <v>#N/A</v>
          </cell>
          <cell r="J609" t="e">
            <v>#N/A</v>
          </cell>
          <cell r="K609" t="e">
            <v>#N/A</v>
          </cell>
          <cell r="L609" t="e">
            <v>#N/A</v>
          </cell>
          <cell r="M609" t="e">
            <v>#N/A</v>
          </cell>
          <cell r="N609" t="e">
            <v>#N/A</v>
          </cell>
          <cell r="O609" t="e">
            <v>#N/A</v>
          </cell>
          <cell r="P609">
            <v>34.65</v>
          </cell>
          <cell r="Q609" t="str">
            <v/>
          </cell>
          <cell r="R609" t="e">
            <v>#N/A</v>
          </cell>
        </row>
        <row r="610">
          <cell r="A610">
            <v>40036</v>
          </cell>
          <cell r="B610">
            <v>40036</v>
          </cell>
          <cell r="C610" t="str">
            <v>Future</v>
          </cell>
          <cell r="D610" t="e">
            <v>#N/A</v>
          </cell>
          <cell r="E610">
            <v>27.601343873517767</v>
          </cell>
          <cell r="F610">
            <v>36.067747035573163</v>
          </cell>
          <cell r="G610">
            <v>34.051936758893106</v>
          </cell>
          <cell r="H610">
            <v>34.051936758893106</v>
          </cell>
          <cell r="I610" t="e">
            <v>#N/A</v>
          </cell>
          <cell r="J610" t="e">
            <v>#N/A</v>
          </cell>
          <cell r="K610" t="e">
            <v>#N/A</v>
          </cell>
          <cell r="L610" t="e">
            <v>#N/A</v>
          </cell>
          <cell r="M610" t="e">
            <v>#N/A</v>
          </cell>
          <cell r="N610" t="e">
            <v>#N/A</v>
          </cell>
          <cell r="O610" t="e">
            <v>#N/A</v>
          </cell>
          <cell r="P610">
            <v>34.65</v>
          </cell>
          <cell r="Q610" t="str">
            <v/>
          </cell>
          <cell r="R610" t="e">
            <v>#N/A</v>
          </cell>
        </row>
        <row r="611">
          <cell r="A611">
            <v>40037</v>
          </cell>
          <cell r="B611">
            <v>40037</v>
          </cell>
          <cell r="C611" t="str">
            <v>Future</v>
          </cell>
          <cell r="D611" t="e">
            <v>#N/A</v>
          </cell>
          <cell r="E611">
            <v>27.464703557312234</v>
          </cell>
          <cell r="F611">
            <v>36.09711462450597</v>
          </cell>
          <cell r="G611">
            <v>34.041778656126304</v>
          </cell>
          <cell r="H611">
            <v>34.041778656126304</v>
          </cell>
          <cell r="I611" t="e">
            <v>#N/A</v>
          </cell>
          <cell r="J611" t="e">
            <v>#N/A</v>
          </cell>
          <cell r="K611" t="e">
            <v>#N/A</v>
          </cell>
          <cell r="L611" t="e">
            <v>#N/A</v>
          </cell>
          <cell r="M611" t="e">
            <v>#N/A</v>
          </cell>
          <cell r="N611" t="e">
            <v>#N/A</v>
          </cell>
          <cell r="O611" t="e">
            <v>#N/A</v>
          </cell>
          <cell r="P611">
            <v>34.65</v>
          </cell>
          <cell r="Q611" t="str">
            <v/>
          </cell>
          <cell r="R611" t="e">
            <v>#N/A</v>
          </cell>
        </row>
        <row r="612">
          <cell r="A612">
            <v>40038</v>
          </cell>
          <cell r="B612">
            <v>40038</v>
          </cell>
          <cell r="C612" t="str">
            <v>Future</v>
          </cell>
          <cell r="D612" t="e">
            <v>#N/A</v>
          </cell>
          <cell r="E612">
            <v>27.328063241106701</v>
          </cell>
          <cell r="F612">
            <v>36.126482213438777</v>
          </cell>
          <cell r="G612">
            <v>34.031620553359502</v>
          </cell>
          <cell r="H612">
            <v>34.031620553359502</v>
          </cell>
          <cell r="I612" t="e">
            <v>#N/A</v>
          </cell>
          <cell r="J612" t="e">
            <v>#N/A</v>
          </cell>
          <cell r="K612" t="e">
            <v>#N/A</v>
          </cell>
          <cell r="L612" t="e">
            <v>#N/A</v>
          </cell>
          <cell r="M612" t="e">
            <v>#N/A</v>
          </cell>
          <cell r="N612" t="e">
            <v>#N/A</v>
          </cell>
          <cell r="O612" t="e">
            <v>#N/A</v>
          </cell>
          <cell r="P612">
            <v>34.65</v>
          </cell>
          <cell r="Q612" t="str">
            <v/>
          </cell>
          <cell r="R612" t="e">
            <v>#N/A</v>
          </cell>
        </row>
        <row r="613">
          <cell r="A613">
            <v>40039</v>
          </cell>
          <cell r="B613">
            <v>40039</v>
          </cell>
          <cell r="C613" t="str">
            <v>Future</v>
          </cell>
          <cell r="D613" t="e">
            <v>#N/A</v>
          </cell>
          <cell r="E613">
            <v>27.191422924901168</v>
          </cell>
          <cell r="F613">
            <v>36.155849802371584</v>
          </cell>
          <cell r="G613">
            <v>34.021462450592701</v>
          </cell>
          <cell r="H613">
            <v>34.021462450592701</v>
          </cell>
          <cell r="I613" t="e">
            <v>#N/A</v>
          </cell>
          <cell r="J613" t="e">
            <v>#N/A</v>
          </cell>
          <cell r="K613" t="e">
            <v>#N/A</v>
          </cell>
          <cell r="L613" t="e">
            <v>#N/A</v>
          </cell>
          <cell r="M613" t="e">
            <v>#N/A</v>
          </cell>
          <cell r="N613" t="e">
            <v>#N/A</v>
          </cell>
          <cell r="O613" t="e">
            <v>#N/A</v>
          </cell>
          <cell r="P613">
            <v>34.65</v>
          </cell>
          <cell r="Q613" t="str">
            <v/>
          </cell>
          <cell r="R613" t="e">
            <v>#N/A</v>
          </cell>
        </row>
        <row r="614">
          <cell r="A614">
            <v>40042</v>
          </cell>
          <cell r="B614">
            <v>40042</v>
          </cell>
          <cell r="C614" t="str">
            <v>Future</v>
          </cell>
          <cell r="D614" t="e">
            <v>#N/A</v>
          </cell>
          <cell r="E614">
            <v>27.054782608695636</v>
          </cell>
          <cell r="F614">
            <v>36.185217391304391</v>
          </cell>
          <cell r="G614">
            <v>34.011304347825899</v>
          </cell>
          <cell r="H614">
            <v>34.011304347825899</v>
          </cell>
          <cell r="I614" t="e">
            <v>#N/A</v>
          </cell>
          <cell r="J614" t="e">
            <v>#N/A</v>
          </cell>
          <cell r="K614" t="e">
            <v>#N/A</v>
          </cell>
          <cell r="L614" t="e">
            <v>#N/A</v>
          </cell>
          <cell r="M614" t="e">
            <v>#N/A</v>
          </cell>
          <cell r="N614" t="e">
            <v>#N/A</v>
          </cell>
          <cell r="O614" t="e">
            <v>#N/A</v>
          </cell>
          <cell r="P614">
            <v>34.65</v>
          </cell>
          <cell r="Q614" t="str">
            <v/>
          </cell>
          <cell r="R614" t="e">
            <v>#N/A</v>
          </cell>
        </row>
        <row r="615">
          <cell r="A615">
            <v>40043</v>
          </cell>
          <cell r="B615">
            <v>40043</v>
          </cell>
          <cell r="C615" t="str">
            <v>Future</v>
          </cell>
          <cell r="D615" t="e">
            <v>#N/A</v>
          </cell>
          <cell r="E615">
            <v>26.918142292490103</v>
          </cell>
          <cell r="F615">
            <v>36.214584980237198</v>
          </cell>
          <cell r="G615">
            <v>34.001146245059097</v>
          </cell>
          <cell r="H615">
            <v>34.001146245059097</v>
          </cell>
          <cell r="I615" t="e">
            <v>#N/A</v>
          </cell>
          <cell r="J615" t="e">
            <v>#N/A</v>
          </cell>
          <cell r="K615" t="e">
            <v>#N/A</v>
          </cell>
          <cell r="L615" t="e">
            <v>#N/A</v>
          </cell>
          <cell r="M615" t="e">
            <v>#N/A</v>
          </cell>
          <cell r="N615" t="e">
            <v>#N/A</v>
          </cell>
          <cell r="O615" t="e">
            <v>#N/A</v>
          </cell>
          <cell r="P615">
            <v>34.65</v>
          </cell>
          <cell r="Q615" t="str">
            <v/>
          </cell>
          <cell r="R615" t="e">
            <v>#N/A</v>
          </cell>
        </row>
        <row r="616">
          <cell r="A616">
            <v>40044</v>
          </cell>
          <cell r="B616">
            <v>40044</v>
          </cell>
          <cell r="C616" t="str">
            <v>Future</v>
          </cell>
          <cell r="D616" t="e">
            <v>#N/A</v>
          </cell>
          <cell r="E616">
            <v>26.78150197628457</v>
          </cell>
          <cell r="F616">
            <v>36.243952569170006</v>
          </cell>
          <cell r="G616">
            <v>33.990988142292295</v>
          </cell>
          <cell r="H616">
            <v>33.990988142292295</v>
          </cell>
          <cell r="I616" t="e">
            <v>#N/A</v>
          </cell>
          <cell r="J616" t="e">
            <v>#N/A</v>
          </cell>
          <cell r="K616" t="e">
            <v>#N/A</v>
          </cell>
          <cell r="L616" t="e">
            <v>#N/A</v>
          </cell>
          <cell r="M616" t="e">
            <v>#N/A</v>
          </cell>
          <cell r="N616" t="e">
            <v>#N/A</v>
          </cell>
          <cell r="O616" t="e">
            <v>#N/A</v>
          </cell>
          <cell r="P616">
            <v>34.65</v>
          </cell>
          <cell r="Q616" t="str">
            <v/>
          </cell>
          <cell r="R616" t="e">
            <v>#N/A</v>
          </cell>
        </row>
        <row r="617">
          <cell r="A617">
            <v>40045</v>
          </cell>
          <cell r="B617">
            <v>40045</v>
          </cell>
          <cell r="C617" t="str">
            <v>Future</v>
          </cell>
          <cell r="D617" t="e">
            <v>#N/A</v>
          </cell>
          <cell r="E617">
            <v>26.644861660079037</v>
          </cell>
          <cell r="F617">
            <v>36.273320158102813</v>
          </cell>
          <cell r="G617">
            <v>33.980830039525493</v>
          </cell>
          <cell r="H617">
            <v>33.980830039525493</v>
          </cell>
          <cell r="I617" t="e">
            <v>#N/A</v>
          </cell>
          <cell r="J617" t="e">
            <v>#N/A</v>
          </cell>
          <cell r="K617" t="e">
            <v>#N/A</v>
          </cell>
          <cell r="L617" t="e">
            <v>#N/A</v>
          </cell>
          <cell r="M617" t="e">
            <v>#N/A</v>
          </cell>
          <cell r="N617" t="e">
            <v>#N/A</v>
          </cell>
          <cell r="O617" t="e">
            <v>#N/A</v>
          </cell>
          <cell r="P617">
            <v>34.65</v>
          </cell>
          <cell r="Q617" t="str">
            <v/>
          </cell>
          <cell r="R617" t="e">
            <v>#N/A</v>
          </cell>
        </row>
        <row r="618">
          <cell r="A618">
            <v>40046</v>
          </cell>
          <cell r="B618">
            <v>40046</v>
          </cell>
          <cell r="C618" t="str">
            <v>Future</v>
          </cell>
          <cell r="D618" t="e">
            <v>#N/A</v>
          </cell>
          <cell r="E618">
            <v>26.508221343873505</v>
          </cell>
          <cell r="F618">
            <v>36.30268774703562</v>
          </cell>
          <cell r="G618">
            <v>33.970671936758691</v>
          </cell>
          <cell r="H618">
            <v>33.970671936758691</v>
          </cell>
          <cell r="I618" t="e">
            <v>#N/A</v>
          </cell>
          <cell r="J618" t="e">
            <v>#N/A</v>
          </cell>
          <cell r="K618" t="e">
            <v>#N/A</v>
          </cell>
          <cell r="L618" t="e">
            <v>#N/A</v>
          </cell>
          <cell r="M618" t="e">
            <v>#N/A</v>
          </cell>
          <cell r="N618" t="e">
            <v>#N/A</v>
          </cell>
          <cell r="O618" t="e">
            <v>#N/A</v>
          </cell>
          <cell r="P618">
            <v>34.65</v>
          </cell>
          <cell r="Q618" t="str">
            <v/>
          </cell>
          <cell r="R618" t="e">
            <v>#N/A</v>
          </cell>
        </row>
        <row r="619">
          <cell r="A619">
            <v>40049</v>
          </cell>
          <cell r="B619">
            <v>40049</v>
          </cell>
          <cell r="C619" t="str">
            <v>Future</v>
          </cell>
          <cell r="D619" t="e">
            <v>#N/A</v>
          </cell>
          <cell r="E619">
            <v>26.371581027667972</v>
          </cell>
          <cell r="F619">
            <v>36.332055335968427</v>
          </cell>
          <cell r="G619">
            <v>33.960513833991889</v>
          </cell>
          <cell r="H619">
            <v>33.960513833991889</v>
          </cell>
          <cell r="I619" t="e">
            <v>#N/A</v>
          </cell>
          <cell r="J619" t="e">
            <v>#N/A</v>
          </cell>
          <cell r="K619" t="e">
            <v>#N/A</v>
          </cell>
          <cell r="L619" t="e">
            <v>#N/A</v>
          </cell>
          <cell r="M619" t="e">
            <v>#N/A</v>
          </cell>
          <cell r="N619" t="e">
            <v>#N/A</v>
          </cell>
          <cell r="O619" t="e">
            <v>#N/A</v>
          </cell>
          <cell r="P619">
            <v>34.65</v>
          </cell>
          <cell r="Q619" t="str">
            <v/>
          </cell>
          <cell r="R619" t="e">
            <v>#N/A</v>
          </cell>
        </row>
        <row r="620">
          <cell r="A620">
            <v>40050</v>
          </cell>
          <cell r="B620">
            <v>40050</v>
          </cell>
          <cell r="C620" t="str">
            <v>Future</v>
          </cell>
          <cell r="D620" t="e">
            <v>#N/A</v>
          </cell>
          <cell r="E620">
            <v>26.234940711462439</v>
          </cell>
          <cell r="F620">
            <v>36.361422924901234</v>
          </cell>
          <cell r="G620">
            <v>33.950355731225088</v>
          </cell>
          <cell r="H620">
            <v>33.950355731225088</v>
          </cell>
          <cell r="I620" t="e">
            <v>#N/A</v>
          </cell>
          <cell r="J620" t="e">
            <v>#N/A</v>
          </cell>
          <cell r="K620" t="e">
            <v>#N/A</v>
          </cell>
          <cell r="L620" t="e">
            <v>#N/A</v>
          </cell>
          <cell r="M620" t="e">
            <v>#N/A</v>
          </cell>
          <cell r="N620" t="e">
            <v>#N/A</v>
          </cell>
          <cell r="O620" t="e">
            <v>#N/A</v>
          </cell>
          <cell r="P620">
            <v>34.65</v>
          </cell>
          <cell r="Q620" t="str">
            <v/>
          </cell>
          <cell r="R620" t="e">
            <v>#N/A</v>
          </cell>
        </row>
        <row r="621">
          <cell r="A621">
            <v>40051</v>
          </cell>
          <cell r="B621">
            <v>40051</v>
          </cell>
          <cell r="C621" t="str">
            <v>Future</v>
          </cell>
          <cell r="D621" t="e">
            <v>#N/A</v>
          </cell>
          <cell r="E621">
            <v>26.098300395256906</v>
          </cell>
          <cell r="F621">
            <v>36.390790513834041</v>
          </cell>
          <cell r="G621">
            <v>33.940197628458286</v>
          </cell>
          <cell r="H621">
            <v>33.940197628458286</v>
          </cell>
          <cell r="I621" t="e">
            <v>#N/A</v>
          </cell>
          <cell r="J621" t="e">
            <v>#N/A</v>
          </cell>
          <cell r="K621" t="e">
            <v>#N/A</v>
          </cell>
          <cell r="L621" t="e">
            <v>#N/A</v>
          </cell>
          <cell r="M621" t="e">
            <v>#N/A</v>
          </cell>
          <cell r="N621" t="e">
            <v>#N/A</v>
          </cell>
          <cell r="O621" t="e">
            <v>#N/A</v>
          </cell>
          <cell r="P621">
            <v>34.65</v>
          </cell>
          <cell r="Q621" t="str">
            <v/>
          </cell>
          <cell r="R621" t="e">
            <v>#N/A</v>
          </cell>
        </row>
        <row r="622">
          <cell r="A622">
            <v>40052</v>
          </cell>
          <cell r="B622">
            <v>40052</v>
          </cell>
          <cell r="C622" t="str">
            <v>Future</v>
          </cell>
          <cell r="D622" t="e">
            <v>#N/A</v>
          </cell>
          <cell r="E622">
            <v>25.961660079051374</v>
          </cell>
          <cell r="F622">
            <v>36.420158102766848</v>
          </cell>
          <cell r="G622">
            <v>33.930039525691484</v>
          </cell>
          <cell r="H622">
            <v>33.930039525691484</v>
          </cell>
          <cell r="I622" t="e">
            <v>#N/A</v>
          </cell>
          <cell r="J622" t="e">
            <v>#N/A</v>
          </cell>
          <cell r="K622" t="e">
            <v>#N/A</v>
          </cell>
          <cell r="L622" t="e">
            <v>#N/A</v>
          </cell>
          <cell r="M622" t="e">
            <v>#N/A</v>
          </cell>
          <cell r="N622" t="e">
            <v>#N/A</v>
          </cell>
          <cell r="O622" t="e">
            <v>#N/A</v>
          </cell>
          <cell r="P622">
            <v>34.65</v>
          </cell>
          <cell r="Q622" t="str">
            <v/>
          </cell>
          <cell r="R622" t="e">
            <v>#N/A</v>
          </cell>
        </row>
        <row r="623">
          <cell r="A623">
            <v>40053</v>
          </cell>
          <cell r="B623">
            <v>40053</v>
          </cell>
          <cell r="C623" t="str">
            <v>Future</v>
          </cell>
          <cell r="D623" t="e">
            <v>#N/A</v>
          </cell>
          <cell r="E623">
            <v>25.825019762845841</v>
          </cell>
          <cell r="F623">
            <v>36.449525691699655</v>
          </cell>
          <cell r="G623">
            <v>33.919881422924682</v>
          </cell>
          <cell r="H623">
            <v>33.919881422924682</v>
          </cell>
          <cell r="I623" t="e">
            <v>#N/A</v>
          </cell>
          <cell r="J623" t="e">
            <v>#N/A</v>
          </cell>
          <cell r="K623" t="e">
            <v>#N/A</v>
          </cell>
          <cell r="L623" t="e">
            <v>#N/A</v>
          </cell>
          <cell r="M623" t="e">
            <v>#N/A</v>
          </cell>
          <cell r="N623" t="e">
            <v>#N/A</v>
          </cell>
          <cell r="O623" t="e">
            <v>#N/A</v>
          </cell>
          <cell r="P623">
            <v>34.65</v>
          </cell>
          <cell r="Q623" t="str">
            <v/>
          </cell>
          <cell r="R623" t="e">
            <v>#N/A</v>
          </cell>
        </row>
        <row r="624">
          <cell r="A624">
            <v>40056</v>
          </cell>
          <cell r="B624">
            <v>40056</v>
          </cell>
          <cell r="C624" t="str">
            <v>Future</v>
          </cell>
          <cell r="D624" t="e">
            <v>#N/A</v>
          </cell>
          <cell r="E624">
            <v>25.688379446640308</v>
          </cell>
          <cell r="F624">
            <v>36.478893280632462</v>
          </cell>
          <cell r="G624">
            <v>33.90972332015788</v>
          </cell>
          <cell r="H624">
            <v>33.90972332015788</v>
          </cell>
          <cell r="I624" t="e">
            <v>#N/A</v>
          </cell>
          <cell r="J624" t="e">
            <v>#N/A</v>
          </cell>
          <cell r="K624" t="e">
            <v>#N/A</v>
          </cell>
          <cell r="L624" t="e">
            <v>#N/A</v>
          </cell>
          <cell r="M624" t="e">
            <v>#N/A</v>
          </cell>
          <cell r="N624" t="e">
            <v>#N/A</v>
          </cell>
          <cell r="O624" t="e">
            <v>#N/A</v>
          </cell>
          <cell r="P624">
            <v>34.65</v>
          </cell>
          <cell r="Q624" t="str">
            <v/>
          </cell>
          <cell r="R624" t="e">
            <v>#N/A</v>
          </cell>
        </row>
        <row r="625">
          <cell r="A625">
            <v>40057</v>
          </cell>
          <cell r="B625">
            <v>40057</v>
          </cell>
          <cell r="C625" t="str">
            <v>Future</v>
          </cell>
          <cell r="D625" t="e">
            <v>#N/A</v>
          </cell>
          <cell r="E625">
            <v>25.551739130434775</v>
          </cell>
          <cell r="F625">
            <v>36.50826086956527</v>
          </cell>
          <cell r="G625">
            <v>33.899565217391078</v>
          </cell>
          <cell r="H625">
            <v>33.899565217391078</v>
          </cell>
          <cell r="I625" t="e">
            <v>#N/A</v>
          </cell>
          <cell r="J625" t="e">
            <v>#N/A</v>
          </cell>
          <cell r="K625" t="e">
            <v>#N/A</v>
          </cell>
          <cell r="L625" t="e">
            <v>#N/A</v>
          </cell>
          <cell r="M625" t="e">
            <v>#N/A</v>
          </cell>
          <cell r="N625" t="e">
            <v>#N/A</v>
          </cell>
          <cell r="O625" t="e">
            <v>#N/A</v>
          </cell>
          <cell r="P625">
            <v>34.65</v>
          </cell>
          <cell r="Q625" t="str">
            <v/>
          </cell>
          <cell r="R625" t="e">
            <v>#N/A</v>
          </cell>
        </row>
        <row r="626">
          <cell r="A626">
            <v>40058</v>
          </cell>
          <cell r="B626">
            <v>40058</v>
          </cell>
          <cell r="C626" t="str">
            <v>Future</v>
          </cell>
          <cell r="D626" t="e">
            <v>#N/A</v>
          </cell>
          <cell r="E626">
            <v>25.415098814229243</v>
          </cell>
          <cell r="F626">
            <v>36.537628458498077</v>
          </cell>
          <cell r="G626">
            <v>33.889407114624277</v>
          </cell>
          <cell r="H626">
            <v>33.889407114624277</v>
          </cell>
          <cell r="I626" t="e">
            <v>#N/A</v>
          </cell>
          <cell r="J626" t="e">
            <v>#N/A</v>
          </cell>
          <cell r="K626" t="e">
            <v>#N/A</v>
          </cell>
          <cell r="L626" t="e">
            <v>#N/A</v>
          </cell>
          <cell r="M626" t="e">
            <v>#N/A</v>
          </cell>
          <cell r="N626" t="e">
            <v>#N/A</v>
          </cell>
          <cell r="O626" t="e">
            <v>#N/A</v>
          </cell>
          <cell r="P626">
            <v>34.65</v>
          </cell>
          <cell r="Q626" t="str">
            <v/>
          </cell>
          <cell r="R626" t="e">
            <v>#N/A</v>
          </cell>
        </row>
        <row r="627">
          <cell r="A627">
            <v>40059</v>
          </cell>
          <cell r="B627">
            <v>40059</v>
          </cell>
          <cell r="C627" t="str">
            <v>Future</v>
          </cell>
          <cell r="D627" t="e">
            <v>#N/A</v>
          </cell>
          <cell r="E627">
            <v>25.27845849802371</v>
          </cell>
          <cell r="F627">
            <v>36.566996047430884</v>
          </cell>
          <cell r="G627">
            <v>33.879249011857475</v>
          </cell>
          <cell r="H627">
            <v>33.879249011857475</v>
          </cell>
          <cell r="I627" t="e">
            <v>#N/A</v>
          </cell>
          <cell r="J627" t="e">
            <v>#N/A</v>
          </cell>
          <cell r="K627" t="e">
            <v>#N/A</v>
          </cell>
          <cell r="L627" t="e">
            <v>#N/A</v>
          </cell>
          <cell r="M627" t="e">
            <v>#N/A</v>
          </cell>
          <cell r="N627" t="e">
            <v>#N/A</v>
          </cell>
          <cell r="O627" t="e">
            <v>#N/A</v>
          </cell>
          <cell r="P627">
            <v>34.65</v>
          </cell>
          <cell r="Q627" t="str">
            <v/>
          </cell>
          <cell r="R627" t="e">
            <v>#N/A</v>
          </cell>
        </row>
        <row r="628">
          <cell r="A628">
            <v>40060</v>
          </cell>
          <cell r="B628">
            <v>40060</v>
          </cell>
          <cell r="C628" t="str">
            <v>Future</v>
          </cell>
          <cell r="D628" t="e">
            <v>#N/A</v>
          </cell>
          <cell r="E628">
            <v>25.141818181818177</v>
          </cell>
          <cell r="F628">
            <v>36.596363636363691</v>
          </cell>
          <cell r="G628">
            <v>33.869090909090673</v>
          </cell>
          <cell r="H628">
            <v>33.869090909090673</v>
          </cell>
          <cell r="I628" t="e">
            <v>#N/A</v>
          </cell>
          <cell r="J628" t="e">
            <v>#N/A</v>
          </cell>
          <cell r="K628" t="e">
            <v>#N/A</v>
          </cell>
          <cell r="L628" t="e">
            <v>#N/A</v>
          </cell>
          <cell r="M628" t="e">
            <v>#N/A</v>
          </cell>
          <cell r="N628" t="e">
            <v>#N/A</v>
          </cell>
          <cell r="O628" t="e">
            <v>#N/A</v>
          </cell>
          <cell r="P628">
            <v>34.65</v>
          </cell>
          <cell r="Q628" t="str">
            <v/>
          </cell>
          <cell r="R628" t="e">
            <v>#N/A</v>
          </cell>
        </row>
        <row r="629">
          <cell r="A629">
            <v>40064</v>
          </cell>
          <cell r="B629">
            <v>40064</v>
          </cell>
          <cell r="C629" t="str">
            <v>Future</v>
          </cell>
          <cell r="D629" t="e">
            <v>#N/A</v>
          </cell>
          <cell r="E629">
            <v>25.005177865612644</v>
          </cell>
          <cell r="F629">
            <v>36.625731225296498</v>
          </cell>
          <cell r="G629">
            <v>33.858932806323871</v>
          </cell>
          <cell r="H629">
            <v>33.858932806323871</v>
          </cell>
          <cell r="I629" t="e">
            <v>#N/A</v>
          </cell>
          <cell r="J629" t="e">
            <v>#N/A</v>
          </cell>
          <cell r="K629" t="e">
            <v>#N/A</v>
          </cell>
          <cell r="L629" t="e">
            <v>#N/A</v>
          </cell>
          <cell r="M629" t="e">
            <v>#N/A</v>
          </cell>
          <cell r="N629" t="e">
            <v>#N/A</v>
          </cell>
          <cell r="O629" t="e">
            <v>#N/A</v>
          </cell>
          <cell r="P629">
            <v>34.65</v>
          </cell>
          <cell r="Q629" t="str">
            <v/>
          </cell>
          <cell r="R629" t="e">
            <v>#N/A</v>
          </cell>
        </row>
        <row r="630">
          <cell r="A630">
            <v>40065</v>
          </cell>
          <cell r="B630">
            <v>40065</v>
          </cell>
          <cell r="C630" t="str">
            <v>Future</v>
          </cell>
          <cell r="D630" t="e">
            <v>#N/A</v>
          </cell>
          <cell r="E630">
            <v>24.868537549407112</v>
          </cell>
          <cell r="F630">
            <v>36.655098814229305</v>
          </cell>
          <cell r="G630">
            <v>33.848774703557069</v>
          </cell>
          <cell r="H630">
            <v>33.848774703557069</v>
          </cell>
          <cell r="I630" t="e">
            <v>#N/A</v>
          </cell>
          <cell r="J630" t="e">
            <v>#N/A</v>
          </cell>
          <cell r="K630" t="e">
            <v>#N/A</v>
          </cell>
          <cell r="L630" t="e">
            <v>#N/A</v>
          </cell>
          <cell r="M630" t="e">
            <v>#N/A</v>
          </cell>
          <cell r="N630" t="e">
            <v>#N/A</v>
          </cell>
          <cell r="O630" t="e">
            <v>#N/A</v>
          </cell>
          <cell r="P630">
            <v>34.65</v>
          </cell>
          <cell r="Q630" t="str">
            <v/>
          </cell>
          <cell r="R630" t="e">
            <v>#N/A</v>
          </cell>
        </row>
        <row r="631">
          <cell r="A631">
            <v>40066</v>
          </cell>
          <cell r="B631">
            <v>40066</v>
          </cell>
          <cell r="C631" t="str">
            <v>Future</v>
          </cell>
          <cell r="D631" t="e">
            <v>#N/A</v>
          </cell>
          <cell r="E631">
            <v>24.731897233201579</v>
          </cell>
          <cell r="F631">
            <v>36.684466403162112</v>
          </cell>
          <cell r="G631">
            <v>33.838616600790267</v>
          </cell>
          <cell r="H631">
            <v>33.838616600790267</v>
          </cell>
          <cell r="I631" t="e">
            <v>#N/A</v>
          </cell>
          <cell r="J631" t="e">
            <v>#N/A</v>
          </cell>
          <cell r="K631" t="e">
            <v>#N/A</v>
          </cell>
          <cell r="L631" t="e">
            <v>#N/A</v>
          </cell>
          <cell r="M631" t="e">
            <v>#N/A</v>
          </cell>
          <cell r="N631" t="e">
            <v>#N/A</v>
          </cell>
          <cell r="O631" t="e">
            <v>#N/A</v>
          </cell>
          <cell r="P631">
            <v>34.65</v>
          </cell>
          <cell r="Q631" t="str">
            <v/>
          </cell>
          <cell r="R631" t="e">
            <v>#N/A</v>
          </cell>
        </row>
        <row r="632">
          <cell r="A632">
            <v>40067</v>
          </cell>
          <cell r="B632">
            <v>40067</v>
          </cell>
          <cell r="C632" t="str">
            <v>Future</v>
          </cell>
          <cell r="D632" t="e">
            <v>#N/A</v>
          </cell>
          <cell r="E632">
            <v>24.595256916996046</v>
          </cell>
          <cell r="F632">
            <v>36.713833992094919</v>
          </cell>
          <cell r="G632">
            <v>33.828458498023465</v>
          </cell>
          <cell r="H632">
            <v>33.828458498023465</v>
          </cell>
          <cell r="I632" t="e">
            <v>#N/A</v>
          </cell>
          <cell r="J632" t="e">
            <v>#N/A</v>
          </cell>
          <cell r="K632" t="e">
            <v>#N/A</v>
          </cell>
          <cell r="L632" t="e">
            <v>#N/A</v>
          </cell>
          <cell r="M632" t="e">
            <v>#N/A</v>
          </cell>
          <cell r="N632" t="e">
            <v>#N/A</v>
          </cell>
          <cell r="O632" t="e">
            <v>#N/A</v>
          </cell>
          <cell r="P632">
            <v>34.65</v>
          </cell>
          <cell r="Q632" t="str">
            <v/>
          </cell>
          <cell r="R632" t="e">
            <v>#N/A</v>
          </cell>
        </row>
        <row r="633">
          <cell r="A633">
            <v>40070</v>
          </cell>
          <cell r="B633">
            <v>40070</v>
          </cell>
          <cell r="C633" t="str">
            <v>Future</v>
          </cell>
          <cell r="D633" t="e">
            <v>#N/A</v>
          </cell>
          <cell r="E633">
            <v>24.458616600790513</v>
          </cell>
          <cell r="F633">
            <v>36.743201581027726</v>
          </cell>
          <cell r="G633">
            <v>33.818300395256664</v>
          </cell>
          <cell r="H633">
            <v>33.818300395256664</v>
          </cell>
          <cell r="I633" t="e">
            <v>#N/A</v>
          </cell>
          <cell r="J633" t="e">
            <v>#N/A</v>
          </cell>
          <cell r="K633" t="e">
            <v>#N/A</v>
          </cell>
          <cell r="L633" t="e">
            <v>#N/A</v>
          </cell>
          <cell r="M633" t="e">
            <v>#N/A</v>
          </cell>
          <cell r="N633" t="e">
            <v>#N/A</v>
          </cell>
          <cell r="O633" t="e">
            <v>#N/A</v>
          </cell>
          <cell r="P633">
            <v>34.65</v>
          </cell>
          <cell r="Q633" t="str">
            <v/>
          </cell>
          <cell r="R633" t="e">
            <v>#N/A</v>
          </cell>
        </row>
        <row r="634">
          <cell r="A634">
            <v>40071</v>
          </cell>
          <cell r="B634">
            <v>40071</v>
          </cell>
          <cell r="C634" t="str">
            <v>Future</v>
          </cell>
          <cell r="D634" t="e">
            <v>#N/A</v>
          </cell>
          <cell r="E634">
            <v>24.321976284584981</v>
          </cell>
          <cell r="F634">
            <v>36.772569169960533</v>
          </cell>
          <cell r="G634">
            <v>33.808142292489862</v>
          </cell>
          <cell r="H634">
            <v>33.808142292489862</v>
          </cell>
          <cell r="I634" t="e">
            <v>#N/A</v>
          </cell>
          <cell r="J634" t="e">
            <v>#N/A</v>
          </cell>
          <cell r="K634" t="e">
            <v>#N/A</v>
          </cell>
          <cell r="L634" t="e">
            <v>#N/A</v>
          </cell>
          <cell r="M634" t="e">
            <v>#N/A</v>
          </cell>
          <cell r="N634" t="e">
            <v>#N/A</v>
          </cell>
          <cell r="O634" t="e">
            <v>#N/A</v>
          </cell>
          <cell r="P634">
            <v>34.65</v>
          </cell>
          <cell r="Q634" t="str">
            <v/>
          </cell>
          <cell r="R634" t="e">
            <v>#N/A</v>
          </cell>
        </row>
        <row r="635">
          <cell r="A635">
            <v>40072</v>
          </cell>
          <cell r="B635">
            <v>40072</v>
          </cell>
          <cell r="C635" t="str">
            <v>Future</v>
          </cell>
          <cell r="D635" t="e">
            <v>#N/A</v>
          </cell>
          <cell r="E635">
            <v>24.185335968379448</v>
          </cell>
          <cell r="F635">
            <v>36.801936758893341</v>
          </cell>
          <cell r="G635">
            <v>33.79798418972306</v>
          </cell>
          <cell r="H635">
            <v>33.79798418972306</v>
          </cell>
          <cell r="I635" t="e">
            <v>#N/A</v>
          </cell>
          <cell r="J635" t="e">
            <v>#N/A</v>
          </cell>
          <cell r="K635" t="e">
            <v>#N/A</v>
          </cell>
          <cell r="L635" t="e">
            <v>#N/A</v>
          </cell>
          <cell r="M635" t="e">
            <v>#N/A</v>
          </cell>
          <cell r="N635" t="e">
            <v>#N/A</v>
          </cell>
          <cell r="O635" t="e">
            <v>#N/A</v>
          </cell>
          <cell r="P635">
            <v>34.65</v>
          </cell>
          <cell r="Q635" t="str">
            <v/>
          </cell>
          <cell r="R635" t="e">
            <v>#N/A</v>
          </cell>
        </row>
        <row r="636">
          <cell r="A636">
            <v>40073</v>
          </cell>
          <cell r="B636">
            <v>40073</v>
          </cell>
          <cell r="C636" t="str">
            <v>Future</v>
          </cell>
          <cell r="D636" t="e">
            <v>#N/A</v>
          </cell>
          <cell r="E636">
            <v>24.048695652173915</v>
          </cell>
          <cell r="F636">
            <v>36.831304347826148</v>
          </cell>
          <cell r="G636">
            <v>33.787826086956258</v>
          </cell>
          <cell r="H636">
            <v>33.787826086956258</v>
          </cell>
          <cell r="I636" t="e">
            <v>#N/A</v>
          </cell>
          <cell r="J636" t="e">
            <v>#N/A</v>
          </cell>
          <cell r="K636" t="e">
            <v>#N/A</v>
          </cell>
          <cell r="L636" t="e">
            <v>#N/A</v>
          </cell>
          <cell r="M636" t="e">
            <v>#N/A</v>
          </cell>
          <cell r="N636" t="e">
            <v>#N/A</v>
          </cell>
          <cell r="O636" t="e">
            <v>#N/A</v>
          </cell>
          <cell r="P636">
            <v>34.65</v>
          </cell>
          <cell r="Q636" t="str">
            <v/>
          </cell>
          <cell r="R636" t="e">
            <v>#N/A</v>
          </cell>
        </row>
        <row r="637">
          <cell r="A637">
            <v>40074</v>
          </cell>
          <cell r="B637">
            <v>40074</v>
          </cell>
          <cell r="C637" t="str">
            <v>Future</v>
          </cell>
          <cell r="D637" t="e">
            <v>#N/A</v>
          </cell>
          <cell r="E637">
            <v>23.912055335968383</v>
          </cell>
          <cell r="F637">
            <v>36.860671936758955</v>
          </cell>
          <cell r="G637">
            <v>33.777667984189456</v>
          </cell>
          <cell r="H637">
            <v>33.777667984189456</v>
          </cell>
          <cell r="I637" t="e">
            <v>#N/A</v>
          </cell>
          <cell r="J637" t="e">
            <v>#N/A</v>
          </cell>
          <cell r="K637" t="e">
            <v>#N/A</v>
          </cell>
          <cell r="L637" t="e">
            <v>#N/A</v>
          </cell>
          <cell r="M637" t="e">
            <v>#N/A</v>
          </cell>
          <cell r="N637" t="e">
            <v>#N/A</v>
          </cell>
          <cell r="O637" t="e">
            <v>#N/A</v>
          </cell>
          <cell r="P637">
            <v>34.65</v>
          </cell>
          <cell r="Q637" t="str">
            <v/>
          </cell>
          <cell r="R637" t="e">
            <v>#N/A</v>
          </cell>
        </row>
        <row r="638">
          <cell r="A638">
            <v>40077</v>
          </cell>
          <cell r="B638">
            <v>40077</v>
          </cell>
          <cell r="C638" t="str">
            <v>Future</v>
          </cell>
          <cell r="D638" t="e">
            <v>#N/A</v>
          </cell>
          <cell r="E638">
            <v>23.77541501976285</v>
          </cell>
          <cell r="F638">
            <v>36.890039525691762</v>
          </cell>
          <cell r="G638">
            <v>33.767509881422654</v>
          </cell>
          <cell r="H638">
            <v>33.767509881422654</v>
          </cell>
          <cell r="I638" t="e">
            <v>#N/A</v>
          </cell>
          <cell r="J638" t="e">
            <v>#N/A</v>
          </cell>
          <cell r="K638" t="e">
            <v>#N/A</v>
          </cell>
          <cell r="L638" t="e">
            <v>#N/A</v>
          </cell>
          <cell r="M638" t="e">
            <v>#N/A</v>
          </cell>
          <cell r="N638" t="e">
            <v>#N/A</v>
          </cell>
          <cell r="O638" t="e">
            <v>#N/A</v>
          </cell>
          <cell r="P638">
            <v>34.65</v>
          </cell>
          <cell r="Q638" t="str">
            <v/>
          </cell>
          <cell r="R638" t="e">
            <v>#N/A</v>
          </cell>
        </row>
        <row r="639">
          <cell r="A639">
            <v>40078</v>
          </cell>
          <cell r="B639">
            <v>40078</v>
          </cell>
          <cell r="C639" t="str">
            <v>Future</v>
          </cell>
          <cell r="D639" t="e">
            <v>#N/A</v>
          </cell>
          <cell r="E639">
            <v>23.638774703557317</v>
          </cell>
          <cell r="F639">
            <v>36.919407114624569</v>
          </cell>
          <cell r="G639">
            <v>33.757351778655853</v>
          </cell>
          <cell r="H639">
            <v>33.757351778655853</v>
          </cell>
          <cell r="I639" t="e">
            <v>#N/A</v>
          </cell>
          <cell r="J639" t="e">
            <v>#N/A</v>
          </cell>
          <cell r="K639" t="e">
            <v>#N/A</v>
          </cell>
          <cell r="L639" t="e">
            <v>#N/A</v>
          </cell>
          <cell r="M639" t="e">
            <v>#N/A</v>
          </cell>
          <cell r="N639" t="e">
            <v>#N/A</v>
          </cell>
          <cell r="O639" t="e">
            <v>#N/A</v>
          </cell>
          <cell r="P639">
            <v>34.65</v>
          </cell>
          <cell r="Q639" t="str">
            <v/>
          </cell>
          <cell r="R639" t="e">
            <v>#N/A</v>
          </cell>
        </row>
        <row r="640">
          <cell r="A640">
            <v>40079</v>
          </cell>
          <cell r="B640">
            <v>40079</v>
          </cell>
          <cell r="C640" t="str">
            <v>Future</v>
          </cell>
          <cell r="D640" t="e">
            <v>#N/A</v>
          </cell>
          <cell r="E640">
            <v>23.502134387351784</v>
          </cell>
          <cell r="F640">
            <v>36.948774703557376</v>
          </cell>
          <cell r="G640">
            <v>33.747193675889051</v>
          </cell>
          <cell r="H640">
            <v>33.747193675889051</v>
          </cell>
          <cell r="I640" t="e">
            <v>#N/A</v>
          </cell>
          <cell r="J640" t="e">
            <v>#N/A</v>
          </cell>
          <cell r="K640" t="e">
            <v>#N/A</v>
          </cell>
          <cell r="L640" t="e">
            <v>#N/A</v>
          </cell>
          <cell r="M640" t="e">
            <v>#N/A</v>
          </cell>
          <cell r="N640" t="e">
            <v>#N/A</v>
          </cell>
          <cell r="O640" t="e">
            <v>#N/A</v>
          </cell>
          <cell r="P640">
            <v>34.65</v>
          </cell>
          <cell r="Q640" t="str">
            <v/>
          </cell>
          <cell r="R640" t="e">
            <v>#N/A</v>
          </cell>
        </row>
        <row r="641">
          <cell r="A641">
            <v>40080</v>
          </cell>
          <cell r="B641">
            <v>40080</v>
          </cell>
          <cell r="C641" t="str">
            <v>Future</v>
          </cell>
          <cell r="D641" t="e">
            <v>#N/A</v>
          </cell>
          <cell r="E641">
            <v>23.365494071146252</v>
          </cell>
          <cell r="F641">
            <v>36.978142292490183</v>
          </cell>
          <cell r="G641">
            <v>33.737035573122249</v>
          </cell>
          <cell r="H641">
            <v>33.737035573122249</v>
          </cell>
          <cell r="I641" t="e">
            <v>#N/A</v>
          </cell>
          <cell r="J641" t="e">
            <v>#N/A</v>
          </cell>
          <cell r="K641" t="e">
            <v>#N/A</v>
          </cell>
          <cell r="L641" t="e">
            <v>#N/A</v>
          </cell>
          <cell r="M641" t="e">
            <v>#N/A</v>
          </cell>
          <cell r="N641" t="e">
            <v>#N/A</v>
          </cell>
          <cell r="O641" t="e">
            <v>#N/A</v>
          </cell>
          <cell r="P641">
            <v>34.65</v>
          </cell>
          <cell r="Q641" t="str">
            <v/>
          </cell>
          <cell r="R641" t="e">
            <v>#N/A</v>
          </cell>
        </row>
        <row r="642">
          <cell r="A642">
            <v>40081</v>
          </cell>
          <cell r="B642">
            <v>40081</v>
          </cell>
          <cell r="C642" t="str">
            <v>Future</v>
          </cell>
          <cell r="D642" t="e">
            <v>#N/A</v>
          </cell>
          <cell r="E642">
            <v>23.228853754940719</v>
          </cell>
          <cell r="F642">
            <v>37.00750988142299</v>
          </cell>
          <cell r="G642">
            <v>33.726877470355447</v>
          </cell>
          <cell r="H642">
            <v>33.726877470355447</v>
          </cell>
          <cell r="I642" t="e">
            <v>#N/A</v>
          </cell>
          <cell r="J642" t="e">
            <v>#N/A</v>
          </cell>
          <cell r="K642" t="e">
            <v>#N/A</v>
          </cell>
          <cell r="L642" t="e">
            <v>#N/A</v>
          </cell>
          <cell r="M642" t="e">
            <v>#N/A</v>
          </cell>
          <cell r="N642" t="e">
            <v>#N/A</v>
          </cell>
          <cell r="O642" t="e">
            <v>#N/A</v>
          </cell>
          <cell r="P642">
            <v>34.65</v>
          </cell>
          <cell r="Q642" t="str">
            <v/>
          </cell>
          <cell r="R642" t="e">
            <v>#N/A</v>
          </cell>
        </row>
        <row r="643">
          <cell r="A643">
            <v>40084</v>
          </cell>
          <cell r="B643">
            <v>40084</v>
          </cell>
          <cell r="C643" t="str">
            <v>Future</v>
          </cell>
          <cell r="D643" t="e">
            <v>#N/A</v>
          </cell>
          <cell r="E643">
            <v>23.092213438735186</v>
          </cell>
          <cell r="F643">
            <v>37.036877470355797</v>
          </cell>
          <cell r="G643">
            <v>33.716719367588645</v>
          </cell>
          <cell r="H643">
            <v>33.716719367588645</v>
          </cell>
          <cell r="I643" t="e">
            <v>#N/A</v>
          </cell>
          <cell r="J643" t="e">
            <v>#N/A</v>
          </cell>
          <cell r="K643" t="e">
            <v>#N/A</v>
          </cell>
          <cell r="L643" t="e">
            <v>#N/A</v>
          </cell>
          <cell r="M643" t="e">
            <v>#N/A</v>
          </cell>
          <cell r="N643" t="e">
            <v>#N/A</v>
          </cell>
          <cell r="O643" t="e">
            <v>#N/A</v>
          </cell>
          <cell r="P643">
            <v>34.65</v>
          </cell>
          <cell r="Q643" t="str">
            <v/>
          </cell>
          <cell r="R643" t="e">
            <v>#N/A</v>
          </cell>
        </row>
        <row r="644">
          <cell r="A644">
            <v>40085</v>
          </cell>
          <cell r="B644">
            <v>40085</v>
          </cell>
          <cell r="C644" t="str">
            <v>Future</v>
          </cell>
          <cell r="D644" t="e">
            <v>#N/A</v>
          </cell>
          <cell r="E644">
            <v>22.955573122529653</v>
          </cell>
          <cell r="F644">
            <v>37.066245059288605</v>
          </cell>
          <cell r="G644">
            <v>33.706561264821843</v>
          </cell>
          <cell r="H644">
            <v>33.706561264821843</v>
          </cell>
          <cell r="I644" t="e">
            <v>#N/A</v>
          </cell>
          <cell r="J644" t="e">
            <v>#N/A</v>
          </cell>
          <cell r="K644" t="e">
            <v>#N/A</v>
          </cell>
          <cell r="L644" t="e">
            <v>#N/A</v>
          </cell>
          <cell r="M644" t="e">
            <v>#N/A</v>
          </cell>
          <cell r="N644" t="e">
            <v>#N/A</v>
          </cell>
          <cell r="O644" t="e">
            <v>#N/A</v>
          </cell>
          <cell r="P644">
            <v>34.65</v>
          </cell>
          <cell r="Q644" t="str">
            <v/>
          </cell>
          <cell r="R644" t="e">
            <v>#N/A</v>
          </cell>
        </row>
        <row r="645">
          <cell r="A645">
            <v>40086</v>
          </cell>
          <cell r="B645">
            <v>40086</v>
          </cell>
          <cell r="C645" t="str">
            <v>Future</v>
          </cell>
          <cell r="D645" t="e">
            <v>#N/A</v>
          </cell>
          <cell r="E645">
            <v>22.818932806324121</v>
          </cell>
          <cell r="F645">
            <v>37.095612648221412</v>
          </cell>
          <cell r="G645">
            <v>33.696403162055041</v>
          </cell>
          <cell r="H645">
            <v>33.696403162055041</v>
          </cell>
          <cell r="I645" t="e">
            <v>#N/A</v>
          </cell>
          <cell r="J645" t="e">
            <v>#N/A</v>
          </cell>
          <cell r="K645" t="e">
            <v>#N/A</v>
          </cell>
          <cell r="L645" t="e">
            <v>#N/A</v>
          </cell>
          <cell r="M645" t="e">
            <v>#N/A</v>
          </cell>
          <cell r="N645" t="e">
            <v>#N/A</v>
          </cell>
          <cell r="O645" t="e">
            <v>#N/A</v>
          </cell>
          <cell r="P645">
            <v>34.65</v>
          </cell>
          <cell r="Q645" t="str">
            <v/>
          </cell>
          <cell r="R645" t="e">
            <v>#N/A</v>
          </cell>
        </row>
        <row r="646">
          <cell r="A646">
            <v>40087</v>
          </cell>
          <cell r="B646">
            <v>40087</v>
          </cell>
          <cell r="C646" t="str">
            <v>Future</v>
          </cell>
          <cell r="D646" t="e">
            <v>#N/A</v>
          </cell>
          <cell r="E646">
            <v>22.682292490118588</v>
          </cell>
          <cell r="F646">
            <v>37.124980237154219</v>
          </cell>
          <cell r="G646">
            <v>33.68624505928824</v>
          </cell>
          <cell r="H646">
            <v>33.68624505928824</v>
          </cell>
          <cell r="I646" t="e">
            <v>#N/A</v>
          </cell>
          <cell r="J646" t="e">
            <v>#N/A</v>
          </cell>
          <cell r="K646" t="e">
            <v>#N/A</v>
          </cell>
          <cell r="L646" t="e">
            <v>#N/A</v>
          </cell>
          <cell r="M646" t="e">
            <v>#N/A</v>
          </cell>
          <cell r="N646" t="e">
            <v>#N/A</v>
          </cell>
          <cell r="O646" t="e">
            <v>#N/A</v>
          </cell>
          <cell r="P646">
            <v>34.65</v>
          </cell>
          <cell r="Q646" t="str">
            <v/>
          </cell>
          <cell r="R646" t="e">
            <v>#N/A</v>
          </cell>
        </row>
        <row r="647">
          <cell r="A647">
            <v>40088</v>
          </cell>
          <cell r="B647">
            <v>40088</v>
          </cell>
          <cell r="C647" t="str">
            <v>Future</v>
          </cell>
          <cell r="D647" t="e">
            <v>#N/A</v>
          </cell>
          <cell r="E647">
            <v>22.545652173913055</v>
          </cell>
          <cell r="F647">
            <v>37.154347826087026</v>
          </cell>
          <cell r="G647">
            <v>33.676086956521438</v>
          </cell>
          <cell r="H647">
            <v>33.676086956521438</v>
          </cell>
          <cell r="I647" t="e">
            <v>#N/A</v>
          </cell>
          <cell r="J647" t="e">
            <v>#N/A</v>
          </cell>
          <cell r="K647" t="e">
            <v>#N/A</v>
          </cell>
          <cell r="L647" t="e">
            <v>#N/A</v>
          </cell>
          <cell r="M647" t="e">
            <v>#N/A</v>
          </cell>
          <cell r="N647" t="e">
            <v>#N/A</v>
          </cell>
          <cell r="O647" t="e">
            <v>#N/A</v>
          </cell>
          <cell r="P647">
            <v>34.65</v>
          </cell>
          <cell r="Q647" t="str">
            <v/>
          </cell>
          <cell r="R647" t="e">
            <v>#N/A</v>
          </cell>
        </row>
        <row r="648">
          <cell r="A648">
            <v>40091</v>
          </cell>
          <cell r="B648">
            <v>40091</v>
          </cell>
          <cell r="C648" t="str">
            <v>Future</v>
          </cell>
          <cell r="D648" t="e">
            <v>#N/A</v>
          </cell>
          <cell r="E648">
            <v>22.409011857707522</v>
          </cell>
          <cell r="F648">
            <v>37.183715415019833</v>
          </cell>
          <cell r="G648">
            <v>33.665928853754636</v>
          </cell>
          <cell r="H648">
            <v>33.665928853754636</v>
          </cell>
          <cell r="I648" t="e">
            <v>#N/A</v>
          </cell>
          <cell r="J648" t="e">
            <v>#N/A</v>
          </cell>
          <cell r="K648" t="e">
            <v>#N/A</v>
          </cell>
          <cell r="L648" t="e">
            <v>#N/A</v>
          </cell>
          <cell r="M648" t="e">
            <v>#N/A</v>
          </cell>
          <cell r="N648" t="e">
            <v>#N/A</v>
          </cell>
          <cell r="O648" t="e">
            <v>#N/A</v>
          </cell>
          <cell r="P648">
            <v>34.65</v>
          </cell>
          <cell r="Q648" t="str">
            <v/>
          </cell>
          <cell r="R648" t="e">
            <v>#N/A</v>
          </cell>
        </row>
        <row r="649">
          <cell r="A649">
            <v>40092</v>
          </cell>
          <cell r="B649">
            <v>40092</v>
          </cell>
          <cell r="C649" t="str">
            <v>Future</v>
          </cell>
          <cell r="D649" t="e">
            <v>#N/A</v>
          </cell>
          <cell r="E649">
            <v>22.27237154150199</v>
          </cell>
          <cell r="F649">
            <v>37.21308300395264</v>
          </cell>
          <cell r="G649">
            <v>33.655770750987834</v>
          </cell>
          <cell r="H649">
            <v>33.655770750987834</v>
          </cell>
          <cell r="I649" t="e">
            <v>#N/A</v>
          </cell>
          <cell r="J649" t="e">
            <v>#N/A</v>
          </cell>
          <cell r="K649" t="e">
            <v>#N/A</v>
          </cell>
          <cell r="L649" t="e">
            <v>#N/A</v>
          </cell>
          <cell r="M649" t="e">
            <v>#N/A</v>
          </cell>
          <cell r="N649" t="e">
            <v>#N/A</v>
          </cell>
          <cell r="O649" t="e">
            <v>#N/A</v>
          </cell>
          <cell r="P649">
            <v>34.65</v>
          </cell>
          <cell r="Q649" t="str">
            <v/>
          </cell>
          <cell r="R649" t="e">
            <v>#N/A</v>
          </cell>
        </row>
        <row r="650">
          <cell r="A650">
            <v>40093</v>
          </cell>
          <cell r="B650">
            <v>40093</v>
          </cell>
          <cell r="C650" t="str">
            <v>Future</v>
          </cell>
          <cell r="D650" t="e">
            <v>#N/A</v>
          </cell>
          <cell r="E650">
            <v>22.135731225296457</v>
          </cell>
          <cell r="F650">
            <v>37.242450592885447</v>
          </cell>
          <cell r="G650">
            <v>33.645612648221032</v>
          </cell>
          <cell r="H650">
            <v>33.645612648221032</v>
          </cell>
          <cell r="I650" t="e">
            <v>#N/A</v>
          </cell>
          <cell r="J650" t="e">
            <v>#N/A</v>
          </cell>
          <cell r="K650" t="e">
            <v>#N/A</v>
          </cell>
          <cell r="L650" t="e">
            <v>#N/A</v>
          </cell>
          <cell r="M650" t="e">
            <v>#N/A</v>
          </cell>
          <cell r="N650" t="e">
            <v>#N/A</v>
          </cell>
          <cell r="O650" t="e">
            <v>#N/A</v>
          </cell>
          <cell r="P650">
            <v>34.65</v>
          </cell>
          <cell r="Q650" t="str">
            <v/>
          </cell>
          <cell r="R650" t="e">
            <v>#N/A</v>
          </cell>
        </row>
        <row r="651">
          <cell r="A651">
            <v>40094</v>
          </cell>
          <cell r="B651">
            <v>40094</v>
          </cell>
          <cell r="C651" t="str">
            <v>Future</v>
          </cell>
          <cell r="D651" t="e">
            <v>#N/A</v>
          </cell>
          <cell r="E651">
            <v>21.999090909090924</v>
          </cell>
          <cell r="F651">
            <v>37.271818181818254</v>
          </cell>
          <cell r="G651">
            <v>33.63545454545423</v>
          </cell>
          <cell r="H651">
            <v>33.63545454545423</v>
          </cell>
          <cell r="I651" t="e">
            <v>#N/A</v>
          </cell>
          <cell r="J651" t="e">
            <v>#N/A</v>
          </cell>
          <cell r="K651" t="e">
            <v>#N/A</v>
          </cell>
          <cell r="L651" t="e">
            <v>#N/A</v>
          </cell>
          <cell r="M651" t="e">
            <v>#N/A</v>
          </cell>
          <cell r="N651" t="e">
            <v>#N/A</v>
          </cell>
          <cell r="O651" t="e">
            <v>#N/A</v>
          </cell>
          <cell r="P651">
            <v>34.65</v>
          </cell>
          <cell r="Q651" t="str">
            <v/>
          </cell>
          <cell r="R651" t="e">
            <v>#N/A</v>
          </cell>
        </row>
        <row r="652">
          <cell r="A652">
            <v>40095</v>
          </cell>
          <cell r="B652">
            <v>40095</v>
          </cell>
          <cell r="C652" t="str">
            <v>Future</v>
          </cell>
          <cell r="D652" t="e">
            <v>#N/A</v>
          </cell>
          <cell r="E652">
            <v>21.862450592885391</v>
          </cell>
          <cell r="F652">
            <v>37.301185770751061</v>
          </cell>
          <cell r="G652">
            <v>33.625296442687429</v>
          </cell>
          <cell r="H652">
            <v>33.625296442687429</v>
          </cell>
          <cell r="I652" t="e">
            <v>#N/A</v>
          </cell>
          <cell r="J652" t="e">
            <v>#N/A</v>
          </cell>
          <cell r="K652" t="e">
            <v>#N/A</v>
          </cell>
          <cell r="L652" t="e">
            <v>#N/A</v>
          </cell>
          <cell r="M652" t="e">
            <v>#N/A</v>
          </cell>
          <cell r="N652" t="e">
            <v>#N/A</v>
          </cell>
          <cell r="O652" t="e">
            <v>#N/A</v>
          </cell>
          <cell r="P652">
            <v>34.65</v>
          </cell>
          <cell r="Q652" t="str">
            <v/>
          </cell>
          <cell r="R652" t="e">
            <v>#N/A</v>
          </cell>
        </row>
        <row r="653">
          <cell r="A653">
            <v>40098</v>
          </cell>
          <cell r="B653">
            <v>40098</v>
          </cell>
          <cell r="C653" t="str">
            <v>Future</v>
          </cell>
          <cell r="D653" t="e">
            <v>#N/A</v>
          </cell>
          <cell r="E653">
            <v>21.725810276679859</v>
          </cell>
          <cell r="F653">
            <v>37.330553359683869</v>
          </cell>
          <cell r="G653">
            <v>33.615138339920627</v>
          </cell>
          <cell r="H653">
            <v>33.615138339920627</v>
          </cell>
          <cell r="I653" t="e">
            <v>#N/A</v>
          </cell>
          <cell r="J653" t="e">
            <v>#N/A</v>
          </cell>
          <cell r="K653" t="e">
            <v>#N/A</v>
          </cell>
          <cell r="L653" t="e">
            <v>#N/A</v>
          </cell>
          <cell r="M653" t="e">
            <v>#N/A</v>
          </cell>
          <cell r="N653" t="e">
            <v>#N/A</v>
          </cell>
          <cell r="O653" t="e">
            <v>#N/A</v>
          </cell>
          <cell r="P653">
            <v>34.65</v>
          </cell>
          <cell r="Q653" t="str">
            <v/>
          </cell>
          <cell r="R653" t="e">
            <v>#N/A</v>
          </cell>
        </row>
        <row r="654">
          <cell r="A654">
            <v>40099</v>
          </cell>
          <cell r="B654">
            <v>40099</v>
          </cell>
          <cell r="C654" t="str">
            <v>Future</v>
          </cell>
          <cell r="D654" t="e">
            <v>#N/A</v>
          </cell>
          <cell r="E654">
            <v>21.589169960474326</v>
          </cell>
          <cell r="F654">
            <v>37.359920948616676</v>
          </cell>
          <cell r="G654">
            <v>33.604980237153825</v>
          </cell>
          <cell r="H654">
            <v>33.604980237153825</v>
          </cell>
          <cell r="I654" t="e">
            <v>#N/A</v>
          </cell>
          <cell r="J654" t="e">
            <v>#N/A</v>
          </cell>
          <cell r="K654" t="e">
            <v>#N/A</v>
          </cell>
          <cell r="L654" t="e">
            <v>#N/A</v>
          </cell>
          <cell r="M654" t="e">
            <v>#N/A</v>
          </cell>
          <cell r="N654" t="e">
            <v>#N/A</v>
          </cell>
          <cell r="O654" t="e">
            <v>#N/A</v>
          </cell>
          <cell r="P654">
            <v>34.65</v>
          </cell>
          <cell r="Q654" t="str">
            <v/>
          </cell>
          <cell r="R654" t="e">
            <v>#N/A</v>
          </cell>
        </row>
        <row r="655">
          <cell r="A655">
            <v>40100</v>
          </cell>
          <cell r="B655">
            <v>40100</v>
          </cell>
          <cell r="C655" t="str">
            <v>Future</v>
          </cell>
          <cell r="D655" t="e">
            <v>#N/A</v>
          </cell>
          <cell r="E655">
            <v>21.452529644268793</v>
          </cell>
          <cell r="F655">
            <v>37.389288537549483</v>
          </cell>
          <cell r="G655">
            <v>33.594822134387023</v>
          </cell>
          <cell r="H655">
            <v>33.594822134387023</v>
          </cell>
          <cell r="I655" t="e">
            <v>#N/A</v>
          </cell>
          <cell r="J655" t="e">
            <v>#N/A</v>
          </cell>
          <cell r="K655" t="e">
            <v>#N/A</v>
          </cell>
          <cell r="L655" t="e">
            <v>#N/A</v>
          </cell>
          <cell r="M655" t="e">
            <v>#N/A</v>
          </cell>
          <cell r="N655" t="e">
            <v>#N/A</v>
          </cell>
          <cell r="O655" t="e">
            <v>#N/A</v>
          </cell>
          <cell r="P655">
            <v>34.65</v>
          </cell>
          <cell r="Q655" t="str">
            <v/>
          </cell>
          <cell r="R655" t="e">
            <v>#N/A</v>
          </cell>
        </row>
        <row r="656">
          <cell r="A656">
            <v>40101</v>
          </cell>
          <cell r="B656">
            <v>40101</v>
          </cell>
          <cell r="C656" t="str">
            <v>Future</v>
          </cell>
          <cell r="D656" t="e">
            <v>#N/A</v>
          </cell>
          <cell r="E656">
            <v>21.31588932806326</v>
          </cell>
          <cell r="F656">
            <v>37.41865612648229</v>
          </cell>
          <cell r="G656">
            <v>33.584664031620221</v>
          </cell>
          <cell r="H656">
            <v>33.584664031620221</v>
          </cell>
          <cell r="I656" t="e">
            <v>#N/A</v>
          </cell>
          <cell r="J656" t="e">
            <v>#N/A</v>
          </cell>
          <cell r="K656" t="e">
            <v>#N/A</v>
          </cell>
          <cell r="L656" t="e">
            <v>#N/A</v>
          </cell>
          <cell r="M656" t="e">
            <v>#N/A</v>
          </cell>
          <cell r="N656" t="e">
            <v>#N/A</v>
          </cell>
          <cell r="O656" t="e">
            <v>#N/A</v>
          </cell>
          <cell r="P656">
            <v>34.65</v>
          </cell>
          <cell r="Q656" t="str">
            <v/>
          </cell>
          <cell r="R656" t="e">
            <v>#N/A</v>
          </cell>
        </row>
        <row r="657">
          <cell r="A657">
            <v>40102</v>
          </cell>
          <cell r="B657">
            <v>40102</v>
          </cell>
          <cell r="C657" t="str">
            <v>Future</v>
          </cell>
          <cell r="D657" t="e">
            <v>#N/A</v>
          </cell>
          <cell r="E657">
            <v>21.179249011857728</v>
          </cell>
          <cell r="F657">
            <v>37.448023715415097</v>
          </cell>
          <cell r="G657">
            <v>33.574505928853419</v>
          </cell>
          <cell r="H657">
            <v>33.574505928853419</v>
          </cell>
          <cell r="I657" t="e">
            <v>#N/A</v>
          </cell>
          <cell r="J657" t="e">
            <v>#N/A</v>
          </cell>
          <cell r="K657" t="e">
            <v>#N/A</v>
          </cell>
          <cell r="L657" t="e">
            <v>#N/A</v>
          </cell>
          <cell r="M657" t="e">
            <v>#N/A</v>
          </cell>
          <cell r="N657" t="e">
            <v>#N/A</v>
          </cell>
          <cell r="O657" t="e">
            <v>#N/A</v>
          </cell>
          <cell r="P657">
            <v>34.65</v>
          </cell>
          <cell r="Q657" t="str">
            <v/>
          </cell>
          <cell r="R657" t="e">
            <v>#N/A</v>
          </cell>
        </row>
        <row r="658">
          <cell r="A658">
            <v>40105</v>
          </cell>
          <cell r="B658">
            <v>40105</v>
          </cell>
          <cell r="C658" t="str">
            <v>Future</v>
          </cell>
          <cell r="D658" t="e">
            <v>#N/A</v>
          </cell>
          <cell r="E658">
            <v>21.042608695652195</v>
          </cell>
          <cell r="F658">
            <v>37.477391304347904</v>
          </cell>
          <cell r="G658">
            <v>33.564347826086617</v>
          </cell>
          <cell r="H658">
            <v>33.564347826086617</v>
          </cell>
          <cell r="I658" t="e">
            <v>#N/A</v>
          </cell>
          <cell r="J658" t="e">
            <v>#N/A</v>
          </cell>
          <cell r="K658" t="e">
            <v>#N/A</v>
          </cell>
          <cell r="L658" t="e">
            <v>#N/A</v>
          </cell>
          <cell r="M658" t="e">
            <v>#N/A</v>
          </cell>
          <cell r="N658" t="e">
            <v>#N/A</v>
          </cell>
          <cell r="O658" t="e">
            <v>#N/A</v>
          </cell>
          <cell r="P658">
            <v>34.65</v>
          </cell>
          <cell r="Q658" t="str">
            <v/>
          </cell>
          <cell r="R658" t="e">
            <v>#N/A</v>
          </cell>
        </row>
        <row r="659">
          <cell r="A659">
            <v>40106</v>
          </cell>
          <cell r="B659">
            <v>40106</v>
          </cell>
          <cell r="C659" t="str">
            <v>Future</v>
          </cell>
          <cell r="D659" t="e">
            <v>#N/A</v>
          </cell>
          <cell r="E659">
            <v>20.905968379446662</v>
          </cell>
          <cell r="F659">
            <v>37.506758893280711</v>
          </cell>
          <cell r="G659">
            <v>33.554189723319816</v>
          </cell>
          <cell r="H659">
            <v>33.554189723319816</v>
          </cell>
          <cell r="I659" t="e">
            <v>#N/A</v>
          </cell>
          <cell r="J659" t="e">
            <v>#N/A</v>
          </cell>
          <cell r="K659" t="e">
            <v>#N/A</v>
          </cell>
          <cell r="L659" t="e">
            <v>#N/A</v>
          </cell>
          <cell r="M659" t="e">
            <v>#N/A</v>
          </cell>
          <cell r="N659" t="e">
            <v>#N/A</v>
          </cell>
          <cell r="O659" t="e">
            <v>#N/A</v>
          </cell>
          <cell r="P659">
            <v>34.65</v>
          </cell>
          <cell r="Q659" t="str">
            <v/>
          </cell>
          <cell r="R659" t="e">
            <v>#N/A</v>
          </cell>
        </row>
        <row r="660">
          <cell r="A660">
            <v>40107</v>
          </cell>
          <cell r="B660">
            <v>40107</v>
          </cell>
          <cell r="C660" t="str">
            <v>Future</v>
          </cell>
          <cell r="D660" t="e">
            <v>#N/A</v>
          </cell>
          <cell r="E660">
            <v>20.769328063241129</v>
          </cell>
          <cell r="F660">
            <v>37.536126482213518</v>
          </cell>
          <cell r="G660">
            <v>33.544031620553014</v>
          </cell>
          <cell r="H660">
            <v>33.544031620553014</v>
          </cell>
          <cell r="I660" t="e">
            <v>#N/A</v>
          </cell>
          <cell r="J660" t="e">
            <v>#N/A</v>
          </cell>
          <cell r="K660" t="e">
            <v>#N/A</v>
          </cell>
          <cell r="L660" t="e">
            <v>#N/A</v>
          </cell>
          <cell r="M660" t="e">
            <v>#N/A</v>
          </cell>
          <cell r="N660" t="e">
            <v>#N/A</v>
          </cell>
          <cell r="O660" t="e">
            <v>#N/A</v>
          </cell>
          <cell r="P660">
            <v>34.65</v>
          </cell>
          <cell r="Q660" t="str">
            <v/>
          </cell>
          <cell r="R660" t="e">
            <v>#N/A</v>
          </cell>
        </row>
        <row r="661">
          <cell r="A661">
            <v>40108</v>
          </cell>
          <cell r="B661">
            <v>40108</v>
          </cell>
          <cell r="C661" t="str">
            <v>Future</v>
          </cell>
          <cell r="D661" t="e">
            <v>#N/A</v>
          </cell>
          <cell r="E661">
            <v>20.632687747035597</v>
          </cell>
          <cell r="F661">
            <v>37.565494071146325</v>
          </cell>
          <cell r="G661">
            <v>33.533873517786212</v>
          </cell>
          <cell r="H661">
            <v>33.533873517786212</v>
          </cell>
          <cell r="I661" t="e">
            <v>#N/A</v>
          </cell>
          <cell r="J661" t="e">
            <v>#N/A</v>
          </cell>
          <cell r="K661" t="e">
            <v>#N/A</v>
          </cell>
          <cell r="L661" t="e">
            <v>#N/A</v>
          </cell>
          <cell r="M661" t="e">
            <v>#N/A</v>
          </cell>
          <cell r="N661" t="e">
            <v>#N/A</v>
          </cell>
          <cell r="O661" t="e">
            <v>#N/A</v>
          </cell>
          <cell r="P661">
            <v>34.65</v>
          </cell>
          <cell r="Q661" t="str">
            <v/>
          </cell>
          <cell r="R661" t="e">
            <v>#N/A</v>
          </cell>
        </row>
        <row r="662">
          <cell r="A662">
            <v>40109</v>
          </cell>
          <cell r="B662">
            <v>40109</v>
          </cell>
          <cell r="C662" t="str">
            <v>Future</v>
          </cell>
          <cell r="D662" t="e">
            <v>#N/A</v>
          </cell>
          <cell r="E662">
            <v>20.496047430830064</v>
          </cell>
          <cell r="F662">
            <v>37.594861660079133</v>
          </cell>
          <cell r="G662">
            <v>33.52371541501941</v>
          </cell>
          <cell r="H662">
            <v>33.52371541501941</v>
          </cell>
          <cell r="I662" t="e">
            <v>#N/A</v>
          </cell>
          <cell r="J662" t="e">
            <v>#N/A</v>
          </cell>
          <cell r="K662" t="e">
            <v>#N/A</v>
          </cell>
          <cell r="L662" t="e">
            <v>#N/A</v>
          </cell>
          <cell r="M662" t="e">
            <v>#N/A</v>
          </cell>
          <cell r="N662" t="e">
            <v>#N/A</v>
          </cell>
          <cell r="O662" t="e">
            <v>#N/A</v>
          </cell>
          <cell r="P662">
            <v>34.65</v>
          </cell>
          <cell r="Q662" t="str">
            <v/>
          </cell>
          <cell r="R662" t="e">
            <v>#N/A</v>
          </cell>
        </row>
        <row r="663">
          <cell r="A663">
            <v>40112</v>
          </cell>
          <cell r="B663">
            <v>40112</v>
          </cell>
          <cell r="C663" t="str">
            <v>Future</v>
          </cell>
          <cell r="D663" t="e">
            <v>#N/A</v>
          </cell>
          <cell r="E663">
            <v>20.359407114624531</v>
          </cell>
          <cell r="F663">
            <v>37.62422924901194</v>
          </cell>
          <cell r="G663">
            <v>33.513557312252608</v>
          </cell>
          <cell r="H663">
            <v>33.513557312252608</v>
          </cell>
          <cell r="I663" t="e">
            <v>#N/A</v>
          </cell>
          <cell r="J663" t="e">
            <v>#N/A</v>
          </cell>
          <cell r="K663" t="e">
            <v>#N/A</v>
          </cell>
          <cell r="L663" t="e">
            <v>#N/A</v>
          </cell>
          <cell r="M663" t="e">
            <v>#N/A</v>
          </cell>
          <cell r="N663" t="e">
            <v>#N/A</v>
          </cell>
          <cell r="O663" t="e">
            <v>#N/A</v>
          </cell>
          <cell r="P663">
            <v>34.65</v>
          </cell>
          <cell r="Q663" t="str">
            <v/>
          </cell>
          <cell r="R663" t="e">
            <v>#N/A</v>
          </cell>
        </row>
        <row r="664">
          <cell r="A664">
            <v>40113</v>
          </cell>
          <cell r="B664">
            <v>40113</v>
          </cell>
          <cell r="C664" t="str">
            <v>Future</v>
          </cell>
          <cell r="D664" t="e">
            <v>#N/A</v>
          </cell>
          <cell r="E664">
            <v>20.222766798418998</v>
          </cell>
          <cell r="F664">
            <v>37.653596837944747</v>
          </cell>
          <cell r="G664">
            <v>33.503399209485806</v>
          </cell>
          <cell r="H664">
            <v>33.503399209485806</v>
          </cell>
          <cell r="I664" t="e">
            <v>#N/A</v>
          </cell>
          <cell r="J664" t="e">
            <v>#N/A</v>
          </cell>
          <cell r="K664" t="e">
            <v>#N/A</v>
          </cell>
          <cell r="L664" t="e">
            <v>#N/A</v>
          </cell>
          <cell r="M664" t="e">
            <v>#N/A</v>
          </cell>
          <cell r="N664" t="e">
            <v>#N/A</v>
          </cell>
          <cell r="O664" t="e">
            <v>#N/A</v>
          </cell>
          <cell r="P664">
            <v>34.65</v>
          </cell>
          <cell r="Q664" t="str">
            <v/>
          </cell>
          <cell r="R664" t="e">
            <v>#N/A</v>
          </cell>
        </row>
        <row r="665">
          <cell r="A665">
            <v>40114</v>
          </cell>
          <cell r="B665">
            <v>40114</v>
          </cell>
          <cell r="C665" t="str">
            <v>Future</v>
          </cell>
          <cell r="D665" t="e">
            <v>#N/A</v>
          </cell>
          <cell r="E665">
            <v>20.086126482213466</v>
          </cell>
          <cell r="F665">
            <v>37.682964426877554</v>
          </cell>
          <cell r="G665">
            <v>33.493241106719005</v>
          </cell>
          <cell r="H665">
            <v>33.493241106719005</v>
          </cell>
          <cell r="I665" t="e">
            <v>#N/A</v>
          </cell>
          <cell r="J665" t="e">
            <v>#N/A</v>
          </cell>
          <cell r="K665" t="e">
            <v>#N/A</v>
          </cell>
          <cell r="L665" t="e">
            <v>#N/A</v>
          </cell>
          <cell r="M665" t="e">
            <v>#N/A</v>
          </cell>
          <cell r="N665" t="e">
            <v>#N/A</v>
          </cell>
          <cell r="O665" t="e">
            <v>#N/A</v>
          </cell>
          <cell r="P665">
            <v>34.65</v>
          </cell>
          <cell r="Q665" t="str">
            <v/>
          </cell>
          <cell r="R665" t="e">
            <v>#N/A</v>
          </cell>
        </row>
        <row r="666">
          <cell r="A666">
            <v>40115</v>
          </cell>
          <cell r="B666">
            <v>40115</v>
          </cell>
          <cell r="C666" t="str">
            <v>Future</v>
          </cell>
          <cell r="D666" t="e">
            <v>#N/A</v>
          </cell>
          <cell r="E666">
            <v>19.949486166007933</v>
          </cell>
          <cell r="F666">
            <v>37.712332015810361</v>
          </cell>
          <cell r="G666">
            <v>33.483083003952203</v>
          </cell>
          <cell r="H666">
            <v>33.483083003952203</v>
          </cell>
          <cell r="I666" t="e">
            <v>#N/A</v>
          </cell>
          <cell r="J666" t="e">
            <v>#N/A</v>
          </cell>
          <cell r="K666" t="e">
            <v>#N/A</v>
          </cell>
          <cell r="L666" t="e">
            <v>#N/A</v>
          </cell>
          <cell r="M666" t="e">
            <v>#N/A</v>
          </cell>
          <cell r="N666" t="e">
            <v>#N/A</v>
          </cell>
          <cell r="O666" t="e">
            <v>#N/A</v>
          </cell>
          <cell r="P666">
            <v>34.65</v>
          </cell>
          <cell r="Q666" t="str">
            <v/>
          </cell>
          <cell r="R666" t="e">
            <v>#N/A</v>
          </cell>
        </row>
        <row r="667">
          <cell r="A667">
            <v>40116</v>
          </cell>
          <cell r="B667">
            <v>40116</v>
          </cell>
          <cell r="C667" t="str">
            <v>Future</v>
          </cell>
          <cell r="D667" t="e">
            <v>#N/A</v>
          </cell>
          <cell r="E667">
            <v>19.8128458498024</v>
          </cell>
          <cell r="F667">
            <v>37.741699604743168</v>
          </cell>
          <cell r="G667">
            <v>33.472924901185401</v>
          </cell>
          <cell r="H667">
            <v>33.472924901185401</v>
          </cell>
          <cell r="I667" t="e">
            <v>#N/A</v>
          </cell>
          <cell r="J667" t="e">
            <v>#N/A</v>
          </cell>
          <cell r="K667" t="e">
            <v>#N/A</v>
          </cell>
          <cell r="L667" t="e">
            <v>#N/A</v>
          </cell>
          <cell r="M667" t="e">
            <v>#N/A</v>
          </cell>
          <cell r="N667" t="e">
            <v>#N/A</v>
          </cell>
          <cell r="O667" t="e">
            <v>#N/A</v>
          </cell>
          <cell r="P667">
            <v>34.65</v>
          </cell>
          <cell r="Q667" t="str">
            <v/>
          </cell>
          <cell r="R667" t="e">
            <v>#N/A</v>
          </cell>
        </row>
        <row r="668">
          <cell r="A668">
            <v>40119</v>
          </cell>
          <cell r="B668">
            <v>40119</v>
          </cell>
          <cell r="C668" t="str">
            <v>Future</v>
          </cell>
          <cell r="D668" t="e">
            <v>#N/A</v>
          </cell>
          <cell r="E668">
            <v>19.676205533596868</v>
          </cell>
          <cell r="F668">
            <v>37.771067193675975</v>
          </cell>
          <cell r="G668">
            <v>33.462766798418599</v>
          </cell>
          <cell r="H668">
            <v>33.462766798418599</v>
          </cell>
          <cell r="I668" t="e">
            <v>#N/A</v>
          </cell>
          <cell r="J668" t="e">
            <v>#N/A</v>
          </cell>
          <cell r="K668" t="e">
            <v>#N/A</v>
          </cell>
          <cell r="L668" t="e">
            <v>#N/A</v>
          </cell>
          <cell r="M668" t="e">
            <v>#N/A</v>
          </cell>
          <cell r="N668" t="e">
            <v>#N/A</v>
          </cell>
          <cell r="O668" t="e">
            <v>#N/A</v>
          </cell>
          <cell r="P668">
            <v>34.65</v>
          </cell>
          <cell r="Q668" t="str">
            <v/>
          </cell>
          <cell r="R668" t="e">
            <v>#N/A</v>
          </cell>
        </row>
        <row r="669">
          <cell r="A669">
            <v>40120</v>
          </cell>
          <cell r="B669">
            <v>40120</v>
          </cell>
          <cell r="C669" t="str">
            <v>Future</v>
          </cell>
          <cell r="D669" t="e">
            <v>#N/A</v>
          </cell>
          <cell r="E669">
            <v>19.539565217391335</v>
          </cell>
          <cell r="F669">
            <v>37.800434782608782</v>
          </cell>
          <cell r="G669">
            <v>33.452608695651797</v>
          </cell>
          <cell r="H669">
            <v>33.452608695651797</v>
          </cell>
          <cell r="I669" t="e">
            <v>#N/A</v>
          </cell>
          <cell r="J669" t="e">
            <v>#N/A</v>
          </cell>
          <cell r="K669" t="e">
            <v>#N/A</v>
          </cell>
          <cell r="L669" t="e">
            <v>#N/A</v>
          </cell>
          <cell r="M669" t="e">
            <v>#N/A</v>
          </cell>
          <cell r="N669" t="e">
            <v>#N/A</v>
          </cell>
          <cell r="O669" t="e">
            <v>#N/A</v>
          </cell>
          <cell r="P669">
            <v>34.65</v>
          </cell>
          <cell r="Q669" t="str">
            <v/>
          </cell>
          <cell r="R669" t="e">
            <v>#N/A</v>
          </cell>
        </row>
        <row r="670">
          <cell r="A670">
            <v>40121</v>
          </cell>
          <cell r="B670">
            <v>40121</v>
          </cell>
          <cell r="C670" t="str">
            <v>Future</v>
          </cell>
          <cell r="D670" t="e">
            <v>#N/A</v>
          </cell>
          <cell r="E670">
            <v>19.402924901185802</v>
          </cell>
          <cell r="F670">
            <v>37.829802371541589</v>
          </cell>
          <cell r="G670">
            <v>33.442450592884995</v>
          </cell>
          <cell r="H670">
            <v>33.442450592884995</v>
          </cell>
          <cell r="I670" t="e">
            <v>#N/A</v>
          </cell>
          <cell r="J670" t="e">
            <v>#N/A</v>
          </cell>
          <cell r="K670" t="e">
            <v>#N/A</v>
          </cell>
          <cell r="L670" t="e">
            <v>#N/A</v>
          </cell>
          <cell r="M670" t="e">
            <v>#N/A</v>
          </cell>
          <cell r="N670" t="e">
            <v>#N/A</v>
          </cell>
          <cell r="O670" t="e">
            <v>#N/A</v>
          </cell>
          <cell r="P670">
            <v>34.65</v>
          </cell>
          <cell r="Q670" t="str">
            <v/>
          </cell>
          <cell r="R670" t="e">
            <v>#N/A</v>
          </cell>
        </row>
        <row r="671">
          <cell r="A671">
            <v>40122</v>
          </cell>
          <cell r="B671">
            <v>40122</v>
          </cell>
          <cell r="C671" t="str">
            <v>Future</v>
          </cell>
          <cell r="D671" t="e">
            <v>#N/A</v>
          </cell>
          <cell r="E671">
            <v>19.266284584980269</v>
          </cell>
          <cell r="F671">
            <v>37.859169960474397</v>
          </cell>
          <cell r="G671">
            <v>33.432292490118193</v>
          </cell>
          <cell r="H671">
            <v>33.432292490118193</v>
          </cell>
          <cell r="I671" t="e">
            <v>#N/A</v>
          </cell>
          <cell r="J671" t="e">
            <v>#N/A</v>
          </cell>
          <cell r="K671" t="e">
            <v>#N/A</v>
          </cell>
          <cell r="L671" t="e">
            <v>#N/A</v>
          </cell>
          <cell r="M671" t="e">
            <v>#N/A</v>
          </cell>
          <cell r="N671" t="e">
            <v>#N/A</v>
          </cell>
          <cell r="O671" t="e">
            <v>#N/A</v>
          </cell>
          <cell r="P671">
            <v>34.65</v>
          </cell>
          <cell r="Q671" t="str">
            <v/>
          </cell>
          <cell r="R671" t="e">
            <v>#N/A</v>
          </cell>
        </row>
        <row r="672">
          <cell r="A672">
            <v>40123</v>
          </cell>
          <cell r="B672">
            <v>40123</v>
          </cell>
          <cell r="C672" t="str">
            <v>Future</v>
          </cell>
          <cell r="D672" t="e">
            <v>#N/A</v>
          </cell>
          <cell r="E672">
            <v>19.129644268774737</v>
          </cell>
          <cell r="F672">
            <v>37.888537549407204</v>
          </cell>
          <cell r="G672">
            <v>33.422134387351392</v>
          </cell>
          <cell r="H672">
            <v>33.422134387351392</v>
          </cell>
          <cell r="I672" t="e">
            <v>#N/A</v>
          </cell>
          <cell r="J672" t="e">
            <v>#N/A</v>
          </cell>
          <cell r="K672" t="e">
            <v>#N/A</v>
          </cell>
          <cell r="L672" t="e">
            <v>#N/A</v>
          </cell>
          <cell r="M672" t="e">
            <v>#N/A</v>
          </cell>
          <cell r="N672" t="e">
            <v>#N/A</v>
          </cell>
          <cell r="O672" t="e">
            <v>#N/A</v>
          </cell>
          <cell r="P672">
            <v>34.65</v>
          </cell>
          <cell r="Q672" t="str">
            <v/>
          </cell>
          <cell r="R672" t="e">
            <v>#N/A</v>
          </cell>
        </row>
        <row r="673">
          <cell r="A673">
            <v>40126</v>
          </cell>
          <cell r="B673">
            <v>40126</v>
          </cell>
          <cell r="C673" t="str">
            <v>Future</v>
          </cell>
          <cell r="D673" t="e">
            <v>#N/A</v>
          </cell>
          <cell r="E673">
            <v>18.993003952569204</v>
          </cell>
          <cell r="F673">
            <v>37.917905138340011</v>
          </cell>
          <cell r="G673">
            <v>33.41197628458459</v>
          </cell>
          <cell r="H673">
            <v>33.41197628458459</v>
          </cell>
          <cell r="I673" t="e">
            <v>#N/A</v>
          </cell>
          <cell r="J673" t="e">
            <v>#N/A</v>
          </cell>
          <cell r="K673" t="e">
            <v>#N/A</v>
          </cell>
          <cell r="L673" t="e">
            <v>#N/A</v>
          </cell>
          <cell r="M673" t="e">
            <v>#N/A</v>
          </cell>
          <cell r="N673" t="e">
            <v>#N/A</v>
          </cell>
          <cell r="O673" t="e">
            <v>#N/A</v>
          </cell>
          <cell r="P673">
            <v>34.65</v>
          </cell>
          <cell r="Q673" t="str">
            <v/>
          </cell>
          <cell r="R673" t="e">
            <v>#N/A</v>
          </cell>
        </row>
        <row r="674">
          <cell r="A674">
            <v>40127</v>
          </cell>
          <cell r="B674">
            <v>40127</v>
          </cell>
          <cell r="C674" t="str">
            <v>Future</v>
          </cell>
          <cell r="D674" t="e">
            <v>#N/A</v>
          </cell>
          <cell r="E674">
            <v>18.856363636363671</v>
          </cell>
          <cell r="F674">
            <v>37.947272727272818</v>
          </cell>
          <cell r="G674">
            <v>33.401818181817788</v>
          </cell>
          <cell r="H674">
            <v>33.401818181817788</v>
          </cell>
          <cell r="I674" t="e">
            <v>#N/A</v>
          </cell>
          <cell r="J674" t="e">
            <v>#N/A</v>
          </cell>
          <cell r="K674" t="e">
            <v>#N/A</v>
          </cell>
          <cell r="L674" t="e">
            <v>#N/A</v>
          </cell>
          <cell r="M674" t="e">
            <v>#N/A</v>
          </cell>
          <cell r="N674" t="e">
            <v>#N/A</v>
          </cell>
          <cell r="O674" t="e">
            <v>#N/A</v>
          </cell>
          <cell r="P674">
            <v>34.65</v>
          </cell>
          <cell r="Q674" t="str">
            <v/>
          </cell>
          <cell r="R674" t="e">
            <v>#N/A</v>
          </cell>
        </row>
        <row r="675">
          <cell r="A675">
            <v>40128</v>
          </cell>
          <cell r="B675">
            <v>40128</v>
          </cell>
          <cell r="C675" t="str">
            <v>Future</v>
          </cell>
          <cell r="D675" t="e">
            <v>#N/A</v>
          </cell>
          <cell r="E675">
            <v>18.719723320158138</v>
          </cell>
          <cell r="F675">
            <v>37.976640316205625</v>
          </cell>
          <cell r="G675">
            <v>33.391660079050986</v>
          </cell>
          <cell r="H675">
            <v>33.391660079050986</v>
          </cell>
          <cell r="I675" t="e">
            <v>#N/A</v>
          </cell>
          <cell r="J675" t="e">
            <v>#N/A</v>
          </cell>
          <cell r="K675" t="e">
            <v>#N/A</v>
          </cell>
          <cell r="L675" t="e">
            <v>#N/A</v>
          </cell>
          <cell r="M675" t="e">
            <v>#N/A</v>
          </cell>
          <cell r="N675" t="e">
            <v>#N/A</v>
          </cell>
          <cell r="O675" t="e">
            <v>#N/A</v>
          </cell>
          <cell r="P675">
            <v>34.65</v>
          </cell>
          <cell r="Q675" t="str">
            <v/>
          </cell>
          <cell r="R675" t="e">
            <v>#N/A</v>
          </cell>
        </row>
        <row r="676">
          <cell r="A676">
            <v>40129</v>
          </cell>
          <cell r="B676">
            <v>40129</v>
          </cell>
          <cell r="C676" t="str">
            <v>Future</v>
          </cell>
          <cell r="D676" t="e">
            <v>#N/A</v>
          </cell>
          <cell r="E676">
            <v>18.583083003952606</v>
          </cell>
          <cell r="F676">
            <v>38.006007905138432</v>
          </cell>
          <cell r="G676">
            <v>33.381501976284184</v>
          </cell>
          <cell r="H676">
            <v>33.381501976284184</v>
          </cell>
          <cell r="I676" t="e">
            <v>#N/A</v>
          </cell>
          <cell r="J676" t="e">
            <v>#N/A</v>
          </cell>
          <cell r="K676" t="e">
            <v>#N/A</v>
          </cell>
          <cell r="L676" t="e">
            <v>#N/A</v>
          </cell>
          <cell r="M676" t="e">
            <v>#N/A</v>
          </cell>
          <cell r="N676" t="e">
            <v>#N/A</v>
          </cell>
          <cell r="O676" t="e">
            <v>#N/A</v>
          </cell>
          <cell r="P676">
            <v>34.65</v>
          </cell>
          <cell r="Q676" t="str">
            <v/>
          </cell>
          <cell r="R676" t="e">
            <v>#N/A</v>
          </cell>
        </row>
        <row r="677">
          <cell r="A677">
            <v>40130</v>
          </cell>
          <cell r="B677">
            <v>40130</v>
          </cell>
          <cell r="C677" t="str">
            <v>Future</v>
          </cell>
          <cell r="D677" t="e">
            <v>#N/A</v>
          </cell>
          <cell r="E677">
            <v>18.446442687747073</v>
          </cell>
          <cell r="F677">
            <v>38.035375494071239</v>
          </cell>
          <cell r="G677">
            <v>33.371343873517382</v>
          </cell>
          <cell r="H677">
            <v>33.371343873517382</v>
          </cell>
          <cell r="I677" t="e">
            <v>#N/A</v>
          </cell>
          <cell r="J677" t="e">
            <v>#N/A</v>
          </cell>
          <cell r="K677" t="e">
            <v>#N/A</v>
          </cell>
          <cell r="L677" t="e">
            <v>#N/A</v>
          </cell>
          <cell r="M677" t="e">
            <v>#N/A</v>
          </cell>
          <cell r="N677" t="e">
            <v>#N/A</v>
          </cell>
          <cell r="O677" t="e">
            <v>#N/A</v>
          </cell>
          <cell r="P677">
            <v>34.65</v>
          </cell>
          <cell r="Q677" t="str">
            <v/>
          </cell>
          <cell r="R677" t="e">
            <v>#N/A</v>
          </cell>
        </row>
        <row r="678">
          <cell r="A678">
            <v>40133</v>
          </cell>
          <cell r="B678">
            <v>40133</v>
          </cell>
          <cell r="C678" t="str">
            <v>Future</v>
          </cell>
          <cell r="D678" t="e">
            <v>#N/A</v>
          </cell>
          <cell r="E678">
            <v>18.30980237154154</v>
          </cell>
          <cell r="F678">
            <v>38.064743083004046</v>
          </cell>
          <cell r="G678">
            <v>33.361185770750581</v>
          </cell>
          <cell r="H678">
            <v>33.361185770750581</v>
          </cell>
          <cell r="I678" t="e">
            <v>#N/A</v>
          </cell>
          <cell r="J678" t="e">
            <v>#N/A</v>
          </cell>
          <cell r="K678" t="e">
            <v>#N/A</v>
          </cell>
          <cell r="L678" t="e">
            <v>#N/A</v>
          </cell>
          <cell r="M678" t="e">
            <v>#N/A</v>
          </cell>
          <cell r="N678" t="e">
            <v>#N/A</v>
          </cell>
          <cell r="O678" t="e">
            <v>#N/A</v>
          </cell>
          <cell r="P678">
            <v>34.65</v>
          </cell>
          <cell r="Q678" t="str">
            <v/>
          </cell>
          <cell r="R678" t="e">
            <v>#N/A</v>
          </cell>
        </row>
        <row r="679">
          <cell r="A679">
            <v>40134</v>
          </cell>
          <cell r="B679">
            <v>40134</v>
          </cell>
          <cell r="C679" t="str">
            <v>Future</v>
          </cell>
          <cell r="D679" t="e">
            <v>#N/A</v>
          </cell>
          <cell r="E679">
            <v>18.173162055336007</v>
          </cell>
          <cell r="F679">
            <v>38.094110671936853</v>
          </cell>
          <cell r="G679">
            <v>33.351027667983779</v>
          </cell>
          <cell r="H679">
            <v>33.351027667983779</v>
          </cell>
          <cell r="I679" t="e">
            <v>#N/A</v>
          </cell>
          <cell r="J679" t="e">
            <v>#N/A</v>
          </cell>
          <cell r="K679" t="e">
            <v>#N/A</v>
          </cell>
          <cell r="L679" t="e">
            <v>#N/A</v>
          </cell>
          <cell r="M679" t="e">
            <v>#N/A</v>
          </cell>
          <cell r="N679" t="e">
            <v>#N/A</v>
          </cell>
          <cell r="O679" t="e">
            <v>#N/A</v>
          </cell>
          <cell r="P679">
            <v>34.65</v>
          </cell>
          <cell r="Q679" t="str">
            <v/>
          </cell>
          <cell r="R679" t="e">
            <v>#N/A</v>
          </cell>
        </row>
        <row r="680">
          <cell r="A680">
            <v>40135</v>
          </cell>
          <cell r="B680">
            <v>40135</v>
          </cell>
          <cell r="C680" t="str">
            <v>Future</v>
          </cell>
          <cell r="D680" t="e">
            <v>#N/A</v>
          </cell>
          <cell r="E680">
            <v>18.036521739130475</v>
          </cell>
          <cell r="F680">
            <v>38.123478260869661</v>
          </cell>
          <cell r="G680">
            <v>33.340869565216977</v>
          </cell>
          <cell r="H680">
            <v>33.340869565216977</v>
          </cell>
          <cell r="I680" t="e">
            <v>#N/A</v>
          </cell>
          <cell r="J680" t="e">
            <v>#N/A</v>
          </cell>
          <cell r="K680" t="e">
            <v>#N/A</v>
          </cell>
          <cell r="L680" t="e">
            <v>#N/A</v>
          </cell>
          <cell r="M680" t="e">
            <v>#N/A</v>
          </cell>
          <cell r="N680" t="e">
            <v>#N/A</v>
          </cell>
          <cell r="O680" t="e">
            <v>#N/A</v>
          </cell>
          <cell r="P680">
            <v>34.65</v>
          </cell>
          <cell r="Q680" t="str">
            <v/>
          </cell>
          <cell r="R680" t="e">
            <v>#N/A</v>
          </cell>
        </row>
        <row r="681">
          <cell r="A681">
            <v>40136</v>
          </cell>
          <cell r="B681">
            <v>40136</v>
          </cell>
          <cell r="C681" t="str">
            <v>Future</v>
          </cell>
          <cell r="D681" t="e">
            <v>#N/A</v>
          </cell>
          <cell r="E681">
            <v>17.899881422924942</v>
          </cell>
          <cell r="F681">
            <v>38.152845849802468</v>
          </cell>
          <cell r="G681">
            <v>33.330711462450175</v>
          </cell>
          <cell r="H681">
            <v>33.330711462450175</v>
          </cell>
          <cell r="I681" t="e">
            <v>#N/A</v>
          </cell>
          <cell r="J681" t="e">
            <v>#N/A</v>
          </cell>
          <cell r="K681" t="e">
            <v>#N/A</v>
          </cell>
          <cell r="L681" t="e">
            <v>#N/A</v>
          </cell>
          <cell r="M681" t="e">
            <v>#N/A</v>
          </cell>
          <cell r="N681" t="e">
            <v>#N/A</v>
          </cell>
          <cell r="O681" t="e">
            <v>#N/A</v>
          </cell>
          <cell r="P681">
            <v>34.65</v>
          </cell>
          <cell r="Q681" t="str">
            <v/>
          </cell>
          <cell r="R681" t="e">
            <v>#N/A</v>
          </cell>
        </row>
        <row r="682">
          <cell r="A682">
            <v>40137</v>
          </cell>
          <cell r="B682">
            <v>40137</v>
          </cell>
          <cell r="C682" t="str">
            <v>Future</v>
          </cell>
          <cell r="D682" t="e">
            <v>#N/A</v>
          </cell>
          <cell r="E682">
            <v>17.763241106719409</v>
          </cell>
          <cell r="F682">
            <v>38.182213438735275</v>
          </cell>
          <cell r="G682">
            <v>33.320553359683373</v>
          </cell>
          <cell r="H682">
            <v>33.320553359683373</v>
          </cell>
          <cell r="I682" t="e">
            <v>#N/A</v>
          </cell>
          <cell r="J682" t="e">
            <v>#N/A</v>
          </cell>
          <cell r="K682" t="e">
            <v>#N/A</v>
          </cell>
          <cell r="L682" t="e">
            <v>#N/A</v>
          </cell>
          <cell r="M682" t="e">
            <v>#N/A</v>
          </cell>
          <cell r="N682" t="e">
            <v>#N/A</v>
          </cell>
          <cell r="O682" t="e">
            <v>#N/A</v>
          </cell>
          <cell r="P682">
            <v>34.65</v>
          </cell>
          <cell r="Q682" t="str">
            <v/>
          </cell>
          <cell r="R682" t="e">
            <v>#N/A</v>
          </cell>
        </row>
        <row r="683">
          <cell r="A683">
            <v>40140</v>
          </cell>
          <cell r="B683">
            <v>40140</v>
          </cell>
          <cell r="C683" t="str">
            <v>Future</v>
          </cell>
          <cell r="D683" t="e">
            <v>#N/A</v>
          </cell>
          <cell r="E683">
            <v>17.626600790513876</v>
          </cell>
          <cell r="F683">
            <v>38.211581027668082</v>
          </cell>
          <cell r="G683">
            <v>33.310395256916571</v>
          </cell>
          <cell r="H683">
            <v>33.310395256916571</v>
          </cell>
          <cell r="I683" t="e">
            <v>#N/A</v>
          </cell>
          <cell r="J683" t="e">
            <v>#N/A</v>
          </cell>
          <cell r="K683" t="e">
            <v>#N/A</v>
          </cell>
          <cell r="L683" t="e">
            <v>#N/A</v>
          </cell>
          <cell r="M683" t="e">
            <v>#N/A</v>
          </cell>
          <cell r="N683" t="e">
            <v>#N/A</v>
          </cell>
          <cell r="O683" t="e">
            <v>#N/A</v>
          </cell>
          <cell r="P683">
            <v>34.65</v>
          </cell>
          <cell r="Q683" t="str">
            <v/>
          </cell>
          <cell r="R683" t="e">
            <v>#N/A</v>
          </cell>
        </row>
        <row r="684">
          <cell r="A684">
            <v>40141</v>
          </cell>
          <cell r="B684">
            <v>40141</v>
          </cell>
          <cell r="C684" t="str">
            <v>Future</v>
          </cell>
          <cell r="D684" t="e">
            <v>#N/A</v>
          </cell>
          <cell r="E684">
            <v>17.489960474308344</v>
          </cell>
          <cell r="F684">
            <v>38.240948616600889</v>
          </cell>
          <cell r="G684">
            <v>33.300237154149769</v>
          </cell>
          <cell r="H684">
            <v>33.300237154149769</v>
          </cell>
          <cell r="I684" t="e">
            <v>#N/A</v>
          </cell>
          <cell r="J684" t="e">
            <v>#N/A</v>
          </cell>
          <cell r="K684" t="e">
            <v>#N/A</v>
          </cell>
          <cell r="L684" t="e">
            <v>#N/A</v>
          </cell>
          <cell r="M684" t="e">
            <v>#N/A</v>
          </cell>
          <cell r="N684" t="e">
            <v>#N/A</v>
          </cell>
          <cell r="O684" t="e">
            <v>#N/A</v>
          </cell>
          <cell r="P684">
            <v>34.65</v>
          </cell>
          <cell r="Q684" t="str">
            <v/>
          </cell>
          <cell r="R684" t="e">
            <v>#N/A</v>
          </cell>
        </row>
        <row r="685">
          <cell r="A685">
            <v>40142</v>
          </cell>
          <cell r="B685">
            <v>40142</v>
          </cell>
          <cell r="C685" t="str">
            <v>Future</v>
          </cell>
          <cell r="D685" t="e">
            <v>#N/A</v>
          </cell>
          <cell r="E685">
            <v>17.353320158102811</v>
          </cell>
          <cell r="F685">
            <v>38.270316205533696</v>
          </cell>
          <cell r="G685">
            <v>33.290079051382968</v>
          </cell>
          <cell r="H685">
            <v>33.290079051382968</v>
          </cell>
          <cell r="I685" t="e">
            <v>#N/A</v>
          </cell>
          <cell r="J685" t="e">
            <v>#N/A</v>
          </cell>
          <cell r="K685" t="e">
            <v>#N/A</v>
          </cell>
          <cell r="L685" t="e">
            <v>#N/A</v>
          </cell>
          <cell r="M685" t="e">
            <v>#N/A</v>
          </cell>
          <cell r="N685" t="e">
            <v>#N/A</v>
          </cell>
          <cell r="O685" t="e">
            <v>#N/A</v>
          </cell>
          <cell r="P685">
            <v>34.65</v>
          </cell>
          <cell r="Q685" t="str">
            <v/>
          </cell>
          <cell r="R685" t="e">
            <v>#N/A</v>
          </cell>
        </row>
        <row r="686">
          <cell r="A686">
            <v>40144</v>
          </cell>
          <cell r="B686">
            <v>40144</v>
          </cell>
          <cell r="C686" t="str">
            <v>Future</v>
          </cell>
          <cell r="D686" t="e">
            <v>#N/A</v>
          </cell>
          <cell r="E686">
            <v>17.216679841897278</v>
          </cell>
          <cell r="F686">
            <v>38.299683794466503</v>
          </cell>
          <cell r="G686">
            <v>33.279920948616166</v>
          </cell>
          <cell r="H686">
            <v>33.279920948616166</v>
          </cell>
          <cell r="I686" t="e">
            <v>#N/A</v>
          </cell>
          <cell r="J686" t="e">
            <v>#N/A</v>
          </cell>
          <cell r="K686" t="e">
            <v>#N/A</v>
          </cell>
          <cell r="L686" t="e">
            <v>#N/A</v>
          </cell>
          <cell r="M686" t="e">
            <v>#N/A</v>
          </cell>
          <cell r="N686" t="e">
            <v>#N/A</v>
          </cell>
          <cell r="O686" t="e">
            <v>#N/A</v>
          </cell>
          <cell r="P686">
            <v>34.65</v>
          </cell>
          <cell r="Q686" t="str">
            <v/>
          </cell>
          <cell r="R686" t="e">
            <v>#N/A</v>
          </cell>
        </row>
        <row r="687">
          <cell r="A687">
            <v>40147</v>
          </cell>
          <cell r="B687">
            <v>40147</v>
          </cell>
          <cell r="C687" t="str">
            <v>Future</v>
          </cell>
          <cell r="D687" t="e">
            <v>#N/A</v>
          </cell>
          <cell r="E687">
            <v>17.080039525691745</v>
          </cell>
          <cell r="F687">
            <v>38.32905138339931</v>
          </cell>
          <cell r="G687">
            <v>33.269762845849364</v>
          </cell>
          <cell r="H687">
            <v>33.269762845849364</v>
          </cell>
          <cell r="I687" t="e">
            <v>#N/A</v>
          </cell>
          <cell r="J687" t="e">
            <v>#N/A</v>
          </cell>
          <cell r="K687" t="e">
            <v>#N/A</v>
          </cell>
          <cell r="L687" t="e">
            <v>#N/A</v>
          </cell>
          <cell r="M687" t="e">
            <v>#N/A</v>
          </cell>
          <cell r="N687" t="e">
            <v>#N/A</v>
          </cell>
          <cell r="O687" t="e">
            <v>#N/A</v>
          </cell>
          <cell r="P687">
            <v>34.65</v>
          </cell>
          <cell r="Q687" t="str">
            <v/>
          </cell>
          <cell r="R687" t="e">
            <v>#N/A</v>
          </cell>
        </row>
        <row r="688">
          <cell r="A688">
            <v>40148</v>
          </cell>
          <cell r="B688">
            <v>40148</v>
          </cell>
          <cell r="C688" t="str">
            <v>Future</v>
          </cell>
          <cell r="D688" t="e">
            <v>#N/A</v>
          </cell>
          <cell r="E688">
            <v>16.943399209486213</v>
          </cell>
          <cell r="F688">
            <v>38.358418972332117</v>
          </cell>
          <cell r="G688">
            <v>33.259604743082562</v>
          </cell>
          <cell r="H688">
            <v>33.259604743082562</v>
          </cell>
          <cell r="I688" t="e">
            <v>#N/A</v>
          </cell>
          <cell r="J688" t="e">
            <v>#N/A</v>
          </cell>
          <cell r="K688" t="e">
            <v>#N/A</v>
          </cell>
          <cell r="L688" t="e">
            <v>#N/A</v>
          </cell>
          <cell r="M688" t="e">
            <v>#N/A</v>
          </cell>
          <cell r="N688" t="e">
            <v>#N/A</v>
          </cell>
          <cell r="O688" t="e">
            <v>#N/A</v>
          </cell>
          <cell r="P688">
            <v>34.65</v>
          </cell>
          <cell r="Q688" t="str">
            <v/>
          </cell>
          <cell r="R688" t="e">
            <v>#N/A</v>
          </cell>
        </row>
        <row r="689">
          <cell r="A689">
            <v>40149</v>
          </cell>
          <cell r="B689">
            <v>40149</v>
          </cell>
          <cell r="C689" t="str">
            <v>Future</v>
          </cell>
          <cell r="D689" t="e">
            <v>#N/A</v>
          </cell>
          <cell r="E689">
            <v>16.80675889328068</v>
          </cell>
          <cell r="F689">
            <v>38.387786561264925</v>
          </cell>
          <cell r="G689">
            <v>33.24944664031576</v>
          </cell>
          <cell r="H689">
            <v>33.24944664031576</v>
          </cell>
          <cell r="I689" t="e">
            <v>#N/A</v>
          </cell>
          <cell r="J689" t="e">
            <v>#N/A</v>
          </cell>
          <cell r="K689" t="e">
            <v>#N/A</v>
          </cell>
          <cell r="L689" t="e">
            <v>#N/A</v>
          </cell>
          <cell r="M689" t="e">
            <v>#N/A</v>
          </cell>
          <cell r="N689" t="e">
            <v>#N/A</v>
          </cell>
          <cell r="O689" t="e">
            <v>#N/A</v>
          </cell>
          <cell r="P689">
            <v>34.65</v>
          </cell>
          <cell r="Q689" t="str">
            <v/>
          </cell>
          <cell r="R689" t="e">
            <v>#N/A</v>
          </cell>
        </row>
        <row r="690">
          <cell r="A690">
            <v>40150</v>
          </cell>
          <cell r="B690">
            <v>40150</v>
          </cell>
          <cell r="C690" t="str">
            <v>Future</v>
          </cell>
          <cell r="D690" t="e">
            <v>#N/A</v>
          </cell>
          <cell r="E690">
            <v>16.670118577075147</v>
          </cell>
          <cell r="F690">
            <v>38.417154150197732</v>
          </cell>
          <cell r="G690">
            <v>33.239288537548958</v>
          </cell>
          <cell r="H690">
            <v>33.239288537548958</v>
          </cell>
          <cell r="I690" t="e">
            <v>#N/A</v>
          </cell>
          <cell r="J690" t="e">
            <v>#N/A</v>
          </cell>
          <cell r="K690" t="e">
            <v>#N/A</v>
          </cell>
          <cell r="L690" t="e">
            <v>#N/A</v>
          </cell>
          <cell r="M690" t="e">
            <v>#N/A</v>
          </cell>
          <cell r="N690" t="e">
            <v>#N/A</v>
          </cell>
          <cell r="O690" t="e">
            <v>#N/A</v>
          </cell>
          <cell r="P690">
            <v>34.65</v>
          </cell>
          <cell r="Q690" t="str">
            <v/>
          </cell>
          <cell r="R690" t="e">
            <v>#N/A</v>
          </cell>
        </row>
        <row r="691">
          <cell r="A691">
            <v>40151</v>
          </cell>
          <cell r="B691">
            <v>40151</v>
          </cell>
          <cell r="C691" t="str">
            <v>Future</v>
          </cell>
          <cell r="D691" t="e">
            <v>#N/A</v>
          </cell>
          <cell r="E691">
            <v>16.533478260869614</v>
          </cell>
          <cell r="F691">
            <v>38.446521739130539</v>
          </cell>
          <cell r="G691">
            <v>33.229130434782157</v>
          </cell>
          <cell r="H691">
            <v>33.229130434782157</v>
          </cell>
          <cell r="I691" t="e">
            <v>#N/A</v>
          </cell>
          <cell r="J691" t="e">
            <v>#N/A</v>
          </cell>
          <cell r="K691" t="e">
            <v>#N/A</v>
          </cell>
          <cell r="L691" t="e">
            <v>#N/A</v>
          </cell>
          <cell r="M691" t="e">
            <v>#N/A</v>
          </cell>
          <cell r="N691" t="e">
            <v>#N/A</v>
          </cell>
          <cell r="O691" t="e">
            <v>#N/A</v>
          </cell>
          <cell r="P691">
            <v>34.65</v>
          </cell>
          <cell r="Q691" t="str">
            <v/>
          </cell>
          <cell r="R691" t="e">
            <v>#N/A</v>
          </cell>
        </row>
        <row r="692">
          <cell r="A692">
            <v>40154</v>
          </cell>
          <cell r="B692">
            <v>40154</v>
          </cell>
          <cell r="C692" t="str">
            <v>Future</v>
          </cell>
          <cell r="D692" t="e">
            <v>#N/A</v>
          </cell>
          <cell r="E692">
            <v>16.396837944664082</v>
          </cell>
          <cell r="F692">
            <v>38.475889328063346</v>
          </cell>
          <cell r="G692">
            <v>33.218972332015355</v>
          </cell>
          <cell r="H692">
            <v>33.218972332015355</v>
          </cell>
          <cell r="I692" t="e">
            <v>#N/A</v>
          </cell>
          <cell r="J692" t="e">
            <v>#N/A</v>
          </cell>
          <cell r="K692" t="e">
            <v>#N/A</v>
          </cell>
          <cell r="L692" t="e">
            <v>#N/A</v>
          </cell>
          <cell r="M692" t="e">
            <v>#N/A</v>
          </cell>
          <cell r="N692" t="e">
            <v>#N/A</v>
          </cell>
          <cell r="O692" t="e">
            <v>#N/A</v>
          </cell>
          <cell r="P692">
            <v>34.65</v>
          </cell>
          <cell r="Q692" t="str">
            <v/>
          </cell>
          <cell r="R692" t="e">
            <v>#N/A</v>
          </cell>
        </row>
        <row r="693">
          <cell r="A693">
            <v>40155</v>
          </cell>
          <cell r="B693">
            <v>40155</v>
          </cell>
          <cell r="C693" t="str">
            <v>Future</v>
          </cell>
          <cell r="D693" t="e">
            <v>#N/A</v>
          </cell>
          <cell r="E693">
            <v>16.260197628458549</v>
          </cell>
          <cell r="F693">
            <v>38.505256916996153</v>
          </cell>
          <cell r="G693">
            <v>33.208814229248553</v>
          </cell>
          <cell r="H693">
            <v>33.208814229248553</v>
          </cell>
          <cell r="I693" t="e">
            <v>#N/A</v>
          </cell>
          <cell r="J693" t="e">
            <v>#N/A</v>
          </cell>
          <cell r="K693" t="e">
            <v>#N/A</v>
          </cell>
          <cell r="L693" t="e">
            <v>#N/A</v>
          </cell>
          <cell r="M693" t="e">
            <v>#N/A</v>
          </cell>
          <cell r="N693" t="e">
            <v>#N/A</v>
          </cell>
          <cell r="O693" t="e">
            <v>#N/A</v>
          </cell>
          <cell r="P693">
            <v>34.65</v>
          </cell>
          <cell r="Q693" t="str">
            <v/>
          </cell>
          <cell r="R693" t="e">
            <v>#N/A</v>
          </cell>
        </row>
        <row r="694">
          <cell r="A694">
            <v>40156</v>
          </cell>
          <cell r="B694">
            <v>40156</v>
          </cell>
          <cell r="C694" t="str">
            <v>Future</v>
          </cell>
          <cell r="D694" t="e">
            <v>#N/A</v>
          </cell>
          <cell r="E694">
            <v>16.123557312253016</v>
          </cell>
          <cell r="F694">
            <v>38.53462450592896</v>
          </cell>
          <cell r="G694">
            <v>33.198656126481751</v>
          </cell>
          <cell r="H694">
            <v>33.198656126481751</v>
          </cell>
          <cell r="I694" t="e">
            <v>#N/A</v>
          </cell>
          <cell r="J694" t="e">
            <v>#N/A</v>
          </cell>
          <cell r="K694" t="e">
            <v>#N/A</v>
          </cell>
          <cell r="L694" t="e">
            <v>#N/A</v>
          </cell>
          <cell r="M694" t="e">
            <v>#N/A</v>
          </cell>
          <cell r="N694" t="e">
            <v>#N/A</v>
          </cell>
          <cell r="O694" t="e">
            <v>#N/A</v>
          </cell>
          <cell r="P694">
            <v>34.65</v>
          </cell>
          <cell r="Q694" t="str">
            <v/>
          </cell>
          <cell r="R694" t="e">
            <v>#N/A</v>
          </cell>
        </row>
        <row r="695">
          <cell r="A695">
            <v>40157</v>
          </cell>
          <cell r="B695">
            <v>40157</v>
          </cell>
          <cell r="C695" t="str">
            <v>Future</v>
          </cell>
          <cell r="D695" t="e">
            <v>#N/A</v>
          </cell>
          <cell r="E695">
            <v>15.986916996047484</v>
          </cell>
          <cell r="F695">
            <v>38.563992094861767</v>
          </cell>
          <cell r="G695">
            <v>33.188498023714949</v>
          </cell>
          <cell r="H695">
            <v>33.188498023714949</v>
          </cell>
          <cell r="I695" t="e">
            <v>#N/A</v>
          </cell>
          <cell r="J695" t="e">
            <v>#N/A</v>
          </cell>
          <cell r="K695" t="e">
            <v>#N/A</v>
          </cell>
          <cell r="L695" t="e">
            <v>#N/A</v>
          </cell>
          <cell r="M695" t="e">
            <v>#N/A</v>
          </cell>
          <cell r="N695" t="e">
            <v>#N/A</v>
          </cell>
          <cell r="O695" t="e">
            <v>#N/A</v>
          </cell>
          <cell r="P695">
            <v>34.65</v>
          </cell>
          <cell r="Q695" t="str">
            <v/>
          </cell>
          <cell r="R695" t="e">
            <v>#N/A</v>
          </cell>
        </row>
        <row r="696">
          <cell r="A696">
            <v>40158</v>
          </cell>
          <cell r="B696">
            <v>40158</v>
          </cell>
          <cell r="C696" t="str">
            <v>Future</v>
          </cell>
          <cell r="D696" t="e">
            <v>#N/A</v>
          </cell>
          <cell r="E696">
            <v>15.850276679841951</v>
          </cell>
          <cell r="F696">
            <v>38.593359683794574</v>
          </cell>
          <cell r="G696">
            <v>33.178339920948147</v>
          </cell>
          <cell r="H696">
            <v>33.178339920948147</v>
          </cell>
          <cell r="I696" t="e">
            <v>#N/A</v>
          </cell>
          <cell r="J696" t="e">
            <v>#N/A</v>
          </cell>
          <cell r="K696" t="e">
            <v>#N/A</v>
          </cell>
          <cell r="L696" t="e">
            <v>#N/A</v>
          </cell>
          <cell r="M696" t="e">
            <v>#N/A</v>
          </cell>
          <cell r="N696" t="e">
            <v>#N/A</v>
          </cell>
          <cell r="O696" t="e">
            <v>#N/A</v>
          </cell>
          <cell r="P696">
            <v>34.65</v>
          </cell>
          <cell r="Q696" t="str">
            <v/>
          </cell>
          <cell r="R696" t="e">
            <v>#N/A</v>
          </cell>
        </row>
        <row r="697">
          <cell r="A697">
            <v>40161</v>
          </cell>
          <cell r="B697">
            <v>40161</v>
          </cell>
          <cell r="C697" t="str">
            <v>Future</v>
          </cell>
          <cell r="D697" t="e">
            <v>#N/A</v>
          </cell>
          <cell r="E697">
            <v>15.713636363636418</v>
          </cell>
          <cell r="F697">
            <v>38.622727272727381</v>
          </cell>
          <cell r="G697">
            <v>33.168181818181345</v>
          </cell>
          <cell r="H697">
            <v>33.168181818181345</v>
          </cell>
          <cell r="I697" t="e">
            <v>#N/A</v>
          </cell>
          <cell r="J697" t="e">
            <v>#N/A</v>
          </cell>
          <cell r="K697" t="e">
            <v>#N/A</v>
          </cell>
          <cell r="L697" t="e">
            <v>#N/A</v>
          </cell>
          <cell r="M697" t="e">
            <v>#N/A</v>
          </cell>
          <cell r="N697" t="e">
            <v>#N/A</v>
          </cell>
          <cell r="O697" t="e">
            <v>#N/A</v>
          </cell>
          <cell r="P697">
            <v>34.65</v>
          </cell>
          <cell r="Q697" t="str">
            <v/>
          </cell>
          <cell r="R697" t="e">
            <v>#N/A</v>
          </cell>
        </row>
        <row r="698">
          <cell r="A698">
            <v>40162</v>
          </cell>
          <cell r="B698">
            <v>40162</v>
          </cell>
          <cell r="C698" t="str">
            <v>Future</v>
          </cell>
          <cell r="D698" t="e">
            <v>#N/A</v>
          </cell>
          <cell r="E698">
            <v>15.576996047430885</v>
          </cell>
          <cell r="F698">
            <v>38.652094861660188</v>
          </cell>
          <cell r="G698">
            <v>33.158023715414544</v>
          </cell>
          <cell r="H698">
            <v>33.158023715414544</v>
          </cell>
          <cell r="I698" t="e">
            <v>#N/A</v>
          </cell>
          <cell r="J698" t="e">
            <v>#N/A</v>
          </cell>
          <cell r="K698" t="e">
            <v>#N/A</v>
          </cell>
          <cell r="L698" t="e">
            <v>#N/A</v>
          </cell>
          <cell r="M698" t="e">
            <v>#N/A</v>
          </cell>
          <cell r="N698" t="e">
            <v>#N/A</v>
          </cell>
          <cell r="O698" t="e">
            <v>#N/A</v>
          </cell>
          <cell r="P698">
            <v>34.65</v>
          </cell>
          <cell r="Q698" t="str">
            <v/>
          </cell>
          <cell r="R698" t="e">
            <v>#N/A</v>
          </cell>
        </row>
        <row r="699">
          <cell r="A699">
            <v>40163</v>
          </cell>
          <cell r="B699">
            <v>40163</v>
          </cell>
          <cell r="C699" t="str">
            <v>Future</v>
          </cell>
          <cell r="D699" t="e">
            <v>#N/A</v>
          </cell>
          <cell r="E699">
            <v>15.440355731225353</v>
          </cell>
          <cell r="F699">
            <v>38.681462450592996</v>
          </cell>
          <cell r="G699">
            <v>33.147865612647742</v>
          </cell>
          <cell r="H699">
            <v>33.147865612647742</v>
          </cell>
          <cell r="I699" t="e">
            <v>#N/A</v>
          </cell>
          <cell r="J699" t="e">
            <v>#N/A</v>
          </cell>
          <cell r="K699" t="e">
            <v>#N/A</v>
          </cell>
          <cell r="L699" t="e">
            <v>#N/A</v>
          </cell>
          <cell r="M699" t="e">
            <v>#N/A</v>
          </cell>
          <cell r="N699" t="e">
            <v>#N/A</v>
          </cell>
          <cell r="O699" t="e">
            <v>#N/A</v>
          </cell>
          <cell r="P699">
            <v>34.65</v>
          </cell>
          <cell r="Q699" t="str">
            <v/>
          </cell>
          <cell r="R699" t="e">
            <v>#N/A</v>
          </cell>
        </row>
        <row r="700">
          <cell r="A700">
            <v>40164</v>
          </cell>
          <cell r="B700">
            <v>40164</v>
          </cell>
          <cell r="C700" t="str">
            <v>Future</v>
          </cell>
          <cell r="D700" t="e">
            <v>#N/A</v>
          </cell>
          <cell r="E700">
            <v>15.30371541501982</v>
          </cell>
          <cell r="F700">
            <v>38.710830039525803</v>
          </cell>
          <cell r="G700">
            <v>33.13770750988094</v>
          </cell>
          <cell r="H700">
            <v>33.13770750988094</v>
          </cell>
          <cell r="I700" t="e">
            <v>#N/A</v>
          </cell>
          <cell r="J700" t="e">
            <v>#N/A</v>
          </cell>
          <cell r="K700" t="e">
            <v>#N/A</v>
          </cell>
          <cell r="L700" t="e">
            <v>#N/A</v>
          </cell>
          <cell r="M700" t="e">
            <v>#N/A</v>
          </cell>
          <cell r="N700" t="e">
            <v>#N/A</v>
          </cell>
          <cell r="O700" t="e">
            <v>#N/A</v>
          </cell>
          <cell r="P700">
            <v>34.65</v>
          </cell>
          <cell r="Q700" t="str">
            <v/>
          </cell>
          <cell r="R700" t="e">
            <v>#N/A</v>
          </cell>
        </row>
        <row r="701">
          <cell r="A701">
            <v>40165</v>
          </cell>
          <cell r="B701">
            <v>40165</v>
          </cell>
          <cell r="C701" t="str">
            <v>Future</v>
          </cell>
          <cell r="D701" t="e">
            <v>#N/A</v>
          </cell>
          <cell r="E701">
            <v>15.167075098814287</v>
          </cell>
          <cell r="F701">
            <v>38.74019762845861</v>
          </cell>
          <cell r="G701">
            <v>33.127549407114138</v>
          </cell>
          <cell r="H701">
            <v>33.127549407114138</v>
          </cell>
          <cell r="I701" t="e">
            <v>#N/A</v>
          </cell>
          <cell r="J701" t="e">
            <v>#N/A</v>
          </cell>
          <cell r="K701" t="e">
            <v>#N/A</v>
          </cell>
          <cell r="L701" t="e">
            <v>#N/A</v>
          </cell>
          <cell r="M701" t="e">
            <v>#N/A</v>
          </cell>
          <cell r="N701" t="e">
            <v>#N/A</v>
          </cell>
          <cell r="O701" t="e">
            <v>#N/A</v>
          </cell>
          <cell r="P701">
            <v>34.65</v>
          </cell>
          <cell r="Q701" t="str">
            <v/>
          </cell>
          <cell r="R701" t="e">
            <v>#N/A</v>
          </cell>
        </row>
        <row r="702">
          <cell r="A702">
            <v>40168</v>
          </cell>
          <cell r="B702">
            <v>40168</v>
          </cell>
          <cell r="C702" t="str">
            <v>Future</v>
          </cell>
          <cell r="D702" t="e">
            <v>#N/A</v>
          </cell>
          <cell r="E702">
            <v>15.030434782608754</v>
          </cell>
          <cell r="F702">
            <v>38.769565217391417</v>
          </cell>
          <cell r="G702">
            <v>33.117391304347336</v>
          </cell>
          <cell r="H702">
            <v>33.117391304347336</v>
          </cell>
          <cell r="I702" t="e">
            <v>#N/A</v>
          </cell>
          <cell r="J702" t="e">
            <v>#N/A</v>
          </cell>
          <cell r="K702" t="e">
            <v>#N/A</v>
          </cell>
          <cell r="L702" t="e">
            <v>#N/A</v>
          </cell>
          <cell r="M702" t="e">
            <v>#N/A</v>
          </cell>
          <cell r="N702" t="e">
            <v>#N/A</v>
          </cell>
          <cell r="O702" t="e">
            <v>#N/A</v>
          </cell>
          <cell r="P702">
            <v>34.65</v>
          </cell>
          <cell r="Q702" t="str">
            <v/>
          </cell>
          <cell r="R702" t="e">
            <v>#N/A</v>
          </cell>
        </row>
        <row r="703">
          <cell r="A703">
            <v>40169</v>
          </cell>
          <cell r="B703">
            <v>40169</v>
          </cell>
          <cell r="C703" t="str">
            <v>Future</v>
          </cell>
          <cell r="D703" t="e">
            <v>#N/A</v>
          </cell>
          <cell r="E703">
            <v>14.893794466403222</v>
          </cell>
          <cell r="F703">
            <v>38.798932806324224</v>
          </cell>
          <cell r="G703">
            <v>33.107233201580534</v>
          </cell>
          <cell r="H703">
            <v>33.107233201580534</v>
          </cell>
          <cell r="I703" t="e">
            <v>#N/A</v>
          </cell>
          <cell r="J703" t="e">
            <v>#N/A</v>
          </cell>
          <cell r="K703" t="e">
            <v>#N/A</v>
          </cell>
          <cell r="L703" t="e">
            <v>#N/A</v>
          </cell>
          <cell r="M703" t="e">
            <v>#N/A</v>
          </cell>
          <cell r="N703" t="e">
            <v>#N/A</v>
          </cell>
          <cell r="O703" t="e">
            <v>#N/A</v>
          </cell>
          <cell r="P703">
            <v>34.65</v>
          </cell>
          <cell r="Q703" t="str">
            <v/>
          </cell>
          <cell r="R703" t="e">
            <v>#N/A</v>
          </cell>
        </row>
        <row r="704">
          <cell r="A704">
            <v>40170</v>
          </cell>
          <cell r="B704">
            <v>40170</v>
          </cell>
          <cell r="C704" t="str">
            <v>Future</v>
          </cell>
          <cell r="D704" t="e">
            <v>#N/A</v>
          </cell>
          <cell r="E704">
            <v>14.757154150197689</v>
          </cell>
          <cell r="F704">
            <v>38.828300395257031</v>
          </cell>
          <cell r="G704">
            <v>33.097075098813733</v>
          </cell>
          <cell r="H704">
            <v>33.097075098813733</v>
          </cell>
          <cell r="I704" t="e">
            <v>#N/A</v>
          </cell>
          <cell r="J704" t="e">
            <v>#N/A</v>
          </cell>
          <cell r="K704" t="e">
            <v>#N/A</v>
          </cell>
          <cell r="L704" t="e">
            <v>#N/A</v>
          </cell>
          <cell r="M704" t="e">
            <v>#N/A</v>
          </cell>
          <cell r="N704" t="e">
            <v>#N/A</v>
          </cell>
          <cell r="O704" t="e">
            <v>#N/A</v>
          </cell>
          <cell r="P704">
            <v>34.65</v>
          </cell>
          <cell r="Q704" t="str">
            <v/>
          </cell>
          <cell r="R704" t="e">
            <v>#N/A</v>
          </cell>
        </row>
        <row r="705">
          <cell r="A705">
            <v>40171</v>
          </cell>
          <cell r="B705">
            <v>40171</v>
          </cell>
          <cell r="C705" t="str">
            <v>Future</v>
          </cell>
          <cell r="D705" t="e">
            <v>#N/A</v>
          </cell>
          <cell r="E705">
            <v>14.620513833992156</v>
          </cell>
          <cell r="F705">
            <v>38.857667984189838</v>
          </cell>
          <cell r="G705">
            <v>33.086916996046931</v>
          </cell>
          <cell r="H705">
            <v>33.086916996046931</v>
          </cell>
          <cell r="I705" t="e">
            <v>#N/A</v>
          </cell>
          <cell r="J705" t="e">
            <v>#N/A</v>
          </cell>
          <cell r="K705" t="e">
            <v>#N/A</v>
          </cell>
          <cell r="L705" t="e">
            <v>#N/A</v>
          </cell>
          <cell r="M705" t="e">
            <v>#N/A</v>
          </cell>
          <cell r="N705" t="e">
            <v>#N/A</v>
          </cell>
          <cell r="O705" t="e">
            <v>#N/A</v>
          </cell>
          <cell r="P705">
            <v>34.65</v>
          </cell>
          <cell r="Q705" t="str">
            <v/>
          </cell>
          <cell r="R705" t="e">
            <v>#N/A</v>
          </cell>
        </row>
        <row r="706">
          <cell r="A706">
            <v>40175</v>
          </cell>
          <cell r="B706">
            <v>40175</v>
          </cell>
          <cell r="C706" t="str">
            <v>Future</v>
          </cell>
          <cell r="D706" t="e">
            <v>#N/A</v>
          </cell>
          <cell r="E706">
            <v>14.483873517786623</v>
          </cell>
          <cell r="F706">
            <v>38.887035573122645</v>
          </cell>
          <cell r="G706">
            <v>33.076758893280129</v>
          </cell>
          <cell r="H706">
            <v>33.076758893280129</v>
          </cell>
          <cell r="I706" t="e">
            <v>#N/A</v>
          </cell>
          <cell r="J706" t="e">
            <v>#N/A</v>
          </cell>
          <cell r="K706" t="e">
            <v>#N/A</v>
          </cell>
          <cell r="L706" t="e">
            <v>#N/A</v>
          </cell>
          <cell r="M706" t="e">
            <v>#N/A</v>
          </cell>
          <cell r="N706" t="e">
            <v>#N/A</v>
          </cell>
          <cell r="O706" t="e">
            <v>#N/A</v>
          </cell>
          <cell r="P706">
            <v>34.65</v>
          </cell>
          <cell r="Q706" t="str">
            <v/>
          </cell>
          <cell r="R706" t="e">
            <v>#N/A</v>
          </cell>
        </row>
        <row r="707">
          <cell r="A707">
            <v>40176</v>
          </cell>
          <cell r="B707">
            <v>40176</v>
          </cell>
          <cell r="C707" t="str">
            <v>Future</v>
          </cell>
          <cell r="D707" t="e">
            <v>#N/A</v>
          </cell>
          <cell r="E707">
            <v>14.347233201581091</v>
          </cell>
          <cell r="F707">
            <v>38.916403162055452</v>
          </cell>
          <cell r="G707">
            <v>33.066600790513327</v>
          </cell>
          <cell r="H707">
            <v>33.066600790513327</v>
          </cell>
          <cell r="I707" t="e">
            <v>#N/A</v>
          </cell>
          <cell r="J707" t="e">
            <v>#N/A</v>
          </cell>
          <cell r="K707" t="e">
            <v>#N/A</v>
          </cell>
          <cell r="L707" t="e">
            <v>#N/A</v>
          </cell>
          <cell r="M707" t="e">
            <v>#N/A</v>
          </cell>
          <cell r="N707" t="e">
            <v>#N/A</v>
          </cell>
          <cell r="O707" t="e">
            <v>#N/A</v>
          </cell>
          <cell r="P707">
            <v>34.65</v>
          </cell>
          <cell r="Q707" t="str">
            <v/>
          </cell>
          <cell r="R707" t="e">
            <v>#N/A</v>
          </cell>
        </row>
        <row r="708">
          <cell r="A708">
            <v>40177</v>
          </cell>
          <cell r="B708">
            <v>40177</v>
          </cell>
          <cell r="C708" t="str">
            <v>Future</v>
          </cell>
          <cell r="D708" t="e">
            <v>#N/A</v>
          </cell>
          <cell r="E708">
            <v>14.210592885375558</v>
          </cell>
          <cell r="F708">
            <v>38.94577075098826</v>
          </cell>
          <cell r="G708">
            <v>33.056442687746525</v>
          </cell>
          <cell r="H708">
            <v>33.056442687746525</v>
          </cell>
          <cell r="I708" t="e">
            <v>#N/A</v>
          </cell>
          <cell r="J708" t="e">
            <v>#N/A</v>
          </cell>
          <cell r="K708" t="e">
            <v>#N/A</v>
          </cell>
          <cell r="L708" t="e">
            <v>#N/A</v>
          </cell>
          <cell r="M708" t="e">
            <v>#N/A</v>
          </cell>
          <cell r="N708" t="e">
            <v>#N/A</v>
          </cell>
          <cell r="O708" t="e">
            <v>#N/A</v>
          </cell>
          <cell r="P708">
            <v>34.65</v>
          </cell>
          <cell r="Q708" t="str">
            <v/>
          </cell>
          <cell r="R708" t="e">
            <v>#N/A</v>
          </cell>
        </row>
        <row r="709">
          <cell r="A709">
            <v>40178</v>
          </cell>
          <cell r="B709">
            <v>40178</v>
          </cell>
          <cell r="C709" t="str">
            <v>Future</v>
          </cell>
          <cell r="D709" t="e">
            <v>#N/A</v>
          </cell>
          <cell r="E709">
            <v>14.073952569170025</v>
          </cell>
          <cell r="F709">
            <v>38.975138339921067</v>
          </cell>
          <cell r="G709">
            <v>33.046284584979723</v>
          </cell>
          <cell r="H709">
            <v>33.046284584979723</v>
          </cell>
          <cell r="I709" t="e">
            <v>#N/A</v>
          </cell>
          <cell r="J709" t="e">
            <v>#N/A</v>
          </cell>
          <cell r="K709" t="e">
            <v>#N/A</v>
          </cell>
          <cell r="L709" t="e">
            <v>#N/A</v>
          </cell>
          <cell r="M709" t="e">
            <v>#N/A</v>
          </cell>
          <cell r="N709" t="e">
            <v>#N/A</v>
          </cell>
          <cell r="O709" t="e">
            <v>#N/A</v>
          </cell>
          <cell r="P709">
            <v>34.65</v>
          </cell>
          <cell r="Q709" t="str">
            <v/>
          </cell>
          <cell r="R709" t="e">
            <v>#N/A</v>
          </cell>
        </row>
        <row r="710">
          <cell r="A710">
            <v>40182</v>
          </cell>
          <cell r="B710">
            <v>40182</v>
          </cell>
          <cell r="C710" t="str">
            <v>Future</v>
          </cell>
          <cell r="D710" t="e">
            <v>#N/A</v>
          </cell>
          <cell r="E710">
            <v>13.937312252964492</v>
          </cell>
          <cell r="F710">
            <v>39.004505928853874</v>
          </cell>
          <cell r="G710">
            <v>33.036126482212921</v>
          </cell>
          <cell r="H710">
            <v>33.036126482212921</v>
          </cell>
          <cell r="I710" t="e">
            <v>#N/A</v>
          </cell>
          <cell r="J710" t="e">
            <v>#N/A</v>
          </cell>
          <cell r="K710" t="e">
            <v>#N/A</v>
          </cell>
          <cell r="L710" t="e">
            <v>#N/A</v>
          </cell>
          <cell r="M710" t="e">
            <v>#N/A</v>
          </cell>
          <cell r="N710" t="e">
            <v>#N/A</v>
          </cell>
          <cell r="O710" t="e">
            <v>#N/A</v>
          </cell>
          <cell r="P710">
            <v>34.65</v>
          </cell>
          <cell r="Q710" t="str">
            <v/>
          </cell>
          <cell r="R710" t="e">
            <v>#N/A</v>
          </cell>
        </row>
        <row r="711">
          <cell r="A711">
            <v>40183</v>
          </cell>
          <cell r="B711">
            <v>40183</v>
          </cell>
          <cell r="C711" t="str">
            <v>Future</v>
          </cell>
          <cell r="D711" t="e">
            <v>#N/A</v>
          </cell>
          <cell r="E711">
            <v>13.80067193675896</v>
          </cell>
          <cell r="F711">
            <v>39.033873517786681</v>
          </cell>
          <cell r="G711">
            <v>33.02596837944612</v>
          </cell>
          <cell r="H711">
            <v>33.02596837944612</v>
          </cell>
          <cell r="I711" t="e">
            <v>#N/A</v>
          </cell>
          <cell r="J711" t="e">
            <v>#N/A</v>
          </cell>
          <cell r="K711" t="e">
            <v>#N/A</v>
          </cell>
          <cell r="L711" t="e">
            <v>#N/A</v>
          </cell>
          <cell r="M711" t="e">
            <v>#N/A</v>
          </cell>
          <cell r="N711" t="e">
            <v>#N/A</v>
          </cell>
          <cell r="O711" t="e">
            <v>#N/A</v>
          </cell>
          <cell r="P711">
            <v>34.65</v>
          </cell>
          <cell r="Q711" t="str">
            <v/>
          </cell>
          <cell r="R711" t="e">
            <v>#N/A</v>
          </cell>
        </row>
        <row r="712">
          <cell r="A712">
            <v>40184</v>
          </cell>
          <cell r="B712">
            <v>40184</v>
          </cell>
          <cell r="C712" t="str">
            <v>Future</v>
          </cell>
          <cell r="D712" t="e">
            <v>#N/A</v>
          </cell>
          <cell r="E712">
            <v>13.664031620553427</v>
          </cell>
          <cell r="F712">
            <v>39.063241106719488</v>
          </cell>
          <cell r="G712">
            <v>33.015810276679318</v>
          </cell>
          <cell r="H712">
            <v>33.015810276679318</v>
          </cell>
          <cell r="I712" t="e">
            <v>#N/A</v>
          </cell>
          <cell r="J712" t="e">
            <v>#N/A</v>
          </cell>
          <cell r="K712" t="e">
            <v>#N/A</v>
          </cell>
          <cell r="L712" t="e">
            <v>#N/A</v>
          </cell>
          <cell r="M712" t="e">
            <v>#N/A</v>
          </cell>
          <cell r="N712" t="e">
            <v>#N/A</v>
          </cell>
          <cell r="O712" t="e">
            <v>#N/A</v>
          </cell>
          <cell r="P712">
            <v>34.65</v>
          </cell>
          <cell r="Q712" t="str">
            <v/>
          </cell>
          <cell r="R712" t="e">
            <v>#N/A</v>
          </cell>
        </row>
        <row r="713">
          <cell r="A713">
            <v>40185</v>
          </cell>
          <cell r="B713">
            <v>40185</v>
          </cell>
          <cell r="C713" t="str">
            <v>Future</v>
          </cell>
          <cell r="D713" t="e">
            <v>#N/A</v>
          </cell>
          <cell r="E713">
            <v>13.527391304347894</v>
          </cell>
          <cell r="F713">
            <v>39.092608695652295</v>
          </cell>
          <cell r="G713">
            <v>33.005652173912516</v>
          </cell>
          <cell r="H713">
            <v>33.005652173912516</v>
          </cell>
          <cell r="I713" t="e">
            <v>#N/A</v>
          </cell>
          <cell r="J713" t="e">
            <v>#N/A</v>
          </cell>
          <cell r="K713" t="e">
            <v>#N/A</v>
          </cell>
          <cell r="L713" t="e">
            <v>#N/A</v>
          </cell>
          <cell r="M713" t="e">
            <v>#N/A</v>
          </cell>
          <cell r="N713" t="e">
            <v>#N/A</v>
          </cell>
          <cell r="O713" t="e">
            <v>#N/A</v>
          </cell>
          <cell r="P713">
            <v>34.65</v>
          </cell>
          <cell r="Q713" t="str">
            <v/>
          </cell>
          <cell r="R713" t="e">
            <v>#N/A</v>
          </cell>
        </row>
        <row r="714">
          <cell r="A714">
            <v>40186</v>
          </cell>
          <cell r="B714">
            <v>40186</v>
          </cell>
          <cell r="C714" t="str">
            <v>Future</v>
          </cell>
          <cell r="D714" t="e">
            <v>#N/A</v>
          </cell>
          <cell r="E714">
            <v>13.390750988142361</v>
          </cell>
          <cell r="F714">
            <v>39.121976284585102</v>
          </cell>
          <cell r="G714">
            <v>32.995494071145714</v>
          </cell>
          <cell r="H714">
            <v>32.995494071145714</v>
          </cell>
          <cell r="I714" t="e">
            <v>#N/A</v>
          </cell>
          <cell r="J714" t="e">
            <v>#N/A</v>
          </cell>
          <cell r="K714" t="e">
            <v>#N/A</v>
          </cell>
          <cell r="L714" t="e">
            <v>#N/A</v>
          </cell>
          <cell r="M714" t="e">
            <v>#N/A</v>
          </cell>
          <cell r="N714" t="e">
            <v>#N/A</v>
          </cell>
          <cell r="O714" t="e">
            <v>#N/A</v>
          </cell>
          <cell r="P714">
            <v>34.65</v>
          </cell>
          <cell r="Q714" t="str">
            <v/>
          </cell>
          <cell r="R714" t="e">
            <v>#N/A</v>
          </cell>
        </row>
        <row r="715">
          <cell r="A715">
            <v>40189</v>
          </cell>
          <cell r="B715">
            <v>40189</v>
          </cell>
          <cell r="C715" t="str">
            <v>Future</v>
          </cell>
          <cell r="D715" t="e">
            <v>#N/A</v>
          </cell>
          <cell r="E715">
            <v>13.254110671936829</v>
          </cell>
          <cell r="F715">
            <v>39.151343873517909</v>
          </cell>
          <cell r="G715">
            <v>32.985335968378912</v>
          </cell>
          <cell r="H715">
            <v>32.985335968378912</v>
          </cell>
          <cell r="I715" t="e">
            <v>#N/A</v>
          </cell>
          <cell r="J715" t="e">
            <v>#N/A</v>
          </cell>
          <cell r="K715" t="e">
            <v>#N/A</v>
          </cell>
          <cell r="L715" t="e">
            <v>#N/A</v>
          </cell>
          <cell r="M715" t="e">
            <v>#N/A</v>
          </cell>
          <cell r="N715" t="e">
            <v>#N/A</v>
          </cell>
          <cell r="O715" t="e">
            <v>#N/A</v>
          </cell>
          <cell r="P715">
            <v>34.65</v>
          </cell>
          <cell r="Q715" t="str">
            <v/>
          </cell>
          <cell r="R715" t="e">
            <v>#N/A</v>
          </cell>
        </row>
        <row r="716">
          <cell r="A716">
            <v>40190</v>
          </cell>
          <cell r="B716">
            <v>40190</v>
          </cell>
          <cell r="C716" t="str">
            <v>Future</v>
          </cell>
          <cell r="D716" t="e">
            <v>#N/A</v>
          </cell>
          <cell r="E716">
            <v>13.117470355731296</v>
          </cell>
          <cell r="F716">
            <v>39.180711462450716</v>
          </cell>
          <cell r="G716">
            <v>32.97517786561211</v>
          </cell>
          <cell r="H716">
            <v>32.97517786561211</v>
          </cell>
          <cell r="I716" t="e">
            <v>#N/A</v>
          </cell>
          <cell r="J716" t="e">
            <v>#N/A</v>
          </cell>
          <cell r="K716" t="e">
            <v>#N/A</v>
          </cell>
          <cell r="L716" t="e">
            <v>#N/A</v>
          </cell>
          <cell r="M716" t="e">
            <v>#N/A</v>
          </cell>
          <cell r="N716" t="e">
            <v>#N/A</v>
          </cell>
          <cell r="O716" t="e">
            <v>#N/A</v>
          </cell>
          <cell r="P716">
            <v>34.65</v>
          </cell>
          <cell r="Q716" t="str">
            <v/>
          </cell>
          <cell r="R716" t="e">
            <v>#N/A</v>
          </cell>
        </row>
        <row r="717">
          <cell r="A717">
            <v>40191</v>
          </cell>
          <cell r="B717">
            <v>40191</v>
          </cell>
          <cell r="C717" t="str">
            <v>Future</v>
          </cell>
          <cell r="D717" t="e">
            <v>#N/A</v>
          </cell>
          <cell r="E717">
            <v>12.980830039525763</v>
          </cell>
          <cell r="F717">
            <v>39.210079051383524</v>
          </cell>
          <cell r="G717">
            <v>32.965019762845309</v>
          </cell>
          <cell r="H717">
            <v>32.965019762845309</v>
          </cell>
          <cell r="I717" t="e">
            <v>#N/A</v>
          </cell>
          <cell r="J717" t="e">
            <v>#N/A</v>
          </cell>
          <cell r="K717" t="e">
            <v>#N/A</v>
          </cell>
          <cell r="L717" t="e">
            <v>#N/A</v>
          </cell>
          <cell r="M717" t="e">
            <v>#N/A</v>
          </cell>
          <cell r="N717" t="e">
            <v>#N/A</v>
          </cell>
          <cell r="O717" t="e">
            <v>#N/A</v>
          </cell>
          <cell r="P717">
            <v>34.65</v>
          </cell>
          <cell r="Q717" t="str">
            <v/>
          </cell>
          <cell r="R717" t="e">
            <v>#N/A</v>
          </cell>
        </row>
        <row r="718">
          <cell r="A718">
            <v>40192</v>
          </cell>
          <cell r="B718">
            <v>40192</v>
          </cell>
          <cell r="C718" t="str">
            <v>Future</v>
          </cell>
          <cell r="D718" t="e">
            <v>#N/A</v>
          </cell>
          <cell r="E718">
            <v>12.84418972332023</v>
          </cell>
          <cell r="F718">
            <v>39.239446640316331</v>
          </cell>
          <cell r="G718">
            <v>32.954861660078507</v>
          </cell>
          <cell r="H718">
            <v>32.954861660078507</v>
          </cell>
          <cell r="I718" t="e">
            <v>#N/A</v>
          </cell>
          <cell r="J718" t="e">
            <v>#N/A</v>
          </cell>
          <cell r="K718" t="e">
            <v>#N/A</v>
          </cell>
          <cell r="L718" t="e">
            <v>#N/A</v>
          </cell>
          <cell r="M718" t="e">
            <v>#N/A</v>
          </cell>
          <cell r="N718" t="e">
            <v>#N/A</v>
          </cell>
          <cell r="O718" t="e">
            <v>#N/A</v>
          </cell>
          <cell r="P718">
            <v>34.65</v>
          </cell>
          <cell r="Q718" t="str">
            <v/>
          </cell>
          <cell r="R718" t="e">
            <v>#N/A</v>
          </cell>
        </row>
        <row r="719">
          <cell r="A719">
            <v>40193</v>
          </cell>
          <cell r="B719">
            <v>40193</v>
          </cell>
          <cell r="C719" t="str">
            <v>Future</v>
          </cell>
          <cell r="D719" t="e">
            <v>#N/A</v>
          </cell>
          <cell r="E719">
            <v>12.707549407114698</v>
          </cell>
          <cell r="F719">
            <v>39.268814229249138</v>
          </cell>
          <cell r="G719">
            <v>32.944703557311705</v>
          </cell>
          <cell r="H719">
            <v>32.944703557311705</v>
          </cell>
          <cell r="I719" t="e">
            <v>#N/A</v>
          </cell>
          <cell r="J719" t="e">
            <v>#N/A</v>
          </cell>
          <cell r="K719" t="e">
            <v>#N/A</v>
          </cell>
          <cell r="L719" t="e">
            <v>#N/A</v>
          </cell>
          <cell r="M719" t="e">
            <v>#N/A</v>
          </cell>
          <cell r="N719" t="e">
            <v>#N/A</v>
          </cell>
          <cell r="O719" t="e">
            <v>#N/A</v>
          </cell>
          <cell r="P719">
            <v>34.65</v>
          </cell>
          <cell r="Q719" t="str">
            <v/>
          </cell>
          <cell r="R719" t="e">
            <v>#N/A</v>
          </cell>
        </row>
        <row r="720">
          <cell r="A720">
            <v>40197</v>
          </cell>
          <cell r="B720">
            <v>40197</v>
          </cell>
          <cell r="C720" t="str">
            <v>Future</v>
          </cell>
          <cell r="D720" t="e">
            <v>#N/A</v>
          </cell>
          <cell r="E720">
            <v>12.570909090909165</v>
          </cell>
          <cell r="F720">
            <v>39.298181818181945</v>
          </cell>
          <cell r="G720">
            <v>32.934545454544903</v>
          </cell>
          <cell r="H720">
            <v>32.934545454544903</v>
          </cell>
          <cell r="I720" t="e">
            <v>#N/A</v>
          </cell>
          <cell r="J720" t="e">
            <v>#N/A</v>
          </cell>
          <cell r="K720" t="e">
            <v>#N/A</v>
          </cell>
          <cell r="L720" t="e">
            <v>#N/A</v>
          </cell>
          <cell r="M720" t="e">
            <v>#N/A</v>
          </cell>
          <cell r="N720" t="e">
            <v>#N/A</v>
          </cell>
          <cell r="O720" t="e">
            <v>#N/A</v>
          </cell>
          <cell r="P720">
            <v>34.65</v>
          </cell>
          <cell r="Q720" t="str">
            <v/>
          </cell>
          <cell r="R720" t="e">
            <v>#N/A</v>
          </cell>
        </row>
        <row r="721">
          <cell r="A721">
            <v>40198</v>
          </cell>
          <cell r="B721">
            <v>40198</v>
          </cell>
          <cell r="C721" t="str">
            <v>Future</v>
          </cell>
          <cell r="D721" t="e">
            <v>#N/A</v>
          </cell>
          <cell r="E721">
            <v>12.434268774703632</v>
          </cell>
          <cell r="F721">
            <v>39.327549407114752</v>
          </cell>
          <cell r="G721">
            <v>32.924387351778101</v>
          </cell>
          <cell r="H721">
            <v>32.924387351778101</v>
          </cell>
          <cell r="I721" t="e">
            <v>#N/A</v>
          </cell>
          <cell r="J721" t="e">
            <v>#N/A</v>
          </cell>
          <cell r="K721" t="e">
            <v>#N/A</v>
          </cell>
          <cell r="L721" t="e">
            <v>#N/A</v>
          </cell>
          <cell r="M721" t="e">
            <v>#N/A</v>
          </cell>
          <cell r="N721" t="e">
            <v>#N/A</v>
          </cell>
          <cell r="O721" t="e">
            <v>#N/A</v>
          </cell>
          <cell r="P721">
            <v>34.65</v>
          </cell>
          <cell r="Q721" t="str">
            <v/>
          </cell>
          <cell r="R721" t="e">
            <v>#N/A</v>
          </cell>
        </row>
        <row r="722">
          <cell r="A722">
            <v>40199</v>
          </cell>
          <cell r="B722">
            <v>40199</v>
          </cell>
          <cell r="C722" t="str">
            <v>Future</v>
          </cell>
          <cell r="D722" t="e">
            <v>#N/A</v>
          </cell>
          <cell r="E722">
            <v>12.297628458498099</v>
          </cell>
          <cell r="F722">
            <v>39.356916996047559</v>
          </cell>
          <cell r="G722">
            <v>32.914229249011299</v>
          </cell>
          <cell r="H722">
            <v>32.914229249011299</v>
          </cell>
          <cell r="I722" t="e">
            <v>#N/A</v>
          </cell>
          <cell r="J722" t="e">
            <v>#N/A</v>
          </cell>
          <cell r="K722" t="e">
            <v>#N/A</v>
          </cell>
          <cell r="L722" t="e">
            <v>#N/A</v>
          </cell>
          <cell r="M722" t="e">
            <v>#N/A</v>
          </cell>
          <cell r="N722" t="e">
            <v>#N/A</v>
          </cell>
          <cell r="O722" t="e">
            <v>#N/A</v>
          </cell>
          <cell r="P722">
            <v>34.65</v>
          </cell>
          <cell r="Q722" t="str">
            <v/>
          </cell>
          <cell r="R722" t="e">
            <v>#N/A</v>
          </cell>
        </row>
        <row r="723">
          <cell r="A723">
            <v>40200</v>
          </cell>
          <cell r="B723">
            <v>40200</v>
          </cell>
          <cell r="C723" t="str">
            <v>Future</v>
          </cell>
          <cell r="D723" t="e">
            <v>#N/A</v>
          </cell>
          <cell r="E723">
            <v>12.160988142292567</v>
          </cell>
          <cell r="F723">
            <v>39.386284584980366</v>
          </cell>
          <cell r="G723">
            <v>32.904071146244497</v>
          </cell>
          <cell r="H723">
            <v>32.904071146244497</v>
          </cell>
          <cell r="I723" t="e">
            <v>#N/A</v>
          </cell>
          <cell r="J723" t="e">
            <v>#N/A</v>
          </cell>
          <cell r="K723" t="e">
            <v>#N/A</v>
          </cell>
          <cell r="L723" t="e">
            <v>#N/A</v>
          </cell>
          <cell r="M723" t="e">
            <v>#N/A</v>
          </cell>
          <cell r="N723" t="e">
            <v>#N/A</v>
          </cell>
          <cell r="O723" t="e">
            <v>#N/A</v>
          </cell>
          <cell r="P723">
            <v>34.65</v>
          </cell>
          <cell r="Q723" t="str">
            <v/>
          </cell>
          <cell r="R723" t="e">
            <v>#N/A</v>
          </cell>
        </row>
        <row r="724">
          <cell r="A724">
            <v>40203</v>
          </cell>
          <cell r="B724">
            <v>40203</v>
          </cell>
          <cell r="C724" t="str">
            <v>Future</v>
          </cell>
          <cell r="D724" t="e">
            <v>#N/A</v>
          </cell>
          <cell r="E724">
            <v>12.024347826087034</v>
          </cell>
          <cell r="F724">
            <v>39.415652173913173</v>
          </cell>
          <cell r="G724">
            <v>32.893913043477696</v>
          </cell>
          <cell r="H724">
            <v>32.893913043477696</v>
          </cell>
          <cell r="I724" t="e">
            <v>#N/A</v>
          </cell>
          <cell r="J724" t="e">
            <v>#N/A</v>
          </cell>
          <cell r="K724" t="e">
            <v>#N/A</v>
          </cell>
          <cell r="L724" t="e">
            <v>#N/A</v>
          </cell>
          <cell r="M724" t="e">
            <v>#N/A</v>
          </cell>
          <cell r="N724" t="e">
            <v>#N/A</v>
          </cell>
          <cell r="O724" t="e">
            <v>#N/A</v>
          </cell>
          <cell r="P724">
            <v>34.65</v>
          </cell>
          <cell r="Q724" t="str">
            <v/>
          </cell>
          <cell r="R724" t="e">
            <v>#N/A</v>
          </cell>
        </row>
        <row r="725">
          <cell r="A725">
            <v>40204</v>
          </cell>
          <cell r="B725">
            <v>40204</v>
          </cell>
          <cell r="C725" t="str">
            <v>Future</v>
          </cell>
          <cell r="D725" t="e">
            <v>#N/A</v>
          </cell>
          <cell r="E725">
            <v>11.887707509881501</v>
          </cell>
          <cell r="F725">
            <v>39.44501976284598</v>
          </cell>
          <cell r="G725">
            <v>32.883754940710894</v>
          </cell>
          <cell r="H725">
            <v>32.883754940710894</v>
          </cell>
          <cell r="I725" t="e">
            <v>#N/A</v>
          </cell>
          <cell r="J725" t="e">
            <v>#N/A</v>
          </cell>
          <cell r="K725" t="e">
            <v>#N/A</v>
          </cell>
          <cell r="L725" t="e">
            <v>#N/A</v>
          </cell>
          <cell r="M725" t="e">
            <v>#N/A</v>
          </cell>
          <cell r="N725" t="e">
            <v>#N/A</v>
          </cell>
          <cell r="O725" t="e">
            <v>#N/A</v>
          </cell>
          <cell r="P725">
            <v>34.65</v>
          </cell>
          <cell r="Q725" t="str">
            <v/>
          </cell>
          <cell r="R725" t="e">
            <v>#N/A</v>
          </cell>
        </row>
        <row r="726">
          <cell r="A726">
            <v>40205</v>
          </cell>
          <cell r="B726">
            <v>40205</v>
          </cell>
          <cell r="C726" t="str">
            <v>Future</v>
          </cell>
          <cell r="D726" t="e">
            <v>#N/A</v>
          </cell>
          <cell r="E726">
            <v>11.751067193675969</v>
          </cell>
          <cell r="F726">
            <v>39.474387351778788</v>
          </cell>
          <cell r="G726">
            <v>32.873596837944092</v>
          </cell>
          <cell r="H726">
            <v>32.873596837944092</v>
          </cell>
          <cell r="I726" t="e">
            <v>#N/A</v>
          </cell>
          <cell r="J726" t="e">
            <v>#N/A</v>
          </cell>
          <cell r="K726" t="e">
            <v>#N/A</v>
          </cell>
          <cell r="L726" t="e">
            <v>#N/A</v>
          </cell>
          <cell r="M726" t="e">
            <v>#N/A</v>
          </cell>
          <cell r="N726" t="e">
            <v>#N/A</v>
          </cell>
          <cell r="O726" t="e">
            <v>#N/A</v>
          </cell>
          <cell r="P726">
            <v>34.65</v>
          </cell>
          <cell r="Q726" t="str">
            <v/>
          </cell>
          <cell r="R726" t="e">
            <v>#N/A</v>
          </cell>
        </row>
        <row r="727">
          <cell r="A727">
            <v>40206</v>
          </cell>
          <cell r="B727">
            <v>40206</v>
          </cell>
          <cell r="C727" t="str">
            <v>Future</v>
          </cell>
          <cell r="D727" t="e">
            <v>#N/A</v>
          </cell>
          <cell r="E727">
            <v>11.614426877470436</v>
          </cell>
          <cell r="F727">
            <v>39.503754940711595</v>
          </cell>
          <cell r="G727">
            <v>32.86343873517729</v>
          </cell>
          <cell r="H727">
            <v>32.86343873517729</v>
          </cell>
          <cell r="I727" t="e">
            <v>#N/A</v>
          </cell>
          <cell r="J727" t="e">
            <v>#N/A</v>
          </cell>
          <cell r="K727" t="e">
            <v>#N/A</v>
          </cell>
          <cell r="L727" t="e">
            <v>#N/A</v>
          </cell>
          <cell r="M727" t="e">
            <v>#N/A</v>
          </cell>
          <cell r="N727" t="e">
            <v>#N/A</v>
          </cell>
          <cell r="O727" t="e">
            <v>#N/A</v>
          </cell>
          <cell r="P727">
            <v>34.65</v>
          </cell>
          <cell r="Q727" t="str">
            <v/>
          </cell>
          <cell r="R727" t="e">
            <v>#N/A</v>
          </cell>
        </row>
        <row r="728">
          <cell r="A728">
            <v>40207</v>
          </cell>
          <cell r="B728">
            <v>40207</v>
          </cell>
          <cell r="C728" t="str">
            <v>Future</v>
          </cell>
          <cell r="D728" t="e">
            <v>#N/A</v>
          </cell>
          <cell r="E728">
            <v>11.477786561264903</v>
          </cell>
          <cell r="F728">
            <v>39.533122529644402</v>
          </cell>
          <cell r="G728">
            <v>32.853280632410488</v>
          </cell>
          <cell r="H728">
            <v>32.853280632410488</v>
          </cell>
          <cell r="I728" t="e">
            <v>#N/A</v>
          </cell>
          <cell r="J728" t="e">
            <v>#N/A</v>
          </cell>
          <cell r="K728" t="e">
            <v>#N/A</v>
          </cell>
          <cell r="L728" t="e">
            <v>#N/A</v>
          </cell>
          <cell r="M728" t="e">
            <v>#N/A</v>
          </cell>
          <cell r="N728" t="e">
            <v>#N/A</v>
          </cell>
          <cell r="O728" t="e">
            <v>#N/A</v>
          </cell>
          <cell r="P728">
            <v>34.65</v>
          </cell>
          <cell r="Q728" t="str">
            <v/>
          </cell>
          <cell r="R728" t="e">
            <v>#N/A</v>
          </cell>
        </row>
        <row r="729">
          <cell r="A729">
            <v>40210</v>
          </cell>
          <cell r="B729">
            <v>40210</v>
          </cell>
          <cell r="C729" t="str">
            <v>Future</v>
          </cell>
          <cell r="D729" t="e">
            <v>#N/A</v>
          </cell>
          <cell r="E729">
            <v>11.34114624505937</v>
          </cell>
          <cell r="F729">
            <v>39.562490118577209</v>
          </cell>
          <cell r="G729">
            <v>32.843122529643686</v>
          </cell>
          <cell r="H729">
            <v>32.843122529643686</v>
          </cell>
          <cell r="I729" t="e">
            <v>#N/A</v>
          </cell>
          <cell r="J729" t="e">
            <v>#N/A</v>
          </cell>
          <cell r="K729" t="e">
            <v>#N/A</v>
          </cell>
          <cell r="L729" t="e">
            <v>#N/A</v>
          </cell>
          <cell r="M729" t="e">
            <v>#N/A</v>
          </cell>
          <cell r="N729" t="e">
            <v>#N/A</v>
          </cell>
          <cell r="O729" t="e">
            <v>#N/A</v>
          </cell>
          <cell r="P729">
            <v>34.65</v>
          </cell>
          <cell r="Q729" t="str">
            <v/>
          </cell>
          <cell r="R729" t="e">
            <v>#N/A</v>
          </cell>
        </row>
        <row r="730">
          <cell r="A730">
            <v>40211</v>
          </cell>
          <cell r="B730">
            <v>40211</v>
          </cell>
          <cell r="C730" t="str">
            <v>Future</v>
          </cell>
          <cell r="D730" t="e">
            <v>#N/A</v>
          </cell>
          <cell r="E730">
            <v>11.204505928853838</v>
          </cell>
          <cell r="F730">
            <v>39.591857707510016</v>
          </cell>
          <cell r="G730">
            <v>32.832964426876885</v>
          </cell>
          <cell r="H730">
            <v>32.832964426876885</v>
          </cell>
          <cell r="I730" t="e">
            <v>#N/A</v>
          </cell>
          <cell r="J730" t="e">
            <v>#N/A</v>
          </cell>
          <cell r="K730" t="e">
            <v>#N/A</v>
          </cell>
          <cell r="L730" t="e">
            <v>#N/A</v>
          </cell>
          <cell r="M730" t="e">
            <v>#N/A</v>
          </cell>
          <cell r="N730" t="e">
            <v>#N/A</v>
          </cell>
          <cell r="O730" t="e">
            <v>#N/A</v>
          </cell>
          <cell r="P730">
            <v>34.65</v>
          </cell>
          <cell r="Q730" t="str">
            <v/>
          </cell>
          <cell r="R730" t="e">
            <v>#N/A</v>
          </cell>
        </row>
        <row r="731">
          <cell r="A731">
            <v>40212</v>
          </cell>
          <cell r="B731">
            <v>40212</v>
          </cell>
          <cell r="C731" t="str">
            <v>Future</v>
          </cell>
          <cell r="D731" t="e">
            <v>#N/A</v>
          </cell>
          <cell r="E731">
            <v>11.067865612648305</v>
          </cell>
          <cell r="F731">
            <v>39.621225296442823</v>
          </cell>
          <cell r="G731">
            <v>32.822806324110083</v>
          </cell>
          <cell r="H731">
            <v>32.822806324110083</v>
          </cell>
          <cell r="I731" t="e">
            <v>#N/A</v>
          </cell>
          <cell r="J731" t="e">
            <v>#N/A</v>
          </cell>
          <cell r="K731" t="e">
            <v>#N/A</v>
          </cell>
          <cell r="L731" t="e">
            <v>#N/A</v>
          </cell>
          <cell r="M731" t="e">
            <v>#N/A</v>
          </cell>
          <cell r="N731" t="e">
            <v>#N/A</v>
          </cell>
          <cell r="O731" t="e">
            <v>#N/A</v>
          </cell>
          <cell r="P731">
            <v>34.65</v>
          </cell>
          <cell r="Q731" t="str">
            <v/>
          </cell>
          <cell r="R731" t="e">
            <v>#N/A</v>
          </cell>
        </row>
        <row r="732">
          <cell r="A732">
            <v>40213</v>
          </cell>
          <cell r="B732">
            <v>40213</v>
          </cell>
          <cell r="C732" t="str">
            <v>Future</v>
          </cell>
          <cell r="D732" t="e">
            <v>#N/A</v>
          </cell>
          <cell r="E732">
            <v>10.931225296442772</v>
          </cell>
          <cell r="F732">
            <v>39.65059288537563</v>
          </cell>
          <cell r="G732">
            <v>32.812648221343281</v>
          </cell>
          <cell r="H732">
            <v>32.812648221343281</v>
          </cell>
          <cell r="I732" t="e">
            <v>#N/A</v>
          </cell>
          <cell r="J732" t="e">
            <v>#N/A</v>
          </cell>
          <cell r="K732" t="e">
            <v>#N/A</v>
          </cell>
          <cell r="L732" t="e">
            <v>#N/A</v>
          </cell>
          <cell r="M732" t="e">
            <v>#N/A</v>
          </cell>
          <cell r="N732" t="e">
            <v>#N/A</v>
          </cell>
          <cell r="O732" t="e">
            <v>#N/A</v>
          </cell>
          <cell r="P732">
            <v>34.65</v>
          </cell>
          <cell r="Q732" t="str">
            <v/>
          </cell>
          <cell r="R732" t="e">
            <v>#N/A</v>
          </cell>
        </row>
        <row r="733">
          <cell r="A733">
            <v>40214</v>
          </cell>
          <cell r="B733">
            <v>40214</v>
          </cell>
          <cell r="C733" t="str">
            <v>Future</v>
          </cell>
          <cell r="D733" t="e">
            <v>#N/A</v>
          </cell>
          <cell r="E733">
            <v>10.794584980237239</v>
          </cell>
          <cell r="F733">
            <v>39.679960474308437</v>
          </cell>
          <cell r="G733">
            <v>32.802490118576479</v>
          </cell>
          <cell r="H733">
            <v>32.802490118576479</v>
          </cell>
          <cell r="I733" t="e">
            <v>#N/A</v>
          </cell>
          <cell r="J733" t="e">
            <v>#N/A</v>
          </cell>
          <cell r="K733" t="e">
            <v>#N/A</v>
          </cell>
          <cell r="L733" t="e">
            <v>#N/A</v>
          </cell>
          <cell r="M733" t="e">
            <v>#N/A</v>
          </cell>
          <cell r="N733" t="e">
            <v>#N/A</v>
          </cell>
          <cell r="O733" t="e">
            <v>#N/A</v>
          </cell>
          <cell r="P733">
            <v>34.65</v>
          </cell>
          <cell r="Q733" t="str">
            <v/>
          </cell>
          <cell r="R733" t="e">
            <v>#N/A</v>
          </cell>
        </row>
        <row r="734">
          <cell r="A734">
            <v>40217</v>
          </cell>
          <cell r="B734">
            <v>40217</v>
          </cell>
          <cell r="C734" t="str">
            <v>Future</v>
          </cell>
          <cell r="D734" t="e">
            <v>#N/A</v>
          </cell>
          <cell r="E734">
            <v>10.657944664031707</v>
          </cell>
          <cell r="F734">
            <v>39.709328063241244</v>
          </cell>
          <cell r="G734">
            <v>32.792332015809677</v>
          </cell>
          <cell r="H734">
            <v>32.792332015809677</v>
          </cell>
          <cell r="I734" t="e">
            <v>#N/A</v>
          </cell>
          <cell r="J734" t="e">
            <v>#N/A</v>
          </cell>
          <cell r="K734" t="e">
            <v>#N/A</v>
          </cell>
          <cell r="L734" t="e">
            <v>#N/A</v>
          </cell>
          <cell r="M734" t="e">
            <v>#N/A</v>
          </cell>
          <cell r="N734" t="e">
            <v>#N/A</v>
          </cell>
          <cell r="O734" t="e">
            <v>#N/A</v>
          </cell>
          <cell r="P734">
            <v>34.65</v>
          </cell>
          <cell r="Q734" t="str">
            <v/>
          </cell>
          <cell r="R734" t="e">
            <v>#N/A</v>
          </cell>
        </row>
        <row r="735">
          <cell r="A735">
            <v>40218</v>
          </cell>
          <cell r="B735">
            <v>40218</v>
          </cell>
          <cell r="C735" t="str">
            <v>Future</v>
          </cell>
          <cell r="D735" t="e">
            <v>#N/A</v>
          </cell>
          <cell r="E735">
            <v>10.521304347826174</v>
          </cell>
          <cell r="F735">
            <v>39.738695652174052</v>
          </cell>
          <cell r="G735">
            <v>32.782173913042875</v>
          </cell>
          <cell r="H735">
            <v>32.782173913042875</v>
          </cell>
          <cell r="I735" t="e">
            <v>#N/A</v>
          </cell>
          <cell r="J735" t="e">
            <v>#N/A</v>
          </cell>
          <cell r="K735" t="e">
            <v>#N/A</v>
          </cell>
          <cell r="L735" t="e">
            <v>#N/A</v>
          </cell>
          <cell r="M735" t="e">
            <v>#N/A</v>
          </cell>
          <cell r="N735" t="e">
            <v>#N/A</v>
          </cell>
          <cell r="O735" t="e">
            <v>#N/A</v>
          </cell>
          <cell r="P735">
            <v>34.65</v>
          </cell>
          <cell r="Q735" t="str">
            <v/>
          </cell>
          <cell r="R735" t="e">
            <v>#N/A</v>
          </cell>
        </row>
        <row r="736">
          <cell r="A736">
            <v>40219</v>
          </cell>
          <cell r="B736">
            <v>40219</v>
          </cell>
          <cell r="C736" t="str">
            <v>Future</v>
          </cell>
          <cell r="D736" t="e">
            <v>#N/A</v>
          </cell>
          <cell r="E736">
            <v>10.384664031620641</v>
          </cell>
          <cell r="F736">
            <v>39.768063241106859</v>
          </cell>
          <cell r="G736">
            <v>32.772015810276073</v>
          </cell>
          <cell r="H736">
            <v>32.772015810276073</v>
          </cell>
          <cell r="I736" t="e">
            <v>#N/A</v>
          </cell>
          <cell r="J736" t="e">
            <v>#N/A</v>
          </cell>
          <cell r="K736" t="e">
            <v>#N/A</v>
          </cell>
          <cell r="L736" t="e">
            <v>#N/A</v>
          </cell>
          <cell r="M736" t="e">
            <v>#N/A</v>
          </cell>
          <cell r="N736" t="e">
            <v>#N/A</v>
          </cell>
          <cell r="O736" t="e">
            <v>#N/A</v>
          </cell>
          <cell r="P736">
            <v>34.65</v>
          </cell>
          <cell r="Q736" t="str">
            <v/>
          </cell>
          <cell r="R736" t="e">
            <v>#N/A</v>
          </cell>
        </row>
        <row r="737">
          <cell r="A737">
            <v>40220</v>
          </cell>
          <cell r="B737">
            <v>40220</v>
          </cell>
          <cell r="C737" t="str">
            <v>Future</v>
          </cell>
          <cell r="D737" t="e">
            <v>#N/A</v>
          </cell>
          <cell r="E737">
            <v>10.248023715415108</v>
          </cell>
          <cell r="F737">
            <v>39.797430830039666</v>
          </cell>
          <cell r="G737">
            <v>32.761857707509272</v>
          </cell>
          <cell r="H737">
            <v>32.761857707509272</v>
          </cell>
          <cell r="I737" t="e">
            <v>#N/A</v>
          </cell>
          <cell r="J737" t="e">
            <v>#N/A</v>
          </cell>
          <cell r="K737" t="e">
            <v>#N/A</v>
          </cell>
          <cell r="L737" t="e">
            <v>#N/A</v>
          </cell>
          <cell r="M737" t="e">
            <v>#N/A</v>
          </cell>
          <cell r="N737" t="e">
            <v>#N/A</v>
          </cell>
          <cell r="O737" t="e">
            <v>#N/A</v>
          </cell>
          <cell r="P737">
            <v>34.65</v>
          </cell>
          <cell r="Q737" t="str">
            <v/>
          </cell>
          <cell r="R737" t="e">
            <v>#N/A</v>
          </cell>
        </row>
        <row r="738">
          <cell r="A738">
            <v>40221</v>
          </cell>
          <cell r="B738">
            <v>40221</v>
          </cell>
          <cell r="C738" t="str">
            <v>Future</v>
          </cell>
          <cell r="D738" t="e">
            <v>#N/A</v>
          </cell>
          <cell r="E738">
            <v>10.111383399209576</v>
          </cell>
          <cell r="F738">
            <v>39.826798418972473</v>
          </cell>
          <cell r="G738">
            <v>32.75169960474247</v>
          </cell>
          <cell r="H738">
            <v>32.75169960474247</v>
          </cell>
          <cell r="I738" t="e">
            <v>#N/A</v>
          </cell>
          <cell r="J738" t="e">
            <v>#N/A</v>
          </cell>
          <cell r="K738" t="e">
            <v>#N/A</v>
          </cell>
          <cell r="L738" t="e">
            <v>#N/A</v>
          </cell>
          <cell r="M738" t="e">
            <v>#N/A</v>
          </cell>
          <cell r="N738" t="e">
            <v>#N/A</v>
          </cell>
          <cell r="O738" t="e">
            <v>#N/A</v>
          </cell>
          <cell r="P738">
            <v>34.65</v>
          </cell>
          <cell r="Q738" t="str">
            <v/>
          </cell>
          <cell r="R738" t="e">
            <v>#N/A</v>
          </cell>
        </row>
        <row r="739">
          <cell r="A739">
            <v>40225</v>
          </cell>
          <cell r="B739">
            <v>40225</v>
          </cell>
          <cell r="C739" t="str">
            <v>Future</v>
          </cell>
          <cell r="D739" t="e">
            <v>#N/A</v>
          </cell>
          <cell r="E739">
            <v>9.9747430830040429</v>
          </cell>
          <cell r="F739">
            <v>39.85616600790528</v>
          </cell>
          <cell r="G739">
            <v>32.741541501975668</v>
          </cell>
          <cell r="H739">
            <v>32.741541501975668</v>
          </cell>
          <cell r="I739" t="e">
            <v>#N/A</v>
          </cell>
          <cell r="J739" t="e">
            <v>#N/A</v>
          </cell>
          <cell r="K739" t="e">
            <v>#N/A</v>
          </cell>
          <cell r="L739" t="e">
            <v>#N/A</v>
          </cell>
          <cell r="M739" t="e">
            <v>#N/A</v>
          </cell>
          <cell r="N739" t="e">
            <v>#N/A</v>
          </cell>
          <cell r="O739" t="e">
            <v>#N/A</v>
          </cell>
          <cell r="P739">
            <v>34.65</v>
          </cell>
          <cell r="Q739" t="str">
            <v/>
          </cell>
          <cell r="R739" t="e">
            <v>#N/A</v>
          </cell>
        </row>
        <row r="740">
          <cell r="A740">
            <v>40226</v>
          </cell>
          <cell r="B740">
            <v>40226</v>
          </cell>
          <cell r="C740" t="str">
            <v>Future</v>
          </cell>
          <cell r="D740" t="e">
            <v>#N/A</v>
          </cell>
          <cell r="E740">
            <v>9.8381027667985101</v>
          </cell>
          <cell r="F740">
            <v>39.885533596838087</v>
          </cell>
          <cell r="G740">
            <v>32.731383399208866</v>
          </cell>
          <cell r="H740">
            <v>32.731383399208866</v>
          </cell>
          <cell r="I740" t="e">
            <v>#N/A</v>
          </cell>
          <cell r="J740" t="e">
            <v>#N/A</v>
          </cell>
          <cell r="K740" t="e">
            <v>#N/A</v>
          </cell>
          <cell r="L740" t="e">
            <v>#N/A</v>
          </cell>
          <cell r="M740" t="e">
            <v>#N/A</v>
          </cell>
          <cell r="N740" t="e">
            <v>#N/A</v>
          </cell>
          <cell r="O740" t="e">
            <v>#N/A</v>
          </cell>
          <cell r="P740">
            <v>34.65</v>
          </cell>
          <cell r="Q740" t="str">
            <v/>
          </cell>
          <cell r="R740" t="e">
            <v>#N/A</v>
          </cell>
        </row>
        <row r="741">
          <cell r="A741">
            <v>40227</v>
          </cell>
          <cell r="B741">
            <v>40227</v>
          </cell>
          <cell r="C741" t="str">
            <v>Future</v>
          </cell>
          <cell r="D741" t="e">
            <v>#N/A</v>
          </cell>
          <cell r="E741">
            <v>9.7014624505929774</v>
          </cell>
          <cell r="F741">
            <v>39.914901185770894</v>
          </cell>
          <cell r="G741">
            <v>32.721225296442064</v>
          </cell>
          <cell r="H741">
            <v>32.721225296442064</v>
          </cell>
          <cell r="I741" t="e">
            <v>#N/A</v>
          </cell>
          <cell r="J741" t="e">
            <v>#N/A</v>
          </cell>
          <cell r="K741" t="e">
            <v>#N/A</v>
          </cell>
          <cell r="L741" t="e">
            <v>#N/A</v>
          </cell>
          <cell r="M741" t="e">
            <v>#N/A</v>
          </cell>
          <cell r="N741" t="e">
            <v>#N/A</v>
          </cell>
          <cell r="O741" t="e">
            <v>#N/A</v>
          </cell>
          <cell r="P741">
            <v>34.65</v>
          </cell>
          <cell r="Q741" t="str">
            <v/>
          </cell>
          <cell r="R741" t="e">
            <v>#N/A</v>
          </cell>
        </row>
        <row r="742">
          <cell r="A742">
            <v>40228</v>
          </cell>
          <cell r="B742">
            <v>40228</v>
          </cell>
          <cell r="C742" t="str">
            <v>Future</v>
          </cell>
          <cell r="D742" t="e">
            <v>#N/A</v>
          </cell>
          <cell r="E742">
            <v>9.5648221343874447</v>
          </cell>
          <cell r="F742">
            <v>39.944268774703701</v>
          </cell>
          <cell r="G742">
            <v>32.711067193675262</v>
          </cell>
          <cell r="H742">
            <v>32.711067193675262</v>
          </cell>
          <cell r="I742" t="e">
            <v>#N/A</v>
          </cell>
          <cell r="J742" t="e">
            <v>#N/A</v>
          </cell>
          <cell r="K742" t="e">
            <v>#N/A</v>
          </cell>
          <cell r="L742" t="e">
            <v>#N/A</v>
          </cell>
          <cell r="M742" t="e">
            <v>#N/A</v>
          </cell>
          <cell r="N742" t="e">
            <v>#N/A</v>
          </cell>
          <cell r="O742" t="e">
            <v>#N/A</v>
          </cell>
          <cell r="P742">
            <v>34.65</v>
          </cell>
          <cell r="Q742" t="str">
            <v/>
          </cell>
          <cell r="R742" t="e">
            <v>#N/A</v>
          </cell>
        </row>
        <row r="743">
          <cell r="A743">
            <v>40231</v>
          </cell>
          <cell r="B743">
            <v>40231</v>
          </cell>
          <cell r="C743" t="str">
            <v>Future</v>
          </cell>
          <cell r="D743" t="e">
            <v>#N/A</v>
          </cell>
          <cell r="E743">
            <v>9.4281818181819119</v>
          </cell>
          <cell r="F743">
            <v>39.973636363636508</v>
          </cell>
          <cell r="G743">
            <v>32.700909090908461</v>
          </cell>
          <cell r="H743">
            <v>32.700909090908461</v>
          </cell>
          <cell r="I743" t="e">
            <v>#N/A</v>
          </cell>
          <cell r="J743" t="e">
            <v>#N/A</v>
          </cell>
          <cell r="K743" t="e">
            <v>#N/A</v>
          </cell>
          <cell r="L743" t="e">
            <v>#N/A</v>
          </cell>
          <cell r="M743" t="e">
            <v>#N/A</v>
          </cell>
          <cell r="N743" t="e">
            <v>#N/A</v>
          </cell>
          <cell r="O743" t="e">
            <v>#N/A</v>
          </cell>
          <cell r="P743">
            <v>34.65</v>
          </cell>
          <cell r="Q743" t="str">
            <v/>
          </cell>
          <cell r="R743" t="e">
            <v>#N/A</v>
          </cell>
        </row>
        <row r="744">
          <cell r="A744">
            <v>40232</v>
          </cell>
          <cell r="B744">
            <v>40232</v>
          </cell>
          <cell r="C744" t="str">
            <v>Future</v>
          </cell>
          <cell r="D744" t="e">
            <v>#N/A</v>
          </cell>
          <cell r="E744">
            <v>9.2915415019763792</v>
          </cell>
          <cell r="F744">
            <v>40.003003952569316</v>
          </cell>
          <cell r="G744">
            <v>32.690750988141659</v>
          </cell>
          <cell r="H744">
            <v>32.690750988141659</v>
          </cell>
          <cell r="I744" t="e">
            <v>#N/A</v>
          </cell>
          <cell r="J744" t="e">
            <v>#N/A</v>
          </cell>
          <cell r="K744" t="e">
            <v>#N/A</v>
          </cell>
          <cell r="L744" t="e">
            <v>#N/A</v>
          </cell>
          <cell r="M744" t="e">
            <v>#N/A</v>
          </cell>
          <cell r="N744" t="e">
            <v>#N/A</v>
          </cell>
          <cell r="O744" t="e">
            <v>#N/A</v>
          </cell>
          <cell r="P744">
            <v>34.65</v>
          </cell>
          <cell r="Q744" t="str">
            <v/>
          </cell>
          <cell r="R744" t="e">
            <v>#N/A</v>
          </cell>
        </row>
        <row r="745">
          <cell r="A745">
            <v>40233</v>
          </cell>
          <cell r="B745">
            <v>40233</v>
          </cell>
          <cell r="C745" t="str">
            <v>Future</v>
          </cell>
          <cell r="D745" t="e">
            <v>#N/A</v>
          </cell>
          <cell r="E745">
            <v>9.1549011857708464</v>
          </cell>
          <cell r="F745">
            <v>40.032371541502123</v>
          </cell>
          <cell r="G745">
            <v>32.680592885374857</v>
          </cell>
          <cell r="H745">
            <v>32.680592885374857</v>
          </cell>
          <cell r="I745" t="e">
            <v>#N/A</v>
          </cell>
          <cell r="J745" t="e">
            <v>#N/A</v>
          </cell>
          <cell r="K745" t="e">
            <v>#N/A</v>
          </cell>
          <cell r="L745" t="e">
            <v>#N/A</v>
          </cell>
          <cell r="M745" t="e">
            <v>#N/A</v>
          </cell>
          <cell r="N745" t="e">
            <v>#N/A</v>
          </cell>
          <cell r="O745" t="e">
            <v>#N/A</v>
          </cell>
          <cell r="P745">
            <v>34.65</v>
          </cell>
          <cell r="Q745" t="str">
            <v/>
          </cell>
          <cell r="R745" t="e">
            <v>#N/A</v>
          </cell>
        </row>
        <row r="746">
          <cell r="A746">
            <v>40234</v>
          </cell>
          <cell r="B746">
            <v>40234</v>
          </cell>
          <cell r="C746" t="str">
            <v>Future</v>
          </cell>
          <cell r="D746" t="e">
            <v>#N/A</v>
          </cell>
          <cell r="E746">
            <v>9.0182608695653137</v>
          </cell>
          <cell r="F746">
            <v>40.06173913043493</v>
          </cell>
          <cell r="G746">
            <v>32.670434782608055</v>
          </cell>
          <cell r="H746">
            <v>32.670434782608055</v>
          </cell>
          <cell r="I746" t="e">
            <v>#N/A</v>
          </cell>
          <cell r="J746" t="e">
            <v>#N/A</v>
          </cell>
          <cell r="K746" t="e">
            <v>#N/A</v>
          </cell>
          <cell r="L746" t="e">
            <v>#N/A</v>
          </cell>
          <cell r="M746" t="e">
            <v>#N/A</v>
          </cell>
          <cell r="N746" t="e">
            <v>#N/A</v>
          </cell>
          <cell r="O746" t="e">
            <v>#N/A</v>
          </cell>
          <cell r="P746">
            <v>34.65</v>
          </cell>
          <cell r="Q746" t="str">
            <v/>
          </cell>
          <cell r="R746" t="e">
            <v>#N/A</v>
          </cell>
        </row>
        <row r="747">
          <cell r="A747">
            <v>40235</v>
          </cell>
          <cell r="B747">
            <v>40235</v>
          </cell>
          <cell r="C747" t="str">
            <v>Future</v>
          </cell>
          <cell r="D747" t="e">
            <v>#N/A</v>
          </cell>
          <cell r="E747">
            <v>8.881620553359781</v>
          </cell>
          <cell r="F747">
            <v>40.091106719367737</v>
          </cell>
          <cell r="G747">
            <v>32.660276679841253</v>
          </cell>
          <cell r="H747">
            <v>32.660276679841253</v>
          </cell>
          <cell r="I747" t="e">
            <v>#N/A</v>
          </cell>
          <cell r="J747" t="e">
            <v>#N/A</v>
          </cell>
          <cell r="K747" t="e">
            <v>#N/A</v>
          </cell>
          <cell r="L747" t="e">
            <v>#N/A</v>
          </cell>
          <cell r="M747" t="e">
            <v>#N/A</v>
          </cell>
          <cell r="N747" t="e">
            <v>#N/A</v>
          </cell>
          <cell r="O747" t="e">
            <v>#N/A</v>
          </cell>
          <cell r="P747">
            <v>34.65</v>
          </cell>
          <cell r="Q747" t="str">
            <v/>
          </cell>
          <cell r="R747" t="e">
            <v>#N/A</v>
          </cell>
        </row>
        <row r="748">
          <cell r="A748">
            <v>40238</v>
          </cell>
          <cell r="B748">
            <v>40238</v>
          </cell>
          <cell r="C748" t="str">
            <v>Future</v>
          </cell>
          <cell r="D748" t="e">
            <v>#N/A</v>
          </cell>
          <cell r="E748">
            <v>8.7449802371542482</v>
          </cell>
          <cell r="F748">
            <v>40.120474308300544</v>
          </cell>
          <cell r="G748">
            <v>32.650118577074451</v>
          </cell>
          <cell r="H748">
            <v>32.650118577074451</v>
          </cell>
          <cell r="I748" t="e">
            <v>#N/A</v>
          </cell>
          <cell r="J748" t="e">
            <v>#N/A</v>
          </cell>
          <cell r="K748" t="e">
            <v>#N/A</v>
          </cell>
          <cell r="L748" t="e">
            <v>#N/A</v>
          </cell>
          <cell r="M748" t="e">
            <v>#N/A</v>
          </cell>
          <cell r="N748" t="e">
            <v>#N/A</v>
          </cell>
          <cell r="O748" t="e">
            <v>#N/A</v>
          </cell>
          <cell r="P748">
            <v>34.65</v>
          </cell>
          <cell r="Q748" t="str">
            <v/>
          </cell>
          <cell r="R748" t="e">
            <v>#N/A</v>
          </cell>
        </row>
        <row r="749">
          <cell r="A749">
            <v>40239</v>
          </cell>
          <cell r="B749">
            <v>40239</v>
          </cell>
          <cell r="C749" t="str">
            <v>Future</v>
          </cell>
          <cell r="D749" t="e">
            <v>#N/A</v>
          </cell>
          <cell r="E749">
            <v>8.6083399209487155</v>
          </cell>
          <cell r="F749">
            <v>40.149841897233351</v>
          </cell>
          <cell r="G749">
            <v>32.639960474307649</v>
          </cell>
          <cell r="H749">
            <v>32.639960474307649</v>
          </cell>
          <cell r="I749" t="e">
            <v>#N/A</v>
          </cell>
          <cell r="J749" t="e">
            <v>#N/A</v>
          </cell>
          <cell r="K749" t="e">
            <v>#N/A</v>
          </cell>
          <cell r="L749" t="e">
            <v>#N/A</v>
          </cell>
          <cell r="M749" t="e">
            <v>#N/A</v>
          </cell>
          <cell r="N749" t="e">
            <v>#N/A</v>
          </cell>
          <cell r="O749" t="e">
            <v>#N/A</v>
          </cell>
          <cell r="P749">
            <v>34.65</v>
          </cell>
          <cell r="Q749" t="str">
            <v/>
          </cell>
          <cell r="R749" t="e">
            <v>#N/A</v>
          </cell>
        </row>
        <row r="750">
          <cell r="A750">
            <v>40240</v>
          </cell>
          <cell r="B750">
            <v>40240</v>
          </cell>
          <cell r="C750" t="str">
            <v>Future</v>
          </cell>
          <cell r="D750" t="e">
            <v>#N/A</v>
          </cell>
          <cell r="E750">
            <v>8.4716996047431827</v>
          </cell>
          <cell r="F750">
            <v>40.179209486166158</v>
          </cell>
          <cell r="G750">
            <v>32.629802371540848</v>
          </cell>
          <cell r="H750">
            <v>32.629802371540848</v>
          </cell>
          <cell r="I750" t="e">
            <v>#N/A</v>
          </cell>
          <cell r="J750" t="e">
            <v>#N/A</v>
          </cell>
          <cell r="K750" t="e">
            <v>#N/A</v>
          </cell>
          <cell r="L750" t="e">
            <v>#N/A</v>
          </cell>
          <cell r="M750" t="e">
            <v>#N/A</v>
          </cell>
          <cell r="N750" t="e">
            <v>#N/A</v>
          </cell>
          <cell r="O750" t="e">
            <v>#N/A</v>
          </cell>
          <cell r="P750">
            <v>34.65</v>
          </cell>
          <cell r="Q750" t="str">
            <v/>
          </cell>
          <cell r="R750" t="e">
            <v>#N/A</v>
          </cell>
        </row>
        <row r="751">
          <cell r="A751">
            <v>40241</v>
          </cell>
          <cell r="B751">
            <v>40241</v>
          </cell>
          <cell r="C751" t="str">
            <v>Future</v>
          </cell>
          <cell r="D751" t="e">
            <v>#N/A</v>
          </cell>
          <cell r="E751">
            <v>8.33505928853765</v>
          </cell>
          <cell r="F751">
            <v>40.208577075098965</v>
          </cell>
          <cell r="G751">
            <v>32.619644268774046</v>
          </cell>
          <cell r="H751">
            <v>32.619644268774046</v>
          </cell>
          <cell r="I751" t="e">
            <v>#N/A</v>
          </cell>
          <cell r="J751" t="e">
            <v>#N/A</v>
          </cell>
          <cell r="K751" t="e">
            <v>#N/A</v>
          </cell>
          <cell r="L751" t="e">
            <v>#N/A</v>
          </cell>
          <cell r="M751" t="e">
            <v>#N/A</v>
          </cell>
          <cell r="N751" t="e">
            <v>#N/A</v>
          </cell>
          <cell r="O751" t="e">
            <v>#N/A</v>
          </cell>
          <cell r="P751">
            <v>34.65</v>
          </cell>
          <cell r="Q751" t="str">
            <v/>
          </cell>
          <cell r="R751" t="e">
            <v>#N/A</v>
          </cell>
        </row>
        <row r="752">
          <cell r="A752">
            <v>40242</v>
          </cell>
          <cell r="B752">
            <v>40242</v>
          </cell>
          <cell r="C752" t="str">
            <v>Future</v>
          </cell>
          <cell r="D752" t="e">
            <v>#N/A</v>
          </cell>
          <cell r="E752">
            <v>8.1984189723321172</v>
          </cell>
          <cell r="F752">
            <v>40.237944664031772</v>
          </cell>
          <cell r="G752">
            <v>32.609486166007244</v>
          </cell>
          <cell r="H752">
            <v>32.609486166007244</v>
          </cell>
          <cell r="I752" t="e">
            <v>#N/A</v>
          </cell>
          <cell r="J752" t="e">
            <v>#N/A</v>
          </cell>
          <cell r="K752" t="e">
            <v>#N/A</v>
          </cell>
          <cell r="L752" t="e">
            <v>#N/A</v>
          </cell>
          <cell r="M752" t="e">
            <v>#N/A</v>
          </cell>
          <cell r="N752" t="e">
            <v>#N/A</v>
          </cell>
          <cell r="O752" t="e">
            <v>#N/A</v>
          </cell>
          <cell r="P752">
            <v>34.65</v>
          </cell>
          <cell r="Q752" t="str">
            <v/>
          </cell>
          <cell r="R752" t="e">
            <v>#N/A</v>
          </cell>
        </row>
        <row r="753">
          <cell r="A753">
            <v>40245</v>
          </cell>
          <cell r="B753">
            <v>40245</v>
          </cell>
          <cell r="C753" t="str">
            <v>Future</v>
          </cell>
          <cell r="D753" t="e">
            <v>#N/A</v>
          </cell>
          <cell r="E753">
            <v>8.0617786561265845</v>
          </cell>
          <cell r="F753">
            <v>40.267312252964579</v>
          </cell>
          <cell r="G753">
            <v>32.599328063240442</v>
          </cell>
          <cell r="H753">
            <v>32.599328063240442</v>
          </cell>
          <cell r="I753" t="e">
            <v>#N/A</v>
          </cell>
          <cell r="J753" t="e">
            <v>#N/A</v>
          </cell>
          <cell r="K753" t="e">
            <v>#N/A</v>
          </cell>
          <cell r="L753" t="e">
            <v>#N/A</v>
          </cell>
          <cell r="M753" t="e">
            <v>#N/A</v>
          </cell>
          <cell r="N753" t="e">
            <v>#N/A</v>
          </cell>
          <cell r="O753" t="e">
            <v>#N/A</v>
          </cell>
          <cell r="P753">
            <v>34.65</v>
          </cell>
          <cell r="Q753" t="str">
            <v/>
          </cell>
          <cell r="R753" t="e">
            <v>#N/A</v>
          </cell>
        </row>
        <row r="754">
          <cell r="A754">
            <v>40246</v>
          </cell>
          <cell r="B754">
            <v>40246</v>
          </cell>
          <cell r="C754" t="str">
            <v>Future</v>
          </cell>
          <cell r="D754" t="e">
            <v>#N/A</v>
          </cell>
          <cell r="E754">
            <v>7.9251383399210509</v>
          </cell>
          <cell r="F754">
            <v>40.296679841897387</v>
          </cell>
          <cell r="G754">
            <v>32.58916996047364</v>
          </cell>
          <cell r="H754">
            <v>32.58916996047364</v>
          </cell>
          <cell r="I754" t="e">
            <v>#N/A</v>
          </cell>
          <cell r="J754" t="e">
            <v>#N/A</v>
          </cell>
          <cell r="K754" t="e">
            <v>#N/A</v>
          </cell>
          <cell r="L754" t="e">
            <v>#N/A</v>
          </cell>
          <cell r="M754" t="e">
            <v>#N/A</v>
          </cell>
          <cell r="N754" t="e">
            <v>#N/A</v>
          </cell>
          <cell r="O754" t="e">
            <v>#N/A</v>
          </cell>
          <cell r="P754">
            <v>34.65</v>
          </cell>
          <cell r="Q754" t="str">
            <v/>
          </cell>
          <cell r="R754" t="e">
            <v>#N/A</v>
          </cell>
        </row>
        <row r="755">
          <cell r="A755">
            <v>40247</v>
          </cell>
          <cell r="B755">
            <v>40247</v>
          </cell>
          <cell r="C755" t="str">
            <v>Future</v>
          </cell>
          <cell r="D755" t="e">
            <v>#N/A</v>
          </cell>
          <cell r="E755">
            <v>7.7884980237155172</v>
          </cell>
          <cell r="F755">
            <v>40.326047430830194</v>
          </cell>
          <cell r="G755">
            <v>32.579011857706838</v>
          </cell>
          <cell r="H755">
            <v>32.579011857706838</v>
          </cell>
          <cell r="I755" t="e">
            <v>#N/A</v>
          </cell>
          <cell r="J755" t="e">
            <v>#N/A</v>
          </cell>
          <cell r="K755" t="e">
            <v>#N/A</v>
          </cell>
          <cell r="L755" t="e">
            <v>#N/A</v>
          </cell>
          <cell r="M755" t="e">
            <v>#N/A</v>
          </cell>
          <cell r="N755" t="e">
            <v>#N/A</v>
          </cell>
          <cell r="O755" t="e">
            <v>#N/A</v>
          </cell>
          <cell r="P755">
            <v>34.65</v>
          </cell>
          <cell r="Q755" t="str">
            <v/>
          </cell>
          <cell r="R755" t="e">
            <v>#N/A</v>
          </cell>
        </row>
        <row r="756">
          <cell r="A756">
            <v>40248</v>
          </cell>
          <cell r="B756">
            <v>40248</v>
          </cell>
          <cell r="C756" t="str">
            <v>Future</v>
          </cell>
          <cell r="D756" t="e">
            <v>#N/A</v>
          </cell>
          <cell r="E756">
            <v>7.6518577075099836</v>
          </cell>
          <cell r="F756">
            <v>40.355415019763001</v>
          </cell>
          <cell r="G756">
            <v>32.568853754940037</v>
          </cell>
          <cell r="H756">
            <v>32.568853754940037</v>
          </cell>
          <cell r="I756" t="e">
            <v>#N/A</v>
          </cell>
          <cell r="J756" t="e">
            <v>#N/A</v>
          </cell>
          <cell r="K756" t="e">
            <v>#N/A</v>
          </cell>
          <cell r="L756" t="e">
            <v>#N/A</v>
          </cell>
          <cell r="M756" t="e">
            <v>#N/A</v>
          </cell>
          <cell r="N756" t="e">
            <v>#N/A</v>
          </cell>
          <cell r="O756" t="e">
            <v>#N/A</v>
          </cell>
          <cell r="P756">
            <v>34.65</v>
          </cell>
          <cell r="Q756" t="str">
            <v/>
          </cell>
          <cell r="R756" t="e">
            <v>#N/A</v>
          </cell>
        </row>
        <row r="757">
          <cell r="A757">
            <v>40249</v>
          </cell>
          <cell r="B757">
            <v>40249</v>
          </cell>
          <cell r="C757" t="str">
            <v>Future</v>
          </cell>
          <cell r="D757" t="e">
            <v>#N/A</v>
          </cell>
          <cell r="E757">
            <v>7.51521739130445</v>
          </cell>
          <cell r="F757">
            <v>40.384782608695808</v>
          </cell>
          <cell r="G757">
            <v>32.558695652173235</v>
          </cell>
          <cell r="H757">
            <v>32.558695652173235</v>
          </cell>
          <cell r="I757" t="e">
            <v>#N/A</v>
          </cell>
          <cell r="J757" t="e">
            <v>#N/A</v>
          </cell>
          <cell r="K757" t="e">
            <v>#N/A</v>
          </cell>
          <cell r="L757" t="e">
            <v>#N/A</v>
          </cell>
          <cell r="M757" t="e">
            <v>#N/A</v>
          </cell>
          <cell r="N757" t="e">
            <v>#N/A</v>
          </cell>
          <cell r="O757" t="e">
            <v>#N/A</v>
          </cell>
          <cell r="P757">
            <v>34.65</v>
          </cell>
          <cell r="Q757" t="str">
            <v/>
          </cell>
          <cell r="R757" t="e">
            <v>#N/A</v>
          </cell>
        </row>
        <row r="758">
          <cell r="A758">
            <v>40252</v>
          </cell>
          <cell r="B758">
            <v>40252</v>
          </cell>
          <cell r="C758" t="str">
            <v>Future</v>
          </cell>
          <cell r="D758" t="e">
            <v>#N/A</v>
          </cell>
          <cell r="E758">
            <v>7.3785770750989164</v>
          </cell>
          <cell r="F758">
            <v>40.414150197628615</v>
          </cell>
          <cell r="G758">
            <v>32.548537549406433</v>
          </cell>
          <cell r="H758">
            <v>32.548537549406433</v>
          </cell>
          <cell r="I758" t="e">
            <v>#N/A</v>
          </cell>
          <cell r="J758" t="e">
            <v>#N/A</v>
          </cell>
          <cell r="K758" t="e">
            <v>#N/A</v>
          </cell>
          <cell r="L758" t="e">
            <v>#N/A</v>
          </cell>
          <cell r="M758" t="e">
            <v>#N/A</v>
          </cell>
          <cell r="N758" t="e">
            <v>#N/A</v>
          </cell>
          <cell r="O758" t="e">
            <v>#N/A</v>
          </cell>
          <cell r="P758">
            <v>34.65</v>
          </cell>
          <cell r="Q758" t="str">
            <v/>
          </cell>
          <cell r="R758" t="e">
            <v>#N/A</v>
          </cell>
        </row>
        <row r="759">
          <cell r="A759">
            <v>40253</v>
          </cell>
          <cell r="B759">
            <v>40253</v>
          </cell>
          <cell r="C759" t="str">
            <v>Future</v>
          </cell>
          <cell r="D759" t="e">
            <v>#N/A</v>
          </cell>
          <cell r="E759">
            <v>7.2419367588933827</v>
          </cell>
          <cell r="F759">
            <v>40.443517786561422</v>
          </cell>
          <cell r="G759">
            <v>32.538379446639631</v>
          </cell>
          <cell r="H759">
            <v>32.538379446639631</v>
          </cell>
          <cell r="I759" t="e">
            <v>#N/A</v>
          </cell>
          <cell r="J759" t="e">
            <v>#N/A</v>
          </cell>
          <cell r="K759" t="e">
            <v>#N/A</v>
          </cell>
          <cell r="L759" t="e">
            <v>#N/A</v>
          </cell>
          <cell r="M759" t="e">
            <v>#N/A</v>
          </cell>
          <cell r="N759" t="e">
            <v>#N/A</v>
          </cell>
          <cell r="O759" t="e">
            <v>#N/A</v>
          </cell>
          <cell r="P759">
            <v>34.65</v>
          </cell>
          <cell r="Q759" t="str">
            <v/>
          </cell>
          <cell r="R759" t="e">
            <v>#N/A</v>
          </cell>
        </row>
        <row r="760">
          <cell r="A760">
            <v>40254</v>
          </cell>
          <cell r="B760">
            <v>40254</v>
          </cell>
          <cell r="C760" t="str">
            <v>Future</v>
          </cell>
          <cell r="D760" t="e">
            <v>#N/A</v>
          </cell>
          <cell r="E760">
            <v>7.1052964426878491</v>
          </cell>
          <cell r="F760">
            <v>40.472885375494229</v>
          </cell>
          <cell r="G760">
            <v>32.528221343872829</v>
          </cell>
          <cell r="H760">
            <v>32.528221343872829</v>
          </cell>
          <cell r="I760" t="e">
            <v>#N/A</v>
          </cell>
          <cell r="J760" t="e">
            <v>#N/A</v>
          </cell>
          <cell r="K760" t="e">
            <v>#N/A</v>
          </cell>
          <cell r="L760" t="e">
            <v>#N/A</v>
          </cell>
          <cell r="M760" t="e">
            <v>#N/A</v>
          </cell>
          <cell r="N760" t="e">
            <v>#N/A</v>
          </cell>
          <cell r="O760" t="e">
            <v>#N/A</v>
          </cell>
          <cell r="P760">
            <v>34.65</v>
          </cell>
          <cell r="Q760" t="str">
            <v/>
          </cell>
          <cell r="R760" t="e">
            <v>#N/A</v>
          </cell>
        </row>
        <row r="761">
          <cell r="A761">
            <v>40255</v>
          </cell>
          <cell r="B761">
            <v>40255</v>
          </cell>
          <cell r="C761" t="str">
            <v>Future</v>
          </cell>
          <cell r="D761" t="e">
            <v>#N/A</v>
          </cell>
          <cell r="E761">
            <v>6.9686561264823155</v>
          </cell>
          <cell r="F761">
            <v>40.502252964427036</v>
          </cell>
          <cell r="G761">
            <v>32.518063241106027</v>
          </cell>
          <cell r="H761">
            <v>32.518063241106027</v>
          </cell>
          <cell r="I761" t="e">
            <v>#N/A</v>
          </cell>
          <cell r="J761" t="e">
            <v>#N/A</v>
          </cell>
          <cell r="K761" t="e">
            <v>#N/A</v>
          </cell>
          <cell r="L761" t="e">
            <v>#N/A</v>
          </cell>
          <cell r="M761" t="e">
            <v>#N/A</v>
          </cell>
          <cell r="N761" t="e">
            <v>#N/A</v>
          </cell>
          <cell r="O761" t="e">
            <v>#N/A</v>
          </cell>
          <cell r="P761">
            <v>34.65</v>
          </cell>
          <cell r="Q761" t="str">
            <v/>
          </cell>
          <cell r="R761" t="e">
            <v>#N/A</v>
          </cell>
        </row>
        <row r="762">
          <cell r="A762">
            <v>40256</v>
          </cell>
          <cell r="B762">
            <v>40256</v>
          </cell>
          <cell r="C762" t="str">
            <v>Future</v>
          </cell>
          <cell r="D762" t="e">
            <v>#N/A</v>
          </cell>
          <cell r="E762">
            <v>6.8320158102767818</v>
          </cell>
          <cell r="F762">
            <v>40.531620553359843</v>
          </cell>
          <cell r="G762">
            <v>32.507905138339225</v>
          </cell>
          <cell r="H762">
            <v>32.507905138339225</v>
          </cell>
          <cell r="I762" t="e">
            <v>#N/A</v>
          </cell>
          <cell r="J762" t="e">
            <v>#N/A</v>
          </cell>
          <cell r="K762" t="e">
            <v>#N/A</v>
          </cell>
          <cell r="L762" t="e">
            <v>#N/A</v>
          </cell>
          <cell r="M762" t="e">
            <v>#N/A</v>
          </cell>
          <cell r="N762" t="e">
            <v>#N/A</v>
          </cell>
          <cell r="O762" t="e">
            <v>#N/A</v>
          </cell>
          <cell r="P762">
            <v>34.65</v>
          </cell>
          <cell r="Q762" t="str">
            <v/>
          </cell>
          <cell r="R762" t="e">
            <v>#N/A</v>
          </cell>
        </row>
        <row r="763">
          <cell r="A763">
            <v>40259</v>
          </cell>
          <cell r="B763">
            <v>40259</v>
          </cell>
          <cell r="C763" t="str">
            <v>Future</v>
          </cell>
          <cell r="D763" t="e">
            <v>#N/A</v>
          </cell>
          <cell r="E763">
            <v>6.6953754940712482</v>
          </cell>
          <cell r="F763">
            <v>40.560988142292651</v>
          </cell>
          <cell r="G763">
            <v>32.497747035572424</v>
          </cell>
          <cell r="H763">
            <v>32.497747035572424</v>
          </cell>
          <cell r="I763" t="e">
            <v>#N/A</v>
          </cell>
          <cell r="J763" t="e">
            <v>#N/A</v>
          </cell>
          <cell r="K763" t="e">
            <v>#N/A</v>
          </cell>
          <cell r="L763" t="e">
            <v>#N/A</v>
          </cell>
          <cell r="M763" t="e">
            <v>#N/A</v>
          </cell>
          <cell r="N763" t="e">
            <v>#N/A</v>
          </cell>
          <cell r="O763" t="e">
            <v>#N/A</v>
          </cell>
          <cell r="P763">
            <v>34.65</v>
          </cell>
          <cell r="Q763" t="str">
            <v/>
          </cell>
          <cell r="R763" t="e">
            <v>#N/A</v>
          </cell>
        </row>
        <row r="764">
          <cell r="A764">
            <v>40260</v>
          </cell>
          <cell r="B764">
            <v>40260</v>
          </cell>
          <cell r="C764" t="str">
            <v>Future</v>
          </cell>
          <cell r="D764" t="e">
            <v>#N/A</v>
          </cell>
          <cell r="E764">
            <v>6.5587351778657146</v>
          </cell>
          <cell r="F764">
            <v>40.590355731225458</v>
          </cell>
          <cell r="G764">
            <v>32.487588932805622</v>
          </cell>
          <cell r="H764">
            <v>32.487588932805622</v>
          </cell>
          <cell r="I764" t="e">
            <v>#N/A</v>
          </cell>
          <cell r="J764" t="e">
            <v>#N/A</v>
          </cell>
          <cell r="K764" t="e">
            <v>#N/A</v>
          </cell>
          <cell r="L764" t="e">
            <v>#N/A</v>
          </cell>
          <cell r="M764" t="e">
            <v>#N/A</v>
          </cell>
          <cell r="N764" t="e">
            <v>#N/A</v>
          </cell>
          <cell r="O764" t="e">
            <v>#N/A</v>
          </cell>
          <cell r="P764">
            <v>34.65</v>
          </cell>
          <cell r="Q764" t="str">
            <v/>
          </cell>
          <cell r="R764" t="e">
            <v>#N/A</v>
          </cell>
        </row>
        <row r="765">
          <cell r="A765">
            <v>40261</v>
          </cell>
          <cell r="B765">
            <v>40261</v>
          </cell>
          <cell r="C765" t="str">
            <v>Future</v>
          </cell>
          <cell r="D765" t="e">
            <v>#N/A</v>
          </cell>
          <cell r="E765">
            <v>6.422094861660181</v>
          </cell>
          <cell r="F765">
            <v>40.619723320158265</v>
          </cell>
          <cell r="G765">
            <v>32.47743083003882</v>
          </cell>
          <cell r="H765">
            <v>32.47743083003882</v>
          </cell>
          <cell r="I765" t="e">
            <v>#N/A</v>
          </cell>
          <cell r="J765" t="e">
            <v>#N/A</v>
          </cell>
          <cell r="K765" t="e">
            <v>#N/A</v>
          </cell>
          <cell r="L765" t="e">
            <v>#N/A</v>
          </cell>
          <cell r="M765" t="e">
            <v>#N/A</v>
          </cell>
          <cell r="N765" t="e">
            <v>#N/A</v>
          </cell>
          <cell r="O765" t="e">
            <v>#N/A</v>
          </cell>
          <cell r="P765">
            <v>34.65</v>
          </cell>
          <cell r="Q765" t="str">
            <v/>
          </cell>
          <cell r="R765" t="e">
            <v>#N/A</v>
          </cell>
        </row>
        <row r="766">
          <cell r="A766">
            <v>40262</v>
          </cell>
          <cell r="B766">
            <v>40262</v>
          </cell>
          <cell r="C766" t="str">
            <v>Future</v>
          </cell>
          <cell r="D766" t="e">
            <v>#N/A</v>
          </cell>
          <cell r="E766">
            <v>6.2854545454546473</v>
          </cell>
          <cell r="F766">
            <v>40.649090909091072</v>
          </cell>
          <cell r="G766">
            <v>32.467272727272018</v>
          </cell>
          <cell r="H766">
            <v>32.467272727272018</v>
          </cell>
          <cell r="I766" t="e">
            <v>#N/A</v>
          </cell>
          <cell r="J766" t="e">
            <v>#N/A</v>
          </cell>
          <cell r="K766" t="e">
            <v>#N/A</v>
          </cell>
          <cell r="L766" t="e">
            <v>#N/A</v>
          </cell>
          <cell r="M766" t="e">
            <v>#N/A</v>
          </cell>
          <cell r="N766" t="e">
            <v>#N/A</v>
          </cell>
          <cell r="O766" t="e">
            <v>#N/A</v>
          </cell>
          <cell r="P766">
            <v>34.65</v>
          </cell>
          <cell r="Q766" t="str">
            <v/>
          </cell>
          <cell r="R766" t="e">
            <v>#N/A</v>
          </cell>
        </row>
        <row r="767">
          <cell r="A767">
            <v>40263</v>
          </cell>
          <cell r="B767">
            <v>40263</v>
          </cell>
          <cell r="C767" t="str">
            <v>Future</v>
          </cell>
          <cell r="D767" t="e">
            <v>#N/A</v>
          </cell>
          <cell r="E767">
            <v>6.1488142292491137</v>
          </cell>
          <cell r="F767">
            <v>40.678458498023879</v>
          </cell>
          <cell r="G767">
            <v>32.457114624505216</v>
          </cell>
          <cell r="H767">
            <v>32.457114624505216</v>
          </cell>
          <cell r="I767" t="e">
            <v>#N/A</v>
          </cell>
          <cell r="J767" t="e">
            <v>#N/A</v>
          </cell>
          <cell r="K767" t="e">
            <v>#N/A</v>
          </cell>
          <cell r="L767" t="e">
            <v>#N/A</v>
          </cell>
          <cell r="M767" t="e">
            <v>#N/A</v>
          </cell>
          <cell r="N767" t="e">
            <v>#N/A</v>
          </cell>
          <cell r="O767" t="e">
            <v>#N/A</v>
          </cell>
          <cell r="P767">
            <v>34.65</v>
          </cell>
          <cell r="Q767" t="str">
            <v/>
          </cell>
          <cell r="R767" t="e">
            <v>#N/A</v>
          </cell>
        </row>
        <row r="768">
          <cell r="A768">
            <v>40266</v>
          </cell>
          <cell r="B768">
            <v>40266</v>
          </cell>
          <cell r="C768" t="str">
            <v>Future</v>
          </cell>
          <cell r="D768" t="e">
            <v>#N/A</v>
          </cell>
          <cell r="E768">
            <v>6.0121739130435801</v>
          </cell>
          <cell r="F768">
            <v>40.707826086956686</v>
          </cell>
          <cell r="G768">
            <v>32.446956521738414</v>
          </cell>
          <cell r="H768">
            <v>32.446956521738414</v>
          </cell>
          <cell r="I768" t="e">
            <v>#N/A</v>
          </cell>
          <cell r="J768" t="e">
            <v>#N/A</v>
          </cell>
          <cell r="K768" t="e">
            <v>#N/A</v>
          </cell>
          <cell r="L768" t="e">
            <v>#N/A</v>
          </cell>
          <cell r="M768" t="e">
            <v>#N/A</v>
          </cell>
          <cell r="N768" t="e">
            <v>#N/A</v>
          </cell>
          <cell r="O768" t="e">
            <v>#N/A</v>
          </cell>
          <cell r="P768">
            <v>34.65</v>
          </cell>
          <cell r="Q768" t="str">
            <v/>
          </cell>
          <cell r="R768" t="e">
            <v>#N/A</v>
          </cell>
        </row>
        <row r="769">
          <cell r="A769">
            <v>40267</v>
          </cell>
          <cell r="B769">
            <v>40267</v>
          </cell>
          <cell r="C769" t="str">
            <v>Future</v>
          </cell>
          <cell r="D769" t="e">
            <v>#N/A</v>
          </cell>
          <cell r="E769">
            <v>5.8755335968380464</v>
          </cell>
          <cell r="F769">
            <v>40.737193675889493</v>
          </cell>
          <cell r="G769">
            <v>32.436798418971613</v>
          </cell>
          <cell r="H769">
            <v>32.436798418971613</v>
          </cell>
          <cell r="I769" t="e">
            <v>#N/A</v>
          </cell>
          <cell r="J769" t="e">
            <v>#N/A</v>
          </cell>
          <cell r="K769" t="e">
            <v>#N/A</v>
          </cell>
          <cell r="L769" t="e">
            <v>#N/A</v>
          </cell>
          <cell r="M769" t="e">
            <v>#N/A</v>
          </cell>
          <cell r="N769" t="e">
            <v>#N/A</v>
          </cell>
          <cell r="O769" t="e">
            <v>#N/A</v>
          </cell>
          <cell r="P769">
            <v>34.65</v>
          </cell>
          <cell r="Q769" t="str">
            <v/>
          </cell>
          <cell r="R769" t="e">
            <v>#N/A</v>
          </cell>
        </row>
        <row r="770">
          <cell r="A770">
            <v>40268</v>
          </cell>
          <cell r="B770">
            <v>40268</v>
          </cell>
          <cell r="C770" t="str">
            <v>Future</v>
          </cell>
          <cell r="D770" t="e">
            <v>#N/A</v>
          </cell>
          <cell r="E770">
            <v>5.7388932806325128</v>
          </cell>
          <cell r="F770">
            <v>40.7665612648223</v>
          </cell>
          <cell r="G770">
            <v>32.426640316204811</v>
          </cell>
          <cell r="H770">
            <v>32.426640316204811</v>
          </cell>
          <cell r="I770" t="e">
            <v>#N/A</v>
          </cell>
          <cell r="J770" t="e">
            <v>#N/A</v>
          </cell>
          <cell r="K770" t="e">
            <v>#N/A</v>
          </cell>
          <cell r="L770" t="e">
            <v>#N/A</v>
          </cell>
          <cell r="M770" t="e">
            <v>#N/A</v>
          </cell>
          <cell r="N770" t="e">
            <v>#N/A</v>
          </cell>
          <cell r="O770" t="e">
            <v>#N/A</v>
          </cell>
          <cell r="P770">
            <v>34.65</v>
          </cell>
          <cell r="Q770" t="str">
            <v/>
          </cell>
          <cell r="R770" t="e">
            <v>#N/A</v>
          </cell>
        </row>
        <row r="771">
          <cell r="A771">
            <v>40269</v>
          </cell>
          <cell r="B771">
            <v>40269</v>
          </cell>
          <cell r="C771" t="str">
            <v>Future</v>
          </cell>
          <cell r="D771" t="e">
            <v>#N/A</v>
          </cell>
          <cell r="E771">
            <v>5.6022529644269792</v>
          </cell>
          <cell r="F771">
            <v>40.795928853755107</v>
          </cell>
          <cell r="G771">
            <v>32.416482213438009</v>
          </cell>
          <cell r="H771">
            <v>32.416482213438009</v>
          </cell>
          <cell r="I771" t="e">
            <v>#N/A</v>
          </cell>
          <cell r="J771" t="e">
            <v>#N/A</v>
          </cell>
          <cell r="K771" t="e">
            <v>#N/A</v>
          </cell>
          <cell r="L771" t="e">
            <v>#N/A</v>
          </cell>
          <cell r="M771" t="e">
            <v>#N/A</v>
          </cell>
          <cell r="N771" t="e">
            <v>#N/A</v>
          </cell>
          <cell r="O771" t="e">
            <v>#N/A</v>
          </cell>
          <cell r="P771">
            <v>34.65</v>
          </cell>
          <cell r="Q771" t="str">
            <v/>
          </cell>
          <cell r="R771" t="e">
            <v>#N/A</v>
          </cell>
        </row>
        <row r="772">
          <cell r="A772">
            <v>40273</v>
          </cell>
          <cell r="B772">
            <v>40273</v>
          </cell>
          <cell r="C772" t="str">
            <v>Future</v>
          </cell>
          <cell r="D772" t="e">
            <v>#N/A</v>
          </cell>
          <cell r="E772">
            <v>5.4656126482214455</v>
          </cell>
          <cell r="F772">
            <v>40.825296442687915</v>
          </cell>
          <cell r="G772">
            <v>32.406324110671207</v>
          </cell>
          <cell r="H772">
            <v>32.406324110671207</v>
          </cell>
          <cell r="I772" t="e">
            <v>#N/A</v>
          </cell>
          <cell r="J772" t="e">
            <v>#N/A</v>
          </cell>
          <cell r="K772" t="e">
            <v>#N/A</v>
          </cell>
          <cell r="L772" t="e">
            <v>#N/A</v>
          </cell>
          <cell r="M772" t="e">
            <v>#N/A</v>
          </cell>
          <cell r="N772" t="e">
            <v>#N/A</v>
          </cell>
          <cell r="O772" t="e">
            <v>#N/A</v>
          </cell>
          <cell r="P772">
            <v>34.65</v>
          </cell>
          <cell r="Q772" t="str">
            <v/>
          </cell>
          <cell r="R772" t="e">
            <v>#N/A</v>
          </cell>
        </row>
        <row r="773">
          <cell r="A773">
            <v>40274</v>
          </cell>
          <cell r="B773">
            <v>40274</v>
          </cell>
          <cell r="C773" t="str">
            <v>Future</v>
          </cell>
          <cell r="D773" t="e">
            <v>#N/A</v>
          </cell>
          <cell r="E773">
            <v>5.3289723320159119</v>
          </cell>
          <cell r="F773">
            <v>40.854664031620722</v>
          </cell>
          <cell r="G773">
            <v>32.396166007904405</v>
          </cell>
          <cell r="H773">
            <v>32.396166007904405</v>
          </cell>
          <cell r="I773" t="e">
            <v>#N/A</v>
          </cell>
          <cell r="J773" t="e">
            <v>#N/A</v>
          </cell>
          <cell r="K773" t="e">
            <v>#N/A</v>
          </cell>
          <cell r="L773" t="e">
            <v>#N/A</v>
          </cell>
          <cell r="M773" t="e">
            <v>#N/A</v>
          </cell>
          <cell r="N773" t="e">
            <v>#N/A</v>
          </cell>
          <cell r="O773" t="e">
            <v>#N/A</v>
          </cell>
          <cell r="P773">
            <v>34.65</v>
          </cell>
          <cell r="Q773" t="str">
            <v/>
          </cell>
          <cell r="R773" t="e">
            <v>#N/A</v>
          </cell>
        </row>
        <row r="774">
          <cell r="A774">
            <v>40275</v>
          </cell>
          <cell r="B774">
            <v>40275</v>
          </cell>
          <cell r="C774" t="str">
            <v>Future</v>
          </cell>
          <cell r="D774" t="e">
            <v>#N/A</v>
          </cell>
          <cell r="E774">
            <v>5.1923320158103783</v>
          </cell>
          <cell r="F774">
            <v>40.884031620553529</v>
          </cell>
          <cell r="G774">
            <v>32.386007905137603</v>
          </cell>
          <cell r="H774">
            <v>32.386007905137603</v>
          </cell>
          <cell r="I774" t="e">
            <v>#N/A</v>
          </cell>
          <cell r="J774" t="e">
            <v>#N/A</v>
          </cell>
          <cell r="K774" t="e">
            <v>#N/A</v>
          </cell>
          <cell r="L774" t="e">
            <v>#N/A</v>
          </cell>
          <cell r="M774" t="e">
            <v>#N/A</v>
          </cell>
          <cell r="N774" t="e">
            <v>#N/A</v>
          </cell>
          <cell r="O774" t="e">
            <v>#N/A</v>
          </cell>
          <cell r="P774">
            <v>34.65</v>
          </cell>
          <cell r="Q774" t="str">
            <v/>
          </cell>
          <cell r="R774" t="e">
            <v>#N/A</v>
          </cell>
        </row>
        <row r="775">
          <cell r="A775">
            <v>40276</v>
          </cell>
          <cell r="B775">
            <v>40276</v>
          </cell>
          <cell r="C775" t="str">
            <v>Future</v>
          </cell>
          <cell r="D775" t="e">
            <v>#N/A</v>
          </cell>
          <cell r="E775">
            <v>5.0556916996048447</v>
          </cell>
          <cell r="F775">
            <v>40.913399209486336</v>
          </cell>
          <cell r="G775">
            <v>32.375849802370801</v>
          </cell>
          <cell r="H775">
            <v>32.375849802370801</v>
          </cell>
          <cell r="I775" t="e">
            <v>#N/A</v>
          </cell>
          <cell r="J775" t="e">
            <v>#N/A</v>
          </cell>
          <cell r="K775" t="e">
            <v>#N/A</v>
          </cell>
          <cell r="L775" t="e">
            <v>#N/A</v>
          </cell>
          <cell r="M775" t="e">
            <v>#N/A</v>
          </cell>
          <cell r="N775" t="e">
            <v>#N/A</v>
          </cell>
          <cell r="O775" t="e">
            <v>#N/A</v>
          </cell>
          <cell r="P775">
            <v>34.65</v>
          </cell>
          <cell r="Q775" t="str">
            <v/>
          </cell>
          <cell r="R775" t="e">
            <v>#N/A</v>
          </cell>
        </row>
        <row r="776">
          <cell r="A776">
            <v>40277</v>
          </cell>
          <cell r="B776">
            <v>40277</v>
          </cell>
          <cell r="C776" t="str">
            <v>Future</v>
          </cell>
          <cell r="D776" t="e">
            <v>#N/A</v>
          </cell>
          <cell r="E776">
            <v>4.919051383399311</v>
          </cell>
          <cell r="F776">
            <v>40.942766798419143</v>
          </cell>
          <cell r="G776">
            <v>32.365691699604</v>
          </cell>
          <cell r="H776">
            <v>32.365691699604</v>
          </cell>
          <cell r="I776" t="e">
            <v>#N/A</v>
          </cell>
          <cell r="J776" t="e">
            <v>#N/A</v>
          </cell>
          <cell r="K776" t="e">
            <v>#N/A</v>
          </cell>
          <cell r="L776" t="e">
            <v>#N/A</v>
          </cell>
          <cell r="M776" t="e">
            <v>#N/A</v>
          </cell>
          <cell r="N776" t="e">
            <v>#N/A</v>
          </cell>
          <cell r="O776" t="e">
            <v>#N/A</v>
          </cell>
          <cell r="P776">
            <v>34.65</v>
          </cell>
          <cell r="Q776" t="str">
            <v/>
          </cell>
          <cell r="R776" t="e">
            <v>#N/A</v>
          </cell>
        </row>
        <row r="777">
          <cell r="A777">
            <v>40280</v>
          </cell>
          <cell r="B777">
            <v>40280</v>
          </cell>
          <cell r="C777" t="str">
            <v>Future</v>
          </cell>
          <cell r="D777" t="e">
            <v>#N/A</v>
          </cell>
          <cell r="E777">
            <v>4.7824110671937774</v>
          </cell>
          <cell r="F777">
            <v>40.97213438735195</v>
          </cell>
          <cell r="G777">
            <v>32.355533596837198</v>
          </cell>
          <cell r="H777">
            <v>32.355533596837198</v>
          </cell>
          <cell r="I777" t="e">
            <v>#N/A</v>
          </cell>
          <cell r="J777" t="e">
            <v>#N/A</v>
          </cell>
          <cell r="K777" t="e">
            <v>#N/A</v>
          </cell>
          <cell r="L777" t="e">
            <v>#N/A</v>
          </cell>
          <cell r="M777" t="e">
            <v>#N/A</v>
          </cell>
          <cell r="N777" t="e">
            <v>#N/A</v>
          </cell>
          <cell r="O777" t="e">
            <v>#N/A</v>
          </cell>
          <cell r="P777">
            <v>34.65</v>
          </cell>
          <cell r="Q777" t="str">
            <v/>
          </cell>
          <cell r="R777" t="e">
            <v>#N/A</v>
          </cell>
        </row>
        <row r="778">
          <cell r="A778">
            <v>40281</v>
          </cell>
          <cell r="B778">
            <v>40281</v>
          </cell>
          <cell r="C778" t="str">
            <v>Future</v>
          </cell>
          <cell r="D778" t="e">
            <v>#N/A</v>
          </cell>
          <cell r="E778">
            <v>4.6457707509882438</v>
          </cell>
          <cell r="F778">
            <v>41.001501976284757</v>
          </cell>
          <cell r="G778">
            <v>32.345375494070396</v>
          </cell>
          <cell r="H778">
            <v>32.345375494070396</v>
          </cell>
          <cell r="I778" t="e">
            <v>#N/A</v>
          </cell>
          <cell r="J778" t="e">
            <v>#N/A</v>
          </cell>
          <cell r="K778" t="e">
            <v>#N/A</v>
          </cell>
          <cell r="L778" t="e">
            <v>#N/A</v>
          </cell>
          <cell r="M778" t="e">
            <v>#N/A</v>
          </cell>
          <cell r="N778" t="e">
            <v>#N/A</v>
          </cell>
          <cell r="O778" t="e">
            <v>#N/A</v>
          </cell>
          <cell r="P778">
            <v>34.65</v>
          </cell>
          <cell r="Q778" t="str">
            <v/>
          </cell>
          <cell r="R778" t="e">
            <v>#N/A</v>
          </cell>
        </row>
        <row r="779">
          <cell r="A779">
            <v>40282</v>
          </cell>
          <cell r="B779">
            <v>40282</v>
          </cell>
          <cell r="C779" t="str">
            <v>Future</v>
          </cell>
          <cell r="D779" t="e">
            <v>#N/A</v>
          </cell>
          <cell r="E779">
            <v>4.5091304347827101</v>
          </cell>
          <cell r="F779">
            <v>41.030869565217564</v>
          </cell>
          <cell r="G779">
            <v>32.335217391303594</v>
          </cell>
          <cell r="H779">
            <v>32.335217391303594</v>
          </cell>
          <cell r="I779" t="e">
            <v>#N/A</v>
          </cell>
          <cell r="J779" t="e">
            <v>#N/A</v>
          </cell>
          <cell r="K779" t="e">
            <v>#N/A</v>
          </cell>
          <cell r="L779" t="e">
            <v>#N/A</v>
          </cell>
          <cell r="M779" t="e">
            <v>#N/A</v>
          </cell>
          <cell r="N779" t="e">
            <v>#N/A</v>
          </cell>
          <cell r="O779" t="e">
            <v>#N/A</v>
          </cell>
          <cell r="P779">
            <v>34.65</v>
          </cell>
          <cell r="Q779" t="str">
            <v/>
          </cell>
          <cell r="R779" t="e">
            <v>#N/A</v>
          </cell>
        </row>
        <row r="780">
          <cell r="A780">
            <v>40283</v>
          </cell>
          <cell r="B780">
            <v>40283</v>
          </cell>
          <cell r="C780" t="str">
            <v>Future</v>
          </cell>
          <cell r="D780" t="e">
            <v>#N/A</v>
          </cell>
          <cell r="E780">
            <v>4.3724901185771765</v>
          </cell>
          <cell r="F780">
            <v>41.060237154150371</v>
          </cell>
          <cell r="G780">
            <v>32.325059288536792</v>
          </cell>
          <cell r="H780">
            <v>32.325059288536792</v>
          </cell>
          <cell r="I780" t="e">
            <v>#N/A</v>
          </cell>
          <cell r="J780" t="e">
            <v>#N/A</v>
          </cell>
          <cell r="K780" t="e">
            <v>#N/A</v>
          </cell>
          <cell r="L780" t="e">
            <v>#N/A</v>
          </cell>
          <cell r="M780" t="e">
            <v>#N/A</v>
          </cell>
          <cell r="N780" t="e">
            <v>#N/A</v>
          </cell>
          <cell r="O780" t="e">
            <v>#N/A</v>
          </cell>
          <cell r="P780">
            <v>34.65</v>
          </cell>
          <cell r="Q780" t="str">
            <v/>
          </cell>
          <cell r="R780" t="e">
            <v>#N/A</v>
          </cell>
        </row>
        <row r="781">
          <cell r="A781">
            <v>40284</v>
          </cell>
          <cell r="B781">
            <v>40284</v>
          </cell>
          <cell r="C781" t="str">
            <v>Future</v>
          </cell>
          <cell r="D781" t="e">
            <v>#N/A</v>
          </cell>
          <cell r="E781">
            <v>4.2358498023716429</v>
          </cell>
          <cell r="F781">
            <v>41.089604743083179</v>
          </cell>
          <cell r="G781">
            <v>32.31490118576999</v>
          </cell>
          <cell r="H781">
            <v>32.31490118576999</v>
          </cell>
          <cell r="I781" t="e">
            <v>#N/A</v>
          </cell>
          <cell r="J781" t="e">
            <v>#N/A</v>
          </cell>
          <cell r="K781" t="e">
            <v>#N/A</v>
          </cell>
          <cell r="L781" t="e">
            <v>#N/A</v>
          </cell>
          <cell r="M781" t="e">
            <v>#N/A</v>
          </cell>
          <cell r="N781" t="e">
            <v>#N/A</v>
          </cell>
          <cell r="O781" t="e">
            <v>#N/A</v>
          </cell>
          <cell r="P781">
            <v>34.65</v>
          </cell>
          <cell r="Q781" t="str">
            <v/>
          </cell>
          <cell r="R781" t="e">
            <v>#N/A</v>
          </cell>
        </row>
        <row r="782">
          <cell r="A782">
            <v>40287</v>
          </cell>
          <cell r="B782">
            <v>40287</v>
          </cell>
          <cell r="C782" t="str">
            <v>Future</v>
          </cell>
          <cell r="D782" t="e">
            <v>#N/A</v>
          </cell>
          <cell r="E782">
            <v>4.0992094861661093</v>
          </cell>
          <cell r="F782">
            <v>41.118972332015986</v>
          </cell>
          <cell r="G782">
            <v>32.304743083003189</v>
          </cell>
          <cell r="H782">
            <v>32.304743083003189</v>
          </cell>
          <cell r="I782" t="e">
            <v>#N/A</v>
          </cell>
          <cell r="J782" t="e">
            <v>#N/A</v>
          </cell>
          <cell r="K782" t="e">
            <v>#N/A</v>
          </cell>
          <cell r="L782" t="e">
            <v>#N/A</v>
          </cell>
          <cell r="M782" t="e">
            <v>#N/A</v>
          </cell>
          <cell r="N782" t="e">
            <v>#N/A</v>
          </cell>
          <cell r="O782" t="e">
            <v>#N/A</v>
          </cell>
          <cell r="P782">
            <v>34.65</v>
          </cell>
          <cell r="Q782" t="str">
            <v/>
          </cell>
          <cell r="R782" t="e">
            <v>#N/A</v>
          </cell>
        </row>
        <row r="783">
          <cell r="A783">
            <v>40288</v>
          </cell>
          <cell r="B783">
            <v>40288</v>
          </cell>
          <cell r="C783" t="str">
            <v>Future</v>
          </cell>
          <cell r="D783" t="e">
            <v>#N/A</v>
          </cell>
          <cell r="E783">
            <v>3.9625691699605756</v>
          </cell>
          <cell r="F783">
            <v>41.148339920948793</v>
          </cell>
          <cell r="G783">
            <v>32.294584980236387</v>
          </cell>
          <cell r="H783">
            <v>32.294584980236387</v>
          </cell>
          <cell r="I783" t="e">
            <v>#N/A</v>
          </cell>
          <cell r="J783" t="e">
            <v>#N/A</v>
          </cell>
          <cell r="K783" t="e">
            <v>#N/A</v>
          </cell>
          <cell r="L783" t="e">
            <v>#N/A</v>
          </cell>
          <cell r="M783" t="e">
            <v>#N/A</v>
          </cell>
          <cell r="N783" t="e">
            <v>#N/A</v>
          </cell>
          <cell r="O783" t="e">
            <v>#N/A</v>
          </cell>
          <cell r="P783">
            <v>34.65</v>
          </cell>
          <cell r="Q783" t="str">
            <v/>
          </cell>
          <cell r="R783" t="e">
            <v>#N/A</v>
          </cell>
        </row>
        <row r="784">
          <cell r="A784">
            <v>40289</v>
          </cell>
          <cell r="B784">
            <v>40289</v>
          </cell>
          <cell r="C784" t="str">
            <v>Future</v>
          </cell>
          <cell r="D784" t="e">
            <v>#N/A</v>
          </cell>
          <cell r="E784">
            <v>3.825928853755042</v>
          </cell>
          <cell r="F784">
            <v>41.1777075098816</v>
          </cell>
          <cell r="G784">
            <v>32.284426877469585</v>
          </cell>
          <cell r="H784">
            <v>32.284426877469585</v>
          </cell>
          <cell r="I784" t="e">
            <v>#N/A</v>
          </cell>
          <cell r="J784" t="e">
            <v>#N/A</v>
          </cell>
          <cell r="K784" t="e">
            <v>#N/A</v>
          </cell>
          <cell r="L784" t="e">
            <v>#N/A</v>
          </cell>
          <cell r="M784" t="e">
            <v>#N/A</v>
          </cell>
          <cell r="N784" t="e">
            <v>#N/A</v>
          </cell>
          <cell r="O784" t="e">
            <v>#N/A</v>
          </cell>
          <cell r="P784">
            <v>34.65</v>
          </cell>
          <cell r="Q784" t="str">
            <v/>
          </cell>
          <cell r="R784" t="e">
            <v>#N/A</v>
          </cell>
        </row>
        <row r="785">
          <cell r="A785">
            <v>40290</v>
          </cell>
          <cell r="B785">
            <v>40290</v>
          </cell>
          <cell r="C785" t="str">
            <v>Future</v>
          </cell>
          <cell r="D785" t="e">
            <v>#N/A</v>
          </cell>
          <cell r="E785">
            <v>3.6892885375495084</v>
          </cell>
          <cell r="F785">
            <v>41.207075098814407</v>
          </cell>
          <cell r="G785">
            <v>32.274268774702783</v>
          </cell>
          <cell r="H785">
            <v>32.274268774702783</v>
          </cell>
          <cell r="I785" t="e">
            <v>#N/A</v>
          </cell>
          <cell r="J785" t="e">
            <v>#N/A</v>
          </cell>
          <cell r="K785" t="e">
            <v>#N/A</v>
          </cell>
          <cell r="L785" t="e">
            <v>#N/A</v>
          </cell>
          <cell r="M785" t="e">
            <v>#N/A</v>
          </cell>
          <cell r="N785" t="e">
            <v>#N/A</v>
          </cell>
          <cell r="O785" t="e">
            <v>#N/A</v>
          </cell>
          <cell r="P785">
            <v>34.65</v>
          </cell>
          <cell r="Q785" t="str">
            <v/>
          </cell>
          <cell r="R785" t="e">
            <v>#N/A</v>
          </cell>
        </row>
        <row r="786">
          <cell r="A786">
            <v>40291</v>
          </cell>
          <cell r="B786">
            <v>40291</v>
          </cell>
          <cell r="C786" t="str">
            <v>Future</v>
          </cell>
          <cell r="D786" t="e">
            <v>#N/A</v>
          </cell>
          <cell r="E786">
            <v>3.5526482213439747</v>
          </cell>
          <cell r="F786">
            <v>41.236442687747214</v>
          </cell>
          <cell r="G786">
            <v>32.264110671935981</v>
          </cell>
          <cell r="H786">
            <v>32.264110671935981</v>
          </cell>
          <cell r="I786" t="e">
            <v>#N/A</v>
          </cell>
          <cell r="J786" t="e">
            <v>#N/A</v>
          </cell>
          <cell r="K786" t="e">
            <v>#N/A</v>
          </cell>
          <cell r="L786" t="e">
            <v>#N/A</v>
          </cell>
          <cell r="M786" t="e">
            <v>#N/A</v>
          </cell>
          <cell r="N786" t="e">
            <v>#N/A</v>
          </cell>
          <cell r="O786" t="e">
            <v>#N/A</v>
          </cell>
          <cell r="P786">
            <v>34.65</v>
          </cell>
          <cell r="Q786" t="str">
            <v/>
          </cell>
          <cell r="R786" t="e">
            <v>#N/A</v>
          </cell>
        </row>
        <row r="787">
          <cell r="A787">
            <v>40294</v>
          </cell>
          <cell r="B787">
            <v>40294</v>
          </cell>
          <cell r="C787" t="str">
            <v>Future</v>
          </cell>
          <cell r="D787" t="e">
            <v>#N/A</v>
          </cell>
          <cell r="E787">
            <v>3.4160079051384411</v>
          </cell>
          <cell r="F787">
            <v>41.265810276680021</v>
          </cell>
          <cell r="G787">
            <v>32.253952569169179</v>
          </cell>
          <cell r="H787">
            <v>32.253952569169179</v>
          </cell>
          <cell r="I787" t="e">
            <v>#N/A</v>
          </cell>
          <cell r="J787" t="e">
            <v>#N/A</v>
          </cell>
          <cell r="K787" t="e">
            <v>#N/A</v>
          </cell>
          <cell r="L787" t="e">
            <v>#N/A</v>
          </cell>
          <cell r="M787" t="e">
            <v>#N/A</v>
          </cell>
          <cell r="N787" t="e">
            <v>#N/A</v>
          </cell>
          <cell r="O787" t="e">
            <v>#N/A</v>
          </cell>
          <cell r="P787">
            <v>34.65</v>
          </cell>
          <cell r="Q787" t="str">
            <v/>
          </cell>
          <cell r="R787" t="e">
            <v>#N/A</v>
          </cell>
        </row>
        <row r="788">
          <cell r="A788">
            <v>40295</v>
          </cell>
          <cell r="B788">
            <v>40295</v>
          </cell>
          <cell r="C788" t="str">
            <v>Future</v>
          </cell>
          <cell r="D788" t="e">
            <v>#N/A</v>
          </cell>
          <cell r="E788">
            <v>3.2793675889329075</v>
          </cell>
          <cell r="F788">
            <v>41.295177865612828</v>
          </cell>
          <cell r="G788">
            <v>32.243794466402377</v>
          </cell>
          <cell r="H788">
            <v>32.243794466402377</v>
          </cell>
          <cell r="I788" t="e">
            <v>#N/A</v>
          </cell>
          <cell r="J788" t="e">
            <v>#N/A</v>
          </cell>
          <cell r="K788" t="e">
            <v>#N/A</v>
          </cell>
          <cell r="L788" t="e">
            <v>#N/A</v>
          </cell>
          <cell r="M788" t="e">
            <v>#N/A</v>
          </cell>
          <cell r="N788" t="e">
            <v>#N/A</v>
          </cell>
          <cell r="O788" t="e">
            <v>#N/A</v>
          </cell>
          <cell r="P788">
            <v>34.65</v>
          </cell>
          <cell r="Q788" t="str">
            <v/>
          </cell>
          <cell r="R788" t="e">
            <v>#N/A</v>
          </cell>
        </row>
        <row r="789">
          <cell r="A789">
            <v>40296</v>
          </cell>
          <cell r="B789">
            <v>40296</v>
          </cell>
          <cell r="C789" t="str">
            <v>Future</v>
          </cell>
          <cell r="D789" t="e">
            <v>#N/A</v>
          </cell>
          <cell r="E789">
            <v>3.1427272727273738</v>
          </cell>
          <cell r="F789">
            <v>41.324545454545635</v>
          </cell>
          <cell r="G789">
            <v>32.233636363635576</v>
          </cell>
          <cell r="H789">
            <v>32.233636363635576</v>
          </cell>
          <cell r="I789" t="e">
            <v>#N/A</v>
          </cell>
          <cell r="J789" t="e">
            <v>#N/A</v>
          </cell>
          <cell r="K789" t="e">
            <v>#N/A</v>
          </cell>
          <cell r="L789" t="e">
            <v>#N/A</v>
          </cell>
          <cell r="M789" t="e">
            <v>#N/A</v>
          </cell>
          <cell r="N789" t="e">
            <v>#N/A</v>
          </cell>
          <cell r="O789" t="e">
            <v>#N/A</v>
          </cell>
          <cell r="P789">
            <v>34.65</v>
          </cell>
          <cell r="Q789" t="str">
            <v/>
          </cell>
          <cell r="R789" t="e">
            <v>#N/A</v>
          </cell>
        </row>
        <row r="790">
          <cell r="A790">
            <v>40297</v>
          </cell>
          <cell r="B790">
            <v>40297</v>
          </cell>
          <cell r="C790" t="str">
            <v>Future</v>
          </cell>
          <cell r="D790" t="e">
            <v>#N/A</v>
          </cell>
          <cell r="E790">
            <v>3.0060869565218402</v>
          </cell>
          <cell r="F790">
            <v>41.353913043478443</v>
          </cell>
          <cell r="G790">
            <v>32.223478260868774</v>
          </cell>
          <cell r="H790">
            <v>32.223478260868774</v>
          </cell>
          <cell r="I790" t="e">
            <v>#N/A</v>
          </cell>
          <cell r="J790" t="e">
            <v>#N/A</v>
          </cell>
          <cell r="K790" t="e">
            <v>#N/A</v>
          </cell>
          <cell r="L790" t="e">
            <v>#N/A</v>
          </cell>
          <cell r="M790" t="e">
            <v>#N/A</v>
          </cell>
          <cell r="N790" t="e">
            <v>#N/A</v>
          </cell>
          <cell r="O790" t="e">
            <v>#N/A</v>
          </cell>
          <cell r="P790">
            <v>34.65</v>
          </cell>
          <cell r="Q790" t="str">
            <v/>
          </cell>
          <cell r="R790" t="e">
            <v>#N/A</v>
          </cell>
        </row>
        <row r="791">
          <cell r="A791">
            <v>40298</v>
          </cell>
          <cell r="B791">
            <v>40298</v>
          </cell>
          <cell r="C791" t="str">
            <v>Future</v>
          </cell>
          <cell r="D791" t="e">
            <v>#N/A</v>
          </cell>
          <cell r="E791">
            <v>2.8694466403163066</v>
          </cell>
          <cell r="F791">
            <v>41.38328063241125</v>
          </cell>
          <cell r="G791">
            <v>32.213320158101972</v>
          </cell>
          <cell r="H791">
            <v>32.213320158101972</v>
          </cell>
          <cell r="I791" t="e">
            <v>#N/A</v>
          </cell>
          <cell r="J791" t="e">
            <v>#N/A</v>
          </cell>
          <cell r="K791" t="e">
            <v>#N/A</v>
          </cell>
          <cell r="L791" t="e">
            <v>#N/A</v>
          </cell>
          <cell r="M791" t="e">
            <v>#N/A</v>
          </cell>
          <cell r="N791" t="e">
            <v>#N/A</v>
          </cell>
          <cell r="O791" t="e">
            <v>#N/A</v>
          </cell>
          <cell r="P791">
            <v>34.65</v>
          </cell>
          <cell r="Q791" t="str">
            <v/>
          </cell>
          <cell r="R791" t="e">
            <v>#N/A</v>
          </cell>
        </row>
        <row r="792">
          <cell r="A792">
            <v>40301</v>
          </cell>
          <cell r="B792">
            <v>40301</v>
          </cell>
          <cell r="C792" t="str">
            <v>Future</v>
          </cell>
          <cell r="D792" t="e">
            <v>#N/A</v>
          </cell>
          <cell r="E792">
            <v>2.732806324110773</v>
          </cell>
          <cell r="F792">
            <v>41.412648221344057</v>
          </cell>
          <cell r="G792">
            <v>32.20316205533517</v>
          </cell>
          <cell r="H792">
            <v>32.20316205533517</v>
          </cell>
          <cell r="I792" t="e">
            <v>#N/A</v>
          </cell>
          <cell r="J792" t="e">
            <v>#N/A</v>
          </cell>
          <cell r="K792" t="e">
            <v>#N/A</v>
          </cell>
          <cell r="L792" t="e">
            <v>#N/A</v>
          </cell>
          <cell r="M792" t="e">
            <v>#N/A</v>
          </cell>
          <cell r="N792" t="e">
            <v>#N/A</v>
          </cell>
          <cell r="O792" t="e">
            <v>#N/A</v>
          </cell>
          <cell r="P792">
            <v>34.65</v>
          </cell>
          <cell r="Q792" t="str">
            <v/>
          </cell>
          <cell r="R792" t="e">
            <v>#N/A</v>
          </cell>
        </row>
        <row r="793">
          <cell r="A793">
            <v>40302</v>
          </cell>
          <cell r="B793">
            <v>40302</v>
          </cell>
          <cell r="C793" t="str">
            <v>Future</v>
          </cell>
          <cell r="D793" t="e">
            <v>#N/A</v>
          </cell>
          <cell r="E793">
            <v>2.5961660079052393</v>
          </cell>
          <cell r="F793">
            <v>41.442015810276864</v>
          </cell>
          <cell r="G793">
            <v>32.193003952568368</v>
          </cell>
          <cell r="H793">
            <v>32.193003952568368</v>
          </cell>
          <cell r="I793" t="e">
            <v>#N/A</v>
          </cell>
          <cell r="J793" t="e">
            <v>#N/A</v>
          </cell>
          <cell r="K793" t="e">
            <v>#N/A</v>
          </cell>
          <cell r="L793" t="e">
            <v>#N/A</v>
          </cell>
          <cell r="M793" t="e">
            <v>#N/A</v>
          </cell>
          <cell r="N793" t="e">
            <v>#N/A</v>
          </cell>
          <cell r="O793" t="e">
            <v>#N/A</v>
          </cell>
          <cell r="P793">
            <v>34.65</v>
          </cell>
          <cell r="Q793" t="str">
            <v/>
          </cell>
          <cell r="R793" t="e">
            <v>#N/A</v>
          </cell>
        </row>
        <row r="794">
          <cell r="A794">
            <v>40303</v>
          </cell>
          <cell r="B794">
            <v>40303</v>
          </cell>
          <cell r="C794" t="str">
            <v>Future</v>
          </cell>
          <cell r="D794" t="e">
            <v>#N/A</v>
          </cell>
          <cell r="E794">
            <v>2.4595256916997057</v>
          </cell>
          <cell r="F794">
            <v>41.471383399209671</v>
          </cell>
          <cell r="G794">
            <v>32.182845849801566</v>
          </cell>
          <cell r="H794">
            <v>32.182845849801566</v>
          </cell>
          <cell r="I794" t="e">
            <v>#N/A</v>
          </cell>
          <cell r="J794" t="e">
            <v>#N/A</v>
          </cell>
          <cell r="K794" t="e">
            <v>#N/A</v>
          </cell>
          <cell r="L794" t="e">
            <v>#N/A</v>
          </cell>
          <cell r="M794" t="e">
            <v>#N/A</v>
          </cell>
          <cell r="N794" t="e">
            <v>#N/A</v>
          </cell>
          <cell r="O794" t="e">
            <v>#N/A</v>
          </cell>
          <cell r="P794">
            <v>34.65</v>
          </cell>
          <cell r="Q794" t="str">
            <v/>
          </cell>
          <cell r="R794" t="e">
            <v>#N/A</v>
          </cell>
        </row>
        <row r="795">
          <cell r="A795">
            <v>40304</v>
          </cell>
          <cell r="B795">
            <v>40304</v>
          </cell>
          <cell r="C795" t="str">
            <v>Future</v>
          </cell>
          <cell r="D795" t="e">
            <v>#N/A</v>
          </cell>
          <cell r="E795">
            <v>2.3228853754941721</v>
          </cell>
          <cell r="F795">
            <v>41.500750988142478</v>
          </cell>
          <cell r="G795">
            <v>32.172687747034765</v>
          </cell>
          <cell r="H795">
            <v>32.172687747034765</v>
          </cell>
          <cell r="I795" t="e">
            <v>#N/A</v>
          </cell>
          <cell r="J795" t="e">
            <v>#N/A</v>
          </cell>
          <cell r="K795" t="e">
            <v>#N/A</v>
          </cell>
          <cell r="L795" t="e">
            <v>#N/A</v>
          </cell>
          <cell r="M795" t="e">
            <v>#N/A</v>
          </cell>
          <cell r="N795" t="e">
            <v>#N/A</v>
          </cell>
          <cell r="O795" t="e">
            <v>#N/A</v>
          </cell>
          <cell r="P795">
            <v>34.65</v>
          </cell>
          <cell r="Q795" t="str">
            <v/>
          </cell>
          <cell r="R795" t="e">
            <v>#N/A</v>
          </cell>
        </row>
        <row r="796">
          <cell r="A796">
            <v>40305</v>
          </cell>
          <cell r="B796">
            <v>40305</v>
          </cell>
          <cell r="C796" t="str">
            <v>Future</v>
          </cell>
          <cell r="D796" t="e">
            <v>#N/A</v>
          </cell>
          <cell r="E796">
            <v>2.1862450592886384</v>
          </cell>
          <cell r="F796">
            <v>41.530118577075285</v>
          </cell>
          <cell r="G796">
            <v>32.162529644267963</v>
          </cell>
          <cell r="H796">
            <v>32.162529644267963</v>
          </cell>
          <cell r="I796" t="e">
            <v>#N/A</v>
          </cell>
          <cell r="J796" t="e">
            <v>#N/A</v>
          </cell>
          <cell r="K796" t="e">
            <v>#N/A</v>
          </cell>
          <cell r="L796" t="e">
            <v>#N/A</v>
          </cell>
          <cell r="M796" t="e">
            <v>#N/A</v>
          </cell>
          <cell r="N796" t="e">
            <v>#N/A</v>
          </cell>
          <cell r="O796" t="e">
            <v>#N/A</v>
          </cell>
          <cell r="P796">
            <v>34.65</v>
          </cell>
          <cell r="Q796" t="str">
            <v/>
          </cell>
          <cell r="R796" t="e">
            <v>#N/A</v>
          </cell>
        </row>
        <row r="797">
          <cell r="A797">
            <v>40308</v>
          </cell>
          <cell r="B797">
            <v>40308</v>
          </cell>
          <cell r="C797" t="str">
            <v>Future</v>
          </cell>
          <cell r="D797" t="e">
            <v>#N/A</v>
          </cell>
          <cell r="E797">
            <v>2.0496047430831048</v>
          </cell>
          <cell r="F797">
            <v>41.559486166008092</v>
          </cell>
          <cell r="G797">
            <v>32.152371541501161</v>
          </cell>
          <cell r="H797">
            <v>32.152371541501161</v>
          </cell>
          <cell r="I797" t="e">
            <v>#N/A</v>
          </cell>
          <cell r="J797" t="e">
            <v>#N/A</v>
          </cell>
          <cell r="K797" t="e">
            <v>#N/A</v>
          </cell>
          <cell r="L797" t="e">
            <v>#N/A</v>
          </cell>
          <cell r="M797" t="e">
            <v>#N/A</v>
          </cell>
          <cell r="N797" t="e">
            <v>#N/A</v>
          </cell>
          <cell r="O797" t="e">
            <v>#N/A</v>
          </cell>
          <cell r="P797">
            <v>34.65</v>
          </cell>
          <cell r="Q797" t="str">
            <v/>
          </cell>
          <cell r="R797" t="e">
            <v>#N/A</v>
          </cell>
        </row>
        <row r="798">
          <cell r="A798">
            <v>40309</v>
          </cell>
          <cell r="B798">
            <v>40309</v>
          </cell>
          <cell r="C798" t="str">
            <v>Future</v>
          </cell>
          <cell r="D798" t="e">
            <v>#N/A</v>
          </cell>
          <cell r="E798">
            <v>1.9129644268775712</v>
          </cell>
          <cell r="F798">
            <v>41.588853754940899</v>
          </cell>
          <cell r="G798">
            <v>32.142213438734359</v>
          </cell>
          <cell r="H798">
            <v>32.142213438734359</v>
          </cell>
          <cell r="I798" t="e">
            <v>#N/A</v>
          </cell>
          <cell r="J798" t="e">
            <v>#N/A</v>
          </cell>
          <cell r="K798" t="e">
            <v>#N/A</v>
          </cell>
          <cell r="L798" t="e">
            <v>#N/A</v>
          </cell>
          <cell r="M798" t="e">
            <v>#N/A</v>
          </cell>
          <cell r="N798" t="e">
            <v>#N/A</v>
          </cell>
          <cell r="O798" t="e">
            <v>#N/A</v>
          </cell>
          <cell r="P798">
            <v>34.65</v>
          </cell>
          <cell r="Q798" t="str">
            <v/>
          </cell>
          <cell r="R798" t="e">
            <v>#N/A</v>
          </cell>
        </row>
        <row r="799">
          <cell r="A799">
            <v>40310</v>
          </cell>
          <cell r="B799">
            <v>40310</v>
          </cell>
          <cell r="C799" t="str">
            <v>Future</v>
          </cell>
          <cell r="D799" t="e">
            <v>#N/A</v>
          </cell>
          <cell r="E799">
            <v>1.7763241106720375</v>
          </cell>
          <cell r="F799">
            <v>41.618221343873707</v>
          </cell>
          <cell r="G799">
            <v>32.132055335967557</v>
          </cell>
          <cell r="H799">
            <v>32.132055335967557</v>
          </cell>
          <cell r="I799" t="e">
            <v>#N/A</v>
          </cell>
          <cell r="J799" t="e">
            <v>#N/A</v>
          </cell>
          <cell r="K799" t="e">
            <v>#N/A</v>
          </cell>
          <cell r="L799" t="e">
            <v>#N/A</v>
          </cell>
          <cell r="M799" t="e">
            <v>#N/A</v>
          </cell>
          <cell r="N799" t="e">
            <v>#N/A</v>
          </cell>
          <cell r="O799" t="e">
            <v>#N/A</v>
          </cell>
          <cell r="P799">
            <v>34.65</v>
          </cell>
          <cell r="Q799" t="str">
            <v/>
          </cell>
          <cell r="R799" t="e">
            <v>#N/A</v>
          </cell>
        </row>
        <row r="800">
          <cell r="A800">
            <v>40311</v>
          </cell>
          <cell r="B800">
            <v>40311</v>
          </cell>
          <cell r="C800" t="str">
            <v>Future</v>
          </cell>
          <cell r="D800" t="e">
            <v>#N/A</v>
          </cell>
          <cell r="E800">
            <v>1.6396837944665039</v>
          </cell>
          <cell r="F800">
            <v>41.647588932806514</v>
          </cell>
          <cell r="G800">
            <v>32.121897233200755</v>
          </cell>
          <cell r="H800">
            <v>32.121897233200755</v>
          </cell>
          <cell r="I800" t="e">
            <v>#N/A</v>
          </cell>
          <cell r="J800" t="e">
            <v>#N/A</v>
          </cell>
          <cell r="K800" t="e">
            <v>#N/A</v>
          </cell>
          <cell r="L800" t="e">
            <v>#N/A</v>
          </cell>
          <cell r="M800" t="e">
            <v>#N/A</v>
          </cell>
          <cell r="N800" t="e">
            <v>#N/A</v>
          </cell>
          <cell r="O800" t="e">
            <v>#N/A</v>
          </cell>
          <cell r="P800">
            <v>34.65</v>
          </cell>
          <cell r="Q800" t="str">
            <v/>
          </cell>
          <cell r="R800" t="e">
            <v>#N/A</v>
          </cell>
        </row>
        <row r="801">
          <cell r="A801">
            <v>40312</v>
          </cell>
          <cell r="B801">
            <v>40312</v>
          </cell>
          <cell r="C801" t="str">
            <v>Future</v>
          </cell>
          <cell r="D801" t="e">
            <v>#N/A</v>
          </cell>
          <cell r="E801">
            <v>1.5030434782609703</v>
          </cell>
          <cell r="F801">
            <v>41.676956521739321</v>
          </cell>
          <cell r="G801">
            <v>32.111739130433953</v>
          </cell>
          <cell r="H801">
            <v>32.111739130433953</v>
          </cell>
          <cell r="I801" t="e">
            <v>#N/A</v>
          </cell>
          <cell r="J801" t="e">
            <v>#N/A</v>
          </cell>
          <cell r="K801" t="e">
            <v>#N/A</v>
          </cell>
          <cell r="L801" t="e">
            <v>#N/A</v>
          </cell>
          <cell r="M801" t="e">
            <v>#N/A</v>
          </cell>
          <cell r="N801" t="e">
            <v>#N/A</v>
          </cell>
          <cell r="O801" t="e">
            <v>#N/A</v>
          </cell>
          <cell r="P801">
            <v>34.65</v>
          </cell>
          <cell r="Q801" t="str">
            <v/>
          </cell>
          <cell r="R801" t="e">
            <v>#N/A</v>
          </cell>
        </row>
        <row r="802">
          <cell r="A802">
            <v>40315</v>
          </cell>
          <cell r="B802">
            <v>40315</v>
          </cell>
          <cell r="C802" t="str">
            <v>Future</v>
          </cell>
          <cell r="D802" t="e">
            <v>#N/A</v>
          </cell>
          <cell r="E802">
            <v>1.3664031620554367</v>
          </cell>
          <cell r="F802">
            <v>41.706324110672128</v>
          </cell>
          <cell r="G802">
            <v>32.101581027667152</v>
          </cell>
          <cell r="H802">
            <v>32.101581027667152</v>
          </cell>
          <cell r="I802" t="e">
            <v>#N/A</v>
          </cell>
          <cell r="J802" t="e">
            <v>#N/A</v>
          </cell>
          <cell r="K802" t="e">
            <v>#N/A</v>
          </cell>
          <cell r="L802" t="e">
            <v>#N/A</v>
          </cell>
          <cell r="M802" t="e">
            <v>#N/A</v>
          </cell>
          <cell r="N802" t="e">
            <v>#N/A</v>
          </cell>
          <cell r="O802" t="e">
            <v>#N/A</v>
          </cell>
          <cell r="P802">
            <v>34.65</v>
          </cell>
          <cell r="Q802" t="str">
            <v/>
          </cell>
          <cell r="R802" t="e">
            <v>#N/A</v>
          </cell>
        </row>
        <row r="803">
          <cell r="A803">
            <v>40316</v>
          </cell>
          <cell r="B803">
            <v>40316</v>
          </cell>
          <cell r="C803" t="str">
            <v>Future</v>
          </cell>
          <cell r="D803" t="e">
            <v>#N/A</v>
          </cell>
          <cell r="E803">
            <v>1.229762845849903</v>
          </cell>
          <cell r="F803">
            <v>41.735691699604935</v>
          </cell>
          <cell r="G803">
            <v>32.09142292490035</v>
          </cell>
          <cell r="H803">
            <v>32.09142292490035</v>
          </cell>
          <cell r="I803" t="e">
            <v>#N/A</v>
          </cell>
          <cell r="J803" t="e">
            <v>#N/A</v>
          </cell>
          <cell r="K803" t="e">
            <v>#N/A</v>
          </cell>
          <cell r="L803" t="e">
            <v>#N/A</v>
          </cell>
          <cell r="M803" t="e">
            <v>#N/A</v>
          </cell>
          <cell r="N803" t="e">
            <v>#N/A</v>
          </cell>
          <cell r="O803" t="e">
            <v>#N/A</v>
          </cell>
          <cell r="P803">
            <v>34.65</v>
          </cell>
          <cell r="Q803" t="str">
            <v/>
          </cell>
          <cell r="R803" t="e">
            <v>#N/A</v>
          </cell>
        </row>
        <row r="804">
          <cell r="A804">
            <v>40317</v>
          </cell>
          <cell r="B804">
            <v>40317</v>
          </cell>
          <cell r="C804" t="str">
            <v>Future</v>
          </cell>
          <cell r="D804" t="e">
            <v>#N/A</v>
          </cell>
          <cell r="E804">
            <v>1.0931225296443694</v>
          </cell>
          <cell r="F804">
            <v>41.765059288537742</v>
          </cell>
          <cell r="G804">
            <v>32.081264822133548</v>
          </cell>
          <cell r="H804">
            <v>32.081264822133548</v>
          </cell>
          <cell r="I804" t="e">
            <v>#N/A</v>
          </cell>
          <cell r="J804" t="e">
            <v>#N/A</v>
          </cell>
          <cell r="K804" t="e">
            <v>#N/A</v>
          </cell>
          <cell r="L804" t="e">
            <v>#N/A</v>
          </cell>
          <cell r="M804" t="e">
            <v>#N/A</v>
          </cell>
          <cell r="N804" t="e">
            <v>#N/A</v>
          </cell>
          <cell r="O804" t="e">
            <v>#N/A</v>
          </cell>
          <cell r="P804">
            <v>34.65</v>
          </cell>
          <cell r="Q804" t="str">
            <v/>
          </cell>
          <cell r="R804" t="e">
            <v>#N/A</v>
          </cell>
        </row>
        <row r="805">
          <cell r="A805">
            <v>40318</v>
          </cell>
          <cell r="B805">
            <v>40318</v>
          </cell>
          <cell r="C805" t="str">
            <v>Future</v>
          </cell>
          <cell r="D805" t="e">
            <v>#N/A</v>
          </cell>
          <cell r="E805">
            <v>0.95648221343883577</v>
          </cell>
          <cell r="F805">
            <v>41.794426877470549</v>
          </cell>
          <cell r="G805">
            <v>32.071106719366746</v>
          </cell>
          <cell r="H805">
            <v>32.071106719366746</v>
          </cell>
          <cell r="I805" t="e">
            <v>#N/A</v>
          </cell>
          <cell r="J805" t="e">
            <v>#N/A</v>
          </cell>
          <cell r="K805" t="e">
            <v>#N/A</v>
          </cell>
          <cell r="L805" t="e">
            <v>#N/A</v>
          </cell>
          <cell r="M805" t="e">
            <v>#N/A</v>
          </cell>
          <cell r="N805" t="e">
            <v>#N/A</v>
          </cell>
          <cell r="O805" t="e">
            <v>#N/A</v>
          </cell>
          <cell r="P805">
            <v>34.65</v>
          </cell>
          <cell r="Q805" t="str">
            <v/>
          </cell>
          <cell r="R805" t="e">
            <v>#N/A</v>
          </cell>
        </row>
        <row r="806">
          <cell r="A806">
            <v>40319</v>
          </cell>
          <cell r="B806">
            <v>40319</v>
          </cell>
          <cell r="C806" t="str">
            <v>Future</v>
          </cell>
          <cell r="D806" t="e">
            <v>#N/A</v>
          </cell>
          <cell r="E806">
            <v>0.81984189723330214</v>
          </cell>
          <cell r="F806">
            <v>41.823794466403356</v>
          </cell>
          <cell r="G806">
            <v>32.060948616599944</v>
          </cell>
          <cell r="H806">
            <v>32.060948616599944</v>
          </cell>
          <cell r="I806" t="e">
            <v>#N/A</v>
          </cell>
          <cell r="J806" t="e">
            <v>#N/A</v>
          </cell>
          <cell r="K806" t="e">
            <v>#N/A</v>
          </cell>
          <cell r="L806" t="e">
            <v>#N/A</v>
          </cell>
          <cell r="M806" t="e">
            <v>#N/A</v>
          </cell>
          <cell r="N806" t="e">
            <v>#N/A</v>
          </cell>
          <cell r="O806" t="e">
            <v>#N/A</v>
          </cell>
          <cell r="P806">
            <v>34.65</v>
          </cell>
          <cell r="Q806" t="str">
            <v/>
          </cell>
          <cell r="R806" t="e">
            <v>#N/A</v>
          </cell>
        </row>
        <row r="807">
          <cell r="A807">
            <v>40322</v>
          </cell>
          <cell r="B807">
            <v>40322</v>
          </cell>
          <cell r="C807" t="str">
            <v>Future</v>
          </cell>
          <cell r="D807" t="e">
            <v>#N/A</v>
          </cell>
          <cell r="E807">
            <v>0.68320158102776851</v>
          </cell>
          <cell r="F807">
            <v>41.853162055336163</v>
          </cell>
          <cell r="G807">
            <v>32.050790513833142</v>
          </cell>
          <cell r="H807">
            <v>32.050790513833142</v>
          </cell>
          <cell r="I807" t="e">
            <v>#N/A</v>
          </cell>
          <cell r="J807" t="e">
            <v>#N/A</v>
          </cell>
          <cell r="K807" t="e">
            <v>#N/A</v>
          </cell>
          <cell r="L807" t="e">
            <v>#N/A</v>
          </cell>
          <cell r="M807" t="e">
            <v>#N/A</v>
          </cell>
          <cell r="N807" t="e">
            <v>#N/A</v>
          </cell>
          <cell r="O807" t="e">
            <v>#N/A</v>
          </cell>
          <cell r="P807">
            <v>34.65</v>
          </cell>
          <cell r="Q807" t="str">
            <v/>
          </cell>
          <cell r="R807" t="e">
            <v>#N/A</v>
          </cell>
        </row>
        <row r="808">
          <cell r="A808">
            <v>40323</v>
          </cell>
          <cell r="B808">
            <v>40323</v>
          </cell>
          <cell r="C808" t="str">
            <v>Future</v>
          </cell>
          <cell r="D808" t="e">
            <v>#N/A</v>
          </cell>
          <cell r="E808">
            <v>0.54656126482223488</v>
          </cell>
          <cell r="F808">
            <v>41.882529644268971</v>
          </cell>
          <cell r="G808">
            <v>32.040632411066341</v>
          </cell>
          <cell r="H808">
            <v>32.040632411066341</v>
          </cell>
          <cell r="I808" t="e">
            <v>#N/A</v>
          </cell>
          <cell r="J808" t="e">
            <v>#N/A</v>
          </cell>
          <cell r="K808" t="e">
            <v>#N/A</v>
          </cell>
          <cell r="L808" t="e">
            <v>#N/A</v>
          </cell>
          <cell r="M808" t="e">
            <v>#N/A</v>
          </cell>
          <cell r="N808" t="e">
            <v>#N/A</v>
          </cell>
          <cell r="O808" t="e">
            <v>#N/A</v>
          </cell>
          <cell r="P808">
            <v>34.65</v>
          </cell>
          <cell r="Q808" t="str">
            <v/>
          </cell>
          <cell r="R808" t="e">
            <v>#N/A</v>
          </cell>
        </row>
        <row r="809">
          <cell r="A809">
            <v>40324</v>
          </cell>
          <cell r="B809">
            <v>40324</v>
          </cell>
          <cell r="C809" t="str">
            <v>Future</v>
          </cell>
          <cell r="D809" t="e">
            <v>#N/A</v>
          </cell>
          <cell r="E809">
            <v>0.40992094861670125</v>
          </cell>
          <cell r="F809">
            <v>41.911897233201778</v>
          </cell>
          <cell r="G809">
            <v>32.030474308299539</v>
          </cell>
          <cell r="H809">
            <v>32.030474308299539</v>
          </cell>
          <cell r="I809" t="e">
            <v>#N/A</v>
          </cell>
          <cell r="J809" t="e">
            <v>#N/A</v>
          </cell>
          <cell r="K809" t="e">
            <v>#N/A</v>
          </cell>
          <cell r="L809" t="e">
            <v>#N/A</v>
          </cell>
          <cell r="M809" t="e">
            <v>#N/A</v>
          </cell>
          <cell r="N809" t="e">
            <v>#N/A</v>
          </cell>
          <cell r="O809" t="e">
            <v>#N/A</v>
          </cell>
          <cell r="P809">
            <v>34.65</v>
          </cell>
          <cell r="Q809" t="str">
            <v/>
          </cell>
          <cell r="R809" t="e">
            <v>#N/A</v>
          </cell>
        </row>
        <row r="810">
          <cell r="A810">
            <v>40325</v>
          </cell>
          <cell r="B810">
            <v>40325</v>
          </cell>
          <cell r="C810" t="str">
            <v>Future</v>
          </cell>
          <cell r="D810" t="e">
            <v>#N/A</v>
          </cell>
          <cell r="E810">
            <v>0.27328063241116762</v>
          </cell>
          <cell r="F810">
            <v>41.941264822134585</v>
          </cell>
          <cell r="G810">
            <v>32.020316205532737</v>
          </cell>
          <cell r="H810">
            <v>32.020316205532737</v>
          </cell>
          <cell r="I810" t="e">
            <v>#N/A</v>
          </cell>
          <cell r="J810" t="e">
            <v>#N/A</v>
          </cell>
          <cell r="K810" t="e">
            <v>#N/A</v>
          </cell>
          <cell r="L810" t="e">
            <v>#N/A</v>
          </cell>
          <cell r="M810" t="e">
            <v>#N/A</v>
          </cell>
          <cell r="N810" t="e">
            <v>#N/A</v>
          </cell>
          <cell r="O810" t="e">
            <v>#N/A</v>
          </cell>
          <cell r="P810">
            <v>34.65</v>
          </cell>
          <cell r="Q810" t="str">
            <v/>
          </cell>
          <cell r="R810" t="e">
            <v>#N/A</v>
          </cell>
        </row>
        <row r="811">
          <cell r="A811">
            <v>40326</v>
          </cell>
          <cell r="B811">
            <v>40326</v>
          </cell>
          <cell r="C811" t="str">
            <v>Future</v>
          </cell>
          <cell r="D811" t="e">
            <v>#N/A</v>
          </cell>
          <cell r="E811">
            <v>0.13664031620563402</v>
          </cell>
          <cell r="F811">
            <v>41.970632411067392</v>
          </cell>
          <cell r="G811">
            <v>32.010158102765935</v>
          </cell>
          <cell r="H811">
            <v>32.010158102765935</v>
          </cell>
          <cell r="I811" t="e">
            <v>#N/A</v>
          </cell>
          <cell r="J811" t="e">
            <v>#N/A</v>
          </cell>
          <cell r="K811">
            <v>42</v>
          </cell>
          <cell r="L811">
            <v>32</v>
          </cell>
          <cell r="M811" t="e">
            <v>#N/A</v>
          </cell>
          <cell r="N811">
            <v>37</v>
          </cell>
          <cell r="O811" t="e">
            <v>#N/A</v>
          </cell>
          <cell r="P811">
            <v>34.65</v>
          </cell>
          <cell r="Q811" t="str">
            <v/>
          </cell>
          <cell r="R811" t="e">
            <v>#N/A</v>
          </cell>
        </row>
        <row r="812">
          <cell r="A812" t="str">
            <v/>
          </cell>
          <cell r="B812" t="str">
            <v/>
          </cell>
          <cell r="C812" t="str">
            <v>Future</v>
          </cell>
          <cell r="D812" t="e">
            <v>#N/A</v>
          </cell>
          <cell r="E812">
            <v>1.0041967257734541E-13</v>
          </cell>
          <cell r="F812">
            <v>42.000000000000199</v>
          </cell>
          <cell r="G812">
            <v>31.999999999999137</v>
          </cell>
          <cell r="H812">
            <v>31.999999999999137</v>
          </cell>
          <cell r="I812" t="e">
            <v>#N/A</v>
          </cell>
          <cell r="J812" t="e">
            <v>#N/A</v>
          </cell>
          <cell r="K812">
            <v>42</v>
          </cell>
          <cell r="L812">
            <v>32</v>
          </cell>
          <cell r="M812" t="e">
            <v>#N/A</v>
          </cell>
          <cell r="N812">
            <v>37</v>
          </cell>
          <cell r="O812" t="e">
            <v>#N/A</v>
          </cell>
          <cell r="P812" t="str">
            <v/>
          </cell>
          <cell r="Q812" t="str">
            <v/>
          </cell>
          <cell r="R812" t="e">
            <v>#N/A</v>
          </cell>
        </row>
        <row r="813">
          <cell r="A813" t="str">
            <v/>
          </cell>
          <cell r="B813" t="str">
            <v/>
          </cell>
          <cell r="C813" t="str">
            <v>Future</v>
          </cell>
          <cell r="D813" t="e">
            <v>#N/A</v>
          </cell>
          <cell r="E813">
            <v>-0.13664031620543318</v>
          </cell>
          <cell r="F813">
            <v>42.029367588933006</v>
          </cell>
          <cell r="G813">
            <v>31.989841897232338</v>
          </cell>
          <cell r="H813">
            <v>31.989841897232338</v>
          </cell>
          <cell r="I813" t="e">
            <v>#N/A</v>
          </cell>
          <cell r="J813" t="e">
            <v>#N/A</v>
          </cell>
          <cell r="K813">
            <v>42</v>
          </cell>
          <cell r="L813">
            <v>32</v>
          </cell>
          <cell r="M813" t="e">
            <v>#N/A</v>
          </cell>
          <cell r="N813">
            <v>37</v>
          </cell>
          <cell r="O813" t="e">
            <v>#N/A</v>
          </cell>
          <cell r="P813" t="str">
            <v/>
          </cell>
          <cell r="Q813" t="str">
            <v/>
          </cell>
          <cell r="R813" t="e">
            <v>#N/A</v>
          </cell>
        </row>
        <row r="814">
          <cell r="A814" t="str">
            <v/>
          </cell>
          <cell r="B814" t="str">
            <v/>
          </cell>
          <cell r="C814" t="str">
            <v>Future</v>
          </cell>
          <cell r="D814" t="e">
            <v>#N/A</v>
          </cell>
          <cell r="E814">
            <v>-0.27328063241096678</v>
          </cell>
          <cell r="F814">
            <v>42.058735177865813</v>
          </cell>
          <cell r="G814">
            <v>31.97968379446554</v>
          </cell>
          <cell r="H814">
            <v>31.97968379446554</v>
          </cell>
          <cell r="I814" t="e">
            <v>#N/A</v>
          </cell>
          <cell r="J814" t="e">
            <v>#N/A</v>
          </cell>
          <cell r="K814">
            <v>42</v>
          </cell>
          <cell r="L814">
            <v>32</v>
          </cell>
          <cell r="M814" t="e">
            <v>#N/A</v>
          </cell>
          <cell r="N814">
            <v>37</v>
          </cell>
          <cell r="O814" t="e">
            <v>#N/A</v>
          </cell>
          <cell r="P814" t="str">
            <v/>
          </cell>
          <cell r="Q814" t="str">
            <v/>
          </cell>
          <cell r="R814" t="e">
            <v>#N/A</v>
          </cell>
        </row>
        <row r="815">
          <cell r="A815" t="str">
            <v/>
          </cell>
          <cell r="B815" t="str">
            <v/>
          </cell>
          <cell r="C815" t="str">
            <v>Future</v>
          </cell>
          <cell r="D815" t="e">
            <v>#N/A</v>
          </cell>
          <cell r="E815">
            <v>-0.40992094861650041</v>
          </cell>
          <cell r="F815">
            <v>42.08810276679862</v>
          </cell>
          <cell r="G815">
            <v>31.969525691698742</v>
          </cell>
          <cell r="H815">
            <v>31.969525691698742</v>
          </cell>
          <cell r="I815" t="e">
            <v>#N/A</v>
          </cell>
          <cell r="J815" t="e">
            <v>#N/A</v>
          </cell>
          <cell r="K815">
            <v>42</v>
          </cell>
          <cell r="L815">
            <v>32</v>
          </cell>
          <cell r="M815" t="e">
            <v>#N/A</v>
          </cell>
          <cell r="N815">
            <v>37</v>
          </cell>
          <cell r="O815" t="e">
            <v>#N/A</v>
          </cell>
          <cell r="P815" t="str">
            <v/>
          </cell>
          <cell r="Q815" t="str">
            <v/>
          </cell>
          <cell r="R815" t="e">
            <v>#N/A</v>
          </cell>
        </row>
        <row r="816">
          <cell r="A816" t="str">
            <v/>
          </cell>
          <cell r="B816" t="str">
            <v/>
          </cell>
          <cell r="C816" t="str">
            <v>Future</v>
          </cell>
          <cell r="D816" t="e">
            <v>#N/A</v>
          </cell>
          <cell r="E816">
            <v>-0.54656126482203404</v>
          </cell>
          <cell r="F816">
            <v>42.117470355731427</v>
          </cell>
          <cell r="G816">
            <v>31.959367588931944</v>
          </cell>
          <cell r="H816">
            <v>31.959367588931944</v>
          </cell>
          <cell r="I816" t="e">
            <v>#N/A</v>
          </cell>
          <cell r="J816" t="e">
            <v>#N/A</v>
          </cell>
          <cell r="K816">
            <v>42</v>
          </cell>
          <cell r="L816">
            <v>32</v>
          </cell>
          <cell r="M816" t="e">
            <v>#N/A</v>
          </cell>
          <cell r="N816">
            <v>37</v>
          </cell>
          <cell r="O816" t="e">
            <v>#N/A</v>
          </cell>
          <cell r="P816" t="str">
            <v/>
          </cell>
          <cell r="Q816" t="str">
            <v/>
          </cell>
          <cell r="R816" t="e">
            <v>#N/A</v>
          </cell>
        </row>
        <row r="817">
          <cell r="A817" t="str">
            <v/>
          </cell>
          <cell r="B817" t="str">
            <v/>
          </cell>
          <cell r="C817" t="str">
            <v>Future</v>
          </cell>
          <cell r="D817" t="e">
            <v>#N/A</v>
          </cell>
          <cell r="E817">
            <v>-0.68320158102756767</v>
          </cell>
          <cell r="F817">
            <v>42.146837944664234</v>
          </cell>
          <cell r="G817">
            <v>31.949209486165145</v>
          </cell>
          <cell r="H817">
            <v>31.949209486165145</v>
          </cell>
          <cell r="I817" t="e">
            <v>#N/A</v>
          </cell>
          <cell r="J817" t="e">
            <v>#N/A</v>
          </cell>
          <cell r="K817">
            <v>42</v>
          </cell>
          <cell r="L817">
            <v>32</v>
          </cell>
          <cell r="M817" t="e">
            <v>#N/A</v>
          </cell>
          <cell r="N817">
            <v>37</v>
          </cell>
          <cell r="O817" t="e">
            <v>#N/A</v>
          </cell>
          <cell r="P817" t="str">
            <v/>
          </cell>
          <cell r="Q817" t="str">
            <v/>
          </cell>
          <cell r="R817" t="e">
            <v>#N/A</v>
          </cell>
        </row>
        <row r="818">
          <cell r="A818" t="str">
            <v/>
          </cell>
          <cell r="B818" t="str">
            <v/>
          </cell>
          <cell r="C818" t="str">
            <v>Future</v>
          </cell>
          <cell r="D818" t="e">
            <v>#N/A</v>
          </cell>
          <cell r="E818">
            <v>-0.8198418972331013</v>
          </cell>
          <cell r="F818">
            <v>42.176205533597042</v>
          </cell>
          <cell r="G818">
            <v>31.939051383398347</v>
          </cell>
          <cell r="H818">
            <v>31.939051383398347</v>
          </cell>
          <cell r="I818" t="e">
            <v>#N/A</v>
          </cell>
          <cell r="J818" t="e">
            <v>#N/A</v>
          </cell>
          <cell r="K818">
            <v>42</v>
          </cell>
          <cell r="L818">
            <v>32</v>
          </cell>
          <cell r="M818" t="e">
            <v>#N/A</v>
          </cell>
          <cell r="N818">
            <v>37</v>
          </cell>
          <cell r="O818" t="e">
            <v>#N/A</v>
          </cell>
          <cell r="P818" t="str">
            <v/>
          </cell>
          <cell r="Q818" t="str">
            <v/>
          </cell>
          <cell r="R818" t="e">
            <v>#N/A</v>
          </cell>
        </row>
        <row r="819">
          <cell r="A819" t="str">
            <v/>
          </cell>
          <cell r="B819" t="str">
            <v/>
          </cell>
          <cell r="C819" t="str">
            <v>Future</v>
          </cell>
          <cell r="D819" t="e">
            <v>#N/A</v>
          </cell>
          <cell r="E819">
            <v>-0.95648221343863493</v>
          </cell>
          <cell r="F819">
            <v>42.205573122529849</v>
          </cell>
          <cell r="G819">
            <v>31.928893280631549</v>
          </cell>
          <cell r="H819">
            <v>31.928893280631549</v>
          </cell>
          <cell r="I819" t="e">
            <v>#N/A</v>
          </cell>
          <cell r="J819" t="e">
            <v>#N/A</v>
          </cell>
          <cell r="K819">
            <v>42</v>
          </cell>
          <cell r="L819">
            <v>32</v>
          </cell>
          <cell r="M819" t="e">
            <v>#N/A</v>
          </cell>
          <cell r="N819">
            <v>37</v>
          </cell>
          <cell r="O819" t="e">
            <v>#N/A</v>
          </cell>
          <cell r="P819" t="str">
            <v/>
          </cell>
          <cell r="Q819" t="str">
            <v/>
          </cell>
          <cell r="R819" t="e">
            <v>#N/A</v>
          </cell>
        </row>
        <row r="820">
          <cell r="A820" t="str">
            <v/>
          </cell>
          <cell r="B820" t="str">
            <v/>
          </cell>
          <cell r="C820" t="str">
            <v>Future</v>
          </cell>
          <cell r="D820" t="e">
            <v>#N/A</v>
          </cell>
          <cell r="E820">
            <v>-1.0931225296441685</v>
          </cell>
          <cell r="F820">
            <v>42.234940711462656</v>
          </cell>
          <cell r="G820">
            <v>31.91873517786475</v>
          </cell>
          <cell r="H820">
            <v>31.91873517786475</v>
          </cell>
          <cell r="I820" t="e">
            <v>#N/A</v>
          </cell>
          <cell r="J820" t="e">
            <v>#N/A</v>
          </cell>
          <cell r="K820">
            <v>42</v>
          </cell>
          <cell r="L820">
            <v>32</v>
          </cell>
          <cell r="M820" t="e">
            <v>#N/A</v>
          </cell>
          <cell r="N820">
            <v>37</v>
          </cell>
          <cell r="O820" t="e">
            <v>#N/A</v>
          </cell>
          <cell r="P820" t="str">
            <v/>
          </cell>
          <cell r="Q820" t="str">
            <v/>
          </cell>
          <cell r="R820" t="e">
            <v>#N/A</v>
          </cell>
        </row>
        <row r="821">
          <cell r="A821" t="str">
            <v/>
          </cell>
          <cell r="B821" t="str">
            <v/>
          </cell>
          <cell r="C821" t="str">
            <v>Future</v>
          </cell>
          <cell r="D821" t="e">
            <v>#N/A</v>
          </cell>
          <cell r="E821">
            <v>-1.2297628458497021</v>
          </cell>
          <cell r="F821">
            <v>42.264308300395463</v>
          </cell>
          <cell r="G821">
            <v>31.908577075097952</v>
          </cell>
          <cell r="H821">
            <v>31.908577075097952</v>
          </cell>
          <cell r="I821" t="e">
            <v>#N/A</v>
          </cell>
          <cell r="J821" t="e">
            <v>#N/A</v>
          </cell>
          <cell r="K821">
            <v>42</v>
          </cell>
          <cell r="L821">
            <v>32</v>
          </cell>
          <cell r="M821" t="e">
            <v>#N/A</v>
          </cell>
          <cell r="N821">
            <v>37</v>
          </cell>
          <cell r="O821" t="e">
            <v>#N/A</v>
          </cell>
          <cell r="P821" t="str">
            <v/>
          </cell>
          <cell r="Q821" t="str">
            <v/>
          </cell>
          <cell r="R821" t="e">
            <v>#N/A</v>
          </cell>
        </row>
        <row r="822">
          <cell r="A822" t="str">
            <v/>
          </cell>
          <cell r="B822" t="str">
            <v/>
          </cell>
          <cell r="C822" t="str">
            <v>Future</v>
          </cell>
          <cell r="D822" t="e">
            <v>#N/A</v>
          </cell>
          <cell r="E822">
            <v>-1.3664031620552357</v>
          </cell>
          <cell r="F822">
            <v>42.29367588932827</v>
          </cell>
          <cell r="G822">
            <v>31.898418972331154</v>
          </cell>
          <cell r="H822">
            <v>31.898418972331154</v>
          </cell>
          <cell r="I822" t="e">
            <v>#N/A</v>
          </cell>
          <cell r="J822" t="e">
            <v>#N/A</v>
          </cell>
          <cell r="K822">
            <v>42</v>
          </cell>
          <cell r="L822">
            <v>32</v>
          </cell>
          <cell r="M822" t="e">
            <v>#N/A</v>
          </cell>
          <cell r="N822">
            <v>37</v>
          </cell>
          <cell r="O822" t="e">
            <v>#N/A</v>
          </cell>
          <cell r="P822" t="str">
            <v/>
          </cell>
          <cell r="Q822" t="str">
            <v/>
          </cell>
          <cell r="R822" t="e">
            <v>#N/A</v>
          </cell>
        </row>
        <row r="823">
          <cell r="A823" t="str">
            <v/>
          </cell>
          <cell r="B823" t="str">
            <v/>
          </cell>
          <cell r="C823" t="str">
            <v>Future</v>
          </cell>
          <cell r="D823" t="e">
            <v>#N/A</v>
          </cell>
          <cell r="E823">
            <v>-1.5030434782607693</v>
          </cell>
          <cell r="F823">
            <v>42.323043478261077</v>
          </cell>
          <cell r="G823">
            <v>31.888260869564355</v>
          </cell>
          <cell r="H823">
            <v>31.888260869564355</v>
          </cell>
          <cell r="I823" t="e">
            <v>#N/A</v>
          </cell>
          <cell r="J823" t="e">
            <v>#N/A</v>
          </cell>
          <cell r="K823">
            <v>42</v>
          </cell>
          <cell r="L823">
            <v>32</v>
          </cell>
          <cell r="M823" t="e">
            <v>#N/A</v>
          </cell>
          <cell r="N823">
            <v>37</v>
          </cell>
          <cell r="O823" t="e">
            <v>#N/A</v>
          </cell>
          <cell r="P823" t="str">
            <v/>
          </cell>
          <cell r="Q823" t="str">
            <v/>
          </cell>
          <cell r="R823" t="e">
            <v>#N/A</v>
          </cell>
        </row>
        <row r="824">
          <cell r="A824" t="str">
            <v/>
          </cell>
          <cell r="B824" t="str">
            <v/>
          </cell>
          <cell r="C824" t="str">
            <v>Future</v>
          </cell>
          <cell r="D824" t="e">
            <v>#N/A</v>
          </cell>
          <cell r="E824">
            <v>-1.639683794466303</v>
          </cell>
          <cell r="F824">
            <v>42.352411067193884</v>
          </cell>
          <cell r="G824">
            <v>31.878102766797557</v>
          </cell>
          <cell r="H824">
            <v>31.878102766797557</v>
          </cell>
          <cell r="I824" t="e">
            <v>#N/A</v>
          </cell>
          <cell r="J824" t="e">
            <v>#N/A</v>
          </cell>
          <cell r="K824">
            <v>42</v>
          </cell>
          <cell r="L824">
            <v>32</v>
          </cell>
          <cell r="M824" t="e">
            <v>#N/A</v>
          </cell>
          <cell r="N824">
            <v>37</v>
          </cell>
          <cell r="O824" t="e">
            <v>#N/A</v>
          </cell>
          <cell r="P824" t="str">
            <v/>
          </cell>
          <cell r="Q824" t="str">
            <v/>
          </cell>
          <cell r="R824" t="e">
            <v>#N/A</v>
          </cell>
        </row>
        <row r="825">
          <cell r="A825" t="str">
            <v/>
          </cell>
          <cell r="B825" t="str">
            <v/>
          </cell>
          <cell r="C825" t="str">
            <v>Future</v>
          </cell>
          <cell r="D825" t="e">
            <v>#N/A</v>
          </cell>
          <cell r="E825">
            <v>-1.7763241106718366</v>
          </cell>
          <cell r="F825">
            <v>42.381778656126691</v>
          </cell>
          <cell r="G825">
            <v>31.867944664030759</v>
          </cell>
          <cell r="H825">
            <v>31.867944664030759</v>
          </cell>
          <cell r="I825" t="e">
            <v>#N/A</v>
          </cell>
          <cell r="J825" t="e">
            <v>#N/A</v>
          </cell>
          <cell r="K825">
            <v>42</v>
          </cell>
          <cell r="L825">
            <v>32</v>
          </cell>
          <cell r="M825" t="e">
            <v>#N/A</v>
          </cell>
          <cell r="N825">
            <v>37</v>
          </cell>
          <cell r="O825" t="e">
            <v>#N/A</v>
          </cell>
          <cell r="P825" t="str">
            <v/>
          </cell>
          <cell r="Q825" t="str">
            <v/>
          </cell>
          <cell r="R825" t="e">
            <v>#N/A</v>
          </cell>
        </row>
        <row r="826">
          <cell r="A826" t="str">
            <v/>
          </cell>
          <cell r="B826" t="str">
            <v/>
          </cell>
          <cell r="C826" t="str">
            <v>Future</v>
          </cell>
          <cell r="D826" t="e">
            <v>#N/A</v>
          </cell>
          <cell r="E826">
            <v>-1.9129644268773702</v>
          </cell>
          <cell r="F826">
            <v>42.411146245059498</v>
          </cell>
          <cell r="G826">
            <v>31.857786561263961</v>
          </cell>
          <cell r="H826">
            <v>31.857786561263961</v>
          </cell>
          <cell r="I826" t="e">
            <v>#N/A</v>
          </cell>
          <cell r="J826" t="e">
            <v>#N/A</v>
          </cell>
          <cell r="K826">
            <v>42</v>
          </cell>
          <cell r="L826">
            <v>32</v>
          </cell>
          <cell r="M826" t="e">
            <v>#N/A</v>
          </cell>
          <cell r="N826">
            <v>37</v>
          </cell>
          <cell r="O826" t="e">
            <v>#N/A</v>
          </cell>
          <cell r="P826" t="str">
            <v/>
          </cell>
          <cell r="Q826" t="str">
            <v/>
          </cell>
          <cell r="R826" t="e">
            <v>#N/A</v>
          </cell>
        </row>
        <row r="827">
          <cell r="A827" t="str">
            <v/>
          </cell>
          <cell r="B827" t="str">
            <v/>
          </cell>
          <cell r="C827" t="str">
            <v>Future</v>
          </cell>
          <cell r="D827" t="e">
            <v>#N/A</v>
          </cell>
          <cell r="E827">
            <v>-2.0496047430829036</v>
          </cell>
          <cell r="F827">
            <v>42.440513833992306</v>
          </cell>
          <cell r="G827">
            <v>31.847628458497162</v>
          </cell>
          <cell r="H827">
            <v>31.847628458497162</v>
          </cell>
          <cell r="I827" t="e">
            <v>#N/A</v>
          </cell>
          <cell r="J827" t="e">
            <v>#N/A</v>
          </cell>
          <cell r="K827">
            <v>42</v>
          </cell>
          <cell r="L827">
            <v>32</v>
          </cell>
          <cell r="M827" t="e">
            <v>#N/A</v>
          </cell>
          <cell r="N827">
            <v>37</v>
          </cell>
          <cell r="O827" t="e">
            <v>#N/A</v>
          </cell>
          <cell r="P827" t="str">
            <v/>
          </cell>
          <cell r="Q827" t="str">
            <v/>
          </cell>
          <cell r="R827" t="e">
            <v>#N/A</v>
          </cell>
        </row>
        <row r="828">
          <cell r="A828" t="str">
            <v/>
          </cell>
          <cell r="B828" t="str">
            <v/>
          </cell>
          <cell r="C828" t="str">
            <v>Future</v>
          </cell>
          <cell r="D828" t="e">
            <v>#N/A</v>
          </cell>
          <cell r="E828">
            <v>-2.1862450592884373</v>
          </cell>
          <cell r="F828">
            <v>42.469881422925113</v>
          </cell>
          <cell r="G828">
            <v>31.837470355730364</v>
          </cell>
          <cell r="H828">
            <v>31.837470355730364</v>
          </cell>
          <cell r="I828" t="e">
            <v>#N/A</v>
          </cell>
          <cell r="J828" t="e">
            <v>#N/A</v>
          </cell>
          <cell r="K828">
            <v>42</v>
          </cell>
          <cell r="L828">
            <v>32</v>
          </cell>
          <cell r="M828" t="e">
            <v>#N/A</v>
          </cell>
          <cell r="N828">
            <v>37</v>
          </cell>
          <cell r="O828" t="e">
            <v>#N/A</v>
          </cell>
          <cell r="P828" t="str">
            <v/>
          </cell>
          <cell r="Q828" t="str">
            <v/>
          </cell>
          <cell r="R828" t="e">
            <v>#N/A</v>
          </cell>
        </row>
        <row r="829">
          <cell r="A829" t="str">
            <v/>
          </cell>
          <cell r="B829" t="str">
            <v/>
          </cell>
          <cell r="C829" t="str">
            <v>Future</v>
          </cell>
          <cell r="D829" t="e">
            <v>#N/A</v>
          </cell>
          <cell r="E829">
            <v>-2.3228853754939709</v>
          </cell>
          <cell r="F829">
            <v>42.49924901185792</v>
          </cell>
          <cell r="G829">
            <v>31.827312252963566</v>
          </cell>
          <cell r="H829">
            <v>31.827312252963566</v>
          </cell>
          <cell r="I829" t="e">
            <v>#N/A</v>
          </cell>
          <cell r="J829" t="e">
            <v>#N/A</v>
          </cell>
          <cell r="K829">
            <v>42</v>
          </cell>
          <cell r="L829">
            <v>32</v>
          </cell>
          <cell r="M829" t="e">
            <v>#N/A</v>
          </cell>
          <cell r="N829">
            <v>37</v>
          </cell>
          <cell r="O829" t="e">
            <v>#N/A</v>
          </cell>
          <cell r="P829" t="str">
            <v/>
          </cell>
          <cell r="Q829" t="str">
            <v/>
          </cell>
          <cell r="R829" t="e">
            <v>#N/A</v>
          </cell>
        </row>
        <row r="830">
          <cell r="A830" t="str">
            <v/>
          </cell>
          <cell r="B830" t="str">
            <v/>
          </cell>
          <cell r="C830" t="str">
            <v>Future</v>
          </cell>
          <cell r="D830" t="e">
            <v>#N/A</v>
          </cell>
          <cell r="E830">
            <v>-2.4595256916995045</v>
          </cell>
          <cell r="F830">
            <v>42.528616600790727</v>
          </cell>
          <cell r="G830">
            <v>31.817154150196767</v>
          </cell>
          <cell r="H830">
            <v>31.817154150196767</v>
          </cell>
          <cell r="I830" t="e">
            <v>#N/A</v>
          </cell>
          <cell r="J830" t="e">
            <v>#N/A</v>
          </cell>
          <cell r="K830">
            <v>42</v>
          </cell>
          <cell r="L830">
            <v>32</v>
          </cell>
          <cell r="M830" t="e">
            <v>#N/A</v>
          </cell>
          <cell r="N830">
            <v>37</v>
          </cell>
          <cell r="O830" t="e">
            <v>#N/A</v>
          </cell>
          <cell r="P830" t="str">
            <v/>
          </cell>
          <cell r="Q830" t="str">
            <v/>
          </cell>
          <cell r="R830" t="e">
            <v>#N/A</v>
          </cell>
        </row>
        <row r="831">
          <cell r="A831" t="str">
            <v/>
          </cell>
          <cell r="B831" t="str">
            <v/>
          </cell>
          <cell r="C831" t="str">
            <v>Future</v>
          </cell>
          <cell r="D831" t="e">
            <v>#N/A</v>
          </cell>
          <cell r="E831">
            <v>-2.5961660079050382</v>
          </cell>
          <cell r="F831">
            <v>42.557984189723534</v>
          </cell>
          <cell r="G831">
            <v>31.806996047429969</v>
          </cell>
          <cell r="H831">
            <v>31.806996047429969</v>
          </cell>
          <cell r="I831" t="e">
            <v>#N/A</v>
          </cell>
          <cell r="J831" t="e">
            <v>#N/A</v>
          </cell>
          <cell r="K831">
            <v>42</v>
          </cell>
          <cell r="L831">
            <v>32</v>
          </cell>
          <cell r="M831" t="e">
            <v>#N/A</v>
          </cell>
          <cell r="N831">
            <v>37</v>
          </cell>
          <cell r="O831" t="e">
            <v>#N/A</v>
          </cell>
          <cell r="P831" t="str">
            <v/>
          </cell>
          <cell r="Q831" t="str">
            <v/>
          </cell>
          <cell r="R831" t="e">
            <v>#N/A</v>
          </cell>
        </row>
        <row r="832">
          <cell r="A832" t="str">
            <v/>
          </cell>
          <cell r="B832" t="str">
            <v/>
          </cell>
          <cell r="C832" t="str">
            <v>Future</v>
          </cell>
          <cell r="D832" t="e">
            <v>#N/A</v>
          </cell>
          <cell r="E832">
            <v>-2.7328063241105718</v>
          </cell>
          <cell r="F832">
            <v>42.587351778656341</v>
          </cell>
          <cell r="G832">
            <v>31.796837944663171</v>
          </cell>
          <cell r="H832">
            <v>31.796837944663171</v>
          </cell>
          <cell r="I832" t="e">
            <v>#N/A</v>
          </cell>
          <cell r="J832" t="e">
            <v>#N/A</v>
          </cell>
          <cell r="K832">
            <v>42</v>
          </cell>
          <cell r="L832">
            <v>32</v>
          </cell>
          <cell r="M832" t="e">
            <v>#N/A</v>
          </cell>
          <cell r="N832">
            <v>37</v>
          </cell>
          <cell r="O832" t="e">
            <v>#N/A</v>
          </cell>
          <cell r="P832" t="str">
            <v/>
          </cell>
          <cell r="Q832" t="str">
            <v/>
          </cell>
          <cell r="R832" t="e">
            <v>#N/A</v>
          </cell>
        </row>
        <row r="833">
          <cell r="A833" t="str">
            <v/>
          </cell>
          <cell r="B833" t="str">
            <v/>
          </cell>
          <cell r="C833" t="str">
            <v>Future</v>
          </cell>
          <cell r="D833" t="e">
            <v>#N/A</v>
          </cell>
          <cell r="E833">
            <v>-2.8694466403161054</v>
          </cell>
          <cell r="F833">
            <v>42.616719367589148</v>
          </cell>
          <cell r="G833">
            <v>31.786679841896373</v>
          </cell>
          <cell r="H833">
            <v>31.786679841896373</v>
          </cell>
          <cell r="I833" t="e">
            <v>#N/A</v>
          </cell>
          <cell r="J833" t="e">
            <v>#N/A</v>
          </cell>
          <cell r="K833">
            <v>42</v>
          </cell>
          <cell r="L833">
            <v>32</v>
          </cell>
          <cell r="M833" t="e">
            <v>#N/A</v>
          </cell>
          <cell r="N833">
            <v>37</v>
          </cell>
          <cell r="O833" t="e">
            <v>#N/A</v>
          </cell>
          <cell r="P833" t="str">
            <v/>
          </cell>
          <cell r="Q833" t="str">
            <v/>
          </cell>
          <cell r="R833" t="e">
            <v>#N/A</v>
          </cell>
        </row>
        <row r="834">
          <cell r="A834" t="str">
            <v/>
          </cell>
          <cell r="B834" t="str">
            <v/>
          </cell>
          <cell r="C834" t="str">
            <v>Future</v>
          </cell>
          <cell r="D834" t="e">
            <v>#N/A</v>
          </cell>
          <cell r="E834">
            <v>-3.006086956521639</v>
          </cell>
          <cell r="F834">
            <v>42.646086956521955</v>
          </cell>
          <cell r="G834">
            <v>31.776521739129574</v>
          </cell>
          <cell r="H834">
            <v>31.776521739129574</v>
          </cell>
          <cell r="I834" t="e">
            <v>#N/A</v>
          </cell>
          <cell r="J834" t="e">
            <v>#N/A</v>
          </cell>
          <cell r="K834">
            <v>42</v>
          </cell>
          <cell r="L834">
            <v>32</v>
          </cell>
          <cell r="M834" t="e">
            <v>#N/A</v>
          </cell>
          <cell r="N834">
            <v>37</v>
          </cell>
          <cell r="O834" t="e">
            <v>#N/A</v>
          </cell>
          <cell r="P834" t="str">
            <v/>
          </cell>
          <cell r="Q834" t="str">
            <v/>
          </cell>
          <cell r="R834" t="e">
            <v>#N/A</v>
          </cell>
        </row>
        <row r="835">
          <cell r="A835" t="str">
            <v/>
          </cell>
          <cell r="B835" t="str">
            <v/>
          </cell>
          <cell r="C835" t="str">
            <v>Future</v>
          </cell>
          <cell r="D835" t="e">
            <v>#N/A</v>
          </cell>
          <cell r="E835">
            <v>-3.1427272727271727</v>
          </cell>
          <cell r="F835">
            <v>42.675454545454762</v>
          </cell>
          <cell r="G835">
            <v>31.766363636362776</v>
          </cell>
          <cell r="H835">
            <v>31.766363636362776</v>
          </cell>
          <cell r="I835" t="e">
            <v>#N/A</v>
          </cell>
          <cell r="J835" t="e">
            <v>#N/A</v>
          </cell>
          <cell r="K835">
            <v>42</v>
          </cell>
          <cell r="L835">
            <v>32</v>
          </cell>
          <cell r="M835" t="e">
            <v>#N/A</v>
          </cell>
          <cell r="N835">
            <v>37</v>
          </cell>
          <cell r="O835" t="e">
            <v>#N/A</v>
          </cell>
          <cell r="P835" t="str">
            <v/>
          </cell>
          <cell r="Q835" t="str">
            <v/>
          </cell>
          <cell r="R835" t="e">
            <v>#N/A</v>
          </cell>
        </row>
        <row r="836">
          <cell r="A836" t="str">
            <v/>
          </cell>
          <cell r="B836" t="str">
            <v/>
          </cell>
          <cell r="C836" t="str">
            <v>Future</v>
          </cell>
          <cell r="D836" t="e">
            <v>#N/A</v>
          </cell>
          <cell r="E836">
            <v>-3.2793675889327063</v>
          </cell>
          <cell r="F836">
            <v>42.70482213438757</v>
          </cell>
          <cell r="G836">
            <v>31.756205533595978</v>
          </cell>
          <cell r="H836">
            <v>31.756205533595978</v>
          </cell>
          <cell r="I836" t="e">
            <v>#N/A</v>
          </cell>
          <cell r="J836" t="e">
            <v>#N/A</v>
          </cell>
          <cell r="K836">
            <v>42</v>
          </cell>
          <cell r="L836">
            <v>32</v>
          </cell>
          <cell r="M836" t="e">
            <v>#N/A</v>
          </cell>
          <cell r="N836">
            <v>37</v>
          </cell>
          <cell r="O836" t="e">
            <v>#N/A</v>
          </cell>
          <cell r="P836" t="str">
            <v/>
          </cell>
          <cell r="Q836" t="str">
            <v/>
          </cell>
          <cell r="R836" t="e">
            <v>#N/A</v>
          </cell>
        </row>
        <row r="837">
          <cell r="A837" t="str">
            <v/>
          </cell>
          <cell r="B837" t="str">
            <v/>
          </cell>
          <cell r="C837" t="str">
            <v>Future</v>
          </cell>
          <cell r="D837" t="e">
            <v>#N/A</v>
          </cell>
          <cell r="E837">
            <v>-3.4160079051382399</v>
          </cell>
          <cell r="F837">
            <v>42.734189723320377</v>
          </cell>
          <cell r="G837">
            <v>31.746047430829179</v>
          </cell>
          <cell r="H837">
            <v>31.746047430829179</v>
          </cell>
          <cell r="I837" t="e">
            <v>#N/A</v>
          </cell>
          <cell r="J837" t="e">
            <v>#N/A</v>
          </cell>
          <cell r="K837">
            <v>42</v>
          </cell>
          <cell r="L837">
            <v>32</v>
          </cell>
          <cell r="M837" t="e">
            <v>#N/A</v>
          </cell>
          <cell r="N837">
            <v>37</v>
          </cell>
          <cell r="O837" t="e">
            <v>#N/A</v>
          </cell>
          <cell r="P837" t="str">
            <v/>
          </cell>
          <cell r="Q837" t="str">
            <v/>
          </cell>
          <cell r="R837" t="e">
            <v>#N/A</v>
          </cell>
        </row>
        <row r="838">
          <cell r="A838" t="str">
            <v/>
          </cell>
          <cell r="B838" t="str">
            <v/>
          </cell>
          <cell r="C838" t="str">
            <v>Future</v>
          </cell>
          <cell r="D838" t="e">
            <v>#N/A</v>
          </cell>
          <cell r="E838">
            <v>-3.5526482213437736</v>
          </cell>
          <cell r="F838">
            <v>42.763557312253184</v>
          </cell>
          <cell r="G838">
            <v>31.735889328062381</v>
          </cell>
          <cell r="H838">
            <v>31.735889328062381</v>
          </cell>
          <cell r="I838" t="e">
            <v>#N/A</v>
          </cell>
          <cell r="J838" t="e">
            <v>#N/A</v>
          </cell>
          <cell r="K838">
            <v>42</v>
          </cell>
          <cell r="L838">
            <v>32</v>
          </cell>
          <cell r="M838" t="e">
            <v>#N/A</v>
          </cell>
          <cell r="N838">
            <v>37</v>
          </cell>
          <cell r="O838" t="e">
            <v>#N/A</v>
          </cell>
          <cell r="P838" t="str">
            <v/>
          </cell>
          <cell r="Q838" t="str">
            <v/>
          </cell>
          <cell r="R838" t="e">
            <v>#N/A</v>
          </cell>
        </row>
        <row r="839">
          <cell r="A839" t="str">
            <v/>
          </cell>
          <cell r="B839" t="str">
            <v/>
          </cell>
          <cell r="C839" t="str">
            <v>Future</v>
          </cell>
          <cell r="D839" t="e">
            <v>#N/A</v>
          </cell>
          <cell r="E839">
            <v>-3.6892885375493072</v>
          </cell>
          <cell r="F839">
            <v>42.792924901185991</v>
          </cell>
          <cell r="G839">
            <v>31.725731225295583</v>
          </cell>
          <cell r="H839">
            <v>31.725731225295583</v>
          </cell>
          <cell r="I839" t="e">
            <v>#N/A</v>
          </cell>
          <cell r="J839" t="e">
            <v>#N/A</v>
          </cell>
          <cell r="K839">
            <v>42</v>
          </cell>
          <cell r="L839">
            <v>32</v>
          </cell>
          <cell r="M839" t="e">
            <v>#N/A</v>
          </cell>
          <cell r="N839">
            <v>37</v>
          </cell>
          <cell r="O839" t="e">
            <v>#N/A</v>
          </cell>
          <cell r="P839" t="str">
            <v/>
          </cell>
          <cell r="Q839" t="str">
            <v/>
          </cell>
          <cell r="R839" t="e">
            <v>#N/A</v>
          </cell>
        </row>
        <row r="840">
          <cell r="A840" t="str">
            <v/>
          </cell>
          <cell r="B840" t="str">
            <v/>
          </cell>
          <cell r="C840" t="str">
            <v>Future</v>
          </cell>
          <cell r="D840" t="e">
            <v>#N/A</v>
          </cell>
          <cell r="E840">
            <v>-3.8259288537548408</v>
          </cell>
          <cell r="F840">
            <v>42.822292490118798</v>
          </cell>
          <cell r="G840">
            <v>31.715573122528784</v>
          </cell>
          <cell r="H840">
            <v>31.715573122528784</v>
          </cell>
          <cell r="I840" t="e">
            <v>#N/A</v>
          </cell>
          <cell r="J840" t="e">
            <v>#N/A</v>
          </cell>
          <cell r="K840">
            <v>42</v>
          </cell>
          <cell r="L840">
            <v>32</v>
          </cell>
          <cell r="M840" t="e">
            <v>#N/A</v>
          </cell>
          <cell r="N840">
            <v>37</v>
          </cell>
          <cell r="O840" t="e">
            <v>#N/A</v>
          </cell>
          <cell r="P840" t="str">
            <v/>
          </cell>
          <cell r="Q840" t="str">
            <v/>
          </cell>
          <cell r="R840" t="e">
            <v>#N/A</v>
          </cell>
        </row>
        <row r="841">
          <cell r="A841" t="str">
            <v/>
          </cell>
          <cell r="B841" t="str">
            <v/>
          </cell>
          <cell r="C841" t="str">
            <v>Future</v>
          </cell>
          <cell r="D841" t="e">
            <v>#N/A</v>
          </cell>
          <cell r="E841">
            <v>-3.9625691699603744</v>
          </cell>
          <cell r="F841">
            <v>42.851660079051605</v>
          </cell>
          <cell r="G841">
            <v>31.705415019761986</v>
          </cell>
          <cell r="H841">
            <v>31.705415019761986</v>
          </cell>
          <cell r="I841" t="e">
            <v>#N/A</v>
          </cell>
          <cell r="J841" t="e">
            <v>#N/A</v>
          </cell>
          <cell r="K841">
            <v>42</v>
          </cell>
          <cell r="L841">
            <v>32</v>
          </cell>
          <cell r="M841" t="e">
            <v>#N/A</v>
          </cell>
          <cell r="N841">
            <v>37</v>
          </cell>
          <cell r="O841" t="e">
            <v>#N/A</v>
          </cell>
          <cell r="P841" t="str">
            <v/>
          </cell>
          <cell r="Q841" t="str">
            <v/>
          </cell>
          <cell r="R841" t="e">
            <v>#N/A</v>
          </cell>
        </row>
        <row r="842">
          <cell r="A842" t="str">
            <v/>
          </cell>
          <cell r="B842" t="str">
            <v/>
          </cell>
          <cell r="C842" t="str">
            <v>Future</v>
          </cell>
          <cell r="D842" t="e">
            <v>#N/A</v>
          </cell>
          <cell r="E842">
            <v>-4.0992094861659076</v>
          </cell>
          <cell r="F842">
            <v>42.881027667984412</v>
          </cell>
          <cell r="G842">
            <v>31.695256916995188</v>
          </cell>
          <cell r="H842">
            <v>31.695256916995188</v>
          </cell>
          <cell r="I842" t="e">
            <v>#N/A</v>
          </cell>
          <cell r="J842" t="e">
            <v>#N/A</v>
          </cell>
          <cell r="K842">
            <v>42</v>
          </cell>
          <cell r="L842">
            <v>32</v>
          </cell>
          <cell r="M842" t="e">
            <v>#N/A</v>
          </cell>
          <cell r="N842">
            <v>37</v>
          </cell>
          <cell r="O842" t="e">
            <v>#N/A</v>
          </cell>
          <cell r="P842" t="str">
            <v/>
          </cell>
          <cell r="Q842" t="str">
            <v/>
          </cell>
          <cell r="R842" t="e">
            <v>#N/A</v>
          </cell>
        </row>
        <row r="843">
          <cell r="A843" t="str">
            <v/>
          </cell>
          <cell r="B843" t="str">
            <v/>
          </cell>
          <cell r="C843" t="str">
            <v>Future</v>
          </cell>
          <cell r="D843" t="e">
            <v>#N/A</v>
          </cell>
          <cell r="E843">
            <v>-4.2358498023714413</v>
          </cell>
          <cell r="F843">
            <v>42.910395256917219</v>
          </cell>
          <cell r="G843">
            <v>31.68509881422839</v>
          </cell>
          <cell r="H843">
            <v>31.68509881422839</v>
          </cell>
          <cell r="I843" t="e">
            <v>#N/A</v>
          </cell>
          <cell r="J843" t="e">
            <v>#N/A</v>
          </cell>
          <cell r="K843">
            <v>42</v>
          </cell>
          <cell r="L843">
            <v>32</v>
          </cell>
          <cell r="M843" t="e">
            <v>#N/A</v>
          </cell>
          <cell r="N843">
            <v>37</v>
          </cell>
          <cell r="O843" t="e">
            <v>#N/A</v>
          </cell>
          <cell r="P843" t="str">
            <v/>
          </cell>
          <cell r="Q843" t="str">
            <v/>
          </cell>
          <cell r="R843" t="e">
            <v>#N/A</v>
          </cell>
        </row>
        <row r="844">
          <cell r="A844" t="str">
            <v/>
          </cell>
          <cell r="B844" t="str">
            <v/>
          </cell>
          <cell r="C844" t="str">
            <v>Future</v>
          </cell>
          <cell r="D844" t="e">
            <v>#N/A</v>
          </cell>
          <cell r="E844">
            <v>-4.3724901185769749</v>
          </cell>
          <cell r="F844">
            <v>42.939762845850026</v>
          </cell>
          <cell r="G844">
            <v>31.674940711461591</v>
          </cell>
          <cell r="H844">
            <v>31.674940711461591</v>
          </cell>
          <cell r="I844" t="e">
            <v>#N/A</v>
          </cell>
          <cell r="J844" t="e">
            <v>#N/A</v>
          </cell>
          <cell r="K844">
            <v>42</v>
          </cell>
          <cell r="L844">
            <v>32</v>
          </cell>
          <cell r="M844" t="e">
            <v>#N/A</v>
          </cell>
          <cell r="N844">
            <v>37</v>
          </cell>
          <cell r="O844" t="e">
            <v>#N/A</v>
          </cell>
          <cell r="P844" t="str">
            <v/>
          </cell>
          <cell r="Q844" t="str">
            <v/>
          </cell>
          <cell r="R844" t="e">
            <v>#N/A</v>
          </cell>
        </row>
        <row r="845">
          <cell r="A845" t="str">
            <v/>
          </cell>
          <cell r="B845" t="str">
            <v/>
          </cell>
          <cell r="C845" t="str">
            <v>Future</v>
          </cell>
          <cell r="D845" t="e">
            <v>#N/A</v>
          </cell>
          <cell r="E845">
            <v>-4.5091304347825085</v>
          </cell>
          <cell r="F845">
            <v>42.969130434782834</v>
          </cell>
          <cell r="G845">
            <v>31.664782608694793</v>
          </cell>
          <cell r="H845">
            <v>31.664782608694793</v>
          </cell>
          <cell r="I845" t="e">
            <v>#N/A</v>
          </cell>
          <cell r="J845" t="e">
            <v>#N/A</v>
          </cell>
          <cell r="K845">
            <v>42</v>
          </cell>
          <cell r="L845">
            <v>32</v>
          </cell>
          <cell r="M845" t="e">
            <v>#N/A</v>
          </cell>
          <cell r="N845">
            <v>37</v>
          </cell>
          <cell r="O845" t="e">
            <v>#N/A</v>
          </cell>
          <cell r="P845" t="str">
            <v/>
          </cell>
          <cell r="Q845" t="str">
            <v/>
          </cell>
          <cell r="R845" t="e">
            <v>#N/A</v>
          </cell>
        </row>
        <row r="846">
          <cell r="A846" t="str">
            <v/>
          </cell>
          <cell r="B846" t="str">
            <v/>
          </cell>
          <cell r="C846" t="str">
            <v>Future</v>
          </cell>
          <cell r="D846" t="e">
            <v>#N/A</v>
          </cell>
          <cell r="E846">
            <v>-4.6457707509880422</v>
          </cell>
          <cell r="F846">
            <v>42.998498023715641</v>
          </cell>
          <cell r="G846">
            <v>31.654624505927995</v>
          </cell>
          <cell r="H846">
            <v>31.654624505927995</v>
          </cell>
          <cell r="I846" t="e">
            <v>#N/A</v>
          </cell>
          <cell r="J846" t="e">
            <v>#N/A</v>
          </cell>
          <cell r="K846">
            <v>42</v>
          </cell>
          <cell r="L846">
            <v>32</v>
          </cell>
          <cell r="M846" t="e">
            <v>#N/A</v>
          </cell>
          <cell r="N846">
            <v>37</v>
          </cell>
          <cell r="O846" t="e">
            <v>#N/A</v>
          </cell>
          <cell r="P846" t="str">
            <v/>
          </cell>
          <cell r="Q846" t="str">
            <v/>
          </cell>
          <cell r="R846" t="e">
            <v>#N/A</v>
          </cell>
        </row>
        <row r="847">
          <cell r="A847" t="str">
            <v/>
          </cell>
          <cell r="B847" t="str">
            <v/>
          </cell>
          <cell r="C847" t="str">
            <v>Future</v>
          </cell>
          <cell r="D847" t="e">
            <v>#N/A</v>
          </cell>
          <cell r="E847">
            <v>-4.7824110671935758</v>
          </cell>
          <cell r="F847">
            <v>43.027865612648448</v>
          </cell>
          <cell r="G847">
            <v>31.644466403161196</v>
          </cell>
          <cell r="H847">
            <v>31.644466403161196</v>
          </cell>
          <cell r="I847" t="e">
            <v>#N/A</v>
          </cell>
          <cell r="J847" t="e">
            <v>#N/A</v>
          </cell>
          <cell r="K847">
            <v>42</v>
          </cell>
          <cell r="L847">
            <v>32</v>
          </cell>
          <cell r="M847" t="e">
            <v>#N/A</v>
          </cell>
          <cell r="N847">
            <v>37</v>
          </cell>
          <cell r="O847" t="e">
            <v>#N/A</v>
          </cell>
          <cell r="P847" t="str">
            <v/>
          </cell>
          <cell r="Q847" t="str">
            <v/>
          </cell>
          <cell r="R847" t="e">
            <v>#N/A</v>
          </cell>
        </row>
        <row r="848">
          <cell r="A848" t="str">
            <v/>
          </cell>
          <cell r="B848" t="str">
            <v/>
          </cell>
          <cell r="C848" t="str">
            <v>Future</v>
          </cell>
          <cell r="D848" t="e">
            <v>#N/A</v>
          </cell>
          <cell r="E848">
            <v>-4.9190513833991094</v>
          </cell>
          <cell r="F848">
            <v>43.057233201581255</v>
          </cell>
          <cell r="G848">
            <v>31.634308300394398</v>
          </cell>
          <cell r="H848">
            <v>31.634308300394398</v>
          </cell>
          <cell r="I848" t="e">
            <v>#N/A</v>
          </cell>
          <cell r="J848" t="e">
            <v>#N/A</v>
          </cell>
          <cell r="K848">
            <v>42</v>
          </cell>
          <cell r="L848">
            <v>32</v>
          </cell>
          <cell r="M848" t="e">
            <v>#N/A</v>
          </cell>
          <cell r="N848">
            <v>37</v>
          </cell>
          <cell r="O848" t="e">
            <v>#N/A</v>
          </cell>
          <cell r="P848" t="str">
            <v/>
          </cell>
          <cell r="Q848" t="str">
            <v/>
          </cell>
          <cell r="R848" t="e">
            <v>#N/A</v>
          </cell>
        </row>
        <row r="849">
          <cell r="A849" t="str">
            <v/>
          </cell>
          <cell r="B849" t="str">
            <v/>
          </cell>
          <cell r="C849" t="str">
            <v>Future</v>
          </cell>
          <cell r="D849" t="e">
            <v>#N/A</v>
          </cell>
          <cell r="E849">
            <v>-5.055691699604643</v>
          </cell>
          <cell r="F849">
            <v>43.086600790514062</v>
          </cell>
          <cell r="G849">
            <v>31.6241501976276</v>
          </cell>
          <cell r="H849">
            <v>31.6241501976276</v>
          </cell>
          <cell r="I849" t="e">
            <v>#N/A</v>
          </cell>
          <cell r="J849" t="e">
            <v>#N/A</v>
          </cell>
          <cell r="K849">
            <v>42</v>
          </cell>
          <cell r="L849">
            <v>32</v>
          </cell>
          <cell r="M849" t="e">
            <v>#N/A</v>
          </cell>
          <cell r="N849">
            <v>37</v>
          </cell>
          <cell r="O849" t="e">
            <v>#N/A</v>
          </cell>
          <cell r="P849" t="str">
            <v/>
          </cell>
          <cell r="Q849" t="str">
            <v/>
          </cell>
          <cell r="R849" t="e">
            <v>#N/A</v>
          </cell>
        </row>
        <row r="850">
          <cell r="A850" t="str">
            <v/>
          </cell>
          <cell r="B850" t="str">
            <v/>
          </cell>
          <cell r="C850" t="str">
            <v>Future</v>
          </cell>
          <cell r="D850" t="e">
            <v>#N/A</v>
          </cell>
          <cell r="E850">
            <v>-5.1923320158101767</v>
          </cell>
          <cell r="F850">
            <v>43.115968379446869</v>
          </cell>
          <cell r="G850">
            <v>31.613992094860802</v>
          </cell>
          <cell r="H850">
            <v>31.613992094860802</v>
          </cell>
          <cell r="I850" t="e">
            <v>#N/A</v>
          </cell>
          <cell r="J850" t="e">
            <v>#N/A</v>
          </cell>
          <cell r="K850">
            <v>42</v>
          </cell>
          <cell r="L850">
            <v>32</v>
          </cell>
          <cell r="M850" t="e">
            <v>#N/A</v>
          </cell>
          <cell r="N850">
            <v>37</v>
          </cell>
          <cell r="O850" t="e">
            <v>#N/A</v>
          </cell>
          <cell r="P850" t="str">
            <v/>
          </cell>
          <cell r="Q850" t="str">
            <v/>
          </cell>
          <cell r="R850" t="e">
            <v>#N/A</v>
          </cell>
        </row>
        <row r="851">
          <cell r="A851" t="str">
            <v/>
          </cell>
          <cell r="B851" t="str">
            <v/>
          </cell>
          <cell r="C851" t="str">
            <v>Future</v>
          </cell>
          <cell r="D851" t="e">
            <v>#N/A</v>
          </cell>
          <cell r="E851">
            <v>-5.3289723320157103</v>
          </cell>
          <cell r="F851">
            <v>43.145335968379676</v>
          </cell>
          <cell r="G851">
            <v>31.603833992094003</v>
          </cell>
          <cell r="H851">
            <v>31.603833992094003</v>
          </cell>
          <cell r="I851" t="e">
            <v>#N/A</v>
          </cell>
          <cell r="J851" t="e">
            <v>#N/A</v>
          </cell>
          <cell r="K851">
            <v>42</v>
          </cell>
          <cell r="L851">
            <v>32</v>
          </cell>
          <cell r="M851" t="e">
            <v>#N/A</v>
          </cell>
          <cell r="N851">
            <v>37</v>
          </cell>
          <cell r="O851" t="e">
            <v>#N/A</v>
          </cell>
          <cell r="P851" t="str">
            <v/>
          </cell>
          <cell r="Q851" t="str">
            <v/>
          </cell>
          <cell r="R851" t="e">
            <v>#N/A</v>
          </cell>
        </row>
        <row r="852">
          <cell r="A852" t="str">
            <v/>
          </cell>
          <cell r="B852" t="str">
            <v/>
          </cell>
          <cell r="C852" t="str">
            <v>Future</v>
          </cell>
          <cell r="D852" t="e">
            <v>#N/A</v>
          </cell>
          <cell r="E852">
            <v>-5.4656126482212439</v>
          </cell>
          <cell r="F852">
            <v>43.174703557312483</v>
          </cell>
          <cell r="G852">
            <v>31.593675889327205</v>
          </cell>
          <cell r="H852">
            <v>31.593675889327205</v>
          </cell>
          <cell r="I852" t="e">
            <v>#N/A</v>
          </cell>
          <cell r="J852" t="e">
            <v>#N/A</v>
          </cell>
          <cell r="K852">
            <v>42</v>
          </cell>
          <cell r="L852">
            <v>32</v>
          </cell>
          <cell r="M852" t="e">
            <v>#N/A</v>
          </cell>
          <cell r="N852">
            <v>37</v>
          </cell>
          <cell r="O852" t="e">
            <v>#N/A</v>
          </cell>
          <cell r="P852" t="str">
            <v/>
          </cell>
          <cell r="Q852" t="str">
            <v/>
          </cell>
          <cell r="R852" t="e">
            <v>#N/A</v>
          </cell>
        </row>
        <row r="853">
          <cell r="A853" t="str">
            <v/>
          </cell>
          <cell r="B853" t="str">
            <v/>
          </cell>
          <cell r="C853" t="str">
            <v>Future</v>
          </cell>
          <cell r="D853" t="e">
            <v>#N/A</v>
          </cell>
          <cell r="E853">
            <v>-5.6022529644267776</v>
          </cell>
          <cell r="F853">
            <v>43.20407114624529</v>
          </cell>
          <cell r="G853">
            <v>31.583517786560407</v>
          </cell>
          <cell r="H853">
            <v>31.583517786560407</v>
          </cell>
          <cell r="I853" t="e">
            <v>#N/A</v>
          </cell>
          <cell r="J853" t="e">
            <v>#N/A</v>
          </cell>
          <cell r="K853">
            <v>42</v>
          </cell>
          <cell r="L853">
            <v>32</v>
          </cell>
          <cell r="M853" t="e">
            <v>#N/A</v>
          </cell>
          <cell r="N853">
            <v>37</v>
          </cell>
          <cell r="O853" t="e">
            <v>#N/A</v>
          </cell>
          <cell r="P853" t="str">
            <v/>
          </cell>
          <cell r="Q853" t="str">
            <v/>
          </cell>
          <cell r="R853" t="e">
            <v>#N/A</v>
          </cell>
        </row>
        <row r="854">
          <cell r="A854" t="str">
            <v/>
          </cell>
          <cell r="B854" t="str">
            <v/>
          </cell>
          <cell r="C854" t="str">
            <v>Future</v>
          </cell>
          <cell r="D854" t="e">
            <v>#N/A</v>
          </cell>
          <cell r="E854">
            <v>-5.7388932806323112</v>
          </cell>
          <cell r="F854">
            <v>43.233438735178098</v>
          </cell>
          <cell r="G854">
            <v>31.573359683793608</v>
          </cell>
          <cell r="H854">
            <v>31.573359683793608</v>
          </cell>
          <cell r="I854" t="e">
            <v>#N/A</v>
          </cell>
          <cell r="J854" t="e">
            <v>#N/A</v>
          </cell>
          <cell r="K854">
            <v>42</v>
          </cell>
          <cell r="L854">
            <v>32</v>
          </cell>
          <cell r="M854" t="e">
            <v>#N/A</v>
          </cell>
          <cell r="N854">
            <v>37</v>
          </cell>
          <cell r="O854" t="e">
            <v>#N/A</v>
          </cell>
          <cell r="P854" t="str">
            <v/>
          </cell>
          <cell r="Q854" t="str">
            <v/>
          </cell>
          <cell r="R854" t="e">
            <v>#N/A</v>
          </cell>
        </row>
        <row r="855">
          <cell r="A855" t="str">
            <v/>
          </cell>
          <cell r="B855" t="str">
            <v/>
          </cell>
          <cell r="C855" t="str">
            <v>Future</v>
          </cell>
          <cell r="D855" t="e">
            <v>#N/A</v>
          </cell>
          <cell r="E855">
            <v>-5.8755335968378448</v>
          </cell>
          <cell r="F855">
            <v>43.262806324110905</v>
          </cell>
          <cell r="G855">
            <v>31.56320158102681</v>
          </cell>
          <cell r="H855">
            <v>31.56320158102681</v>
          </cell>
          <cell r="I855" t="e">
            <v>#N/A</v>
          </cell>
          <cell r="J855" t="e">
            <v>#N/A</v>
          </cell>
          <cell r="K855">
            <v>42</v>
          </cell>
          <cell r="L855">
            <v>32</v>
          </cell>
          <cell r="M855" t="e">
            <v>#N/A</v>
          </cell>
          <cell r="N855">
            <v>37</v>
          </cell>
          <cell r="O855" t="e">
            <v>#N/A</v>
          </cell>
          <cell r="P855" t="str">
            <v/>
          </cell>
          <cell r="Q855" t="str">
            <v/>
          </cell>
          <cell r="R855" t="e">
            <v>#N/A</v>
          </cell>
        </row>
        <row r="856">
          <cell r="A856" t="str">
            <v/>
          </cell>
          <cell r="B856" t="str">
            <v/>
          </cell>
          <cell r="C856" t="str">
            <v>Future</v>
          </cell>
          <cell r="D856" t="e">
            <v>#N/A</v>
          </cell>
          <cell r="E856">
            <v>-6.0121739130433784</v>
          </cell>
          <cell r="F856">
            <v>43.292173913043712</v>
          </cell>
          <cell r="G856">
            <v>31.553043478260012</v>
          </cell>
          <cell r="H856">
            <v>31.553043478260012</v>
          </cell>
          <cell r="I856" t="e">
            <v>#N/A</v>
          </cell>
          <cell r="J856" t="e">
            <v>#N/A</v>
          </cell>
          <cell r="K856">
            <v>42</v>
          </cell>
          <cell r="L856">
            <v>32</v>
          </cell>
          <cell r="M856" t="e">
            <v>#N/A</v>
          </cell>
          <cell r="N856">
            <v>37</v>
          </cell>
          <cell r="O856" t="e">
            <v>#N/A</v>
          </cell>
          <cell r="P856" t="str">
            <v/>
          </cell>
          <cell r="Q856" t="str">
            <v/>
          </cell>
          <cell r="R856" t="e">
            <v>#N/A</v>
          </cell>
        </row>
        <row r="857">
          <cell r="A857" t="str">
            <v/>
          </cell>
          <cell r="B857" t="str">
            <v/>
          </cell>
          <cell r="C857" t="str">
            <v>Future</v>
          </cell>
          <cell r="D857" t="e">
            <v>#N/A</v>
          </cell>
          <cell r="E857">
            <v>-6.1488142292489121</v>
          </cell>
          <cell r="F857">
            <v>43.321541501976519</v>
          </cell>
          <cell r="G857">
            <v>31.542885375493213</v>
          </cell>
          <cell r="H857">
            <v>31.542885375493213</v>
          </cell>
          <cell r="I857" t="e">
            <v>#N/A</v>
          </cell>
          <cell r="J857" t="e">
            <v>#N/A</v>
          </cell>
          <cell r="K857">
            <v>42</v>
          </cell>
          <cell r="L857">
            <v>32</v>
          </cell>
          <cell r="M857" t="e">
            <v>#N/A</v>
          </cell>
          <cell r="N857">
            <v>37</v>
          </cell>
          <cell r="O857" t="e">
            <v>#N/A</v>
          </cell>
          <cell r="P857" t="str">
            <v/>
          </cell>
          <cell r="Q857" t="str">
            <v/>
          </cell>
          <cell r="R857" t="e">
            <v>#N/A</v>
          </cell>
        </row>
        <row r="858">
          <cell r="A858" t="str">
            <v/>
          </cell>
          <cell r="B858" t="str">
            <v/>
          </cell>
          <cell r="C858" t="str">
            <v>Future</v>
          </cell>
          <cell r="D858" t="e">
            <v>#N/A</v>
          </cell>
          <cell r="E858">
            <v>-6.2854545454544457</v>
          </cell>
          <cell r="F858">
            <v>43.350909090909326</v>
          </cell>
          <cell r="G858">
            <v>31.532727272726415</v>
          </cell>
          <cell r="H858">
            <v>31.532727272726415</v>
          </cell>
          <cell r="I858" t="e">
            <v>#N/A</v>
          </cell>
          <cell r="J858" t="e">
            <v>#N/A</v>
          </cell>
          <cell r="K858">
            <v>42</v>
          </cell>
          <cell r="L858">
            <v>32</v>
          </cell>
          <cell r="M858" t="e">
            <v>#N/A</v>
          </cell>
          <cell r="N858">
            <v>37</v>
          </cell>
          <cell r="O858" t="e">
            <v>#N/A</v>
          </cell>
          <cell r="P858" t="str">
            <v/>
          </cell>
          <cell r="Q858" t="str">
            <v/>
          </cell>
          <cell r="R858" t="e">
            <v>#N/A</v>
          </cell>
        </row>
        <row r="859">
          <cell r="A859" t="str">
            <v/>
          </cell>
          <cell r="B859" t="str">
            <v/>
          </cell>
          <cell r="C859" t="str">
            <v>Future</v>
          </cell>
          <cell r="D859" t="e">
            <v>#N/A</v>
          </cell>
          <cell r="E859">
            <v>-6.4220948616599793</v>
          </cell>
          <cell r="F859">
            <v>43.380276679842133</v>
          </cell>
          <cell r="G859">
            <v>31.522569169959617</v>
          </cell>
          <cell r="H859">
            <v>31.522569169959617</v>
          </cell>
          <cell r="I859" t="e">
            <v>#N/A</v>
          </cell>
          <cell r="J859" t="e">
            <v>#N/A</v>
          </cell>
          <cell r="K859">
            <v>42</v>
          </cell>
          <cell r="L859">
            <v>32</v>
          </cell>
          <cell r="M859" t="e">
            <v>#N/A</v>
          </cell>
          <cell r="N859">
            <v>37</v>
          </cell>
          <cell r="O859" t="e">
            <v>#N/A</v>
          </cell>
          <cell r="P859" t="str">
            <v/>
          </cell>
          <cell r="Q859" t="str">
            <v/>
          </cell>
          <cell r="R859" t="e">
            <v>#N/A</v>
          </cell>
        </row>
        <row r="860">
          <cell r="A860" t="str">
            <v/>
          </cell>
          <cell r="B860" t="str">
            <v/>
          </cell>
          <cell r="C860" t="str">
            <v>Future</v>
          </cell>
          <cell r="D860" t="e">
            <v>#N/A</v>
          </cell>
          <cell r="E860">
            <v>-6.558735177865513</v>
          </cell>
          <cell r="F860">
            <v>43.40964426877494</v>
          </cell>
          <cell r="G860">
            <v>31.512411067192819</v>
          </cell>
          <cell r="H860">
            <v>31.512411067192819</v>
          </cell>
          <cell r="I860" t="e">
            <v>#N/A</v>
          </cell>
          <cell r="J860" t="e">
            <v>#N/A</v>
          </cell>
          <cell r="K860">
            <v>42</v>
          </cell>
          <cell r="L860">
            <v>32</v>
          </cell>
          <cell r="M860" t="e">
            <v>#N/A</v>
          </cell>
          <cell r="N860">
            <v>37</v>
          </cell>
          <cell r="O860" t="e">
            <v>#N/A</v>
          </cell>
          <cell r="P860" t="str">
            <v/>
          </cell>
          <cell r="Q860" t="str">
            <v/>
          </cell>
          <cell r="R860" t="e">
            <v>#N/A</v>
          </cell>
        </row>
        <row r="861">
          <cell r="A861" t="str">
            <v/>
          </cell>
          <cell r="B861" t="str">
            <v/>
          </cell>
          <cell r="C861" t="str">
            <v>Future</v>
          </cell>
          <cell r="D861" t="e">
            <v>#N/A</v>
          </cell>
          <cell r="E861">
            <v>-6.6953754940710466</v>
          </cell>
          <cell r="F861">
            <v>43.439011857707747</v>
          </cell>
          <cell r="G861">
            <v>31.50225296442602</v>
          </cell>
          <cell r="H861">
            <v>31.50225296442602</v>
          </cell>
          <cell r="I861" t="e">
            <v>#N/A</v>
          </cell>
          <cell r="J861" t="e">
            <v>#N/A</v>
          </cell>
          <cell r="K861">
            <v>42</v>
          </cell>
          <cell r="L861">
            <v>32</v>
          </cell>
          <cell r="M861" t="e">
            <v>#N/A</v>
          </cell>
          <cell r="N861">
            <v>37</v>
          </cell>
          <cell r="O861" t="e">
            <v>#N/A</v>
          </cell>
          <cell r="P861" t="str">
            <v/>
          </cell>
          <cell r="Q861" t="str">
            <v/>
          </cell>
          <cell r="R861" t="e">
            <v>#N/A</v>
          </cell>
        </row>
        <row r="862">
          <cell r="A862" t="str">
            <v/>
          </cell>
          <cell r="B862" t="str">
            <v/>
          </cell>
          <cell r="C862" t="str">
            <v>Future</v>
          </cell>
          <cell r="D862" t="e">
            <v>#N/A</v>
          </cell>
          <cell r="E862">
            <v>-6.8320158102765802</v>
          </cell>
          <cell r="F862">
            <v>43.468379446640554</v>
          </cell>
          <cell r="G862">
            <v>31.492094861659222</v>
          </cell>
          <cell r="H862">
            <v>31.492094861659222</v>
          </cell>
          <cell r="I862" t="e">
            <v>#N/A</v>
          </cell>
          <cell r="J862" t="e">
            <v>#N/A</v>
          </cell>
          <cell r="K862">
            <v>42</v>
          </cell>
          <cell r="L862">
            <v>32</v>
          </cell>
          <cell r="M862" t="e">
            <v>#N/A</v>
          </cell>
          <cell r="N862">
            <v>37</v>
          </cell>
          <cell r="O862" t="e">
            <v>#N/A</v>
          </cell>
          <cell r="P862" t="str">
            <v/>
          </cell>
          <cell r="Q862" t="str">
            <v/>
          </cell>
          <cell r="R862" t="e">
            <v>#N/A</v>
          </cell>
        </row>
        <row r="863">
          <cell r="A863" t="str">
            <v/>
          </cell>
          <cell r="B863" t="str">
            <v/>
          </cell>
          <cell r="C863" t="str">
            <v>Future</v>
          </cell>
          <cell r="D863" t="e">
            <v>#N/A</v>
          </cell>
          <cell r="E863">
            <v>-6.9686561264821139</v>
          </cell>
          <cell r="F863">
            <v>43.497747035573362</v>
          </cell>
          <cell r="G863">
            <v>31.481936758892424</v>
          </cell>
          <cell r="H863">
            <v>31.481936758892424</v>
          </cell>
          <cell r="I863" t="e">
            <v>#N/A</v>
          </cell>
          <cell r="J863" t="e">
            <v>#N/A</v>
          </cell>
          <cell r="K863">
            <v>42</v>
          </cell>
          <cell r="L863">
            <v>32</v>
          </cell>
          <cell r="M863" t="e">
            <v>#N/A</v>
          </cell>
          <cell r="N863">
            <v>37</v>
          </cell>
          <cell r="O863" t="e">
            <v>#N/A</v>
          </cell>
          <cell r="P863" t="str">
            <v/>
          </cell>
          <cell r="Q863" t="str">
            <v/>
          </cell>
          <cell r="R863" t="e">
            <v>#N/A</v>
          </cell>
        </row>
        <row r="864">
          <cell r="A864" t="str">
            <v/>
          </cell>
          <cell r="B864" t="str">
            <v/>
          </cell>
          <cell r="C864" t="str">
            <v>Future</v>
          </cell>
          <cell r="D864" t="e">
            <v>#N/A</v>
          </cell>
          <cell r="E864">
            <v>-7.1052964426876475</v>
          </cell>
          <cell r="F864">
            <v>43.527114624506169</v>
          </cell>
          <cell r="G864">
            <v>31.471778656125625</v>
          </cell>
          <cell r="H864">
            <v>31.471778656125625</v>
          </cell>
          <cell r="I864" t="e">
            <v>#N/A</v>
          </cell>
          <cell r="J864" t="e">
            <v>#N/A</v>
          </cell>
          <cell r="K864">
            <v>42</v>
          </cell>
          <cell r="L864">
            <v>32</v>
          </cell>
          <cell r="M864" t="e">
            <v>#N/A</v>
          </cell>
          <cell r="N864">
            <v>37</v>
          </cell>
          <cell r="O864" t="e">
            <v>#N/A</v>
          </cell>
          <cell r="P864" t="str">
            <v/>
          </cell>
          <cell r="Q864" t="str">
            <v/>
          </cell>
          <cell r="R864" t="e">
            <v>#N/A</v>
          </cell>
        </row>
        <row r="865">
          <cell r="A865" t="str">
            <v/>
          </cell>
          <cell r="B865" t="str">
            <v/>
          </cell>
          <cell r="C865" t="str">
            <v>Future</v>
          </cell>
          <cell r="D865" t="e">
            <v>#N/A</v>
          </cell>
          <cell r="E865">
            <v>-7.2419367588931811</v>
          </cell>
          <cell r="F865">
            <v>43.556482213438976</v>
          </cell>
          <cell r="G865">
            <v>31.461620553358827</v>
          </cell>
          <cell r="H865">
            <v>31.461620553358827</v>
          </cell>
          <cell r="I865" t="e">
            <v>#N/A</v>
          </cell>
          <cell r="J865" t="e">
            <v>#N/A</v>
          </cell>
          <cell r="K865">
            <v>42</v>
          </cell>
          <cell r="L865">
            <v>32</v>
          </cell>
          <cell r="M865" t="e">
            <v>#N/A</v>
          </cell>
          <cell r="N865">
            <v>37</v>
          </cell>
          <cell r="O865" t="e">
            <v>#N/A</v>
          </cell>
          <cell r="P865" t="str">
            <v/>
          </cell>
          <cell r="Q865" t="str">
            <v/>
          </cell>
          <cell r="R865" t="e">
            <v>#N/A</v>
          </cell>
        </row>
        <row r="866">
          <cell r="A866" t="str">
            <v/>
          </cell>
          <cell r="B866" t="str">
            <v/>
          </cell>
          <cell r="C866" t="str">
            <v>Future</v>
          </cell>
          <cell r="D866" t="e">
            <v>#N/A</v>
          </cell>
          <cell r="E866">
            <v>-7.3785770750987147</v>
          </cell>
          <cell r="F866">
            <v>43.585849802371783</v>
          </cell>
          <cell r="G866">
            <v>31.451462450592029</v>
          </cell>
          <cell r="H866">
            <v>31.451462450592029</v>
          </cell>
          <cell r="I866" t="e">
            <v>#N/A</v>
          </cell>
          <cell r="J866" t="e">
            <v>#N/A</v>
          </cell>
          <cell r="K866">
            <v>42</v>
          </cell>
          <cell r="L866">
            <v>32</v>
          </cell>
          <cell r="M866" t="e">
            <v>#N/A</v>
          </cell>
          <cell r="N866">
            <v>37</v>
          </cell>
          <cell r="O866" t="e">
            <v>#N/A</v>
          </cell>
          <cell r="P866" t="str">
            <v/>
          </cell>
          <cell r="Q866" t="str">
            <v/>
          </cell>
          <cell r="R866" t="e">
            <v>#N/A</v>
          </cell>
        </row>
        <row r="867">
          <cell r="A867" t="str">
            <v/>
          </cell>
          <cell r="B867" t="str">
            <v/>
          </cell>
          <cell r="C867" t="str">
            <v>Future</v>
          </cell>
          <cell r="D867" t="e">
            <v>#N/A</v>
          </cell>
          <cell r="E867">
            <v>-7.5152173913042484</v>
          </cell>
          <cell r="F867">
            <v>43.61521739130459</v>
          </cell>
          <cell r="G867">
            <v>31.441304347825231</v>
          </cell>
          <cell r="H867">
            <v>31.441304347825231</v>
          </cell>
          <cell r="I867" t="e">
            <v>#N/A</v>
          </cell>
          <cell r="J867" t="e">
            <v>#N/A</v>
          </cell>
          <cell r="K867">
            <v>42</v>
          </cell>
          <cell r="L867">
            <v>32</v>
          </cell>
          <cell r="M867" t="e">
            <v>#N/A</v>
          </cell>
          <cell r="N867">
            <v>37</v>
          </cell>
          <cell r="O867" t="e">
            <v>#N/A</v>
          </cell>
          <cell r="P867" t="str">
            <v/>
          </cell>
          <cell r="Q867" t="str">
            <v/>
          </cell>
          <cell r="R867" t="e">
            <v>#N/A</v>
          </cell>
        </row>
        <row r="868">
          <cell r="A868" t="str">
            <v/>
          </cell>
          <cell r="B868" t="str">
            <v/>
          </cell>
          <cell r="C868" t="str">
            <v>Future</v>
          </cell>
          <cell r="D868" t="e">
            <v>#N/A</v>
          </cell>
          <cell r="E868">
            <v>-7.651857707509782</v>
          </cell>
          <cell r="F868">
            <v>43.644584980237397</v>
          </cell>
          <cell r="G868">
            <v>31.431146245058432</v>
          </cell>
          <cell r="H868">
            <v>31.431146245058432</v>
          </cell>
          <cell r="I868" t="e">
            <v>#N/A</v>
          </cell>
          <cell r="J868" t="e">
            <v>#N/A</v>
          </cell>
          <cell r="K868">
            <v>42</v>
          </cell>
          <cell r="L868">
            <v>32</v>
          </cell>
          <cell r="M868" t="e">
            <v>#N/A</v>
          </cell>
          <cell r="N868">
            <v>37</v>
          </cell>
          <cell r="O868" t="e">
            <v>#N/A</v>
          </cell>
          <cell r="P868" t="str">
            <v/>
          </cell>
          <cell r="Q868" t="str">
            <v/>
          </cell>
          <cell r="R868" t="e">
            <v>#N/A</v>
          </cell>
        </row>
        <row r="869">
          <cell r="A869" t="str">
            <v/>
          </cell>
          <cell r="B869" t="str">
            <v/>
          </cell>
          <cell r="C869" t="str">
            <v>Future</v>
          </cell>
          <cell r="D869" t="e">
            <v>#N/A</v>
          </cell>
          <cell r="E869">
            <v>-7.7884980237153156</v>
          </cell>
          <cell r="F869">
            <v>43.673952569170204</v>
          </cell>
          <cell r="G869">
            <v>31.420988142291634</v>
          </cell>
          <cell r="H869">
            <v>31.420988142291634</v>
          </cell>
          <cell r="I869" t="e">
            <v>#N/A</v>
          </cell>
          <cell r="J869" t="e">
            <v>#N/A</v>
          </cell>
          <cell r="K869">
            <v>42</v>
          </cell>
          <cell r="L869">
            <v>32</v>
          </cell>
          <cell r="M869" t="e">
            <v>#N/A</v>
          </cell>
          <cell r="N869">
            <v>37</v>
          </cell>
          <cell r="O869" t="e">
            <v>#N/A</v>
          </cell>
          <cell r="P869" t="str">
            <v/>
          </cell>
          <cell r="Q869" t="str">
            <v/>
          </cell>
          <cell r="R869" t="e">
            <v>#N/A</v>
          </cell>
        </row>
        <row r="870">
          <cell r="A870" t="str">
            <v/>
          </cell>
          <cell r="B870" t="str">
            <v/>
          </cell>
          <cell r="C870" t="str">
            <v>Future</v>
          </cell>
          <cell r="D870" t="e">
            <v>#N/A</v>
          </cell>
          <cell r="E870">
            <v>-7.9251383399208493</v>
          </cell>
          <cell r="F870">
            <v>43.703320158103011</v>
          </cell>
          <cell r="G870">
            <v>31.410830039524836</v>
          </cell>
          <cell r="H870">
            <v>31.410830039524836</v>
          </cell>
          <cell r="I870" t="e">
            <v>#N/A</v>
          </cell>
          <cell r="J870" t="e">
            <v>#N/A</v>
          </cell>
          <cell r="K870">
            <v>42</v>
          </cell>
          <cell r="L870">
            <v>32</v>
          </cell>
          <cell r="M870" t="e">
            <v>#N/A</v>
          </cell>
          <cell r="N870">
            <v>37</v>
          </cell>
          <cell r="O870" t="e">
            <v>#N/A</v>
          </cell>
          <cell r="P870" t="str">
            <v/>
          </cell>
          <cell r="Q870" t="str">
            <v/>
          </cell>
          <cell r="R870" t="e">
            <v>#N/A</v>
          </cell>
        </row>
        <row r="871">
          <cell r="A871" t="str">
            <v/>
          </cell>
          <cell r="B871" t="str">
            <v/>
          </cell>
          <cell r="C871" t="str">
            <v>Future</v>
          </cell>
          <cell r="D871" t="e">
            <v>#N/A</v>
          </cell>
          <cell r="E871">
            <v>-8.061778656126382</v>
          </cell>
          <cell r="F871">
            <v>43.732687747035818</v>
          </cell>
          <cell r="G871">
            <v>31.400671936758037</v>
          </cell>
          <cell r="H871">
            <v>31.400671936758037</v>
          </cell>
          <cell r="I871" t="e">
            <v>#N/A</v>
          </cell>
          <cell r="J871" t="e">
            <v>#N/A</v>
          </cell>
          <cell r="K871">
            <v>42</v>
          </cell>
          <cell r="L871">
            <v>32</v>
          </cell>
          <cell r="M871" t="e">
            <v>#N/A</v>
          </cell>
          <cell r="N871">
            <v>37</v>
          </cell>
          <cell r="O871" t="e">
            <v>#N/A</v>
          </cell>
          <cell r="P871" t="str">
            <v/>
          </cell>
          <cell r="Q871" t="str">
            <v/>
          </cell>
          <cell r="R871" t="e">
            <v>#N/A</v>
          </cell>
        </row>
        <row r="872">
          <cell r="A872" t="str">
            <v/>
          </cell>
          <cell r="B872" t="str">
            <v/>
          </cell>
          <cell r="C872" t="str">
            <v>Future</v>
          </cell>
          <cell r="D872" t="e">
            <v>#N/A</v>
          </cell>
          <cell r="E872">
            <v>-8.1984189723319147</v>
          </cell>
          <cell r="F872">
            <v>43.762055335968626</v>
          </cell>
          <cell r="G872">
            <v>31.390513833991239</v>
          </cell>
          <cell r="H872">
            <v>31.390513833991239</v>
          </cell>
          <cell r="I872" t="e">
            <v>#N/A</v>
          </cell>
          <cell r="J872" t="e">
            <v>#N/A</v>
          </cell>
          <cell r="K872">
            <v>42</v>
          </cell>
          <cell r="L872">
            <v>32</v>
          </cell>
          <cell r="M872" t="e">
            <v>#N/A</v>
          </cell>
          <cell r="N872">
            <v>37</v>
          </cell>
          <cell r="O872" t="e">
            <v>#N/A</v>
          </cell>
          <cell r="P872" t="str">
            <v/>
          </cell>
          <cell r="Q872" t="str">
            <v/>
          </cell>
          <cell r="R872" t="e">
            <v>#N/A</v>
          </cell>
        </row>
        <row r="873">
          <cell r="A873" t="str">
            <v/>
          </cell>
          <cell r="B873" t="str">
            <v/>
          </cell>
          <cell r="C873" t="str">
            <v>Future</v>
          </cell>
          <cell r="D873" t="e">
            <v>#N/A</v>
          </cell>
          <cell r="E873">
            <v>-8.3350592885374475</v>
          </cell>
          <cell r="F873">
            <v>43.791422924901433</v>
          </cell>
          <cell r="G873">
            <v>31.380355731224441</v>
          </cell>
          <cell r="H873">
            <v>31.380355731224441</v>
          </cell>
          <cell r="I873" t="e">
            <v>#N/A</v>
          </cell>
          <cell r="J873" t="e">
            <v>#N/A</v>
          </cell>
          <cell r="K873">
            <v>42</v>
          </cell>
          <cell r="L873">
            <v>32</v>
          </cell>
          <cell r="M873" t="e">
            <v>#N/A</v>
          </cell>
          <cell r="N873">
            <v>37</v>
          </cell>
          <cell r="O873" t="e">
            <v>#N/A</v>
          </cell>
          <cell r="P873" t="str">
            <v/>
          </cell>
          <cell r="Q873" t="str">
            <v/>
          </cell>
          <cell r="R873" t="e">
            <v>#N/A</v>
          </cell>
        </row>
        <row r="874">
          <cell r="A874" t="str">
            <v/>
          </cell>
          <cell r="B874" t="str">
            <v/>
          </cell>
          <cell r="C874" t="str">
            <v>Future</v>
          </cell>
          <cell r="D874" t="e">
            <v>#N/A</v>
          </cell>
          <cell r="E874">
            <v>-8.4716996047429802</v>
          </cell>
          <cell r="F874">
            <v>43.82079051383424</v>
          </cell>
          <cell r="G874">
            <v>31.370197628457642</v>
          </cell>
          <cell r="H874">
            <v>31.370197628457642</v>
          </cell>
          <cell r="I874" t="e">
            <v>#N/A</v>
          </cell>
          <cell r="J874" t="e">
            <v>#N/A</v>
          </cell>
          <cell r="K874">
            <v>42</v>
          </cell>
          <cell r="L874">
            <v>32</v>
          </cell>
          <cell r="M874" t="e">
            <v>#N/A</v>
          </cell>
          <cell r="N874">
            <v>37</v>
          </cell>
          <cell r="O874" t="e">
            <v>#N/A</v>
          </cell>
          <cell r="P874" t="str">
            <v/>
          </cell>
          <cell r="Q874" t="str">
            <v/>
          </cell>
          <cell r="R874" t="e">
            <v>#N/A</v>
          </cell>
        </row>
        <row r="875">
          <cell r="A875" t="str">
            <v/>
          </cell>
          <cell r="B875" t="str">
            <v/>
          </cell>
          <cell r="C875" t="str">
            <v>Future</v>
          </cell>
          <cell r="D875" t="e">
            <v>#N/A</v>
          </cell>
          <cell r="E875">
            <v>-8.608339920948513</v>
          </cell>
          <cell r="F875">
            <v>43.850158102767047</v>
          </cell>
          <cell r="G875">
            <v>31.360039525690844</v>
          </cell>
          <cell r="H875">
            <v>31.360039525690844</v>
          </cell>
          <cell r="I875" t="e">
            <v>#N/A</v>
          </cell>
          <cell r="J875" t="e">
            <v>#N/A</v>
          </cell>
          <cell r="K875">
            <v>42</v>
          </cell>
          <cell r="L875">
            <v>32</v>
          </cell>
          <cell r="M875" t="e">
            <v>#N/A</v>
          </cell>
          <cell r="N875">
            <v>37</v>
          </cell>
          <cell r="O875" t="e">
            <v>#N/A</v>
          </cell>
          <cell r="P875" t="str">
            <v/>
          </cell>
          <cell r="Q875" t="str">
            <v/>
          </cell>
          <cell r="R875" t="e">
            <v>#N/A</v>
          </cell>
        </row>
        <row r="876">
          <cell r="A876" t="str">
            <v/>
          </cell>
          <cell r="B876" t="str">
            <v/>
          </cell>
          <cell r="C876" t="str">
            <v>Future</v>
          </cell>
          <cell r="D876" t="e">
            <v>#N/A</v>
          </cell>
          <cell r="E876">
            <v>-8.7449802371540457</v>
          </cell>
          <cell r="F876">
            <v>43.879525691699854</v>
          </cell>
          <cell r="G876">
            <v>31.349881422924046</v>
          </cell>
          <cell r="H876">
            <v>31.349881422924046</v>
          </cell>
          <cell r="I876" t="e">
            <v>#N/A</v>
          </cell>
          <cell r="J876" t="e">
            <v>#N/A</v>
          </cell>
          <cell r="K876">
            <v>42</v>
          </cell>
          <cell r="L876">
            <v>32</v>
          </cell>
          <cell r="M876" t="e">
            <v>#N/A</v>
          </cell>
          <cell r="N876">
            <v>37</v>
          </cell>
          <cell r="O876" t="e">
            <v>#N/A</v>
          </cell>
          <cell r="P876" t="str">
            <v/>
          </cell>
          <cell r="Q876" t="str">
            <v/>
          </cell>
          <cell r="R876" t="e">
            <v>#N/A</v>
          </cell>
        </row>
        <row r="877">
          <cell r="A877" t="str">
            <v/>
          </cell>
          <cell r="B877" t="str">
            <v/>
          </cell>
          <cell r="C877" t="str">
            <v>Future</v>
          </cell>
          <cell r="D877" t="e">
            <v>#N/A</v>
          </cell>
          <cell r="E877">
            <v>-8.8816205533595785</v>
          </cell>
          <cell r="F877">
            <v>43.908893280632661</v>
          </cell>
          <cell r="G877">
            <v>31.339723320157248</v>
          </cell>
          <cell r="H877">
            <v>31.339723320157248</v>
          </cell>
          <cell r="I877" t="e">
            <v>#N/A</v>
          </cell>
          <cell r="J877" t="e">
            <v>#N/A</v>
          </cell>
          <cell r="K877">
            <v>42</v>
          </cell>
          <cell r="L877">
            <v>32</v>
          </cell>
          <cell r="M877" t="e">
            <v>#N/A</v>
          </cell>
          <cell r="N877">
            <v>37</v>
          </cell>
          <cell r="O877" t="e">
            <v>#N/A</v>
          </cell>
          <cell r="P877" t="str">
            <v/>
          </cell>
          <cell r="Q877" t="str">
            <v/>
          </cell>
          <cell r="R877" t="e">
            <v>#N/A</v>
          </cell>
        </row>
        <row r="878">
          <cell r="A878" t="str">
            <v/>
          </cell>
          <cell r="B878" t="str">
            <v/>
          </cell>
          <cell r="C878" t="str">
            <v>Future</v>
          </cell>
          <cell r="D878" t="e">
            <v>#N/A</v>
          </cell>
          <cell r="E878">
            <v>-9.0182608695651112</v>
          </cell>
          <cell r="F878">
            <v>43.938260869565468</v>
          </cell>
          <cell r="G878">
            <v>31.329565217390449</v>
          </cell>
          <cell r="H878">
            <v>31.329565217390449</v>
          </cell>
          <cell r="I878" t="e">
            <v>#N/A</v>
          </cell>
          <cell r="J878" t="e">
            <v>#N/A</v>
          </cell>
          <cell r="K878">
            <v>42</v>
          </cell>
          <cell r="L878">
            <v>32</v>
          </cell>
          <cell r="M878" t="e">
            <v>#N/A</v>
          </cell>
          <cell r="N878">
            <v>37</v>
          </cell>
          <cell r="O878" t="e">
            <v>#N/A</v>
          </cell>
          <cell r="P878" t="str">
            <v/>
          </cell>
          <cell r="Q878" t="str">
            <v/>
          </cell>
          <cell r="R878" t="e">
            <v>#N/A</v>
          </cell>
        </row>
        <row r="879">
          <cell r="A879" t="str">
            <v/>
          </cell>
          <cell r="B879" t="str">
            <v/>
          </cell>
          <cell r="C879" t="str">
            <v>Future</v>
          </cell>
          <cell r="D879" t="e">
            <v>#N/A</v>
          </cell>
          <cell r="E879">
            <v>-9.1549011857706439</v>
          </cell>
          <cell r="F879">
            <v>43.967628458498275</v>
          </cell>
          <cell r="G879">
            <v>31.319407114623651</v>
          </cell>
          <cell r="H879">
            <v>31.319407114623651</v>
          </cell>
          <cell r="I879" t="e">
            <v>#N/A</v>
          </cell>
          <cell r="J879" t="e">
            <v>#N/A</v>
          </cell>
          <cell r="K879">
            <v>42</v>
          </cell>
          <cell r="L879">
            <v>32</v>
          </cell>
          <cell r="M879" t="e">
            <v>#N/A</v>
          </cell>
          <cell r="N879">
            <v>37</v>
          </cell>
          <cell r="O879" t="e">
            <v>#N/A</v>
          </cell>
          <cell r="P879" t="str">
            <v/>
          </cell>
          <cell r="Q879" t="str">
            <v/>
          </cell>
          <cell r="R879" t="e">
            <v>#N/A</v>
          </cell>
        </row>
        <row r="880">
          <cell r="A880" t="str">
            <v/>
          </cell>
          <cell r="B880" t="str">
            <v/>
          </cell>
          <cell r="C880" t="str">
            <v>Future</v>
          </cell>
          <cell r="D880" t="e">
            <v>#N/A</v>
          </cell>
          <cell r="E880">
            <v>-9.2915415019761767</v>
          </cell>
          <cell r="F880">
            <v>43.996996047431082</v>
          </cell>
          <cell r="G880">
            <v>31.309249011856853</v>
          </cell>
          <cell r="H880">
            <v>31.309249011856853</v>
          </cell>
          <cell r="I880" t="e">
            <v>#N/A</v>
          </cell>
          <cell r="J880" t="e">
            <v>#N/A</v>
          </cell>
          <cell r="K880">
            <v>42</v>
          </cell>
          <cell r="L880">
            <v>32</v>
          </cell>
          <cell r="M880" t="e">
            <v>#N/A</v>
          </cell>
          <cell r="N880">
            <v>37</v>
          </cell>
          <cell r="O880" t="e">
            <v>#N/A</v>
          </cell>
          <cell r="P880" t="str">
            <v/>
          </cell>
          <cell r="Q880" t="str">
            <v/>
          </cell>
          <cell r="R880" t="e">
            <v>#N/A</v>
          </cell>
        </row>
        <row r="881">
          <cell r="A881" t="str">
            <v/>
          </cell>
          <cell r="B881" t="str">
            <v/>
          </cell>
          <cell r="C881" t="str">
            <v>Future</v>
          </cell>
          <cell r="D881" t="e">
            <v>#N/A</v>
          </cell>
          <cell r="E881">
            <v>-9.4281818181817094</v>
          </cell>
          <cell r="F881">
            <v>44.026363636363889</v>
          </cell>
          <cell r="G881">
            <v>31.299090909090054</v>
          </cell>
          <cell r="H881">
            <v>31.299090909090054</v>
          </cell>
          <cell r="I881" t="e">
            <v>#N/A</v>
          </cell>
          <cell r="J881" t="e">
            <v>#N/A</v>
          </cell>
          <cell r="K881">
            <v>42</v>
          </cell>
          <cell r="L881">
            <v>32</v>
          </cell>
          <cell r="M881" t="e">
            <v>#N/A</v>
          </cell>
          <cell r="N881">
            <v>37</v>
          </cell>
          <cell r="O881" t="e">
            <v>#N/A</v>
          </cell>
          <cell r="P881" t="str">
            <v/>
          </cell>
          <cell r="Q881" t="str">
            <v/>
          </cell>
          <cell r="R881" t="e">
            <v>#N/A</v>
          </cell>
        </row>
        <row r="882">
          <cell r="A882" t="str">
            <v/>
          </cell>
          <cell r="B882" t="str">
            <v/>
          </cell>
          <cell r="C882" t="str">
            <v>Future</v>
          </cell>
          <cell r="D882" t="e">
            <v>#N/A</v>
          </cell>
          <cell r="E882">
            <v>-9.5648221343872422</v>
          </cell>
          <cell r="F882">
            <v>44.055731225296697</v>
          </cell>
          <cell r="G882">
            <v>31.288932806323256</v>
          </cell>
          <cell r="H882">
            <v>31.288932806323256</v>
          </cell>
          <cell r="I882" t="e">
            <v>#N/A</v>
          </cell>
          <cell r="J882" t="e">
            <v>#N/A</v>
          </cell>
          <cell r="K882">
            <v>42</v>
          </cell>
          <cell r="L882">
            <v>32</v>
          </cell>
          <cell r="M882" t="e">
            <v>#N/A</v>
          </cell>
          <cell r="N882">
            <v>37</v>
          </cell>
          <cell r="O882" t="e">
            <v>#N/A</v>
          </cell>
          <cell r="P882" t="str">
            <v/>
          </cell>
          <cell r="Q882" t="str">
            <v/>
          </cell>
          <cell r="R882" t="e">
            <v>#N/A</v>
          </cell>
        </row>
        <row r="883">
          <cell r="A883" t="str">
            <v/>
          </cell>
          <cell r="B883" t="str">
            <v/>
          </cell>
          <cell r="C883" t="str">
            <v>Future</v>
          </cell>
          <cell r="D883" t="e">
            <v>#N/A</v>
          </cell>
          <cell r="E883">
            <v>-9.7014624505927749</v>
          </cell>
          <cell r="F883">
            <v>44.085098814229504</v>
          </cell>
          <cell r="G883">
            <v>31.278774703556458</v>
          </cell>
          <cell r="H883">
            <v>31.278774703556458</v>
          </cell>
          <cell r="I883" t="e">
            <v>#N/A</v>
          </cell>
          <cell r="J883" t="e">
            <v>#N/A</v>
          </cell>
          <cell r="K883">
            <v>42</v>
          </cell>
          <cell r="L883">
            <v>32</v>
          </cell>
          <cell r="M883" t="e">
            <v>#N/A</v>
          </cell>
          <cell r="N883">
            <v>37</v>
          </cell>
          <cell r="O883" t="e">
            <v>#N/A</v>
          </cell>
          <cell r="P883" t="str">
            <v/>
          </cell>
          <cell r="Q883" t="str">
            <v/>
          </cell>
          <cell r="R883" t="e">
            <v>#N/A</v>
          </cell>
        </row>
        <row r="884">
          <cell r="A884" t="str">
            <v/>
          </cell>
          <cell r="B884" t="str">
            <v/>
          </cell>
          <cell r="C884" t="str">
            <v>Future</v>
          </cell>
          <cell r="D884" t="e">
            <v>#N/A</v>
          </cell>
          <cell r="E884">
            <v>-9.8381027667983076</v>
          </cell>
          <cell r="F884">
            <v>44.114466403162311</v>
          </cell>
          <cell r="G884">
            <v>31.26861660078966</v>
          </cell>
          <cell r="H884">
            <v>31.26861660078966</v>
          </cell>
          <cell r="I884" t="e">
            <v>#N/A</v>
          </cell>
          <cell r="J884" t="e">
            <v>#N/A</v>
          </cell>
          <cell r="K884">
            <v>42</v>
          </cell>
          <cell r="L884">
            <v>32</v>
          </cell>
          <cell r="M884" t="e">
            <v>#N/A</v>
          </cell>
          <cell r="N884">
            <v>37</v>
          </cell>
          <cell r="O884" t="e">
            <v>#N/A</v>
          </cell>
          <cell r="P884" t="str">
            <v/>
          </cell>
          <cell r="Q884" t="str">
            <v/>
          </cell>
          <cell r="R884" t="e">
            <v>#N/A</v>
          </cell>
        </row>
        <row r="885">
          <cell r="A885" t="str">
            <v/>
          </cell>
          <cell r="B885" t="str">
            <v/>
          </cell>
          <cell r="C885" t="str">
            <v>Future</v>
          </cell>
          <cell r="D885" t="e">
            <v>#N/A</v>
          </cell>
          <cell r="E885">
            <v>-9.9747430830038404</v>
          </cell>
          <cell r="F885">
            <v>44.143833992095118</v>
          </cell>
          <cell r="G885">
            <v>31.258458498022861</v>
          </cell>
          <cell r="H885">
            <v>31.258458498022861</v>
          </cell>
          <cell r="I885" t="e">
            <v>#N/A</v>
          </cell>
          <cell r="J885" t="e">
            <v>#N/A</v>
          </cell>
          <cell r="K885">
            <v>42</v>
          </cell>
          <cell r="L885">
            <v>32</v>
          </cell>
          <cell r="M885" t="e">
            <v>#N/A</v>
          </cell>
          <cell r="N885">
            <v>37</v>
          </cell>
          <cell r="O885" t="e">
            <v>#N/A</v>
          </cell>
          <cell r="P885" t="str">
            <v/>
          </cell>
          <cell r="Q885" t="str">
            <v/>
          </cell>
          <cell r="R885" t="e">
            <v>#N/A</v>
          </cell>
        </row>
        <row r="886">
          <cell r="A886" t="str">
            <v/>
          </cell>
          <cell r="B886" t="str">
            <v/>
          </cell>
          <cell r="C886" t="str">
            <v>Future</v>
          </cell>
          <cell r="D886" t="e">
            <v>#N/A</v>
          </cell>
          <cell r="E886">
            <v>-10.111383399209373</v>
          </cell>
          <cell r="F886">
            <v>44.173201581027925</v>
          </cell>
          <cell r="G886">
            <v>31.248300395256063</v>
          </cell>
          <cell r="H886">
            <v>31.248300395256063</v>
          </cell>
          <cell r="I886" t="e">
            <v>#N/A</v>
          </cell>
          <cell r="J886" t="e">
            <v>#N/A</v>
          </cell>
          <cell r="K886">
            <v>42</v>
          </cell>
          <cell r="L886">
            <v>32</v>
          </cell>
          <cell r="M886" t="e">
            <v>#N/A</v>
          </cell>
          <cell r="N886">
            <v>37</v>
          </cell>
          <cell r="O886" t="e">
            <v>#N/A</v>
          </cell>
          <cell r="P886" t="str">
            <v/>
          </cell>
          <cell r="Q886" t="str">
            <v/>
          </cell>
          <cell r="R886" t="e">
            <v>#N/A</v>
          </cell>
        </row>
        <row r="887">
          <cell r="A887" t="str">
            <v/>
          </cell>
          <cell r="B887" t="str">
            <v/>
          </cell>
          <cell r="C887" t="str">
            <v>Future</v>
          </cell>
          <cell r="D887" t="e">
            <v>#N/A</v>
          </cell>
          <cell r="E887">
            <v>-10.248023715414906</v>
          </cell>
          <cell r="F887">
            <v>44.202569169960732</v>
          </cell>
          <cell r="G887">
            <v>31.238142292489265</v>
          </cell>
          <cell r="H887">
            <v>31.238142292489265</v>
          </cell>
          <cell r="I887" t="e">
            <v>#N/A</v>
          </cell>
          <cell r="J887" t="e">
            <v>#N/A</v>
          </cell>
          <cell r="K887">
            <v>42</v>
          </cell>
          <cell r="L887">
            <v>32</v>
          </cell>
          <cell r="M887" t="e">
            <v>#N/A</v>
          </cell>
          <cell r="N887">
            <v>37</v>
          </cell>
          <cell r="O887" t="e">
            <v>#N/A</v>
          </cell>
          <cell r="P887" t="str">
            <v/>
          </cell>
          <cell r="Q887" t="str">
            <v/>
          </cell>
          <cell r="R887" t="e">
            <v>#N/A</v>
          </cell>
        </row>
        <row r="888">
          <cell r="A888" t="str">
            <v/>
          </cell>
          <cell r="B888" t="str">
            <v/>
          </cell>
          <cell r="C888" t="str">
            <v>Future</v>
          </cell>
          <cell r="D888" t="e">
            <v>#N/A</v>
          </cell>
          <cell r="E888">
            <v>-10.384664031620439</v>
          </cell>
          <cell r="F888">
            <v>44.231936758893539</v>
          </cell>
          <cell r="G888">
            <v>31.227984189722466</v>
          </cell>
          <cell r="H888">
            <v>31.227984189722466</v>
          </cell>
          <cell r="I888" t="e">
            <v>#N/A</v>
          </cell>
          <cell r="J888" t="e">
            <v>#N/A</v>
          </cell>
          <cell r="K888">
            <v>42</v>
          </cell>
          <cell r="L888">
            <v>32</v>
          </cell>
          <cell r="M888" t="e">
            <v>#N/A</v>
          </cell>
          <cell r="N888">
            <v>37</v>
          </cell>
          <cell r="O888" t="e">
            <v>#N/A</v>
          </cell>
          <cell r="P888" t="str">
            <v/>
          </cell>
          <cell r="Q888" t="str">
            <v/>
          </cell>
          <cell r="R888" t="e">
            <v>#N/A</v>
          </cell>
        </row>
        <row r="889">
          <cell r="A889" t="str">
            <v/>
          </cell>
          <cell r="B889" t="str">
            <v/>
          </cell>
          <cell r="C889" t="str">
            <v>Future</v>
          </cell>
          <cell r="D889" t="e">
            <v>#N/A</v>
          </cell>
          <cell r="E889">
            <v>-10.521304347825971</v>
          </cell>
          <cell r="F889">
            <v>44.261304347826346</v>
          </cell>
          <cell r="G889">
            <v>31.217826086955668</v>
          </cell>
          <cell r="H889">
            <v>31.217826086955668</v>
          </cell>
          <cell r="I889" t="e">
            <v>#N/A</v>
          </cell>
          <cell r="J889" t="e">
            <v>#N/A</v>
          </cell>
          <cell r="K889">
            <v>42</v>
          </cell>
          <cell r="L889">
            <v>32</v>
          </cell>
          <cell r="M889" t="e">
            <v>#N/A</v>
          </cell>
          <cell r="N889">
            <v>37</v>
          </cell>
          <cell r="O889" t="e">
            <v>#N/A</v>
          </cell>
          <cell r="P889" t="str">
            <v/>
          </cell>
          <cell r="Q889" t="str">
            <v/>
          </cell>
          <cell r="R889" t="e">
            <v>#N/A</v>
          </cell>
        </row>
        <row r="890">
          <cell r="A890" t="str">
            <v/>
          </cell>
          <cell r="B890" t="str">
            <v/>
          </cell>
          <cell r="C890" t="str">
            <v>Future</v>
          </cell>
          <cell r="D890" t="e">
            <v>#N/A</v>
          </cell>
          <cell r="E890">
            <v>-10.657944664031504</v>
          </cell>
          <cell r="F890">
            <v>44.290671936759153</v>
          </cell>
          <cell r="G890">
            <v>31.20766798418887</v>
          </cell>
          <cell r="H890">
            <v>31.20766798418887</v>
          </cell>
          <cell r="I890" t="e">
            <v>#N/A</v>
          </cell>
          <cell r="J890" t="e">
            <v>#N/A</v>
          </cell>
          <cell r="K890">
            <v>42</v>
          </cell>
          <cell r="L890">
            <v>32</v>
          </cell>
          <cell r="M890" t="e">
            <v>#N/A</v>
          </cell>
          <cell r="N890">
            <v>37</v>
          </cell>
          <cell r="O890" t="e">
            <v>#N/A</v>
          </cell>
          <cell r="P890" t="str">
            <v/>
          </cell>
          <cell r="Q890" t="str">
            <v/>
          </cell>
          <cell r="R890" t="e">
            <v>#N/A</v>
          </cell>
        </row>
        <row r="891">
          <cell r="A891" t="str">
            <v/>
          </cell>
          <cell r="B891" t="str">
            <v/>
          </cell>
          <cell r="C891" t="str">
            <v>Future</v>
          </cell>
          <cell r="D891" t="e">
            <v>#N/A</v>
          </cell>
          <cell r="E891">
            <v>-10.794584980237037</v>
          </cell>
          <cell r="F891">
            <v>44.320039525691961</v>
          </cell>
          <cell r="G891">
            <v>31.197509881422071</v>
          </cell>
          <cell r="H891">
            <v>31.197509881422071</v>
          </cell>
          <cell r="I891" t="e">
            <v>#N/A</v>
          </cell>
          <cell r="J891" t="e">
            <v>#N/A</v>
          </cell>
          <cell r="K891">
            <v>42</v>
          </cell>
          <cell r="L891">
            <v>32</v>
          </cell>
          <cell r="M891" t="e">
            <v>#N/A</v>
          </cell>
          <cell r="N891">
            <v>37</v>
          </cell>
          <cell r="O891" t="e">
            <v>#N/A</v>
          </cell>
          <cell r="P891" t="str">
            <v/>
          </cell>
          <cell r="Q891" t="str">
            <v/>
          </cell>
          <cell r="R891" t="e">
            <v>#N/A</v>
          </cell>
        </row>
        <row r="892">
          <cell r="A892" t="str">
            <v/>
          </cell>
          <cell r="B892" t="str">
            <v/>
          </cell>
          <cell r="C892" t="str">
            <v>Future</v>
          </cell>
          <cell r="D892" t="e">
            <v>#N/A</v>
          </cell>
          <cell r="E892">
            <v>-10.93122529644257</v>
          </cell>
          <cell r="F892">
            <v>44.349407114624768</v>
          </cell>
          <cell r="G892">
            <v>31.187351778655273</v>
          </cell>
          <cell r="H892">
            <v>31.187351778655273</v>
          </cell>
          <cell r="I892" t="e">
            <v>#N/A</v>
          </cell>
          <cell r="J892" t="e">
            <v>#N/A</v>
          </cell>
          <cell r="K892">
            <v>42</v>
          </cell>
          <cell r="L892">
            <v>32</v>
          </cell>
          <cell r="M892" t="e">
            <v>#N/A</v>
          </cell>
          <cell r="N892">
            <v>37</v>
          </cell>
          <cell r="O892" t="e">
            <v>#N/A</v>
          </cell>
          <cell r="P892" t="str">
            <v/>
          </cell>
          <cell r="Q892" t="str">
            <v/>
          </cell>
          <cell r="R892" t="e">
            <v>#N/A</v>
          </cell>
        </row>
        <row r="893">
          <cell r="A893" t="str">
            <v/>
          </cell>
          <cell r="B893" t="str">
            <v/>
          </cell>
          <cell r="C893" t="str">
            <v>Future</v>
          </cell>
          <cell r="D893" t="e">
            <v>#N/A</v>
          </cell>
          <cell r="E893">
            <v>-11.067865612648102</v>
          </cell>
          <cell r="F893">
            <v>44.378774703557575</v>
          </cell>
          <cell r="G893">
            <v>31.177193675888475</v>
          </cell>
          <cell r="H893">
            <v>31.177193675888475</v>
          </cell>
          <cell r="I893" t="e">
            <v>#N/A</v>
          </cell>
          <cell r="J893" t="e">
            <v>#N/A</v>
          </cell>
          <cell r="K893">
            <v>42</v>
          </cell>
          <cell r="L893">
            <v>32</v>
          </cell>
          <cell r="M893" t="e">
            <v>#N/A</v>
          </cell>
          <cell r="N893">
            <v>37</v>
          </cell>
          <cell r="O893" t="e">
            <v>#N/A</v>
          </cell>
          <cell r="P893" t="str">
            <v/>
          </cell>
          <cell r="Q893" t="str">
            <v/>
          </cell>
          <cell r="R893" t="e">
            <v>#N/A</v>
          </cell>
        </row>
        <row r="894">
          <cell r="A894" t="str">
            <v/>
          </cell>
          <cell r="B894" t="str">
            <v/>
          </cell>
          <cell r="C894" t="str">
            <v>Future</v>
          </cell>
          <cell r="D894" t="e">
            <v>#N/A</v>
          </cell>
          <cell r="E894">
            <v>-11.204505928853635</v>
          </cell>
          <cell r="F894">
            <v>44.408142292490382</v>
          </cell>
          <cell r="G894">
            <v>31.167035573121677</v>
          </cell>
          <cell r="H894">
            <v>31.167035573121677</v>
          </cell>
          <cell r="I894" t="e">
            <v>#N/A</v>
          </cell>
          <cell r="J894" t="e">
            <v>#N/A</v>
          </cell>
          <cell r="K894">
            <v>42</v>
          </cell>
          <cell r="L894">
            <v>32</v>
          </cell>
          <cell r="M894" t="e">
            <v>#N/A</v>
          </cell>
          <cell r="N894">
            <v>37</v>
          </cell>
          <cell r="O894" t="e">
            <v>#N/A</v>
          </cell>
          <cell r="P894" t="str">
            <v/>
          </cell>
          <cell r="Q894" t="str">
            <v/>
          </cell>
          <cell r="R894" t="e">
            <v>#N/A</v>
          </cell>
        </row>
        <row r="895">
          <cell r="A895" t="str">
            <v/>
          </cell>
          <cell r="B895" t="str">
            <v/>
          </cell>
          <cell r="C895" t="str">
            <v>Future</v>
          </cell>
          <cell r="D895" t="e">
            <v>#N/A</v>
          </cell>
          <cell r="E895">
            <v>-11.341146245059168</v>
          </cell>
          <cell r="F895">
            <v>44.437509881423189</v>
          </cell>
          <cell r="G895">
            <v>31.156877470354878</v>
          </cell>
          <cell r="H895">
            <v>31.156877470354878</v>
          </cell>
          <cell r="I895" t="e">
            <v>#N/A</v>
          </cell>
          <cell r="J895" t="e">
            <v>#N/A</v>
          </cell>
          <cell r="K895">
            <v>42</v>
          </cell>
          <cell r="L895">
            <v>32</v>
          </cell>
          <cell r="M895" t="e">
            <v>#N/A</v>
          </cell>
          <cell r="N895">
            <v>37</v>
          </cell>
          <cell r="O895" t="e">
            <v>#N/A</v>
          </cell>
          <cell r="P895" t="str">
            <v/>
          </cell>
          <cell r="Q895" t="str">
            <v/>
          </cell>
          <cell r="R895" t="e">
            <v>#N/A</v>
          </cell>
        </row>
        <row r="896">
          <cell r="A896" t="str">
            <v/>
          </cell>
          <cell r="B896" t="str">
            <v/>
          </cell>
          <cell r="C896" t="str">
            <v>Future</v>
          </cell>
          <cell r="D896" t="e">
            <v>#N/A</v>
          </cell>
          <cell r="E896">
            <v>-11.477786561264701</v>
          </cell>
          <cell r="F896">
            <v>44.466877470355996</v>
          </cell>
          <cell r="G896">
            <v>31.14671936758808</v>
          </cell>
          <cell r="H896">
            <v>31.14671936758808</v>
          </cell>
          <cell r="I896" t="e">
            <v>#N/A</v>
          </cell>
          <cell r="J896" t="e">
            <v>#N/A</v>
          </cell>
          <cell r="K896">
            <v>42</v>
          </cell>
          <cell r="L896">
            <v>32</v>
          </cell>
          <cell r="M896" t="e">
            <v>#N/A</v>
          </cell>
          <cell r="N896">
            <v>37</v>
          </cell>
          <cell r="O896" t="e">
            <v>#N/A</v>
          </cell>
          <cell r="P896" t="str">
            <v/>
          </cell>
          <cell r="Q896" t="str">
            <v/>
          </cell>
          <cell r="R896" t="e">
            <v>#N/A</v>
          </cell>
        </row>
        <row r="897">
          <cell r="A897" t="str">
            <v/>
          </cell>
          <cell r="B897" t="str">
            <v/>
          </cell>
          <cell r="C897" t="str">
            <v>Future</v>
          </cell>
          <cell r="D897" t="e">
            <v>#N/A</v>
          </cell>
          <cell r="E897">
            <v>-11.614426877470233</v>
          </cell>
          <cell r="F897">
            <v>44.496245059288803</v>
          </cell>
          <cell r="G897">
            <v>31.136561264821282</v>
          </cell>
          <cell r="H897">
            <v>31.136561264821282</v>
          </cell>
          <cell r="I897" t="e">
            <v>#N/A</v>
          </cell>
          <cell r="J897" t="e">
            <v>#N/A</v>
          </cell>
          <cell r="K897">
            <v>42</v>
          </cell>
          <cell r="L897">
            <v>32</v>
          </cell>
          <cell r="M897" t="e">
            <v>#N/A</v>
          </cell>
          <cell r="N897">
            <v>37</v>
          </cell>
          <cell r="O897" t="e">
            <v>#N/A</v>
          </cell>
          <cell r="P897" t="str">
            <v/>
          </cell>
          <cell r="Q897" t="str">
            <v/>
          </cell>
          <cell r="R897" t="e">
            <v>#N/A</v>
          </cell>
        </row>
        <row r="898">
          <cell r="A898" t="str">
            <v/>
          </cell>
          <cell r="B898" t="str">
            <v/>
          </cell>
          <cell r="C898" t="str">
            <v>Future</v>
          </cell>
          <cell r="D898" t="e">
            <v>#N/A</v>
          </cell>
          <cell r="E898">
            <v>-11.751067193675766</v>
          </cell>
          <cell r="F898">
            <v>44.52561264822161</v>
          </cell>
          <cell r="G898">
            <v>31.126403162054483</v>
          </cell>
          <cell r="H898">
            <v>31.126403162054483</v>
          </cell>
          <cell r="I898" t="e">
            <v>#N/A</v>
          </cell>
          <cell r="J898" t="e">
            <v>#N/A</v>
          </cell>
          <cell r="K898">
            <v>42</v>
          </cell>
          <cell r="L898">
            <v>32</v>
          </cell>
          <cell r="M898" t="e">
            <v>#N/A</v>
          </cell>
          <cell r="N898">
            <v>37</v>
          </cell>
          <cell r="O898" t="e">
            <v>#N/A</v>
          </cell>
          <cell r="P898" t="str">
            <v/>
          </cell>
          <cell r="Q898" t="str">
            <v/>
          </cell>
          <cell r="R898" t="e">
            <v>#N/A</v>
          </cell>
        </row>
        <row r="899">
          <cell r="A899" t="str">
            <v/>
          </cell>
          <cell r="B899" t="str">
            <v/>
          </cell>
          <cell r="C899" t="str">
            <v>Future</v>
          </cell>
          <cell r="D899" t="e">
            <v>#N/A</v>
          </cell>
          <cell r="E899">
            <v>-11.887707509881299</v>
          </cell>
          <cell r="F899">
            <v>44.554980237154417</v>
          </cell>
          <cell r="G899">
            <v>31.116245059287685</v>
          </cell>
          <cell r="H899">
            <v>31.116245059287685</v>
          </cell>
          <cell r="I899" t="e">
            <v>#N/A</v>
          </cell>
          <cell r="J899" t="e">
            <v>#N/A</v>
          </cell>
          <cell r="K899">
            <v>42</v>
          </cell>
          <cell r="L899">
            <v>32</v>
          </cell>
          <cell r="M899" t="e">
            <v>#N/A</v>
          </cell>
          <cell r="N899">
            <v>37</v>
          </cell>
          <cell r="O899" t="e">
            <v>#N/A</v>
          </cell>
          <cell r="P899" t="str">
            <v/>
          </cell>
          <cell r="Q899" t="str">
            <v/>
          </cell>
          <cell r="R899" t="e">
            <v>#N/A</v>
          </cell>
        </row>
        <row r="900">
          <cell r="A900" t="str">
            <v/>
          </cell>
          <cell r="B900" t="str">
            <v/>
          </cell>
          <cell r="C900" t="str">
            <v>Future</v>
          </cell>
          <cell r="D900" t="e">
            <v>#N/A</v>
          </cell>
          <cell r="E900">
            <v>-12.024347826086832</v>
          </cell>
          <cell r="F900">
            <v>44.584347826087225</v>
          </cell>
          <cell r="G900">
            <v>31.106086956520887</v>
          </cell>
          <cell r="H900">
            <v>31.106086956520887</v>
          </cell>
          <cell r="I900" t="e">
            <v>#N/A</v>
          </cell>
          <cell r="J900" t="e">
            <v>#N/A</v>
          </cell>
          <cell r="K900">
            <v>42</v>
          </cell>
          <cell r="L900">
            <v>32</v>
          </cell>
          <cell r="M900" t="e">
            <v>#N/A</v>
          </cell>
          <cell r="N900">
            <v>37</v>
          </cell>
          <cell r="O900" t="e">
            <v>#N/A</v>
          </cell>
          <cell r="P900" t="str">
            <v/>
          </cell>
          <cell r="Q900" t="str">
            <v/>
          </cell>
          <cell r="R900" t="e">
            <v>#N/A</v>
          </cell>
        </row>
        <row r="901">
          <cell r="A901" t="str">
            <v/>
          </cell>
          <cell r="B901" t="str">
            <v/>
          </cell>
          <cell r="C901" t="str">
            <v>Future</v>
          </cell>
          <cell r="D901" t="e">
            <v>#N/A</v>
          </cell>
          <cell r="E901">
            <v>-12.160988142292364</v>
          </cell>
          <cell r="F901">
            <v>44.613715415020032</v>
          </cell>
          <cell r="G901">
            <v>31.095928853754089</v>
          </cell>
          <cell r="H901">
            <v>31.095928853754089</v>
          </cell>
          <cell r="I901" t="e">
            <v>#N/A</v>
          </cell>
          <cell r="J901" t="e">
            <v>#N/A</v>
          </cell>
          <cell r="K901">
            <v>42</v>
          </cell>
          <cell r="L901">
            <v>32</v>
          </cell>
          <cell r="M901" t="e">
            <v>#N/A</v>
          </cell>
          <cell r="N901">
            <v>37</v>
          </cell>
          <cell r="O901" t="e">
            <v>#N/A</v>
          </cell>
          <cell r="P901" t="str">
            <v/>
          </cell>
          <cell r="Q901" t="str">
            <v/>
          </cell>
          <cell r="R901" t="e">
            <v>#N/A</v>
          </cell>
        </row>
        <row r="902">
          <cell r="A902" t="str">
            <v/>
          </cell>
          <cell r="B902" t="str">
            <v/>
          </cell>
          <cell r="C902" t="str">
            <v>Future</v>
          </cell>
          <cell r="D902" t="e">
            <v>#N/A</v>
          </cell>
          <cell r="E902">
            <v>-12.297628458497897</v>
          </cell>
          <cell r="F902">
            <v>44.643083003952839</v>
          </cell>
          <cell r="G902">
            <v>31.08577075098729</v>
          </cell>
          <cell r="H902">
            <v>31.08577075098729</v>
          </cell>
          <cell r="I902" t="e">
            <v>#N/A</v>
          </cell>
          <cell r="J902" t="e">
            <v>#N/A</v>
          </cell>
          <cell r="K902">
            <v>42</v>
          </cell>
          <cell r="L902">
            <v>32</v>
          </cell>
          <cell r="M902" t="e">
            <v>#N/A</v>
          </cell>
          <cell r="N902">
            <v>37</v>
          </cell>
          <cell r="O902" t="e">
            <v>#N/A</v>
          </cell>
          <cell r="P902" t="str">
            <v/>
          </cell>
          <cell r="Q902" t="str">
            <v/>
          </cell>
          <cell r="R902" t="e">
            <v>#N/A</v>
          </cell>
        </row>
        <row r="903">
          <cell r="A903" t="str">
            <v/>
          </cell>
          <cell r="B903" t="str">
            <v/>
          </cell>
          <cell r="C903" t="str">
            <v>Future</v>
          </cell>
          <cell r="D903" t="e">
            <v>#N/A</v>
          </cell>
          <cell r="E903">
            <v>-12.43426877470343</v>
          </cell>
          <cell r="F903">
            <v>44.672450592885646</v>
          </cell>
          <cell r="G903">
            <v>31.075612648220492</v>
          </cell>
          <cell r="H903">
            <v>31.075612648220492</v>
          </cell>
          <cell r="I903" t="e">
            <v>#N/A</v>
          </cell>
          <cell r="J903" t="e">
            <v>#N/A</v>
          </cell>
          <cell r="K903">
            <v>42</v>
          </cell>
          <cell r="L903">
            <v>32</v>
          </cell>
          <cell r="M903" t="e">
            <v>#N/A</v>
          </cell>
          <cell r="N903">
            <v>37</v>
          </cell>
          <cell r="O903" t="e">
            <v>#N/A</v>
          </cell>
          <cell r="P903" t="str">
            <v/>
          </cell>
          <cell r="Q903" t="str">
            <v/>
          </cell>
          <cell r="R903" t="e">
            <v>#N/A</v>
          </cell>
        </row>
        <row r="904">
          <cell r="A904" t="str">
            <v/>
          </cell>
          <cell r="B904" t="str">
            <v/>
          </cell>
          <cell r="C904" t="str">
            <v>Future</v>
          </cell>
          <cell r="D904" t="e">
            <v>#N/A</v>
          </cell>
          <cell r="E904">
            <v>-12.570909090908962</v>
          </cell>
          <cell r="F904">
            <v>44.701818181818453</v>
          </cell>
          <cell r="G904">
            <v>31.065454545453694</v>
          </cell>
          <cell r="H904">
            <v>31.065454545453694</v>
          </cell>
          <cell r="I904" t="e">
            <v>#N/A</v>
          </cell>
          <cell r="J904" t="e">
            <v>#N/A</v>
          </cell>
          <cell r="K904">
            <v>42</v>
          </cell>
          <cell r="L904">
            <v>32</v>
          </cell>
          <cell r="M904" t="e">
            <v>#N/A</v>
          </cell>
          <cell r="N904">
            <v>37</v>
          </cell>
          <cell r="O904" t="e">
            <v>#N/A</v>
          </cell>
          <cell r="P904" t="str">
            <v/>
          </cell>
          <cell r="Q904" t="str">
            <v/>
          </cell>
          <cell r="R904" t="e">
            <v>#N/A</v>
          </cell>
        </row>
        <row r="905">
          <cell r="A905" t="str">
            <v/>
          </cell>
          <cell r="B905" t="str">
            <v/>
          </cell>
          <cell r="C905" t="str">
            <v>Future</v>
          </cell>
          <cell r="D905" t="e">
            <v>#N/A</v>
          </cell>
          <cell r="E905">
            <v>-12.707549407114495</v>
          </cell>
          <cell r="F905">
            <v>44.73118577075126</v>
          </cell>
          <cell r="G905">
            <v>31.055296442686895</v>
          </cell>
          <cell r="H905">
            <v>31.055296442686895</v>
          </cell>
          <cell r="I905" t="e">
            <v>#N/A</v>
          </cell>
          <cell r="J905" t="e">
            <v>#N/A</v>
          </cell>
          <cell r="K905">
            <v>42</v>
          </cell>
          <cell r="L905">
            <v>32</v>
          </cell>
          <cell r="M905" t="e">
            <v>#N/A</v>
          </cell>
          <cell r="N905">
            <v>37</v>
          </cell>
          <cell r="O905" t="e">
            <v>#N/A</v>
          </cell>
          <cell r="P905" t="str">
            <v/>
          </cell>
          <cell r="Q905" t="str">
            <v/>
          </cell>
          <cell r="R905" t="e">
            <v>#N/A</v>
          </cell>
        </row>
        <row r="906">
          <cell r="A906" t="str">
            <v/>
          </cell>
          <cell r="B906" t="str">
            <v/>
          </cell>
          <cell r="C906" t="str">
            <v>Future</v>
          </cell>
          <cell r="D906" t="e">
            <v>#N/A</v>
          </cell>
          <cell r="E906">
            <v>-12.844189723320028</v>
          </cell>
          <cell r="F906">
            <v>44.760553359684067</v>
          </cell>
          <cell r="G906">
            <v>31.045138339920097</v>
          </cell>
          <cell r="H906">
            <v>31.045138339920097</v>
          </cell>
          <cell r="I906" t="e">
            <v>#N/A</v>
          </cell>
          <cell r="J906" t="e">
            <v>#N/A</v>
          </cell>
          <cell r="K906">
            <v>42</v>
          </cell>
          <cell r="L906">
            <v>32</v>
          </cell>
          <cell r="M906" t="e">
            <v>#N/A</v>
          </cell>
          <cell r="N906">
            <v>37</v>
          </cell>
          <cell r="O906" t="e">
            <v>#N/A</v>
          </cell>
          <cell r="P906" t="str">
            <v/>
          </cell>
          <cell r="Q906" t="str">
            <v/>
          </cell>
          <cell r="R906" t="e">
            <v>#N/A</v>
          </cell>
        </row>
        <row r="907">
          <cell r="A907" t="str">
            <v/>
          </cell>
          <cell r="B907" t="str">
            <v/>
          </cell>
          <cell r="C907" t="str">
            <v>Future</v>
          </cell>
          <cell r="D907" t="e">
            <v>#N/A</v>
          </cell>
          <cell r="E907">
            <v>-12.980830039525561</v>
          </cell>
          <cell r="F907">
            <v>44.789920948616874</v>
          </cell>
          <cell r="G907">
            <v>31.034980237153299</v>
          </cell>
          <cell r="H907">
            <v>31.034980237153299</v>
          </cell>
          <cell r="I907" t="e">
            <v>#N/A</v>
          </cell>
          <cell r="J907" t="e">
            <v>#N/A</v>
          </cell>
          <cell r="K907">
            <v>42</v>
          </cell>
          <cell r="L907">
            <v>32</v>
          </cell>
          <cell r="M907" t="e">
            <v>#N/A</v>
          </cell>
          <cell r="N907">
            <v>37</v>
          </cell>
          <cell r="O907" t="e">
            <v>#N/A</v>
          </cell>
          <cell r="P907" t="str">
            <v/>
          </cell>
          <cell r="Q907" t="str">
            <v/>
          </cell>
          <cell r="R907" t="e">
            <v>#N/A</v>
          </cell>
        </row>
        <row r="908">
          <cell r="A908" t="str">
            <v/>
          </cell>
          <cell r="B908" t="str">
            <v/>
          </cell>
          <cell r="C908" t="str">
            <v>Future</v>
          </cell>
          <cell r="D908" t="e">
            <v>#N/A</v>
          </cell>
          <cell r="E908">
            <v>-13.117470355731093</v>
          </cell>
          <cell r="F908">
            <v>44.819288537549681</v>
          </cell>
          <cell r="G908">
            <v>31.0248221343865</v>
          </cell>
          <cell r="H908">
            <v>31.0248221343865</v>
          </cell>
          <cell r="I908" t="e">
            <v>#N/A</v>
          </cell>
          <cell r="J908" t="e">
            <v>#N/A</v>
          </cell>
          <cell r="K908">
            <v>42</v>
          </cell>
          <cell r="L908">
            <v>32</v>
          </cell>
          <cell r="M908" t="e">
            <v>#N/A</v>
          </cell>
          <cell r="N908">
            <v>37</v>
          </cell>
          <cell r="O908" t="e">
            <v>#N/A</v>
          </cell>
          <cell r="P908" t="str">
            <v/>
          </cell>
          <cell r="Q908" t="str">
            <v/>
          </cell>
          <cell r="R908" t="e">
            <v>#N/A</v>
          </cell>
        </row>
        <row r="909">
          <cell r="A909" t="str">
            <v/>
          </cell>
          <cell r="B909" t="str">
            <v/>
          </cell>
          <cell r="C909" t="str">
            <v>Future</v>
          </cell>
          <cell r="D909" t="e">
            <v>#N/A</v>
          </cell>
          <cell r="E909">
            <v>-13.254110671936626</v>
          </cell>
          <cell r="F909">
            <v>44.848656126482489</v>
          </cell>
          <cell r="G909">
            <v>31.014664031619702</v>
          </cell>
          <cell r="H909">
            <v>31.014664031619702</v>
          </cell>
          <cell r="I909" t="e">
            <v>#N/A</v>
          </cell>
          <cell r="J909" t="e">
            <v>#N/A</v>
          </cell>
          <cell r="K909">
            <v>42</v>
          </cell>
          <cell r="L909">
            <v>32</v>
          </cell>
          <cell r="M909" t="e">
            <v>#N/A</v>
          </cell>
          <cell r="N909">
            <v>37</v>
          </cell>
          <cell r="O909" t="e">
            <v>#N/A</v>
          </cell>
          <cell r="P909" t="str">
            <v/>
          </cell>
          <cell r="Q909" t="str">
            <v/>
          </cell>
          <cell r="R909" t="e">
            <v>#N/A</v>
          </cell>
        </row>
        <row r="910">
          <cell r="A910" t="str">
            <v/>
          </cell>
          <cell r="B910" t="str">
            <v/>
          </cell>
          <cell r="C910" t="str">
            <v>Future</v>
          </cell>
          <cell r="D910" t="e">
            <v>#N/A</v>
          </cell>
          <cell r="E910">
            <v>-13.390750988142159</v>
          </cell>
          <cell r="F910">
            <v>44.878023715415296</v>
          </cell>
          <cell r="G910">
            <v>31.004505928852904</v>
          </cell>
          <cell r="H910">
            <v>31.004505928852904</v>
          </cell>
          <cell r="I910" t="e">
            <v>#N/A</v>
          </cell>
          <cell r="J910" t="e">
            <v>#N/A</v>
          </cell>
          <cell r="K910">
            <v>42</v>
          </cell>
          <cell r="L910">
            <v>32</v>
          </cell>
          <cell r="M910" t="e">
            <v>#N/A</v>
          </cell>
          <cell r="N910">
            <v>37</v>
          </cell>
          <cell r="O910" t="e">
            <v>#N/A</v>
          </cell>
          <cell r="P910" t="str">
            <v/>
          </cell>
          <cell r="Q910" t="str">
            <v/>
          </cell>
          <cell r="R910" t="e">
            <v>#N/A</v>
          </cell>
        </row>
        <row r="911">
          <cell r="A911" t="str">
            <v/>
          </cell>
          <cell r="B911" t="str">
            <v/>
          </cell>
          <cell r="C911" t="str">
            <v>Future</v>
          </cell>
          <cell r="D911" t="e">
            <v>#N/A</v>
          </cell>
          <cell r="E911">
            <v>-13.527391304347692</v>
          </cell>
          <cell r="F911">
            <v>44.907391304348103</v>
          </cell>
          <cell r="G911">
            <v>30.994347826086106</v>
          </cell>
          <cell r="H911">
            <v>30.994347826086106</v>
          </cell>
          <cell r="I911" t="e">
            <v>#N/A</v>
          </cell>
          <cell r="J911" t="e">
            <v>#N/A</v>
          </cell>
          <cell r="K911">
            <v>42</v>
          </cell>
          <cell r="L911">
            <v>32</v>
          </cell>
          <cell r="M911" t="e">
            <v>#N/A</v>
          </cell>
          <cell r="N911">
            <v>37</v>
          </cell>
          <cell r="O911" t="e">
            <v>#N/A</v>
          </cell>
          <cell r="P911" t="str">
            <v/>
          </cell>
          <cell r="Q911" t="str">
            <v/>
          </cell>
          <cell r="R911" t="e">
            <v>#N/A</v>
          </cell>
        </row>
        <row r="912">
          <cell r="A912" t="str">
            <v/>
          </cell>
          <cell r="B912" t="str">
            <v/>
          </cell>
          <cell r="C912" t="str">
            <v>Future</v>
          </cell>
          <cell r="D912" t="e">
            <v>#N/A</v>
          </cell>
          <cell r="E912">
            <v>-13.664031620553224</v>
          </cell>
          <cell r="F912">
            <v>44.93675889328091</v>
          </cell>
          <cell r="G912">
            <v>30.984189723319307</v>
          </cell>
          <cell r="H912">
            <v>30.984189723319307</v>
          </cell>
          <cell r="I912" t="e">
            <v>#N/A</v>
          </cell>
          <cell r="J912" t="e">
            <v>#N/A</v>
          </cell>
          <cell r="K912">
            <v>42</v>
          </cell>
          <cell r="L912">
            <v>32</v>
          </cell>
          <cell r="M912" t="e">
            <v>#N/A</v>
          </cell>
          <cell r="N912">
            <v>37</v>
          </cell>
          <cell r="O912" t="e">
            <v>#N/A</v>
          </cell>
          <cell r="P912" t="str">
            <v/>
          </cell>
          <cell r="Q912" t="str">
            <v/>
          </cell>
          <cell r="R912" t="e">
            <v>#N/A</v>
          </cell>
        </row>
        <row r="913">
          <cell r="A913" t="str">
            <v/>
          </cell>
          <cell r="B913" t="str">
            <v/>
          </cell>
          <cell r="C913" t="str">
            <v>Future</v>
          </cell>
          <cell r="D913" t="e">
            <v>#N/A</v>
          </cell>
          <cell r="E913">
            <v>-13.800671936758757</v>
          </cell>
          <cell r="F913">
            <v>44.966126482213717</v>
          </cell>
          <cell r="G913">
            <v>30.974031620552509</v>
          </cell>
          <cell r="H913">
            <v>30.974031620552509</v>
          </cell>
          <cell r="I913" t="e">
            <v>#N/A</v>
          </cell>
          <cell r="J913" t="e">
            <v>#N/A</v>
          </cell>
          <cell r="K913">
            <v>42</v>
          </cell>
          <cell r="L913">
            <v>32</v>
          </cell>
          <cell r="M913" t="e">
            <v>#N/A</v>
          </cell>
          <cell r="N913">
            <v>37</v>
          </cell>
          <cell r="O913" t="e">
            <v>#N/A</v>
          </cell>
          <cell r="P913" t="str">
            <v/>
          </cell>
          <cell r="Q913" t="str">
            <v/>
          </cell>
          <cell r="R913" t="e">
            <v>#N/A</v>
          </cell>
        </row>
        <row r="914">
          <cell r="A914" t="str">
            <v/>
          </cell>
          <cell r="B914" t="str">
            <v/>
          </cell>
          <cell r="C914" t="str">
            <v>Future</v>
          </cell>
          <cell r="D914" t="e">
            <v>#N/A</v>
          </cell>
          <cell r="E914">
            <v>-13.93731225296429</v>
          </cell>
          <cell r="F914">
            <v>44.995494071146524</v>
          </cell>
          <cell r="G914">
            <v>30.963873517785711</v>
          </cell>
          <cell r="H914">
            <v>30.963873517785711</v>
          </cell>
          <cell r="I914" t="e">
            <v>#N/A</v>
          </cell>
          <cell r="J914" t="e">
            <v>#N/A</v>
          </cell>
          <cell r="K914">
            <v>42</v>
          </cell>
          <cell r="L914">
            <v>32</v>
          </cell>
          <cell r="M914" t="e">
            <v>#N/A</v>
          </cell>
          <cell r="N914">
            <v>37</v>
          </cell>
          <cell r="O914" t="e">
            <v>#N/A</v>
          </cell>
          <cell r="P914" t="str">
            <v/>
          </cell>
          <cell r="Q914" t="str">
            <v/>
          </cell>
          <cell r="R914" t="e">
            <v>#N/A</v>
          </cell>
        </row>
        <row r="915">
          <cell r="A915" t="str">
            <v/>
          </cell>
          <cell r="B915" t="str">
            <v/>
          </cell>
          <cell r="C915" t="str">
            <v>Future</v>
          </cell>
          <cell r="D915" t="e">
            <v>#N/A</v>
          </cell>
          <cell r="E915">
            <v>-14.073952569169823</v>
          </cell>
          <cell r="F915">
            <v>45.024861660079331</v>
          </cell>
          <cell r="G915">
            <v>30.953715415018912</v>
          </cell>
          <cell r="H915">
            <v>30.953715415018912</v>
          </cell>
          <cell r="I915" t="e">
            <v>#N/A</v>
          </cell>
          <cell r="J915" t="e">
            <v>#N/A</v>
          </cell>
          <cell r="K915">
            <v>42</v>
          </cell>
          <cell r="L915">
            <v>32</v>
          </cell>
          <cell r="M915" t="e">
            <v>#N/A</v>
          </cell>
          <cell r="N915">
            <v>37</v>
          </cell>
          <cell r="O915" t="e">
            <v>#N/A</v>
          </cell>
          <cell r="P915" t="str">
            <v/>
          </cell>
          <cell r="Q915" t="str">
            <v/>
          </cell>
          <cell r="R915" t="e">
            <v>#N/A</v>
          </cell>
        </row>
        <row r="916">
          <cell r="A916" t="str">
            <v/>
          </cell>
          <cell r="B916" t="str">
            <v/>
          </cell>
          <cell r="C916" t="str">
            <v>Future</v>
          </cell>
          <cell r="D916" t="e">
            <v>#N/A</v>
          </cell>
          <cell r="E916">
            <v>-14.210592885375355</v>
          </cell>
          <cell r="F916">
            <v>45.054229249012138</v>
          </cell>
          <cell r="G916">
            <v>30.943557312252114</v>
          </cell>
          <cell r="H916">
            <v>30.943557312252114</v>
          </cell>
          <cell r="I916" t="e">
            <v>#N/A</v>
          </cell>
          <cell r="J916" t="e">
            <v>#N/A</v>
          </cell>
          <cell r="K916">
            <v>42</v>
          </cell>
          <cell r="L916">
            <v>32</v>
          </cell>
          <cell r="M916" t="e">
            <v>#N/A</v>
          </cell>
          <cell r="N916">
            <v>37</v>
          </cell>
          <cell r="O916" t="e">
            <v>#N/A</v>
          </cell>
          <cell r="P916" t="str">
            <v/>
          </cell>
          <cell r="Q916" t="str">
            <v/>
          </cell>
          <cell r="R916" t="e">
            <v>#N/A</v>
          </cell>
        </row>
        <row r="917">
          <cell r="A917" t="str">
            <v/>
          </cell>
          <cell r="B917" t="str">
            <v/>
          </cell>
          <cell r="C917" t="str">
            <v>Future</v>
          </cell>
          <cell r="D917" t="e">
            <v>#N/A</v>
          </cell>
          <cell r="E917">
            <v>-14.347233201580888</v>
          </cell>
          <cell r="F917">
            <v>45.083596837944945</v>
          </cell>
          <cell r="G917">
            <v>30.933399209485316</v>
          </cell>
          <cell r="H917">
            <v>30.933399209485316</v>
          </cell>
          <cell r="I917" t="e">
            <v>#N/A</v>
          </cell>
          <cell r="J917" t="e">
            <v>#N/A</v>
          </cell>
          <cell r="K917">
            <v>42</v>
          </cell>
          <cell r="L917">
            <v>32</v>
          </cell>
          <cell r="M917" t="e">
            <v>#N/A</v>
          </cell>
          <cell r="N917">
            <v>37</v>
          </cell>
          <cell r="O917" t="e">
            <v>#N/A</v>
          </cell>
          <cell r="P917" t="str">
            <v/>
          </cell>
          <cell r="Q917" t="str">
            <v/>
          </cell>
          <cell r="R917" t="e">
            <v>#N/A</v>
          </cell>
        </row>
        <row r="918">
          <cell r="A918" t="str">
            <v/>
          </cell>
          <cell r="B918" t="str">
            <v/>
          </cell>
          <cell r="C918" t="str">
            <v>Future</v>
          </cell>
          <cell r="D918" t="e">
            <v>#N/A</v>
          </cell>
          <cell r="E918">
            <v>-14.483873517786421</v>
          </cell>
          <cell r="F918">
            <v>45.112964426877753</v>
          </cell>
          <cell r="G918">
            <v>30.923241106718518</v>
          </cell>
          <cell r="H918">
            <v>30.923241106718518</v>
          </cell>
          <cell r="I918" t="e">
            <v>#N/A</v>
          </cell>
          <cell r="J918" t="e">
            <v>#N/A</v>
          </cell>
          <cell r="K918">
            <v>42</v>
          </cell>
          <cell r="L918">
            <v>32</v>
          </cell>
          <cell r="M918" t="e">
            <v>#N/A</v>
          </cell>
          <cell r="N918">
            <v>37</v>
          </cell>
          <cell r="O918" t="e">
            <v>#N/A</v>
          </cell>
          <cell r="P918" t="str">
            <v/>
          </cell>
          <cell r="Q918" t="str">
            <v/>
          </cell>
          <cell r="R918" t="e">
            <v>#N/A</v>
          </cell>
        </row>
        <row r="919">
          <cell r="A919" t="str">
            <v/>
          </cell>
          <cell r="B919" t="str">
            <v/>
          </cell>
          <cell r="C919" t="str">
            <v>Future</v>
          </cell>
          <cell r="D919" t="e">
            <v>#N/A</v>
          </cell>
          <cell r="E919">
            <v>-14.620513833991954</v>
          </cell>
          <cell r="F919">
            <v>45.14233201581056</v>
          </cell>
          <cell r="G919">
            <v>30.913083003951719</v>
          </cell>
          <cell r="H919">
            <v>30.913083003951719</v>
          </cell>
          <cell r="I919" t="e">
            <v>#N/A</v>
          </cell>
          <cell r="J919" t="e">
            <v>#N/A</v>
          </cell>
          <cell r="K919">
            <v>42</v>
          </cell>
          <cell r="L919">
            <v>32</v>
          </cell>
          <cell r="M919" t="e">
            <v>#N/A</v>
          </cell>
          <cell r="N919">
            <v>37</v>
          </cell>
          <cell r="O919" t="e">
            <v>#N/A</v>
          </cell>
          <cell r="P919" t="str">
            <v/>
          </cell>
          <cell r="Q919" t="str">
            <v/>
          </cell>
          <cell r="R919" t="e">
            <v>#N/A</v>
          </cell>
        </row>
        <row r="920">
          <cell r="A920" t="str">
            <v/>
          </cell>
          <cell r="B920" t="str">
            <v/>
          </cell>
          <cell r="C920" t="str">
            <v>Future</v>
          </cell>
          <cell r="D920" t="e">
            <v>#N/A</v>
          </cell>
          <cell r="E920">
            <v>-14.757154150197486</v>
          </cell>
          <cell r="F920">
            <v>45.171699604743367</v>
          </cell>
          <cell r="G920">
            <v>30.902924901184921</v>
          </cell>
          <cell r="H920">
            <v>30.902924901184921</v>
          </cell>
          <cell r="I920" t="e">
            <v>#N/A</v>
          </cell>
          <cell r="J920" t="e">
            <v>#N/A</v>
          </cell>
          <cell r="K920">
            <v>42</v>
          </cell>
          <cell r="L920">
            <v>32</v>
          </cell>
          <cell r="M920" t="e">
            <v>#N/A</v>
          </cell>
          <cell r="N920">
            <v>37</v>
          </cell>
          <cell r="O920" t="e">
            <v>#N/A</v>
          </cell>
          <cell r="P920" t="str">
            <v/>
          </cell>
          <cell r="Q920" t="str">
            <v/>
          </cell>
          <cell r="R920" t="e">
            <v>#N/A</v>
          </cell>
        </row>
        <row r="921">
          <cell r="A921" t="str">
            <v/>
          </cell>
          <cell r="B921" t="str">
            <v/>
          </cell>
          <cell r="C921" t="str">
            <v>Future</v>
          </cell>
          <cell r="D921" t="e">
            <v>#N/A</v>
          </cell>
          <cell r="E921">
            <v>-14.893794466403019</v>
          </cell>
          <cell r="F921">
            <v>45.201067193676174</v>
          </cell>
          <cell r="G921">
            <v>30.892766798418123</v>
          </cell>
          <cell r="H921">
            <v>30.892766798418123</v>
          </cell>
          <cell r="I921" t="e">
            <v>#N/A</v>
          </cell>
          <cell r="J921" t="e">
            <v>#N/A</v>
          </cell>
          <cell r="K921">
            <v>42</v>
          </cell>
          <cell r="L921">
            <v>32</v>
          </cell>
          <cell r="M921" t="e">
            <v>#N/A</v>
          </cell>
          <cell r="N921">
            <v>37</v>
          </cell>
          <cell r="O921" t="e">
            <v>#N/A</v>
          </cell>
          <cell r="P921" t="str">
            <v/>
          </cell>
          <cell r="Q921" t="str">
            <v/>
          </cell>
          <cell r="R921" t="e">
            <v>#N/A</v>
          </cell>
        </row>
        <row r="922">
          <cell r="A922" t="str">
            <v/>
          </cell>
          <cell r="B922" t="str">
            <v/>
          </cell>
          <cell r="C922" t="str">
            <v>Future</v>
          </cell>
          <cell r="D922" t="e">
            <v>#N/A</v>
          </cell>
          <cell r="E922">
            <v>-15.030434782608552</v>
          </cell>
          <cell r="F922">
            <v>45.230434782608981</v>
          </cell>
          <cell r="G922">
            <v>30.882608695651324</v>
          </cell>
          <cell r="H922">
            <v>30.882608695651324</v>
          </cell>
          <cell r="I922" t="e">
            <v>#N/A</v>
          </cell>
          <cell r="J922" t="e">
            <v>#N/A</v>
          </cell>
          <cell r="K922">
            <v>42</v>
          </cell>
          <cell r="L922">
            <v>32</v>
          </cell>
          <cell r="M922" t="e">
            <v>#N/A</v>
          </cell>
          <cell r="N922">
            <v>37</v>
          </cell>
          <cell r="O922" t="e">
            <v>#N/A</v>
          </cell>
          <cell r="P922" t="str">
            <v/>
          </cell>
          <cell r="Q922" t="str">
            <v/>
          </cell>
          <cell r="R922" t="e">
            <v>#N/A</v>
          </cell>
        </row>
        <row r="923">
          <cell r="A923" t="str">
            <v/>
          </cell>
          <cell r="B923" t="str">
            <v/>
          </cell>
          <cell r="C923" t="str">
            <v>Future</v>
          </cell>
          <cell r="D923" t="e">
            <v>#N/A</v>
          </cell>
          <cell r="E923">
            <v>-15.167075098814085</v>
          </cell>
          <cell r="F923">
            <v>45.259802371541788</v>
          </cell>
          <cell r="G923">
            <v>30.872450592884526</v>
          </cell>
          <cell r="H923">
            <v>30.872450592884526</v>
          </cell>
          <cell r="I923" t="e">
            <v>#N/A</v>
          </cell>
          <cell r="J923" t="e">
            <v>#N/A</v>
          </cell>
          <cell r="K923">
            <v>42</v>
          </cell>
          <cell r="L923">
            <v>32</v>
          </cell>
          <cell r="M923" t="e">
            <v>#N/A</v>
          </cell>
          <cell r="N923">
            <v>37</v>
          </cell>
          <cell r="O923" t="e">
            <v>#N/A</v>
          </cell>
          <cell r="P923" t="str">
            <v/>
          </cell>
          <cell r="Q923" t="str">
            <v/>
          </cell>
          <cell r="R923" t="e">
            <v>#N/A</v>
          </cell>
        </row>
        <row r="924">
          <cell r="A924" t="str">
            <v/>
          </cell>
          <cell r="B924" t="str">
            <v/>
          </cell>
          <cell r="C924" t="str">
            <v>Future</v>
          </cell>
          <cell r="D924" t="e">
            <v>#N/A</v>
          </cell>
          <cell r="E924">
            <v>-15.303715415019617</v>
          </cell>
          <cell r="F924">
            <v>45.289169960474595</v>
          </cell>
          <cell r="G924">
            <v>30.862292490117728</v>
          </cell>
          <cell r="H924">
            <v>30.862292490117728</v>
          </cell>
          <cell r="I924" t="e">
            <v>#N/A</v>
          </cell>
          <cell r="J924" t="e">
            <v>#N/A</v>
          </cell>
          <cell r="K924">
            <v>42</v>
          </cell>
          <cell r="L924">
            <v>32</v>
          </cell>
          <cell r="M924" t="e">
            <v>#N/A</v>
          </cell>
          <cell r="N924">
            <v>37</v>
          </cell>
          <cell r="O924" t="e">
            <v>#N/A</v>
          </cell>
          <cell r="P924" t="str">
            <v/>
          </cell>
          <cell r="Q924" t="str">
            <v/>
          </cell>
          <cell r="R924" t="e">
            <v>#N/A</v>
          </cell>
        </row>
        <row r="925">
          <cell r="A925" t="str">
            <v/>
          </cell>
          <cell r="B925" t="str">
            <v/>
          </cell>
          <cell r="C925" t="str">
            <v>Future</v>
          </cell>
          <cell r="D925" t="e">
            <v>#N/A</v>
          </cell>
          <cell r="E925">
            <v>-15.44035573122515</v>
          </cell>
          <cell r="F925">
            <v>45.318537549407402</v>
          </cell>
          <cell r="G925">
            <v>30.85213438735093</v>
          </cell>
          <cell r="H925">
            <v>30.85213438735093</v>
          </cell>
          <cell r="I925" t="e">
            <v>#N/A</v>
          </cell>
          <cell r="J925" t="e">
            <v>#N/A</v>
          </cell>
          <cell r="K925">
            <v>42</v>
          </cell>
          <cell r="L925">
            <v>32</v>
          </cell>
          <cell r="M925" t="e">
            <v>#N/A</v>
          </cell>
          <cell r="N925">
            <v>37</v>
          </cell>
          <cell r="O925" t="e">
            <v>#N/A</v>
          </cell>
          <cell r="P925" t="str">
            <v/>
          </cell>
          <cell r="Q925" t="str">
            <v/>
          </cell>
          <cell r="R925" t="e">
            <v>#N/A</v>
          </cell>
        </row>
        <row r="926">
          <cell r="A926" t="str">
            <v/>
          </cell>
          <cell r="B926" t="str">
            <v/>
          </cell>
          <cell r="C926" t="str">
            <v>Future</v>
          </cell>
          <cell r="D926" t="e">
            <v>#N/A</v>
          </cell>
          <cell r="E926">
            <v>-15.576996047430683</v>
          </cell>
          <cell r="F926">
            <v>45.347905138340209</v>
          </cell>
          <cell r="G926">
            <v>30.841976284584131</v>
          </cell>
          <cell r="H926">
            <v>30.841976284584131</v>
          </cell>
          <cell r="I926" t="e">
            <v>#N/A</v>
          </cell>
          <cell r="J926" t="e">
            <v>#N/A</v>
          </cell>
          <cell r="K926">
            <v>42</v>
          </cell>
          <cell r="L926">
            <v>32</v>
          </cell>
          <cell r="M926" t="e">
            <v>#N/A</v>
          </cell>
          <cell r="N926">
            <v>37</v>
          </cell>
          <cell r="O926" t="e">
            <v>#N/A</v>
          </cell>
          <cell r="P926" t="str">
            <v/>
          </cell>
          <cell r="Q926" t="str">
            <v/>
          </cell>
          <cell r="R926" t="e">
            <v>#N/A</v>
          </cell>
        </row>
        <row r="927">
          <cell r="A927" t="str">
            <v/>
          </cell>
          <cell r="B927" t="str">
            <v/>
          </cell>
          <cell r="C927" t="str">
            <v>Future</v>
          </cell>
          <cell r="D927" t="e">
            <v>#N/A</v>
          </cell>
          <cell r="E927">
            <v>-15.713636363636216</v>
          </cell>
          <cell r="F927">
            <v>45.377272727273017</v>
          </cell>
          <cell r="G927">
            <v>30.831818181817333</v>
          </cell>
          <cell r="H927">
            <v>30.831818181817333</v>
          </cell>
          <cell r="I927" t="e">
            <v>#N/A</v>
          </cell>
          <cell r="J927" t="e">
            <v>#N/A</v>
          </cell>
          <cell r="K927">
            <v>42</v>
          </cell>
          <cell r="L927">
            <v>32</v>
          </cell>
          <cell r="M927" t="e">
            <v>#N/A</v>
          </cell>
          <cell r="N927">
            <v>37</v>
          </cell>
          <cell r="O927" t="e">
            <v>#N/A</v>
          </cell>
          <cell r="P927" t="str">
            <v/>
          </cell>
          <cell r="Q927" t="str">
            <v/>
          </cell>
          <cell r="R927" t="e">
            <v>#N/A</v>
          </cell>
        </row>
        <row r="928">
          <cell r="A928" t="str">
            <v/>
          </cell>
          <cell r="B928" t="str">
            <v/>
          </cell>
          <cell r="C928" t="str">
            <v>Future</v>
          </cell>
          <cell r="D928" t="e">
            <v>#N/A</v>
          </cell>
          <cell r="E928">
            <v>-15.850276679841748</v>
          </cell>
          <cell r="F928">
            <v>45.406640316205824</v>
          </cell>
          <cell r="G928">
            <v>30.821660079050535</v>
          </cell>
          <cell r="H928">
            <v>30.821660079050535</v>
          </cell>
          <cell r="I928" t="e">
            <v>#N/A</v>
          </cell>
          <cell r="J928" t="e">
            <v>#N/A</v>
          </cell>
          <cell r="K928">
            <v>42</v>
          </cell>
          <cell r="L928">
            <v>32</v>
          </cell>
          <cell r="M928" t="e">
            <v>#N/A</v>
          </cell>
          <cell r="N928">
            <v>37</v>
          </cell>
          <cell r="O928" t="e">
            <v>#N/A</v>
          </cell>
          <cell r="P928" t="str">
            <v/>
          </cell>
          <cell r="Q928" t="str">
            <v/>
          </cell>
          <cell r="R928" t="e">
            <v>#N/A</v>
          </cell>
        </row>
        <row r="929">
          <cell r="A929" t="str">
            <v/>
          </cell>
          <cell r="B929" t="str">
            <v/>
          </cell>
          <cell r="C929" t="str">
            <v>Future</v>
          </cell>
          <cell r="D929" t="e">
            <v>#N/A</v>
          </cell>
          <cell r="E929">
            <v>-15.986916996047281</v>
          </cell>
          <cell r="F929">
            <v>45.436007905138631</v>
          </cell>
          <cell r="G929">
            <v>30.811501976283736</v>
          </cell>
          <cell r="H929">
            <v>30.811501976283736</v>
          </cell>
          <cell r="I929" t="e">
            <v>#N/A</v>
          </cell>
          <cell r="J929" t="e">
            <v>#N/A</v>
          </cell>
          <cell r="K929">
            <v>42</v>
          </cell>
          <cell r="L929">
            <v>32</v>
          </cell>
          <cell r="M929" t="e">
            <v>#N/A</v>
          </cell>
          <cell r="N929">
            <v>37</v>
          </cell>
          <cell r="O929" t="e">
            <v>#N/A</v>
          </cell>
          <cell r="P929" t="str">
            <v/>
          </cell>
          <cell r="Q929" t="str">
            <v/>
          </cell>
          <cell r="R929" t="e">
            <v>#N/A</v>
          </cell>
        </row>
        <row r="930">
          <cell r="A930" t="str">
            <v/>
          </cell>
          <cell r="B930" t="str">
            <v/>
          </cell>
          <cell r="C930" t="str">
            <v>Future</v>
          </cell>
          <cell r="D930" t="e">
            <v>#N/A</v>
          </cell>
          <cell r="E930">
            <v>-16.123557312252814</v>
          </cell>
          <cell r="F930">
            <v>45.465375494071438</v>
          </cell>
          <cell r="G930">
            <v>30.801343873516938</v>
          </cell>
          <cell r="H930">
            <v>30.801343873516938</v>
          </cell>
          <cell r="I930" t="e">
            <v>#N/A</v>
          </cell>
          <cell r="J930" t="e">
            <v>#N/A</v>
          </cell>
          <cell r="K930">
            <v>42</v>
          </cell>
          <cell r="L930">
            <v>32</v>
          </cell>
          <cell r="M930" t="e">
            <v>#N/A</v>
          </cell>
          <cell r="N930">
            <v>37</v>
          </cell>
          <cell r="O930" t="e">
            <v>#N/A</v>
          </cell>
          <cell r="P930" t="str">
            <v/>
          </cell>
          <cell r="Q930" t="str">
            <v/>
          </cell>
          <cell r="R930" t="e">
            <v>#N/A</v>
          </cell>
        </row>
        <row r="931">
          <cell r="A931" t="str">
            <v/>
          </cell>
          <cell r="B931" t="str">
            <v/>
          </cell>
          <cell r="C931" t="str">
            <v>Future</v>
          </cell>
          <cell r="D931" t="e">
            <v>#N/A</v>
          </cell>
          <cell r="E931">
            <v>-16.260197628458346</v>
          </cell>
          <cell r="F931">
            <v>45.494743083004245</v>
          </cell>
          <cell r="G931">
            <v>30.79118577075014</v>
          </cell>
          <cell r="H931">
            <v>30.79118577075014</v>
          </cell>
          <cell r="I931" t="e">
            <v>#N/A</v>
          </cell>
          <cell r="J931" t="e">
            <v>#N/A</v>
          </cell>
          <cell r="K931">
            <v>42</v>
          </cell>
          <cell r="L931">
            <v>32</v>
          </cell>
          <cell r="M931" t="e">
            <v>#N/A</v>
          </cell>
          <cell r="N931">
            <v>37</v>
          </cell>
          <cell r="O931" t="e">
            <v>#N/A</v>
          </cell>
          <cell r="P931" t="str">
            <v/>
          </cell>
          <cell r="Q931" t="str">
            <v/>
          </cell>
          <cell r="R931" t="e">
            <v>#N/A</v>
          </cell>
        </row>
        <row r="932">
          <cell r="A932" t="str">
            <v/>
          </cell>
          <cell r="B932" t="str">
            <v/>
          </cell>
          <cell r="C932" t="str">
            <v>Future</v>
          </cell>
          <cell r="D932" t="e">
            <v>#N/A</v>
          </cell>
          <cell r="E932">
            <v>-16.396837944663879</v>
          </cell>
          <cell r="F932">
            <v>45.524110671937052</v>
          </cell>
          <cell r="G932">
            <v>30.781027667983341</v>
          </cell>
          <cell r="H932">
            <v>30.781027667983341</v>
          </cell>
          <cell r="I932" t="e">
            <v>#N/A</v>
          </cell>
          <cell r="J932" t="e">
            <v>#N/A</v>
          </cell>
          <cell r="K932">
            <v>42</v>
          </cell>
          <cell r="L932">
            <v>32</v>
          </cell>
          <cell r="M932" t="e">
            <v>#N/A</v>
          </cell>
          <cell r="N932">
            <v>37</v>
          </cell>
          <cell r="O932" t="e">
            <v>#N/A</v>
          </cell>
          <cell r="P932" t="str">
            <v/>
          </cell>
          <cell r="Q932" t="str">
            <v/>
          </cell>
          <cell r="R932" t="e">
            <v>#N/A</v>
          </cell>
        </row>
        <row r="933">
          <cell r="A933" t="str">
            <v/>
          </cell>
          <cell r="B933" t="str">
            <v/>
          </cell>
          <cell r="C933" t="str">
            <v>Future</v>
          </cell>
          <cell r="D933" t="e">
            <v>#N/A</v>
          </cell>
          <cell r="E933">
            <v>-16.533478260869412</v>
          </cell>
          <cell r="F933">
            <v>45.553478260869859</v>
          </cell>
          <cell r="G933">
            <v>30.770869565216543</v>
          </cell>
          <cell r="H933">
            <v>30.770869565216543</v>
          </cell>
          <cell r="I933" t="e">
            <v>#N/A</v>
          </cell>
          <cell r="J933" t="e">
            <v>#N/A</v>
          </cell>
          <cell r="K933">
            <v>42</v>
          </cell>
          <cell r="L933">
            <v>32</v>
          </cell>
          <cell r="M933" t="e">
            <v>#N/A</v>
          </cell>
          <cell r="N933">
            <v>37</v>
          </cell>
          <cell r="O933" t="e">
            <v>#N/A</v>
          </cell>
          <cell r="P933" t="str">
            <v/>
          </cell>
          <cell r="Q933" t="str">
            <v/>
          </cell>
          <cell r="R933" t="e">
            <v>#N/A</v>
          </cell>
        </row>
        <row r="934">
          <cell r="A934" t="str">
            <v/>
          </cell>
          <cell r="B934" t="str">
            <v/>
          </cell>
          <cell r="C934" t="str">
            <v>Future</v>
          </cell>
          <cell r="D934" t="e">
            <v>#N/A</v>
          </cell>
          <cell r="E934">
            <v>-16.670118577074945</v>
          </cell>
          <cell r="F934">
            <v>45.582845849802666</v>
          </cell>
          <cell r="G934">
            <v>30.760711462449745</v>
          </cell>
          <cell r="H934">
            <v>30.760711462449745</v>
          </cell>
          <cell r="I934" t="e">
            <v>#N/A</v>
          </cell>
          <cell r="J934" t="e">
            <v>#N/A</v>
          </cell>
          <cell r="K934">
            <v>42</v>
          </cell>
          <cell r="L934">
            <v>32</v>
          </cell>
          <cell r="M934" t="e">
            <v>#N/A</v>
          </cell>
          <cell r="N934">
            <v>37</v>
          </cell>
          <cell r="O934" t="e">
            <v>#N/A</v>
          </cell>
          <cell r="P934" t="str">
            <v/>
          </cell>
          <cell r="Q934" t="str">
            <v/>
          </cell>
          <cell r="R934" t="e">
            <v>#N/A</v>
          </cell>
        </row>
        <row r="935">
          <cell r="A935" t="str">
            <v/>
          </cell>
          <cell r="B935" t="str">
            <v/>
          </cell>
          <cell r="C935" t="str">
            <v>Future</v>
          </cell>
          <cell r="D935" t="e">
            <v>#N/A</v>
          </cell>
          <cell r="E935">
            <v>-16.806758893280477</v>
          </cell>
          <cell r="F935">
            <v>45.612213438735473</v>
          </cell>
          <cell r="G935">
            <v>30.750553359682947</v>
          </cell>
          <cell r="H935">
            <v>30.750553359682947</v>
          </cell>
          <cell r="I935" t="e">
            <v>#N/A</v>
          </cell>
          <cell r="J935" t="e">
            <v>#N/A</v>
          </cell>
          <cell r="K935">
            <v>42</v>
          </cell>
          <cell r="L935">
            <v>32</v>
          </cell>
          <cell r="M935" t="e">
            <v>#N/A</v>
          </cell>
          <cell r="N935">
            <v>37</v>
          </cell>
          <cell r="O935" t="e">
            <v>#N/A</v>
          </cell>
          <cell r="P935" t="str">
            <v/>
          </cell>
          <cell r="Q935" t="str">
            <v/>
          </cell>
          <cell r="R935" t="e">
            <v>#N/A</v>
          </cell>
        </row>
        <row r="936">
          <cell r="A936" t="str">
            <v/>
          </cell>
          <cell r="B936" t="str">
            <v/>
          </cell>
          <cell r="C936" t="str">
            <v>Future</v>
          </cell>
          <cell r="D936" t="e">
            <v>#N/A</v>
          </cell>
          <cell r="E936">
            <v>-16.94339920948601</v>
          </cell>
          <cell r="F936">
            <v>45.641581027668281</v>
          </cell>
          <cell r="G936">
            <v>30.740395256916148</v>
          </cell>
          <cell r="H936">
            <v>30.740395256916148</v>
          </cell>
          <cell r="I936" t="e">
            <v>#N/A</v>
          </cell>
          <cell r="J936" t="e">
            <v>#N/A</v>
          </cell>
          <cell r="K936">
            <v>42</v>
          </cell>
          <cell r="L936">
            <v>32</v>
          </cell>
          <cell r="M936" t="e">
            <v>#N/A</v>
          </cell>
          <cell r="N936">
            <v>37</v>
          </cell>
          <cell r="O936" t="e">
            <v>#N/A</v>
          </cell>
          <cell r="P936" t="str">
            <v/>
          </cell>
          <cell r="Q936" t="str">
            <v/>
          </cell>
          <cell r="R936" t="e">
            <v>#N/A</v>
          </cell>
        </row>
        <row r="937">
          <cell r="A937" t="str">
            <v/>
          </cell>
          <cell r="B937" t="str">
            <v/>
          </cell>
          <cell r="C937" t="str">
            <v>Future</v>
          </cell>
          <cell r="D937" t="e">
            <v>#N/A</v>
          </cell>
          <cell r="E937">
            <v>-17.080039525691543</v>
          </cell>
          <cell r="F937">
            <v>45.670948616601088</v>
          </cell>
          <cell r="G937">
            <v>30.73023715414935</v>
          </cell>
          <cell r="H937">
            <v>30.73023715414935</v>
          </cell>
          <cell r="I937" t="e">
            <v>#N/A</v>
          </cell>
          <cell r="J937" t="e">
            <v>#N/A</v>
          </cell>
          <cell r="K937">
            <v>42</v>
          </cell>
          <cell r="L937">
            <v>32</v>
          </cell>
          <cell r="M937" t="e">
            <v>#N/A</v>
          </cell>
          <cell r="N937">
            <v>37</v>
          </cell>
          <cell r="O937" t="e">
            <v>#N/A</v>
          </cell>
          <cell r="P937" t="str">
            <v/>
          </cell>
          <cell r="Q937" t="str">
            <v/>
          </cell>
          <cell r="R937" t="e">
            <v>#N/A</v>
          </cell>
        </row>
        <row r="938">
          <cell r="A938" t="str">
            <v/>
          </cell>
          <cell r="B938" t="str">
            <v/>
          </cell>
          <cell r="C938" t="str">
            <v>Future</v>
          </cell>
          <cell r="D938" t="e">
            <v>#N/A</v>
          </cell>
          <cell r="E938">
            <v>-17.216679841897076</v>
          </cell>
          <cell r="F938">
            <v>45.700316205533895</v>
          </cell>
          <cell r="G938">
            <v>30.720079051382552</v>
          </cell>
          <cell r="H938">
            <v>30.720079051382552</v>
          </cell>
          <cell r="I938" t="e">
            <v>#N/A</v>
          </cell>
          <cell r="J938" t="e">
            <v>#N/A</v>
          </cell>
          <cell r="K938">
            <v>42</v>
          </cell>
          <cell r="L938">
            <v>32</v>
          </cell>
          <cell r="M938" t="e">
            <v>#N/A</v>
          </cell>
          <cell r="N938">
            <v>37</v>
          </cell>
          <cell r="O938" t="e">
            <v>#N/A</v>
          </cell>
          <cell r="P938" t="str">
            <v/>
          </cell>
          <cell r="Q938" t="str">
            <v/>
          </cell>
          <cell r="R938" t="e">
            <v>#N/A</v>
          </cell>
        </row>
        <row r="939">
          <cell r="A939" t="str">
            <v/>
          </cell>
          <cell r="B939" t="str">
            <v/>
          </cell>
          <cell r="C939" t="str">
            <v>Future</v>
          </cell>
          <cell r="D939" t="e">
            <v>#N/A</v>
          </cell>
          <cell r="E939">
            <v>-17.353320158102608</v>
          </cell>
          <cell r="F939">
            <v>45.729683794466702</v>
          </cell>
          <cell r="G939">
            <v>30.709920948615753</v>
          </cell>
          <cell r="H939">
            <v>30.709920948615753</v>
          </cell>
          <cell r="I939" t="e">
            <v>#N/A</v>
          </cell>
          <cell r="J939" t="e">
            <v>#N/A</v>
          </cell>
          <cell r="K939">
            <v>42</v>
          </cell>
          <cell r="L939">
            <v>32</v>
          </cell>
          <cell r="M939" t="e">
            <v>#N/A</v>
          </cell>
          <cell r="N939">
            <v>37</v>
          </cell>
          <cell r="O939" t="e">
            <v>#N/A</v>
          </cell>
          <cell r="P939" t="str">
            <v/>
          </cell>
          <cell r="Q939" t="str">
            <v/>
          </cell>
          <cell r="R939" t="e">
            <v>#N/A</v>
          </cell>
        </row>
        <row r="940">
          <cell r="A940" t="str">
            <v/>
          </cell>
          <cell r="B940" t="str">
            <v/>
          </cell>
          <cell r="C940" t="str">
            <v>Future</v>
          </cell>
          <cell r="D940" t="e">
            <v>#N/A</v>
          </cell>
          <cell r="E940">
            <v>-17.489960474308141</v>
          </cell>
          <cell r="F940">
            <v>45.759051383399509</v>
          </cell>
          <cell r="G940">
            <v>30.699762845848955</v>
          </cell>
          <cell r="H940">
            <v>30.699762845848955</v>
          </cell>
          <cell r="I940" t="e">
            <v>#N/A</v>
          </cell>
          <cell r="J940" t="e">
            <v>#N/A</v>
          </cell>
          <cell r="K940">
            <v>42</v>
          </cell>
          <cell r="L940">
            <v>32</v>
          </cell>
          <cell r="M940" t="e">
            <v>#N/A</v>
          </cell>
          <cell r="N940">
            <v>37</v>
          </cell>
          <cell r="O940" t="e">
            <v>#N/A</v>
          </cell>
          <cell r="P940" t="str">
            <v/>
          </cell>
          <cell r="Q940" t="str">
            <v/>
          </cell>
          <cell r="R940" t="e">
            <v>#N/A</v>
          </cell>
        </row>
        <row r="941">
          <cell r="A941" t="str">
            <v/>
          </cell>
          <cell r="B941" t="str">
            <v/>
          </cell>
          <cell r="C941" t="str">
            <v>Future</v>
          </cell>
          <cell r="D941" t="e">
            <v>#N/A</v>
          </cell>
          <cell r="E941">
            <v>-17.626600790513674</v>
          </cell>
          <cell r="F941">
            <v>45.788418972332316</v>
          </cell>
          <cell r="G941">
            <v>30.689604743082157</v>
          </cell>
          <cell r="H941">
            <v>30.689604743082157</v>
          </cell>
          <cell r="I941" t="e">
            <v>#N/A</v>
          </cell>
          <cell r="J941" t="e">
            <v>#N/A</v>
          </cell>
          <cell r="K941">
            <v>42</v>
          </cell>
          <cell r="L941">
            <v>32</v>
          </cell>
          <cell r="M941" t="e">
            <v>#N/A</v>
          </cell>
          <cell r="N941">
            <v>37</v>
          </cell>
          <cell r="O941" t="e">
            <v>#N/A</v>
          </cell>
          <cell r="P941" t="str">
            <v/>
          </cell>
          <cell r="Q941" t="str">
            <v/>
          </cell>
          <cell r="R941" t="e">
            <v>#N/A</v>
          </cell>
        </row>
        <row r="942">
          <cell r="A942" t="str">
            <v/>
          </cell>
          <cell r="B942" t="str">
            <v/>
          </cell>
          <cell r="C942" t="str">
            <v>Future</v>
          </cell>
          <cell r="D942" t="e">
            <v>#N/A</v>
          </cell>
          <cell r="E942">
            <v>-17.763241106719207</v>
          </cell>
          <cell r="F942">
            <v>45.817786561265123</v>
          </cell>
          <cell r="G942">
            <v>30.679446640315359</v>
          </cell>
          <cell r="H942">
            <v>30.679446640315359</v>
          </cell>
          <cell r="I942" t="e">
            <v>#N/A</v>
          </cell>
          <cell r="J942" t="e">
            <v>#N/A</v>
          </cell>
          <cell r="K942">
            <v>42</v>
          </cell>
          <cell r="L942">
            <v>32</v>
          </cell>
          <cell r="M942" t="e">
            <v>#N/A</v>
          </cell>
          <cell r="N942">
            <v>37</v>
          </cell>
          <cell r="O942" t="e">
            <v>#N/A</v>
          </cell>
          <cell r="P942" t="str">
            <v/>
          </cell>
          <cell r="Q942" t="str">
            <v/>
          </cell>
          <cell r="R942" t="e">
            <v>#N/A</v>
          </cell>
        </row>
        <row r="943">
          <cell r="A943" t="str">
            <v/>
          </cell>
          <cell r="B943" t="str">
            <v/>
          </cell>
          <cell r="C943" t="str">
            <v>Future</v>
          </cell>
          <cell r="D943" t="e">
            <v>#N/A</v>
          </cell>
          <cell r="E943">
            <v>-17.899881422924739</v>
          </cell>
          <cell r="F943">
            <v>45.84715415019793</v>
          </cell>
          <cell r="G943">
            <v>30.66928853754856</v>
          </cell>
          <cell r="H943">
            <v>30.66928853754856</v>
          </cell>
          <cell r="I943" t="e">
            <v>#N/A</v>
          </cell>
          <cell r="J943" t="e">
            <v>#N/A</v>
          </cell>
          <cell r="K943">
            <v>42</v>
          </cell>
          <cell r="L943">
            <v>32</v>
          </cell>
          <cell r="M943" t="e">
            <v>#N/A</v>
          </cell>
          <cell r="N943">
            <v>37</v>
          </cell>
          <cell r="O943" t="e">
            <v>#N/A</v>
          </cell>
          <cell r="P943" t="str">
            <v/>
          </cell>
          <cell r="Q943" t="str">
            <v/>
          </cell>
          <cell r="R943" t="e">
            <v>#N/A</v>
          </cell>
        </row>
        <row r="944">
          <cell r="A944" t="str">
            <v/>
          </cell>
          <cell r="B944" t="str">
            <v/>
          </cell>
          <cell r="C944" t="str">
            <v>Future</v>
          </cell>
          <cell r="D944" t="e">
            <v>#N/A</v>
          </cell>
          <cell r="E944">
            <v>-18.036521739130272</v>
          </cell>
          <cell r="F944">
            <v>45.876521739130737</v>
          </cell>
          <cell r="G944">
            <v>30.659130434781762</v>
          </cell>
          <cell r="H944">
            <v>30.659130434781762</v>
          </cell>
          <cell r="I944" t="e">
            <v>#N/A</v>
          </cell>
          <cell r="J944" t="e">
            <v>#N/A</v>
          </cell>
          <cell r="K944">
            <v>42</v>
          </cell>
          <cell r="L944">
            <v>32</v>
          </cell>
          <cell r="M944" t="e">
            <v>#N/A</v>
          </cell>
          <cell r="N944">
            <v>37</v>
          </cell>
          <cell r="O944" t="e">
            <v>#N/A</v>
          </cell>
          <cell r="P944" t="str">
            <v/>
          </cell>
          <cell r="Q944" t="str">
            <v/>
          </cell>
          <cell r="R944" t="e">
            <v>#N/A</v>
          </cell>
        </row>
        <row r="945">
          <cell r="A945" t="str">
            <v/>
          </cell>
          <cell r="B945" t="str">
            <v/>
          </cell>
          <cell r="C945" t="str">
            <v>Future</v>
          </cell>
          <cell r="D945" t="e">
            <v>#N/A</v>
          </cell>
          <cell r="E945">
            <v>-18.173162055335805</v>
          </cell>
          <cell r="F945">
            <v>45.905889328063544</v>
          </cell>
          <cell r="G945">
            <v>30.648972332014964</v>
          </cell>
          <cell r="H945">
            <v>30.648972332014964</v>
          </cell>
          <cell r="I945" t="e">
            <v>#N/A</v>
          </cell>
          <cell r="J945" t="e">
            <v>#N/A</v>
          </cell>
          <cell r="K945">
            <v>42</v>
          </cell>
          <cell r="L945">
            <v>32</v>
          </cell>
          <cell r="M945" t="e">
            <v>#N/A</v>
          </cell>
          <cell r="N945">
            <v>37</v>
          </cell>
          <cell r="O945" t="e">
            <v>#N/A</v>
          </cell>
          <cell r="P945" t="str">
            <v/>
          </cell>
          <cell r="Q945" t="str">
            <v/>
          </cell>
          <cell r="R945" t="e">
            <v>#N/A</v>
          </cell>
        </row>
        <row r="946">
          <cell r="A946" t="str">
            <v/>
          </cell>
          <cell r="B946" t="str">
            <v/>
          </cell>
          <cell r="C946" t="str">
            <v>Future</v>
          </cell>
          <cell r="D946" t="e">
            <v>#N/A</v>
          </cell>
          <cell r="E946">
            <v>-18.309802371541338</v>
          </cell>
          <cell r="F946">
            <v>45.935256916996352</v>
          </cell>
          <cell r="G946">
            <v>30.638814229248165</v>
          </cell>
          <cell r="H946">
            <v>30.638814229248165</v>
          </cell>
          <cell r="I946" t="e">
            <v>#N/A</v>
          </cell>
          <cell r="J946" t="e">
            <v>#N/A</v>
          </cell>
          <cell r="K946">
            <v>42</v>
          </cell>
          <cell r="L946">
            <v>32</v>
          </cell>
          <cell r="M946" t="e">
            <v>#N/A</v>
          </cell>
          <cell r="N946">
            <v>37</v>
          </cell>
          <cell r="O946" t="e">
            <v>#N/A</v>
          </cell>
          <cell r="P946" t="str">
            <v/>
          </cell>
          <cell r="Q946" t="str">
            <v/>
          </cell>
          <cell r="R946" t="e">
            <v>#N/A</v>
          </cell>
        </row>
        <row r="947">
          <cell r="A947" t="str">
            <v/>
          </cell>
          <cell r="B947" t="str">
            <v/>
          </cell>
          <cell r="C947" t="str">
            <v>Future</v>
          </cell>
          <cell r="D947" t="e">
            <v>#N/A</v>
          </cell>
          <cell r="E947">
            <v>-18.44644268774687</v>
          </cell>
          <cell r="F947">
            <v>45.964624505929159</v>
          </cell>
          <cell r="G947">
            <v>30.628656126481367</v>
          </cell>
          <cell r="H947">
            <v>30.628656126481367</v>
          </cell>
          <cell r="I947" t="e">
            <v>#N/A</v>
          </cell>
          <cell r="J947" t="e">
            <v>#N/A</v>
          </cell>
          <cell r="K947">
            <v>42</v>
          </cell>
          <cell r="L947">
            <v>32</v>
          </cell>
          <cell r="M947" t="e">
            <v>#N/A</v>
          </cell>
          <cell r="N947">
            <v>37</v>
          </cell>
          <cell r="O947" t="e">
            <v>#N/A</v>
          </cell>
          <cell r="P947" t="str">
            <v/>
          </cell>
          <cell r="Q947" t="str">
            <v/>
          </cell>
          <cell r="R947" t="e">
            <v>#N/A</v>
          </cell>
        </row>
        <row r="948">
          <cell r="A948" t="str">
            <v/>
          </cell>
          <cell r="B948" t="str">
            <v/>
          </cell>
          <cell r="C948" t="str">
            <v>Future</v>
          </cell>
          <cell r="D948" t="e">
            <v>#N/A</v>
          </cell>
          <cell r="E948">
            <v>-18.583083003952403</v>
          </cell>
          <cell r="F948">
            <v>45.993992094861966</v>
          </cell>
          <cell r="G948">
            <v>30.618498023714569</v>
          </cell>
          <cell r="H948">
            <v>30.618498023714569</v>
          </cell>
          <cell r="I948" t="e">
            <v>#N/A</v>
          </cell>
          <cell r="J948" t="e">
            <v>#N/A</v>
          </cell>
          <cell r="K948">
            <v>42</v>
          </cell>
          <cell r="L948">
            <v>32</v>
          </cell>
          <cell r="M948" t="e">
            <v>#N/A</v>
          </cell>
          <cell r="N948">
            <v>37</v>
          </cell>
          <cell r="O948" t="e">
            <v>#N/A</v>
          </cell>
          <cell r="P948" t="str">
            <v/>
          </cell>
          <cell r="Q948" t="str">
            <v/>
          </cell>
          <cell r="R948" t="e">
            <v>#N/A</v>
          </cell>
        </row>
        <row r="949">
          <cell r="A949" t="str">
            <v/>
          </cell>
          <cell r="B949" t="str">
            <v/>
          </cell>
          <cell r="C949" t="str">
            <v>Future</v>
          </cell>
          <cell r="D949" t="e">
            <v>#N/A</v>
          </cell>
          <cell r="E949">
            <v>-18.719723320157936</v>
          </cell>
          <cell r="F949">
            <v>46.023359683794773</v>
          </cell>
          <cell r="G949">
            <v>30.60833992094777</v>
          </cell>
          <cell r="H949">
            <v>30.60833992094777</v>
          </cell>
          <cell r="I949" t="e">
            <v>#N/A</v>
          </cell>
          <cell r="J949" t="e">
            <v>#N/A</v>
          </cell>
          <cell r="K949">
            <v>42</v>
          </cell>
          <cell r="L949">
            <v>32</v>
          </cell>
          <cell r="M949" t="e">
            <v>#N/A</v>
          </cell>
          <cell r="N949">
            <v>37</v>
          </cell>
          <cell r="O949" t="e">
            <v>#N/A</v>
          </cell>
          <cell r="P949" t="str">
            <v/>
          </cell>
          <cell r="Q949" t="str">
            <v/>
          </cell>
          <cell r="R949" t="e">
            <v>#N/A</v>
          </cell>
        </row>
        <row r="950">
          <cell r="A950" t="str">
            <v/>
          </cell>
          <cell r="B950" t="str">
            <v/>
          </cell>
          <cell r="C950" t="str">
            <v>Future</v>
          </cell>
          <cell r="D950" t="e">
            <v>#N/A</v>
          </cell>
          <cell r="E950">
            <v>-18.856363636363469</v>
          </cell>
          <cell r="F950">
            <v>46.05272727272758</v>
          </cell>
          <cell r="G950">
            <v>30.598181818180972</v>
          </cell>
          <cell r="H950">
            <v>30.598181818180972</v>
          </cell>
          <cell r="I950" t="e">
            <v>#N/A</v>
          </cell>
          <cell r="J950" t="e">
            <v>#N/A</v>
          </cell>
          <cell r="K950">
            <v>42</v>
          </cell>
          <cell r="L950">
            <v>32</v>
          </cell>
          <cell r="M950" t="e">
            <v>#N/A</v>
          </cell>
          <cell r="N950">
            <v>37</v>
          </cell>
          <cell r="O950" t="e">
            <v>#N/A</v>
          </cell>
          <cell r="P950" t="str">
            <v/>
          </cell>
          <cell r="Q950" t="str">
            <v/>
          </cell>
          <cell r="R950" t="e">
            <v>#N/A</v>
          </cell>
        </row>
        <row r="951">
          <cell r="A951" t="str">
            <v/>
          </cell>
          <cell r="B951" t="str">
            <v/>
          </cell>
          <cell r="C951" t="str">
            <v>Future</v>
          </cell>
          <cell r="D951" t="e">
            <v>#N/A</v>
          </cell>
          <cell r="E951">
            <v>-18.993003952569001</v>
          </cell>
          <cell r="F951">
            <v>46.082094861660387</v>
          </cell>
          <cell r="G951">
            <v>30.588023715414174</v>
          </cell>
          <cell r="H951">
            <v>30.588023715414174</v>
          </cell>
          <cell r="I951" t="e">
            <v>#N/A</v>
          </cell>
          <cell r="J951" t="e">
            <v>#N/A</v>
          </cell>
          <cell r="K951">
            <v>42</v>
          </cell>
          <cell r="L951">
            <v>32</v>
          </cell>
          <cell r="M951" t="e">
            <v>#N/A</v>
          </cell>
          <cell r="N951">
            <v>37</v>
          </cell>
          <cell r="O951" t="e">
            <v>#N/A</v>
          </cell>
          <cell r="P951" t="str">
            <v/>
          </cell>
          <cell r="Q951" t="str">
            <v/>
          </cell>
          <cell r="R951" t="e">
            <v>#N/A</v>
          </cell>
        </row>
        <row r="952">
          <cell r="A952" t="str">
            <v/>
          </cell>
          <cell r="B952" t="str">
            <v/>
          </cell>
          <cell r="C952" t="str">
            <v>Future</v>
          </cell>
          <cell r="D952" t="e">
            <v>#N/A</v>
          </cell>
          <cell r="E952">
            <v>-19.129644268774534</v>
          </cell>
          <cell r="F952">
            <v>46.111462450593194</v>
          </cell>
          <cell r="G952">
            <v>30.577865612647376</v>
          </cell>
          <cell r="H952">
            <v>30.577865612647376</v>
          </cell>
          <cell r="I952" t="e">
            <v>#N/A</v>
          </cell>
          <cell r="J952" t="e">
            <v>#N/A</v>
          </cell>
          <cell r="K952">
            <v>42</v>
          </cell>
          <cell r="L952">
            <v>32</v>
          </cell>
          <cell r="M952" t="e">
            <v>#N/A</v>
          </cell>
          <cell r="N952">
            <v>37</v>
          </cell>
          <cell r="O952" t="e">
            <v>#N/A</v>
          </cell>
          <cell r="P952" t="str">
            <v/>
          </cell>
          <cell r="Q952" t="str">
            <v/>
          </cell>
          <cell r="R952" t="e">
            <v>#N/A</v>
          </cell>
        </row>
        <row r="953">
          <cell r="A953" t="str">
            <v/>
          </cell>
          <cell r="B953" t="str">
            <v/>
          </cell>
          <cell r="C953" t="str">
            <v>Future</v>
          </cell>
          <cell r="D953" t="e">
            <v>#N/A</v>
          </cell>
          <cell r="E953">
            <v>-19.266284584980067</v>
          </cell>
          <cell r="F953">
            <v>46.140830039526001</v>
          </cell>
          <cell r="G953">
            <v>30.567707509880577</v>
          </cell>
          <cell r="H953">
            <v>30.567707509880577</v>
          </cell>
          <cell r="I953" t="e">
            <v>#N/A</v>
          </cell>
          <cell r="J953" t="e">
            <v>#N/A</v>
          </cell>
          <cell r="K953">
            <v>42</v>
          </cell>
          <cell r="L953">
            <v>32</v>
          </cell>
          <cell r="M953" t="e">
            <v>#N/A</v>
          </cell>
          <cell r="N953">
            <v>37</v>
          </cell>
          <cell r="O953" t="e">
            <v>#N/A</v>
          </cell>
          <cell r="P953" t="str">
            <v/>
          </cell>
          <cell r="Q953" t="str">
            <v/>
          </cell>
          <cell r="R953" t="e">
            <v>#N/A</v>
          </cell>
        </row>
        <row r="954">
          <cell r="A954" t="str">
            <v/>
          </cell>
          <cell r="B954" t="str">
            <v/>
          </cell>
          <cell r="C954" t="str">
            <v>Future</v>
          </cell>
          <cell r="D954" t="e">
            <v>#N/A</v>
          </cell>
          <cell r="E954">
            <v>-19.4029249011856</v>
          </cell>
          <cell r="F954">
            <v>46.170197628458808</v>
          </cell>
          <cell r="G954">
            <v>30.557549407113779</v>
          </cell>
          <cell r="H954">
            <v>30.557549407113779</v>
          </cell>
          <cell r="I954" t="e">
            <v>#N/A</v>
          </cell>
          <cell r="J954" t="e">
            <v>#N/A</v>
          </cell>
          <cell r="K954">
            <v>42</v>
          </cell>
          <cell r="L954">
            <v>32</v>
          </cell>
          <cell r="M954" t="e">
            <v>#N/A</v>
          </cell>
          <cell r="N954">
            <v>37</v>
          </cell>
          <cell r="O954" t="e">
            <v>#N/A</v>
          </cell>
          <cell r="P954" t="str">
            <v/>
          </cell>
          <cell r="Q954" t="str">
            <v/>
          </cell>
          <cell r="R954" t="e">
            <v>#N/A</v>
          </cell>
        </row>
        <row r="955">
          <cell r="A955" t="str">
            <v/>
          </cell>
          <cell r="B955" t="str">
            <v/>
          </cell>
          <cell r="C955" t="str">
            <v>Future</v>
          </cell>
          <cell r="D955" t="e">
            <v>#N/A</v>
          </cell>
          <cell r="E955">
            <v>-19.539565217391132</v>
          </cell>
          <cell r="F955">
            <v>46.199565217391616</v>
          </cell>
          <cell r="G955">
            <v>30.547391304346981</v>
          </cell>
          <cell r="H955">
            <v>30.547391304346981</v>
          </cell>
          <cell r="I955" t="e">
            <v>#N/A</v>
          </cell>
          <cell r="J955" t="e">
            <v>#N/A</v>
          </cell>
          <cell r="K955">
            <v>42</v>
          </cell>
          <cell r="L955">
            <v>32</v>
          </cell>
          <cell r="M955" t="e">
            <v>#N/A</v>
          </cell>
          <cell r="N955">
            <v>37</v>
          </cell>
          <cell r="O955" t="e">
            <v>#N/A</v>
          </cell>
          <cell r="P955" t="str">
            <v/>
          </cell>
          <cell r="Q955" t="str">
            <v/>
          </cell>
          <cell r="R955" t="e">
            <v>#N/A</v>
          </cell>
        </row>
        <row r="956">
          <cell r="A956" t="str">
            <v/>
          </cell>
          <cell r="B956" t="str">
            <v/>
          </cell>
          <cell r="C956" t="str">
            <v>Future</v>
          </cell>
          <cell r="D956" t="e">
            <v>#N/A</v>
          </cell>
          <cell r="E956">
            <v>-19.676205533596665</v>
          </cell>
          <cell r="F956">
            <v>46.228932806324423</v>
          </cell>
          <cell r="G956">
            <v>30.537233201580182</v>
          </cell>
          <cell r="H956">
            <v>30.537233201580182</v>
          </cell>
          <cell r="I956" t="e">
            <v>#N/A</v>
          </cell>
          <cell r="J956" t="e">
            <v>#N/A</v>
          </cell>
          <cell r="K956">
            <v>42</v>
          </cell>
          <cell r="L956">
            <v>32</v>
          </cell>
          <cell r="M956" t="e">
            <v>#N/A</v>
          </cell>
          <cell r="N956">
            <v>37</v>
          </cell>
          <cell r="O956" t="e">
            <v>#N/A</v>
          </cell>
          <cell r="P956" t="str">
            <v/>
          </cell>
          <cell r="Q956" t="str">
            <v/>
          </cell>
          <cell r="R956" t="e">
            <v>#N/A</v>
          </cell>
        </row>
        <row r="957">
          <cell r="A957" t="str">
            <v/>
          </cell>
          <cell r="B957" t="str">
            <v/>
          </cell>
          <cell r="C957" t="str">
            <v>Future</v>
          </cell>
          <cell r="D957" t="e">
            <v>#N/A</v>
          </cell>
          <cell r="E957">
            <v>-19.812845849802198</v>
          </cell>
          <cell r="F957">
            <v>46.25830039525723</v>
          </cell>
          <cell r="G957">
            <v>30.527075098813384</v>
          </cell>
          <cell r="H957">
            <v>30.527075098813384</v>
          </cell>
          <cell r="I957" t="e">
            <v>#N/A</v>
          </cell>
          <cell r="J957" t="e">
            <v>#N/A</v>
          </cell>
          <cell r="K957">
            <v>42</v>
          </cell>
          <cell r="L957">
            <v>32</v>
          </cell>
          <cell r="M957" t="e">
            <v>#N/A</v>
          </cell>
          <cell r="N957">
            <v>37</v>
          </cell>
          <cell r="O957" t="e">
            <v>#N/A</v>
          </cell>
          <cell r="P957" t="str">
            <v/>
          </cell>
          <cell r="Q957" t="str">
            <v/>
          </cell>
          <cell r="R957" t="e">
            <v>#N/A</v>
          </cell>
        </row>
        <row r="958">
          <cell r="A958" t="str">
            <v/>
          </cell>
          <cell r="B958" t="str">
            <v/>
          </cell>
          <cell r="C958" t="str">
            <v>Future</v>
          </cell>
          <cell r="D958" t="e">
            <v>#N/A</v>
          </cell>
          <cell r="E958">
            <v>-19.949486166007731</v>
          </cell>
          <cell r="F958">
            <v>46.287667984190037</v>
          </cell>
          <cell r="G958">
            <v>30.516916996046586</v>
          </cell>
          <cell r="H958">
            <v>30.516916996046586</v>
          </cell>
          <cell r="I958" t="e">
            <v>#N/A</v>
          </cell>
          <cell r="J958" t="e">
            <v>#N/A</v>
          </cell>
          <cell r="K958">
            <v>42</v>
          </cell>
          <cell r="L958">
            <v>32</v>
          </cell>
          <cell r="M958" t="e">
            <v>#N/A</v>
          </cell>
          <cell r="N958">
            <v>37</v>
          </cell>
          <cell r="O958" t="e">
            <v>#N/A</v>
          </cell>
          <cell r="P958" t="str">
            <v/>
          </cell>
          <cell r="Q958" t="str">
            <v/>
          </cell>
          <cell r="R958" t="e">
            <v>#N/A</v>
          </cell>
        </row>
        <row r="959">
          <cell r="A959" t="str">
            <v/>
          </cell>
          <cell r="B959" t="str">
            <v/>
          </cell>
          <cell r="C959" t="str">
            <v>Future</v>
          </cell>
          <cell r="D959" t="e">
            <v>#N/A</v>
          </cell>
          <cell r="E959">
            <v>-20.086126482213263</v>
          </cell>
          <cell r="F959">
            <v>46.317035573122844</v>
          </cell>
          <cell r="G959">
            <v>30.506758893279788</v>
          </cell>
          <cell r="H959">
            <v>30.506758893279788</v>
          </cell>
          <cell r="I959" t="e">
            <v>#N/A</v>
          </cell>
          <cell r="J959" t="e">
            <v>#N/A</v>
          </cell>
          <cell r="K959">
            <v>42</v>
          </cell>
          <cell r="L959">
            <v>32</v>
          </cell>
          <cell r="M959" t="e">
            <v>#N/A</v>
          </cell>
          <cell r="N959">
            <v>37</v>
          </cell>
          <cell r="O959" t="e">
            <v>#N/A</v>
          </cell>
          <cell r="P959" t="str">
            <v/>
          </cell>
          <cell r="Q959" t="str">
            <v/>
          </cell>
          <cell r="R959" t="e">
            <v>#N/A</v>
          </cell>
        </row>
        <row r="960">
          <cell r="A960" t="str">
            <v/>
          </cell>
          <cell r="B960" t="str">
            <v/>
          </cell>
          <cell r="C960" t="str">
            <v>Future</v>
          </cell>
          <cell r="D960" t="e">
            <v>#N/A</v>
          </cell>
          <cell r="E960">
            <v>-20.222766798418796</v>
          </cell>
          <cell r="F960">
            <v>46.346403162055651</v>
          </cell>
          <cell r="G960">
            <v>30.496600790512989</v>
          </cell>
          <cell r="H960">
            <v>30.496600790512989</v>
          </cell>
          <cell r="I960" t="e">
            <v>#N/A</v>
          </cell>
          <cell r="J960" t="e">
            <v>#N/A</v>
          </cell>
          <cell r="K960">
            <v>42</v>
          </cell>
          <cell r="L960">
            <v>32</v>
          </cell>
          <cell r="M960" t="e">
            <v>#N/A</v>
          </cell>
          <cell r="N960">
            <v>37</v>
          </cell>
          <cell r="O960" t="e">
            <v>#N/A</v>
          </cell>
          <cell r="P960" t="str">
            <v/>
          </cell>
          <cell r="Q960" t="str">
            <v/>
          </cell>
          <cell r="R960" t="e">
            <v>#N/A</v>
          </cell>
        </row>
        <row r="961">
          <cell r="A961" t="str">
            <v/>
          </cell>
          <cell r="B961" t="str">
            <v/>
          </cell>
          <cell r="C961" t="str">
            <v>Future</v>
          </cell>
          <cell r="D961" t="e">
            <v>#N/A</v>
          </cell>
          <cell r="E961">
            <v>-20.359407114624329</v>
          </cell>
          <cell r="F961">
            <v>46.375770750988458</v>
          </cell>
          <cell r="G961">
            <v>30.486442687746191</v>
          </cell>
          <cell r="H961">
            <v>30.486442687746191</v>
          </cell>
          <cell r="I961" t="e">
            <v>#N/A</v>
          </cell>
          <cell r="J961" t="e">
            <v>#N/A</v>
          </cell>
          <cell r="K961">
            <v>42</v>
          </cell>
          <cell r="L961">
            <v>32</v>
          </cell>
          <cell r="M961" t="e">
            <v>#N/A</v>
          </cell>
          <cell r="N961">
            <v>37</v>
          </cell>
          <cell r="O961" t="e">
            <v>#N/A</v>
          </cell>
          <cell r="P961" t="str">
            <v/>
          </cell>
          <cell r="Q961" t="str">
            <v/>
          </cell>
          <cell r="R961" t="e">
            <v>#N/A</v>
          </cell>
        </row>
        <row r="962">
          <cell r="A962" t="str">
            <v/>
          </cell>
          <cell r="B962" t="str">
            <v/>
          </cell>
          <cell r="C962" t="str">
            <v>Future</v>
          </cell>
          <cell r="D962" t="e">
            <v>#N/A</v>
          </cell>
          <cell r="E962">
            <v>-20.496047430829861</v>
          </cell>
          <cell r="F962">
            <v>46.405138339921265</v>
          </cell>
          <cell r="G962">
            <v>30.476284584979393</v>
          </cell>
          <cell r="H962">
            <v>30.476284584979393</v>
          </cell>
          <cell r="I962" t="e">
            <v>#N/A</v>
          </cell>
          <cell r="J962" t="e">
            <v>#N/A</v>
          </cell>
          <cell r="K962">
            <v>42</v>
          </cell>
          <cell r="L962">
            <v>32</v>
          </cell>
          <cell r="M962" t="e">
            <v>#N/A</v>
          </cell>
          <cell r="N962">
            <v>37</v>
          </cell>
          <cell r="O962" t="e">
            <v>#N/A</v>
          </cell>
          <cell r="P962" t="str">
            <v/>
          </cell>
          <cell r="Q962" t="str">
            <v/>
          </cell>
          <cell r="R962" t="e">
            <v>#N/A</v>
          </cell>
        </row>
        <row r="963">
          <cell r="A963" t="str">
            <v/>
          </cell>
          <cell r="B963" t="str">
            <v/>
          </cell>
          <cell r="C963" t="str">
            <v>Future</v>
          </cell>
          <cell r="D963" t="e">
            <v>#N/A</v>
          </cell>
          <cell r="E963">
            <v>-20.632687747035394</v>
          </cell>
          <cell r="F963">
            <v>46.434505928854072</v>
          </cell>
          <cell r="G963">
            <v>30.466126482212594</v>
          </cell>
          <cell r="H963">
            <v>30.466126482212594</v>
          </cell>
          <cell r="I963" t="e">
            <v>#N/A</v>
          </cell>
          <cell r="J963" t="e">
            <v>#N/A</v>
          </cell>
          <cell r="K963">
            <v>42</v>
          </cell>
          <cell r="L963">
            <v>32</v>
          </cell>
          <cell r="M963" t="e">
            <v>#N/A</v>
          </cell>
          <cell r="N963">
            <v>37</v>
          </cell>
          <cell r="O963" t="e">
            <v>#N/A</v>
          </cell>
          <cell r="P963" t="str">
            <v/>
          </cell>
          <cell r="Q963" t="str">
            <v/>
          </cell>
          <cell r="R963" t="e">
            <v>#N/A</v>
          </cell>
        </row>
        <row r="964">
          <cell r="A964" t="str">
            <v/>
          </cell>
          <cell r="B964" t="str">
            <v/>
          </cell>
          <cell r="C964" t="str">
            <v>Future</v>
          </cell>
          <cell r="D964" t="e">
            <v>#N/A</v>
          </cell>
          <cell r="E964">
            <v>-20.769328063240927</v>
          </cell>
          <cell r="F964">
            <v>46.46387351778688</v>
          </cell>
          <cell r="G964">
            <v>30.455968379445796</v>
          </cell>
          <cell r="H964">
            <v>30.455968379445796</v>
          </cell>
          <cell r="I964" t="e">
            <v>#N/A</v>
          </cell>
          <cell r="J964" t="e">
            <v>#N/A</v>
          </cell>
          <cell r="K964">
            <v>42</v>
          </cell>
          <cell r="L964">
            <v>32</v>
          </cell>
          <cell r="M964" t="e">
            <v>#N/A</v>
          </cell>
          <cell r="N964">
            <v>37</v>
          </cell>
          <cell r="O964" t="e">
            <v>#N/A</v>
          </cell>
          <cell r="P964" t="str">
            <v/>
          </cell>
          <cell r="Q964" t="str">
            <v/>
          </cell>
          <cell r="R964" t="e">
            <v>#N/A</v>
          </cell>
        </row>
        <row r="965">
          <cell r="A965" t="str">
            <v/>
          </cell>
          <cell r="B965" t="str">
            <v/>
          </cell>
          <cell r="C965" t="str">
            <v>Future</v>
          </cell>
          <cell r="D965" t="e">
            <v>#N/A</v>
          </cell>
          <cell r="E965">
            <v>-20.90596837944646</v>
          </cell>
          <cell r="F965">
            <v>46.493241106719687</v>
          </cell>
          <cell r="G965">
            <v>30.445810276678998</v>
          </cell>
          <cell r="H965">
            <v>30.445810276678998</v>
          </cell>
          <cell r="I965" t="e">
            <v>#N/A</v>
          </cell>
          <cell r="J965" t="e">
            <v>#N/A</v>
          </cell>
          <cell r="K965">
            <v>42</v>
          </cell>
          <cell r="L965">
            <v>32</v>
          </cell>
          <cell r="M965" t="e">
            <v>#N/A</v>
          </cell>
          <cell r="N965">
            <v>37</v>
          </cell>
          <cell r="O965" t="e">
            <v>#N/A</v>
          </cell>
          <cell r="P965" t="str">
            <v/>
          </cell>
          <cell r="Q965" t="str">
            <v/>
          </cell>
          <cell r="R965" t="e">
            <v>#N/A</v>
          </cell>
        </row>
        <row r="966">
          <cell r="A966" t="str">
            <v/>
          </cell>
          <cell r="B966" t="str">
            <v/>
          </cell>
          <cell r="C966" t="str">
            <v>Future</v>
          </cell>
          <cell r="D966" t="e">
            <v>#N/A</v>
          </cell>
          <cell r="E966">
            <v>-21.042608695651992</v>
          </cell>
          <cell r="F966">
            <v>46.522608695652494</v>
          </cell>
          <cell r="G966">
            <v>30.435652173912199</v>
          </cell>
          <cell r="H966">
            <v>30.435652173912199</v>
          </cell>
          <cell r="I966" t="e">
            <v>#N/A</v>
          </cell>
          <cell r="J966" t="e">
            <v>#N/A</v>
          </cell>
          <cell r="K966">
            <v>42</v>
          </cell>
          <cell r="L966">
            <v>32</v>
          </cell>
          <cell r="M966" t="e">
            <v>#N/A</v>
          </cell>
          <cell r="N966">
            <v>37</v>
          </cell>
          <cell r="O966" t="e">
            <v>#N/A</v>
          </cell>
          <cell r="P966" t="str">
            <v/>
          </cell>
          <cell r="Q966" t="str">
            <v/>
          </cell>
          <cell r="R966" t="e">
            <v>#N/A</v>
          </cell>
        </row>
        <row r="967">
          <cell r="A967" t="str">
            <v/>
          </cell>
          <cell r="B967" t="str">
            <v/>
          </cell>
          <cell r="C967" t="str">
            <v>Future</v>
          </cell>
          <cell r="D967" t="e">
            <v>#N/A</v>
          </cell>
          <cell r="E967">
            <v>-21.179249011857525</v>
          </cell>
          <cell r="F967">
            <v>46.551976284585301</v>
          </cell>
          <cell r="G967">
            <v>30.425494071145401</v>
          </cell>
          <cell r="H967">
            <v>30.425494071145401</v>
          </cell>
          <cell r="I967" t="e">
            <v>#N/A</v>
          </cell>
          <cell r="J967" t="e">
            <v>#N/A</v>
          </cell>
          <cell r="K967">
            <v>42</v>
          </cell>
          <cell r="L967">
            <v>32</v>
          </cell>
          <cell r="M967" t="e">
            <v>#N/A</v>
          </cell>
          <cell r="N967">
            <v>37</v>
          </cell>
          <cell r="O967" t="e">
            <v>#N/A</v>
          </cell>
          <cell r="P967" t="str">
            <v/>
          </cell>
          <cell r="Q967" t="str">
            <v/>
          </cell>
          <cell r="R967" t="e">
            <v>#N/A</v>
          </cell>
        </row>
        <row r="968">
          <cell r="A968" t="str">
            <v/>
          </cell>
          <cell r="B968" t="str">
            <v/>
          </cell>
          <cell r="C968" t="str">
            <v>Future</v>
          </cell>
          <cell r="D968" t="e">
            <v>#N/A</v>
          </cell>
          <cell r="E968">
            <v>-21.315889328063058</v>
          </cell>
          <cell r="F968">
            <v>46.581343873518108</v>
          </cell>
          <cell r="G968">
            <v>30.415335968378603</v>
          </cell>
          <cell r="H968">
            <v>30.415335968378603</v>
          </cell>
          <cell r="I968" t="e">
            <v>#N/A</v>
          </cell>
          <cell r="J968" t="e">
            <v>#N/A</v>
          </cell>
          <cell r="K968">
            <v>42</v>
          </cell>
          <cell r="L968">
            <v>32</v>
          </cell>
          <cell r="M968" t="e">
            <v>#N/A</v>
          </cell>
          <cell r="N968">
            <v>37</v>
          </cell>
          <cell r="O968" t="e">
            <v>#N/A</v>
          </cell>
          <cell r="P968" t="str">
            <v/>
          </cell>
          <cell r="Q968" t="str">
            <v/>
          </cell>
          <cell r="R968" t="e">
            <v>#N/A</v>
          </cell>
        </row>
        <row r="969">
          <cell r="A969" t="str">
            <v/>
          </cell>
          <cell r="B969" t="str">
            <v/>
          </cell>
          <cell r="C969" t="str">
            <v>Future</v>
          </cell>
          <cell r="D969" t="e">
            <v>#N/A</v>
          </cell>
          <cell r="E969">
            <v>-21.452529644268591</v>
          </cell>
          <cell r="F969">
            <v>46.610711462450915</v>
          </cell>
          <cell r="G969">
            <v>30.405177865611805</v>
          </cell>
          <cell r="H969">
            <v>30.405177865611805</v>
          </cell>
          <cell r="I969" t="e">
            <v>#N/A</v>
          </cell>
          <cell r="J969" t="e">
            <v>#N/A</v>
          </cell>
          <cell r="K969">
            <v>42</v>
          </cell>
          <cell r="L969">
            <v>32</v>
          </cell>
          <cell r="M969" t="e">
            <v>#N/A</v>
          </cell>
          <cell r="N969">
            <v>37</v>
          </cell>
          <cell r="O969" t="e">
            <v>#N/A</v>
          </cell>
          <cell r="P969" t="str">
            <v/>
          </cell>
          <cell r="Q969" t="str">
            <v/>
          </cell>
          <cell r="R969" t="e">
            <v>#N/A</v>
          </cell>
        </row>
        <row r="970">
          <cell r="A970" t="str">
            <v/>
          </cell>
          <cell r="B970" t="str">
            <v/>
          </cell>
          <cell r="C970" t="str">
            <v>Future</v>
          </cell>
          <cell r="D970" t="e">
            <v>#N/A</v>
          </cell>
          <cell r="E970">
            <v>-21.589169960474123</v>
          </cell>
          <cell r="F970">
            <v>46.640079051383722</v>
          </cell>
          <cell r="G970">
            <v>30.395019762845006</v>
          </cell>
          <cell r="H970">
            <v>30.395019762845006</v>
          </cell>
          <cell r="I970" t="e">
            <v>#N/A</v>
          </cell>
          <cell r="J970" t="e">
            <v>#N/A</v>
          </cell>
          <cell r="K970">
            <v>42</v>
          </cell>
          <cell r="L970">
            <v>32</v>
          </cell>
          <cell r="M970" t="e">
            <v>#N/A</v>
          </cell>
          <cell r="N970">
            <v>37</v>
          </cell>
          <cell r="O970" t="e">
            <v>#N/A</v>
          </cell>
          <cell r="P970" t="str">
            <v/>
          </cell>
          <cell r="Q970" t="str">
            <v/>
          </cell>
          <cell r="R970" t="e">
            <v>#N/A</v>
          </cell>
        </row>
        <row r="971">
          <cell r="A971" t="str">
            <v/>
          </cell>
          <cell r="B971" t="str">
            <v/>
          </cell>
          <cell r="C971" t="str">
            <v>Future</v>
          </cell>
          <cell r="D971" t="e">
            <v>#N/A</v>
          </cell>
          <cell r="E971">
            <v>-21.725810276679656</v>
          </cell>
          <cell r="F971">
            <v>46.669446640316529</v>
          </cell>
          <cell r="G971">
            <v>30.384861660078208</v>
          </cell>
          <cell r="H971">
            <v>30.384861660078208</v>
          </cell>
          <cell r="I971" t="e">
            <v>#N/A</v>
          </cell>
          <cell r="J971" t="e">
            <v>#N/A</v>
          </cell>
          <cell r="K971">
            <v>42</v>
          </cell>
          <cell r="L971">
            <v>32</v>
          </cell>
          <cell r="M971" t="e">
            <v>#N/A</v>
          </cell>
          <cell r="N971">
            <v>37</v>
          </cell>
          <cell r="O971" t="e">
            <v>#N/A</v>
          </cell>
          <cell r="P971" t="str">
            <v/>
          </cell>
          <cell r="Q971" t="str">
            <v/>
          </cell>
          <cell r="R971" t="e">
            <v>#N/A</v>
          </cell>
        </row>
        <row r="972">
          <cell r="A972" t="str">
            <v/>
          </cell>
          <cell r="B972" t="str">
            <v/>
          </cell>
          <cell r="C972" t="str">
            <v>Future</v>
          </cell>
          <cell r="D972" t="e">
            <v>#N/A</v>
          </cell>
          <cell r="E972">
            <v>-21.862450592885189</v>
          </cell>
          <cell r="F972">
            <v>46.698814229249336</v>
          </cell>
          <cell r="G972">
            <v>30.37470355731141</v>
          </cell>
          <cell r="H972">
            <v>30.37470355731141</v>
          </cell>
          <cell r="I972" t="e">
            <v>#N/A</v>
          </cell>
          <cell r="J972" t="e">
            <v>#N/A</v>
          </cell>
          <cell r="K972">
            <v>42</v>
          </cell>
          <cell r="L972">
            <v>32</v>
          </cell>
          <cell r="M972" t="e">
            <v>#N/A</v>
          </cell>
          <cell r="N972">
            <v>37</v>
          </cell>
          <cell r="O972" t="e">
            <v>#N/A</v>
          </cell>
          <cell r="P972" t="str">
            <v/>
          </cell>
          <cell r="Q972" t="str">
            <v/>
          </cell>
          <cell r="R972" t="e">
            <v>#N/A</v>
          </cell>
        </row>
        <row r="973">
          <cell r="A973" t="str">
            <v/>
          </cell>
          <cell r="B973" t="str">
            <v/>
          </cell>
          <cell r="C973" t="str">
            <v>Future</v>
          </cell>
          <cell r="D973" t="e">
            <v>#N/A</v>
          </cell>
          <cell r="E973">
            <v>-21.999090909090722</v>
          </cell>
          <cell r="F973">
            <v>46.728181818182144</v>
          </cell>
          <cell r="G973">
            <v>30.364545454544611</v>
          </cell>
          <cell r="H973">
            <v>30.364545454544611</v>
          </cell>
          <cell r="I973" t="e">
            <v>#N/A</v>
          </cell>
          <cell r="J973" t="e">
            <v>#N/A</v>
          </cell>
          <cell r="K973">
            <v>42</v>
          </cell>
          <cell r="L973">
            <v>32</v>
          </cell>
          <cell r="M973" t="e">
            <v>#N/A</v>
          </cell>
          <cell r="N973">
            <v>37</v>
          </cell>
          <cell r="O973" t="e">
            <v>#N/A</v>
          </cell>
          <cell r="P973" t="str">
            <v/>
          </cell>
          <cell r="Q973" t="str">
            <v/>
          </cell>
          <cell r="R973" t="e">
            <v>#N/A</v>
          </cell>
        </row>
        <row r="974">
          <cell r="A974" t="str">
            <v/>
          </cell>
          <cell r="B974" t="str">
            <v/>
          </cell>
          <cell r="C974" t="str">
            <v>Future</v>
          </cell>
          <cell r="D974" t="e">
            <v>#N/A</v>
          </cell>
          <cell r="E974">
            <v>-22.135731225296254</v>
          </cell>
          <cell r="F974">
            <v>46.757549407114951</v>
          </cell>
          <cell r="G974">
            <v>30.354387351777813</v>
          </cell>
          <cell r="H974">
            <v>30.354387351777813</v>
          </cell>
          <cell r="I974" t="e">
            <v>#N/A</v>
          </cell>
          <cell r="J974" t="e">
            <v>#N/A</v>
          </cell>
          <cell r="K974">
            <v>42</v>
          </cell>
          <cell r="L974">
            <v>32</v>
          </cell>
          <cell r="M974" t="e">
            <v>#N/A</v>
          </cell>
          <cell r="N974">
            <v>37</v>
          </cell>
          <cell r="O974" t="e">
            <v>#N/A</v>
          </cell>
          <cell r="P974" t="str">
            <v/>
          </cell>
          <cell r="Q974" t="str">
            <v/>
          </cell>
          <cell r="R974" t="e">
            <v>#N/A</v>
          </cell>
        </row>
        <row r="975">
          <cell r="A975" t="str">
            <v/>
          </cell>
          <cell r="B975" t="str">
            <v/>
          </cell>
          <cell r="C975" t="str">
            <v>Future</v>
          </cell>
          <cell r="D975" t="e">
            <v>#N/A</v>
          </cell>
          <cell r="E975">
            <v>-22.272371541501787</v>
          </cell>
          <cell r="F975">
            <v>46.786916996047758</v>
          </cell>
          <cell r="G975">
            <v>30.344229249011015</v>
          </cell>
          <cell r="H975">
            <v>30.344229249011015</v>
          </cell>
          <cell r="I975" t="e">
            <v>#N/A</v>
          </cell>
          <cell r="J975" t="e">
            <v>#N/A</v>
          </cell>
          <cell r="K975">
            <v>42</v>
          </cell>
          <cell r="L975">
            <v>32</v>
          </cell>
          <cell r="M975" t="e">
            <v>#N/A</v>
          </cell>
          <cell r="N975">
            <v>37</v>
          </cell>
          <cell r="O975" t="e">
            <v>#N/A</v>
          </cell>
          <cell r="P975" t="str">
            <v/>
          </cell>
          <cell r="Q975" t="str">
            <v/>
          </cell>
          <cell r="R975" t="e">
            <v>#N/A</v>
          </cell>
        </row>
        <row r="976">
          <cell r="A976" t="str">
            <v/>
          </cell>
          <cell r="B976" t="str">
            <v/>
          </cell>
          <cell r="C976" t="str">
            <v>Future</v>
          </cell>
          <cell r="D976" t="e">
            <v>#N/A</v>
          </cell>
          <cell r="E976">
            <v>-22.40901185770732</v>
          </cell>
          <cell r="F976">
            <v>46.816284584980565</v>
          </cell>
          <cell r="G976">
            <v>30.334071146244217</v>
          </cell>
          <cell r="H976">
            <v>30.334071146244217</v>
          </cell>
          <cell r="I976" t="e">
            <v>#N/A</v>
          </cell>
          <cell r="J976" t="e">
            <v>#N/A</v>
          </cell>
          <cell r="K976">
            <v>42</v>
          </cell>
          <cell r="L976">
            <v>32</v>
          </cell>
          <cell r="M976" t="e">
            <v>#N/A</v>
          </cell>
          <cell r="N976">
            <v>37</v>
          </cell>
          <cell r="O976" t="e">
            <v>#N/A</v>
          </cell>
          <cell r="P976" t="str">
            <v/>
          </cell>
          <cell r="Q976" t="str">
            <v/>
          </cell>
          <cell r="R976" t="e">
            <v>#N/A</v>
          </cell>
        </row>
        <row r="977">
          <cell r="A977" t="str">
            <v/>
          </cell>
          <cell r="B977" t="str">
            <v/>
          </cell>
          <cell r="C977" t="str">
            <v>Future</v>
          </cell>
          <cell r="D977" t="e">
            <v>#N/A</v>
          </cell>
          <cell r="E977">
            <v>-22.545652173912853</v>
          </cell>
          <cell r="F977">
            <v>46.845652173913372</v>
          </cell>
          <cell r="G977">
            <v>30.323913043477418</v>
          </cell>
          <cell r="H977">
            <v>30.323913043477418</v>
          </cell>
          <cell r="I977" t="e">
            <v>#N/A</v>
          </cell>
          <cell r="J977" t="e">
            <v>#N/A</v>
          </cell>
          <cell r="K977">
            <v>42</v>
          </cell>
          <cell r="L977">
            <v>32</v>
          </cell>
          <cell r="M977" t="e">
            <v>#N/A</v>
          </cell>
          <cell r="N977">
            <v>37</v>
          </cell>
          <cell r="O977" t="e">
            <v>#N/A</v>
          </cell>
          <cell r="P977" t="str">
            <v/>
          </cell>
          <cell r="Q977" t="str">
            <v/>
          </cell>
          <cell r="R977" t="e">
            <v>#N/A</v>
          </cell>
        </row>
        <row r="978">
          <cell r="A978" t="str">
            <v/>
          </cell>
          <cell r="B978" t="str">
            <v/>
          </cell>
          <cell r="C978" t="str">
            <v>Future</v>
          </cell>
          <cell r="D978" t="e">
            <v>#N/A</v>
          </cell>
          <cell r="E978">
            <v>-22.682292490118385</v>
          </cell>
          <cell r="F978">
            <v>46.875019762846179</v>
          </cell>
          <cell r="G978">
            <v>30.31375494071062</v>
          </cell>
          <cell r="H978">
            <v>30.31375494071062</v>
          </cell>
          <cell r="I978" t="e">
            <v>#N/A</v>
          </cell>
          <cell r="J978" t="e">
            <v>#N/A</v>
          </cell>
          <cell r="K978">
            <v>42</v>
          </cell>
          <cell r="L978">
            <v>32</v>
          </cell>
          <cell r="M978" t="e">
            <v>#N/A</v>
          </cell>
          <cell r="N978">
            <v>37</v>
          </cell>
          <cell r="O978" t="e">
            <v>#N/A</v>
          </cell>
          <cell r="P978" t="str">
            <v/>
          </cell>
          <cell r="Q978" t="str">
            <v/>
          </cell>
          <cell r="R978" t="e">
            <v>#N/A</v>
          </cell>
        </row>
        <row r="979">
          <cell r="A979" t="str">
            <v/>
          </cell>
          <cell r="B979" t="str">
            <v/>
          </cell>
          <cell r="C979" t="str">
            <v>Future</v>
          </cell>
          <cell r="D979" t="e">
            <v>#N/A</v>
          </cell>
          <cell r="E979">
            <v>-22.818932806323918</v>
          </cell>
          <cell r="F979">
            <v>46.904387351778986</v>
          </cell>
          <cell r="G979">
            <v>30.303596837943822</v>
          </cell>
          <cell r="H979">
            <v>30.303596837943822</v>
          </cell>
          <cell r="I979" t="e">
            <v>#N/A</v>
          </cell>
          <cell r="J979" t="e">
            <v>#N/A</v>
          </cell>
          <cell r="K979">
            <v>42</v>
          </cell>
          <cell r="L979">
            <v>32</v>
          </cell>
          <cell r="M979" t="e">
            <v>#N/A</v>
          </cell>
          <cell r="N979">
            <v>37</v>
          </cell>
          <cell r="O979" t="e">
            <v>#N/A</v>
          </cell>
          <cell r="P979" t="str">
            <v/>
          </cell>
          <cell r="Q979" t="str">
            <v/>
          </cell>
          <cell r="R979" t="e">
            <v>#N/A</v>
          </cell>
        </row>
        <row r="980">
          <cell r="A980" t="str">
            <v/>
          </cell>
          <cell r="B980" t="str">
            <v/>
          </cell>
          <cell r="C980" t="str">
            <v>Future</v>
          </cell>
          <cell r="D980" t="e">
            <v>#N/A</v>
          </cell>
          <cell r="E980">
            <v>-22.955573122529451</v>
          </cell>
          <cell r="F980">
            <v>46.933754940711793</v>
          </cell>
          <cell r="G980">
            <v>30.293438735177023</v>
          </cell>
          <cell r="H980">
            <v>30.293438735177023</v>
          </cell>
          <cell r="I980" t="e">
            <v>#N/A</v>
          </cell>
          <cell r="J980" t="e">
            <v>#N/A</v>
          </cell>
          <cell r="K980">
            <v>42</v>
          </cell>
          <cell r="L980">
            <v>32</v>
          </cell>
          <cell r="M980" t="e">
            <v>#N/A</v>
          </cell>
          <cell r="N980">
            <v>37</v>
          </cell>
          <cell r="O980" t="e">
            <v>#N/A</v>
          </cell>
          <cell r="P980" t="str">
            <v/>
          </cell>
          <cell r="Q980" t="str">
            <v/>
          </cell>
          <cell r="R980" t="e">
            <v>#N/A</v>
          </cell>
        </row>
        <row r="981">
          <cell r="A981" t="str">
            <v/>
          </cell>
          <cell r="B981" t="str">
            <v/>
          </cell>
          <cell r="C981" t="str">
            <v>Future</v>
          </cell>
          <cell r="D981" t="e">
            <v>#N/A</v>
          </cell>
          <cell r="E981">
            <v>-23.092213438734984</v>
          </cell>
          <cell r="F981">
            <v>46.9631225296446</v>
          </cell>
          <cell r="G981">
            <v>30.283280632410225</v>
          </cell>
          <cell r="H981">
            <v>30.283280632410225</v>
          </cell>
          <cell r="I981" t="e">
            <v>#N/A</v>
          </cell>
          <cell r="J981" t="e">
            <v>#N/A</v>
          </cell>
          <cell r="K981">
            <v>42</v>
          </cell>
          <cell r="L981">
            <v>32</v>
          </cell>
          <cell r="M981" t="e">
            <v>#N/A</v>
          </cell>
          <cell r="N981">
            <v>37</v>
          </cell>
          <cell r="O981" t="e">
            <v>#N/A</v>
          </cell>
          <cell r="P981" t="str">
            <v/>
          </cell>
          <cell r="Q981" t="str">
            <v/>
          </cell>
          <cell r="R981" t="e">
            <v>#N/A</v>
          </cell>
        </row>
        <row r="982">
          <cell r="A982" t="str">
            <v/>
          </cell>
          <cell r="B982" t="str">
            <v/>
          </cell>
          <cell r="C982" t="str">
            <v>Future</v>
          </cell>
          <cell r="D982" t="e">
            <v>#N/A</v>
          </cell>
          <cell r="E982">
            <v>-23.228853754940516</v>
          </cell>
          <cell r="F982">
            <v>46.992490118577408</v>
          </cell>
          <cell r="G982">
            <v>30.273122529643427</v>
          </cell>
          <cell r="H982">
            <v>30.273122529643427</v>
          </cell>
          <cell r="I982" t="e">
            <v>#N/A</v>
          </cell>
          <cell r="J982" t="e">
            <v>#N/A</v>
          </cell>
          <cell r="K982">
            <v>42</v>
          </cell>
          <cell r="L982">
            <v>32</v>
          </cell>
          <cell r="M982" t="e">
            <v>#N/A</v>
          </cell>
          <cell r="N982">
            <v>37</v>
          </cell>
          <cell r="O982" t="e">
            <v>#N/A</v>
          </cell>
          <cell r="P982" t="str">
            <v/>
          </cell>
          <cell r="Q982" t="str">
            <v/>
          </cell>
          <cell r="R982" t="e">
            <v>#N/A</v>
          </cell>
        </row>
        <row r="983">
          <cell r="A983" t="str">
            <v/>
          </cell>
          <cell r="B983" t="str">
            <v/>
          </cell>
          <cell r="C983" t="str">
            <v>Future</v>
          </cell>
          <cell r="D983" t="e">
            <v>#N/A</v>
          </cell>
          <cell r="E983">
            <v>-23.365494071146049</v>
          </cell>
          <cell r="F983">
            <v>47.021857707510215</v>
          </cell>
          <cell r="G983">
            <v>30.262964426876628</v>
          </cell>
          <cell r="H983">
            <v>30.262964426876628</v>
          </cell>
          <cell r="I983" t="e">
            <v>#N/A</v>
          </cell>
          <cell r="J983" t="e">
            <v>#N/A</v>
          </cell>
          <cell r="K983">
            <v>42</v>
          </cell>
          <cell r="L983">
            <v>32</v>
          </cell>
          <cell r="M983" t="e">
            <v>#N/A</v>
          </cell>
          <cell r="N983">
            <v>37</v>
          </cell>
          <cell r="O983" t="e">
            <v>#N/A</v>
          </cell>
          <cell r="P983" t="str">
            <v/>
          </cell>
          <cell r="Q983" t="str">
            <v/>
          </cell>
          <cell r="R983" t="e">
            <v>#N/A</v>
          </cell>
        </row>
        <row r="984">
          <cell r="A984" t="str">
            <v/>
          </cell>
          <cell r="B984" t="str">
            <v/>
          </cell>
          <cell r="C984" t="str">
            <v>Future</v>
          </cell>
          <cell r="D984" t="e">
            <v>#N/A</v>
          </cell>
          <cell r="E984">
            <v>-23.502134387351582</v>
          </cell>
          <cell r="F984">
            <v>47.051225296443022</v>
          </cell>
          <cell r="G984">
            <v>30.25280632410983</v>
          </cell>
          <cell r="H984">
            <v>30.25280632410983</v>
          </cell>
          <cell r="I984" t="e">
            <v>#N/A</v>
          </cell>
          <cell r="J984" t="e">
            <v>#N/A</v>
          </cell>
          <cell r="K984">
            <v>42</v>
          </cell>
          <cell r="L984">
            <v>32</v>
          </cell>
          <cell r="M984" t="e">
            <v>#N/A</v>
          </cell>
          <cell r="N984">
            <v>37</v>
          </cell>
          <cell r="O984" t="e">
            <v>#N/A</v>
          </cell>
          <cell r="P984" t="str">
            <v/>
          </cell>
          <cell r="Q984" t="str">
            <v/>
          </cell>
          <cell r="R984" t="e">
            <v>#N/A</v>
          </cell>
        </row>
        <row r="985">
          <cell r="A985" t="str">
            <v/>
          </cell>
          <cell r="B985" t="str">
            <v/>
          </cell>
          <cell r="C985" t="str">
            <v>Future</v>
          </cell>
          <cell r="D985" t="e">
            <v>#N/A</v>
          </cell>
          <cell r="E985">
            <v>-23.638774703557115</v>
          </cell>
          <cell r="F985">
            <v>47.080592885375829</v>
          </cell>
          <cell r="G985">
            <v>30.242648221343032</v>
          </cell>
          <cell r="H985">
            <v>30.242648221343032</v>
          </cell>
          <cell r="I985" t="e">
            <v>#N/A</v>
          </cell>
          <cell r="J985" t="e">
            <v>#N/A</v>
          </cell>
          <cell r="K985">
            <v>42</v>
          </cell>
          <cell r="L985">
            <v>32</v>
          </cell>
          <cell r="M985" t="e">
            <v>#N/A</v>
          </cell>
          <cell r="N985">
            <v>37</v>
          </cell>
          <cell r="O985" t="e">
            <v>#N/A</v>
          </cell>
          <cell r="P985" t="str">
            <v/>
          </cell>
          <cell r="Q985" t="str">
            <v/>
          </cell>
          <cell r="R985" t="e">
            <v>#N/A</v>
          </cell>
        </row>
        <row r="986">
          <cell r="A986" t="str">
            <v/>
          </cell>
          <cell r="B986" t="str">
            <v/>
          </cell>
          <cell r="C986" t="str">
            <v>Future</v>
          </cell>
          <cell r="D986" t="e">
            <v>#N/A</v>
          </cell>
          <cell r="E986">
            <v>-23.775415019762647</v>
          </cell>
          <cell r="F986">
            <v>47.109960474308636</v>
          </cell>
          <cell r="G986">
            <v>30.232490118576234</v>
          </cell>
          <cell r="H986">
            <v>30.232490118576234</v>
          </cell>
          <cell r="I986" t="e">
            <v>#N/A</v>
          </cell>
          <cell r="J986" t="e">
            <v>#N/A</v>
          </cell>
          <cell r="K986">
            <v>42</v>
          </cell>
          <cell r="L986">
            <v>32</v>
          </cell>
          <cell r="M986" t="e">
            <v>#N/A</v>
          </cell>
          <cell r="N986">
            <v>37</v>
          </cell>
          <cell r="O986" t="e">
            <v>#N/A</v>
          </cell>
          <cell r="P986" t="str">
            <v/>
          </cell>
          <cell r="Q986" t="str">
            <v/>
          </cell>
          <cell r="R986" t="e">
            <v>#N/A</v>
          </cell>
        </row>
        <row r="987">
          <cell r="A987" t="str">
            <v/>
          </cell>
          <cell r="B987" t="str">
            <v/>
          </cell>
          <cell r="C987" t="str">
            <v>Future</v>
          </cell>
          <cell r="D987" t="e">
            <v>#N/A</v>
          </cell>
          <cell r="E987">
            <v>-23.91205533596818</v>
          </cell>
          <cell r="F987">
            <v>47.139328063241443</v>
          </cell>
          <cell r="G987">
            <v>30.222332015809435</v>
          </cell>
          <cell r="H987">
            <v>30.222332015809435</v>
          </cell>
          <cell r="I987" t="e">
            <v>#N/A</v>
          </cell>
          <cell r="J987" t="e">
            <v>#N/A</v>
          </cell>
          <cell r="K987">
            <v>42</v>
          </cell>
          <cell r="L987">
            <v>32</v>
          </cell>
          <cell r="M987" t="e">
            <v>#N/A</v>
          </cell>
          <cell r="N987">
            <v>37</v>
          </cell>
          <cell r="O987" t="e">
            <v>#N/A</v>
          </cell>
          <cell r="P987" t="str">
            <v/>
          </cell>
          <cell r="Q987" t="str">
            <v/>
          </cell>
          <cell r="R987" t="e">
            <v>#N/A</v>
          </cell>
        </row>
        <row r="988">
          <cell r="A988" t="str">
            <v/>
          </cell>
          <cell r="B988" t="str">
            <v/>
          </cell>
          <cell r="C988" t="str">
            <v>Future</v>
          </cell>
          <cell r="D988" t="e">
            <v>#N/A</v>
          </cell>
          <cell r="E988">
            <v>-24.048695652173713</v>
          </cell>
          <cell r="F988">
            <v>47.16869565217425</v>
          </cell>
          <cell r="G988">
            <v>30.212173913042637</v>
          </cell>
          <cell r="H988">
            <v>30.212173913042637</v>
          </cell>
          <cell r="I988" t="e">
            <v>#N/A</v>
          </cell>
          <cell r="J988" t="e">
            <v>#N/A</v>
          </cell>
          <cell r="K988">
            <v>42</v>
          </cell>
          <cell r="L988">
            <v>32</v>
          </cell>
          <cell r="M988" t="e">
            <v>#N/A</v>
          </cell>
          <cell r="N988">
            <v>37</v>
          </cell>
          <cell r="O988" t="e">
            <v>#N/A</v>
          </cell>
          <cell r="P988" t="str">
            <v/>
          </cell>
          <cell r="Q988" t="str">
            <v/>
          </cell>
          <cell r="R988" t="e">
            <v>#N/A</v>
          </cell>
        </row>
        <row r="989">
          <cell r="A989" t="str">
            <v/>
          </cell>
          <cell r="B989" t="str">
            <v/>
          </cell>
          <cell r="C989" t="str">
            <v>Future</v>
          </cell>
          <cell r="D989" t="e">
            <v>#N/A</v>
          </cell>
          <cell r="E989">
            <v>-24.185335968379245</v>
          </cell>
          <cell r="F989">
            <v>47.198063241107057</v>
          </cell>
          <cell r="G989">
            <v>30.202015810275839</v>
          </cell>
          <cell r="H989">
            <v>30.202015810275839</v>
          </cell>
          <cell r="I989" t="e">
            <v>#N/A</v>
          </cell>
          <cell r="J989" t="e">
            <v>#N/A</v>
          </cell>
          <cell r="K989">
            <v>42</v>
          </cell>
          <cell r="L989">
            <v>32</v>
          </cell>
          <cell r="M989" t="e">
            <v>#N/A</v>
          </cell>
          <cell r="N989">
            <v>37</v>
          </cell>
          <cell r="O989" t="e">
            <v>#N/A</v>
          </cell>
          <cell r="P989" t="str">
            <v/>
          </cell>
          <cell r="Q989" t="str">
            <v/>
          </cell>
          <cell r="R989" t="e">
            <v>#N/A</v>
          </cell>
        </row>
        <row r="990">
          <cell r="A990" t="str">
            <v/>
          </cell>
          <cell r="B990" t="str">
            <v/>
          </cell>
          <cell r="C990" t="str">
            <v>Future</v>
          </cell>
          <cell r="D990" t="e">
            <v>#N/A</v>
          </cell>
          <cell r="E990">
            <v>-24.321976284584778</v>
          </cell>
          <cell r="F990">
            <v>47.227430830039864</v>
          </cell>
          <cell r="G990">
            <v>30.19185770750904</v>
          </cell>
          <cell r="H990">
            <v>30.19185770750904</v>
          </cell>
          <cell r="I990" t="e">
            <v>#N/A</v>
          </cell>
          <cell r="J990" t="e">
            <v>#N/A</v>
          </cell>
          <cell r="K990">
            <v>42</v>
          </cell>
          <cell r="L990">
            <v>32</v>
          </cell>
          <cell r="M990" t="e">
            <v>#N/A</v>
          </cell>
          <cell r="N990">
            <v>37</v>
          </cell>
          <cell r="O990" t="e">
            <v>#N/A</v>
          </cell>
          <cell r="P990" t="str">
            <v/>
          </cell>
          <cell r="Q990" t="str">
            <v/>
          </cell>
          <cell r="R990" t="e">
            <v>#N/A</v>
          </cell>
        </row>
        <row r="991">
          <cell r="A991" t="str">
            <v/>
          </cell>
          <cell r="B991" t="str">
            <v/>
          </cell>
          <cell r="C991" t="str">
            <v>Future</v>
          </cell>
          <cell r="D991" t="e">
            <v>#N/A</v>
          </cell>
          <cell r="E991">
            <v>-24.458616600790311</v>
          </cell>
          <cell r="F991">
            <v>47.256798418972672</v>
          </cell>
          <cell r="G991">
            <v>30.181699604742242</v>
          </cell>
          <cell r="H991">
            <v>30.181699604742242</v>
          </cell>
          <cell r="I991" t="e">
            <v>#N/A</v>
          </cell>
          <cell r="J991" t="e">
            <v>#N/A</v>
          </cell>
          <cell r="K991">
            <v>42</v>
          </cell>
          <cell r="L991">
            <v>32</v>
          </cell>
          <cell r="M991" t="e">
            <v>#N/A</v>
          </cell>
          <cell r="N991">
            <v>37</v>
          </cell>
          <cell r="O991" t="e">
            <v>#N/A</v>
          </cell>
          <cell r="P991" t="str">
            <v/>
          </cell>
          <cell r="Q991" t="str">
            <v/>
          </cell>
          <cell r="R991" t="e">
            <v>#N/A</v>
          </cell>
        </row>
        <row r="992">
          <cell r="A992" t="str">
            <v/>
          </cell>
          <cell r="B992" t="str">
            <v/>
          </cell>
          <cell r="C992" t="str">
            <v>Future</v>
          </cell>
          <cell r="D992" t="e">
            <v>#N/A</v>
          </cell>
          <cell r="E992">
            <v>-24.595256916995844</v>
          </cell>
          <cell r="F992">
            <v>47.286166007905479</v>
          </cell>
          <cell r="G992">
            <v>30.171541501975444</v>
          </cell>
          <cell r="H992">
            <v>30.171541501975444</v>
          </cell>
          <cell r="I992" t="e">
            <v>#N/A</v>
          </cell>
          <cell r="J992" t="e">
            <v>#N/A</v>
          </cell>
          <cell r="K992">
            <v>42</v>
          </cell>
          <cell r="L992">
            <v>32</v>
          </cell>
          <cell r="M992" t="e">
            <v>#N/A</v>
          </cell>
          <cell r="N992">
            <v>37</v>
          </cell>
          <cell r="O992" t="e">
            <v>#N/A</v>
          </cell>
          <cell r="P992" t="str">
            <v/>
          </cell>
          <cell r="Q992" t="str">
            <v/>
          </cell>
          <cell r="R992" t="e">
            <v>#N/A</v>
          </cell>
        </row>
        <row r="993">
          <cell r="A993" t="str">
            <v/>
          </cell>
          <cell r="B993" t="str">
            <v/>
          </cell>
          <cell r="C993" t="str">
            <v>Future</v>
          </cell>
          <cell r="D993" t="e">
            <v>#N/A</v>
          </cell>
          <cell r="E993">
            <v>-24.731897233201376</v>
          </cell>
          <cell r="F993">
            <v>47.315533596838286</v>
          </cell>
          <cell r="G993">
            <v>30.161383399208646</v>
          </cell>
          <cell r="H993">
            <v>30.161383399208646</v>
          </cell>
          <cell r="I993" t="e">
            <v>#N/A</v>
          </cell>
          <cell r="J993" t="e">
            <v>#N/A</v>
          </cell>
          <cell r="K993">
            <v>42</v>
          </cell>
          <cell r="L993">
            <v>32</v>
          </cell>
          <cell r="M993" t="e">
            <v>#N/A</v>
          </cell>
          <cell r="N993">
            <v>37</v>
          </cell>
          <cell r="O993" t="e">
            <v>#N/A</v>
          </cell>
          <cell r="P993" t="str">
            <v/>
          </cell>
          <cell r="Q993" t="str">
            <v/>
          </cell>
          <cell r="R993" t="e">
            <v>#N/A</v>
          </cell>
        </row>
        <row r="994">
          <cell r="A994" t="str">
            <v/>
          </cell>
          <cell r="B994" t="str">
            <v/>
          </cell>
          <cell r="C994" t="str">
            <v>Future</v>
          </cell>
          <cell r="D994" t="e">
            <v>#N/A</v>
          </cell>
          <cell r="E994">
            <v>-24.868537549406909</v>
          </cell>
          <cell r="F994">
            <v>47.344901185771093</v>
          </cell>
          <cell r="G994">
            <v>30.151225296441847</v>
          </cell>
          <cell r="H994">
            <v>30.151225296441847</v>
          </cell>
          <cell r="I994" t="e">
            <v>#N/A</v>
          </cell>
          <cell r="J994" t="e">
            <v>#N/A</v>
          </cell>
          <cell r="K994">
            <v>42</v>
          </cell>
          <cell r="L994">
            <v>32</v>
          </cell>
          <cell r="M994" t="e">
            <v>#N/A</v>
          </cell>
          <cell r="N994">
            <v>37</v>
          </cell>
          <cell r="O994" t="e">
            <v>#N/A</v>
          </cell>
          <cell r="P994" t="str">
            <v/>
          </cell>
          <cell r="Q994" t="str">
            <v/>
          </cell>
          <cell r="R994" t="e">
            <v>#N/A</v>
          </cell>
        </row>
        <row r="995">
          <cell r="A995" t="str">
            <v/>
          </cell>
          <cell r="B995" t="str">
            <v/>
          </cell>
          <cell r="C995" t="str">
            <v>Future</v>
          </cell>
          <cell r="D995" t="e">
            <v>#N/A</v>
          </cell>
          <cell r="E995">
            <v>-25.005177865612442</v>
          </cell>
          <cell r="F995">
            <v>47.3742687747039</v>
          </cell>
          <cell r="G995">
            <v>30.141067193675049</v>
          </cell>
          <cell r="H995">
            <v>30.141067193675049</v>
          </cell>
          <cell r="I995" t="e">
            <v>#N/A</v>
          </cell>
          <cell r="J995" t="e">
            <v>#N/A</v>
          </cell>
          <cell r="K995">
            <v>42</v>
          </cell>
          <cell r="L995">
            <v>32</v>
          </cell>
          <cell r="M995" t="e">
            <v>#N/A</v>
          </cell>
          <cell r="N995">
            <v>37</v>
          </cell>
          <cell r="O995" t="e">
            <v>#N/A</v>
          </cell>
          <cell r="P995" t="str">
            <v/>
          </cell>
          <cell r="Q995" t="str">
            <v/>
          </cell>
          <cell r="R995" t="e">
            <v>#N/A</v>
          </cell>
        </row>
        <row r="996">
          <cell r="A996" t="str">
            <v/>
          </cell>
          <cell r="B996" t="str">
            <v/>
          </cell>
          <cell r="C996" t="str">
            <v>Future</v>
          </cell>
          <cell r="D996" t="e">
            <v>#N/A</v>
          </cell>
          <cell r="E996">
            <v>-25.141818181817975</v>
          </cell>
          <cell r="F996">
            <v>47.403636363636707</v>
          </cell>
          <cell r="G996">
            <v>30.130909090908251</v>
          </cell>
          <cell r="H996">
            <v>30.130909090908251</v>
          </cell>
          <cell r="I996" t="e">
            <v>#N/A</v>
          </cell>
          <cell r="J996" t="e">
            <v>#N/A</v>
          </cell>
          <cell r="K996">
            <v>42</v>
          </cell>
          <cell r="L996">
            <v>32</v>
          </cell>
          <cell r="M996" t="e">
            <v>#N/A</v>
          </cell>
          <cell r="N996">
            <v>37</v>
          </cell>
          <cell r="O996" t="e">
            <v>#N/A</v>
          </cell>
          <cell r="P996" t="str">
            <v/>
          </cell>
          <cell r="Q996" t="str">
            <v/>
          </cell>
          <cell r="R996" t="e">
            <v>#N/A</v>
          </cell>
        </row>
        <row r="997">
          <cell r="A997" t="str">
            <v/>
          </cell>
          <cell r="B997" t="str">
            <v/>
          </cell>
          <cell r="C997" t="str">
            <v>Future</v>
          </cell>
          <cell r="D997" t="e">
            <v>#N/A</v>
          </cell>
          <cell r="E997">
            <v>-25.278458498023507</v>
          </cell>
          <cell r="F997">
            <v>47.433003952569514</v>
          </cell>
          <cell r="G997">
            <v>30.120750988141452</v>
          </cell>
          <cell r="H997">
            <v>30.120750988141452</v>
          </cell>
          <cell r="I997" t="e">
            <v>#N/A</v>
          </cell>
          <cell r="J997" t="e">
            <v>#N/A</v>
          </cell>
          <cell r="K997">
            <v>42</v>
          </cell>
          <cell r="L997">
            <v>32</v>
          </cell>
          <cell r="M997" t="e">
            <v>#N/A</v>
          </cell>
          <cell r="N997">
            <v>37</v>
          </cell>
          <cell r="O997" t="e">
            <v>#N/A</v>
          </cell>
          <cell r="P997" t="str">
            <v/>
          </cell>
          <cell r="Q997" t="str">
            <v/>
          </cell>
          <cell r="R997" t="e">
            <v>#N/A</v>
          </cell>
        </row>
        <row r="998">
          <cell r="A998" t="str">
            <v/>
          </cell>
          <cell r="B998" t="str">
            <v/>
          </cell>
          <cell r="C998" t="str">
            <v>Future</v>
          </cell>
          <cell r="D998" t="e">
            <v>#N/A</v>
          </cell>
          <cell r="E998">
            <v>-25.41509881422904</v>
          </cell>
          <cell r="F998">
            <v>47.462371541502321</v>
          </cell>
          <cell r="G998">
            <v>30.110592885374654</v>
          </cell>
          <cell r="H998">
            <v>30.110592885374654</v>
          </cell>
          <cell r="I998" t="e">
            <v>#N/A</v>
          </cell>
          <cell r="J998" t="e">
            <v>#N/A</v>
          </cell>
          <cell r="K998">
            <v>42</v>
          </cell>
          <cell r="L998">
            <v>32</v>
          </cell>
          <cell r="M998" t="e">
            <v>#N/A</v>
          </cell>
          <cell r="N998">
            <v>37</v>
          </cell>
          <cell r="O998" t="e">
            <v>#N/A</v>
          </cell>
          <cell r="P998" t="str">
            <v/>
          </cell>
          <cell r="Q998" t="str">
            <v/>
          </cell>
          <cell r="R998" t="e">
            <v>#N/A</v>
          </cell>
        </row>
        <row r="999">
          <cell r="A999" t="str">
            <v/>
          </cell>
          <cell r="B999" t="str">
            <v/>
          </cell>
          <cell r="C999" t="str">
            <v>Future</v>
          </cell>
          <cell r="D999" t="e">
            <v>#N/A</v>
          </cell>
          <cell r="E999">
            <v>-25.551739130434573</v>
          </cell>
          <cell r="F999">
            <v>47.491739130435128</v>
          </cell>
          <cell r="G999">
            <v>30.100434782607856</v>
          </cell>
          <cell r="H999">
            <v>30.100434782607856</v>
          </cell>
          <cell r="I999" t="e">
            <v>#N/A</v>
          </cell>
          <cell r="J999" t="e">
            <v>#N/A</v>
          </cell>
          <cell r="K999">
            <v>42</v>
          </cell>
          <cell r="L999">
            <v>32</v>
          </cell>
          <cell r="M999" t="e">
            <v>#N/A</v>
          </cell>
          <cell r="N999">
            <v>37</v>
          </cell>
          <cell r="O999" t="e">
            <v>#N/A</v>
          </cell>
          <cell r="P999" t="str">
            <v/>
          </cell>
          <cell r="Q999" t="str">
            <v/>
          </cell>
          <cell r="R999" t="e">
            <v>#N/A</v>
          </cell>
        </row>
        <row r="1000">
          <cell r="A1000" t="str">
            <v/>
          </cell>
          <cell r="B1000" t="str">
            <v/>
          </cell>
          <cell r="C1000" t="str">
            <v>Future</v>
          </cell>
          <cell r="D1000" t="e">
            <v>#N/A</v>
          </cell>
          <cell r="E1000">
            <v>-25.688379446640106</v>
          </cell>
          <cell r="F1000">
            <v>47.521106719367936</v>
          </cell>
          <cell r="G1000">
            <v>30.090276679841057</v>
          </cell>
          <cell r="H1000">
            <v>30.090276679841057</v>
          </cell>
          <cell r="I1000" t="e">
            <v>#N/A</v>
          </cell>
          <cell r="J1000" t="e">
            <v>#N/A</v>
          </cell>
          <cell r="K1000">
            <v>42</v>
          </cell>
          <cell r="L1000">
            <v>32</v>
          </cell>
          <cell r="M1000" t="e">
            <v>#N/A</v>
          </cell>
          <cell r="N1000">
            <v>37</v>
          </cell>
          <cell r="O1000" t="e">
            <v>#N/A</v>
          </cell>
          <cell r="P1000" t="str">
            <v/>
          </cell>
          <cell r="Q1000" t="str">
            <v/>
          </cell>
          <cell r="R1000" t="e">
            <v>#N/A</v>
          </cell>
        </row>
        <row r="1001">
          <cell r="A1001" t="str">
            <v/>
          </cell>
          <cell r="B1001" t="str">
            <v/>
          </cell>
          <cell r="C1001" t="str">
            <v>Future</v>
          </cell>
          <cell r="D1001" t="e">
            <v>#N/A</v>
          </cell>
          <cell r="E1001">
            <v>-25.825019762845638</v>
          </cell>
          <cell r="F1001">
            <v>47.550474308300743</v>
          </cell>
          <cell r="G1001">
            <v>30.080118577074259</v>
          </cell>
          <cell r="H1001">
            <v>30.080118577074259</v>
          </cell>
          <cell r="I1001" t="e">
            <v>#N/A</v>
          </cell>
          <cell r="J1001" t="e">
            <v>#N/A</v>
          </cell>
          <cell r="K1001">
            <v>42</v>
          </cell>
          <cell r="L1001">
            <v>32</v>
          </cell>
          <cell r="M1001" t="e">
            <v>#N/A</v>
          </cell>
          <cell r="N1001">
            <v>37</v>
          </cell>
          <cell r="O1001" t="e">
            <v>#N/A</v>
          </cell>
          <cell r="P1001" t="str">
            <v/>
          </cell>
          <cell r="Q1001" t="str">
            <v/>
          </cell>
          <cell r="R1001" t="e">
            <v>#N/A</v>
          </cell>
        </row>
        <row r="1002">
          <cell r="A1002" t="str">
            <v/>
          </cell>
          <cell r="B1002" t="str">
            <v/>
          </cell>
          <cell r="C1002" t="str">
            <v>Future</v>
          </cell>
          <cell r="D1002" t="e">
            <v>#N/A</v>
          </cell>
          <cell r="E1002">
            <v>-25.961660079051171</v>
          </cell>
          <cell r="F1002">
            <v>47.57984189723355</v>
          </cell>
          <cell r="G1002">
            <v>30.069960474307461</v>
          </cell>
          <cell r="H1002">
            <v>30.069960474307461</v>
          </cell>
          <cell r="I1002" t="e">
            <v>#N/A</v>
          </cell>
          <cell r="J1002" t="e">
            <v>#N/A</v>
          </cell>
          <cell r="K1002">
            <v>42</v>
          </cell>
          <cell r="L1002">
            <v>32</v>
          </cell>
          <cell r="M1002" t="e">
            <v>#N/A</v>
          </cell>
          <cell r="N1002">
            <v>37</v>
          </cell>
          <cell r="O1002" t="e">
            <v>#N/A</v>
          </cell>
          <cell r="P1002" t="str">
            <v/>
          </cell>
          <cell r="Q1002" t="str">
            <v/>
          </cell>
          <cell r="R1002" t="e">
            <v>#N/A</v>
          </cell>
        </row>
        <row r="1003">
          <cell r="A1003" t="str">
            <v/>
          </cell>
          <cell r="B1003" t="str">
            <v/>
          </cell>
          <cell r="C1003" t="str">
            <v>Future</v>
          </cell>
          <cell r="D1003" t="e">
            <v>#N/A</v>
          </cell>
          <cell r="E1003">
            <v>-26.098300395256704</v>
          </cell>
          <cell r="F1003">
            <v>47.609209486166357</v>
          </cell>
          <cell r="G1003">
            <v>30.059802371540663</v>
          </cell>
          <cell r="H1003">
            <v>30.059802371540663</v>
          </cell>
          <cell r="I1003" t="e">
            <v>#N/A</v>
          </cell>
          <cell r="J1003" t="e">
            <v>#N/A</v>
          </cell>
          <cell r="K1003">
            <v>42</v>
          </cell>
          <cell r="L1003">
            <v>32</v>
          </cell>
          <cell r="M1003" t="e">
            <v>#N/A</v>
          </cell>
          <cell r="N1003">
            <v>37</v>
          </cell>
          <cell r="O1003" t="e">
            <v>#N/A</v>
          </cell>
          <cell r="P1003" t="str">
            <v/>
          </cell>
          <cell r="Q1003" t="str">
            <v/>
          </cell>
          <cell r="R1003" t="e">
            <v>#N/A</v>
          </cell>
        </row>
        <row r="1004">
          <cell r="A1004" t="str">
            <v/>
          </cell>
          <cell r="B1004" t="str">
            <v/>
          </cell>
          <cell r="C1004" t="str">
            <v>Future</v>
          </cell>
          <cell r="D1004" t="e">
            <v>#N/A</v>
          </cell>
          <cell r="E1004">
            <v>-26.234940711462237</v>
          </cell>
          <cell r="F1004">
            <v>47.638577075099164</v>
          </cell>
          <cell r="G1004">
            <v>30.049644268773864</v>
          </cell>
          <cell r="H1004">
            <v>30.049644268773864</v>
          </cell>
          <cell r="I1004" t="e">
            <v>#N/A</v>
          </cell>
          <cell r="J1004" t="e">
            <v>#N/A</v>
          </cell>
          <cell r="K1004">
            <v>42</v>
          </cell>
          <cell r="L1004">
            <v>32</v>
          </cell>
          <cell r="M1004" t="e">
            <v>#N/A</v>
          </cell>
          <cell r="N1004">
            <v>37</v>
          </cell>
          <cell r="O1004" t="e">
            <v>#N/A</v>
          </cell>
          <cell r="P1004" t="str">
            <v/>
          </cell>
          <cell r="Q1004" t="str">
            <v/>
          </cell>
          <cell r="R1004" t="e">
            <v>#N/A</v>
          </cell>
        </row>
        <row r="1005">
          <cell r="A1005" t="str">
            <v/>
          </cell>
          <cell r="B1005" t="str">
            <v/>
          </cell>
          <cell r="C1005" t="str">
            <v>Future</v>
          </cell>
          <cell r="D1005" t="e">
            <v>#N/A</v>
          </cell>
          <cell r="E1005">
            <v>-26.371581027667769</v>
          </cell>
          <cell r="F1005">
            <v>47.667944664031971</v>
          </cell>
          <cell r="G1005">
            <v>30.039486166007066</v>
          </cell>
          <cell r="H1005">
            <v>30.039486166007066</v>
          </cell>
          <cell r="I1005" t="e">
            <v>#N/A</v>
          </cell>
          <cell r="J1005" t="e">
            <v>#N/A</v>
          </cell>
          <cell r="K1005">
            <v>42</v>
          </cell>
          <cell r="L1005">
            <v>32</v>
          </cell>
          <cell r="M1005" t="e">
            <v>#N/A</v>
          </cell>
          <cell r="N1005">
            <v>37</v>
          </cell>
          <cell r="O1005" t="e">
            <v>#N/A</v>
          </cell>
          <cell r="P1005" t="str">
            <v/>
          </cell>
          <cell r="Q1005" t="str">
            <v/>
          </cell>
          <cell r="R1005" t="e">
            <v>#N/A</v>
          </cell>
        </row>
        <row r="1006">
          <cell r="A1006" t="str">
            <v/>
          </cell>
          <cell r="B1006" t="str">
            <v/>
          </cell>
          <cell r="C1006" t="str">
            <v>Future</v>
          </cell>
          <cell r="D1006" t="e">
            <v>#N/A</v>
          </cell>
          <cell r="E1006">
            <v>-26.508221343873302</v>
          </cell>
          <cell r="F1006">
            <v>47.697312252964778</v>
          </cell>
          <cell r="G1006">
            <v>30.029328063240268</v>
          </cell>
          <cell r="H1006">
            <v>30.029328063240268</v>
          </cell>
          <cell r="I1006" t="e">
            <v>#N/A</v>
          </cell>
          <cell r="J1006" t="e">
            <v>#N/A</v>
          </cell>
          <cell r="K1006">
            <v>42</v>
          </cell>
          <cell r="L1006">
            <v>32</v>
          </cell>
          <cell r="M1006" t="e">
            <v>#N/A</v>
          </cell>
          <cell r="N1006">
            <v>37</v>
          </cell>
          <cell r="O1006" t="e">
            <v>#N/A</v>
          </cell>
          <cell r="P1006" t="str">
            <v/>
          </cell>
          <cell r="Q1006" t="str">
            <v/>
          </cell>
          <cell r="R1006" t="e">
            <v>#N/A</v>
          </cell>
        </row>
        <row r="1007">
          <cell r="A1007" t="str">
            <v/>
          </cell>
          <cell r="B1007" t="str">
            <v/>
          </cell>
          <cell r="C1007" t="str">
            <v>Future</v>
          </cell>
          <cell r="D1007" t="e">
            <v>#N/A</v>
          </cell>
          <cell r="E1007">
            <v>-26.644861660078835</v>
          </cell>
          <cell r="F1007">
            <v>47.726679841897585</v>
          </cell>
          <cell r="G1007">
            <v>30.019169960473469</v>
          </cell>
          <cell r="H1007">
            <v>30.019169960473469</v>
          </cell>
          <cell r="I1007" t="e">
            <v>#N/A</v>
          </cell>
          <cell r="J1007" t="e">
            <v>#N/A</v>
          </cell>
          <cell r="K1007">
            <v>42</v>
          </cell>
          <cell r="L1007">
            <v>32</v>
          </cell>
          <cell r="M1007" t="e">
            <v>#N/A</v>
          </cell>
          <cell r="N1007">
            <v>37</v>
          </cell>
          <cell r="O1007" t="e">
            <v>#N/A</v>
          </cell>
          <cell r="P1007" t="str">
            <v/>
          </cell>
          <cell r="Q1007" t="str">
            <v/>
          </cell>
          <cell r="R1007" t="e">
            <v>#N/A</v>
          </cell>
        </row>
        <row r="1008">
          <cell r="A1008" t="str">
            <v/>
          </cell>
          <cell r="B1008" t="str">
            <v/>
          </cell>
          <cell r="C1008" t="str">
            <v>Future</v>
          </cell>
          <cell r="D1008" t="e">
            <v>#N/A</v>
          </cell>
          <cell r="E1008">
            <v>-26.781501976284368</v>
          </cell>
          <cell r="F1008">
            <v>47.756047430830392</v>
          </cell>
          <cell r="G1008">
            <v>30.009011857706671</v>
          </cell>
          <cell r="H1008">
            <v>30.009011857706671</v>
          </cell>
          <cell r="I1008" t="e">
            <v>#N/A</v>
          </cell>
          <cell r="J1008" t="e">
            <v>#N/A</v>
          </cell>
          <cell r="K1008">
            <v>42</v>
          </cell>
          <cell r="L1008">
            <v>32</v>
          </cell>
          <cell r="M1008" t="e">
            <v>#N/A</v>
          </cell>
          <cell r="N1008">
            <v>37</v>
          </cell>
          <cell r="O1008" t="e">
            <v>#N/A</v>
          </cell>
          <cell r="P1008" t="str">
            <v/>
          </cell>
          <cell r="Q1008" t="str">
            <v/>
          </cell>
          <cell r="R1008" t="e">
            <v>#N/A</v>
          </cell>
        </row>
        <row r="1009">
          <cell r="A1009" t="str">
            <v/>
          </cell>
          <cell r="B1009" t="str">
            <v/>
          </cell>
          <cell r="C1009" t="str">
            <v>Future</v>
          </cell>
          <cell r="D1009" t="e">
            <v>#N/A</v>
          </cell>
          <cell r="E1009">
            <v>-26.9181422924899</v>
          </cell>
          <cell r="F1009">
            <v>47.785415019763199</v>
          </cell>
          <cell r="G1009">
            <v>29.998853754939873</v>
          </cell>
          <cell r="H1009">
            <v>29.998853754939873</v>
          </cell>
          <cell r="I1009" t="e">
            <v>#N/A</v>
          </cell>
          <cell r="J1009" t="e">
            <v>#N/A</v>
          </cell>
          <cell r="K1009">
            <v>42</v>
          </cell>
          <cell r="L1009">
            <v>32</v>
          </cell>
          <cell r="M1009" t="e">
            <v>#N/A</v>
          </cell>
          <cell r="N1009">
            <v>37</v>
          </cell>
          <cell r="O1009" t="e">
            <v>#N/A</v>
          </cell>
          <cell r="P1009" t="str">
            <v/>
          </cell>
          <cell r="Q1009" t="str">
            <v/>
          </cell>
          <cell r="R1009" t="e">
            <v>#N/A</v>
          </cell>
        </row>
        <row r="1010">
          <cell r="A1010" t="str">
            <v/>
          </cell>
          <cell r="B1010" t="str">
            <v/>
          </cell>
          <cell r="C1010" t="str">
            <v>Future</v>
          </cell>
          <cell r="D1010" t="e">
            <v>#N/A</v>
          </cell>
          <cell r="E1010">
            <v>-27.054782608695433</v>
          </cell>
          <cell r="F1010">
            <v>47.814782608696007</v>
          </cell>
          <cell r="G1010">
            <v>29.988695652173075</v>
          </cell>
          <cell r="H1010">
            <v>29.988695652173075</v>
          </cell>
          <cell r="I1010" t="e">
            <v>#N/A</v>
          </cell>
          <cell r="J1010" t="e">
            <v>#N/A</v>
          </cell>
          <cell r="K1010">
            <v>42</v>
          </cell>
          <cell r="L1010">
            <v>32</v>
          </cell>
          <cell r="M1010" t="e">
            <v>#N/A</v>
          </cell>
          <cell r="N1010">
            <v>37</v>
          </cell>
          <cell r="O1010" t="e">
            <v>#N/A</v>
          </cell>
          <cell r="P1010" t="str">
            <v/>
          </cell>
          <cell r="Q1010" t="str">
            <v/>
          </cell>
          <cell r="R1010" t="e">
            <v>#N/A</v>
          </cell>
        </row>
        <row r="1011">
          <cell r="A1011" t="str">
            <v/>
          </cell>
          <cell r="B1011" t="str">
            <v/>
          </cell>
          <cell r="C1011" t="str">
            <v>Future</v>
          </cell>
          <cell r="D1011" t="e">
            <v>#N/A</v>
          </cell>
          <cell r="E1011">
            <v>-27.191422924900966</v>
          </cell>
          <cell r="F1011">
            <v>47.844150197628814</v>
          </cell>
          <cell r="G1011">
            <v>29.978537549406276</v>
          </cell>
          <cell r="H1011">
            <v>29.978537549406276</v>
          </cell>
          <cell r="I1011" t="e">
            <v>#N/A</v>
          </cell>
          <cell r="J1011" t="e">
            <v>#N/A</v>
          </cell>
          <cell r="K1011">
            <v>42</v>
          </cell>
          <cell r="L1011">
            <v>32</v>
          </cell>
          <cell r="M1011" t="e">
            <v>#N/A</v>
          </cell>
          <cell r="N1011">
            <v>37</v>
          </cell>
          <cell r="O1011" t="e">
            <v>#N/A</v>
          </cell>
          <cell r="P1011" t="str">
            <v/>
          </cell>
          <cell r="Q1011" t="str">
            <v/>
          </cell>
          <cell r="R1011" t="e">
            <v>#N/A</v>
          </cell>
        </row>
        <row r="1012">
          <cell r="A1012" t="str">
            <v/>
          </cell>
          <cell r="B1012" t="str">
            <v/>
          </cell>
          <cell r="C1012" t="str">
            <v>Future</v>
          </cell>
          <cell r="D1012" t="e">
            <v>#N/A</v>
          </cell>
          <cell r="E1012">
            <v>-27.328063241106499</v>
          </cell>
          <cell r="F1012">
            <v>47.873517786561621</v>
          </cell>
          <cell r="G1012">
            <v>29.968379446639478</v>
          </cell>
          <cell r="H1012">
            <v>29.968379446639478</v>
          </cell>
          <cell r="I1012" t="e">
            <v>#N/A</v>
          </cell>
          <cell r="J1012" t="e">
            <v>#N/A</v>
          </cell>
          <cell r="K1012">
            <v>42</v>
          </cell>
          <cell r="L1012">
            <v>32</v>
          </cell>
          <cell r="M1012" t="e">
            <v>#N/A</v>
          </cell>
          <cell r="N1012">
            <v>37</v>
          </cell>
          <cell r="O1012" t="e">
            <v>#N/A</v>
          </cell>
          <cell r="P1012" t="str">
            <v/>
          </cell>
          <cell r="Q1012" t="str">
            <v/>
          </cell>
          <cell r="R1012" t="e">
            <v>#N/A</v>
          </cell>
        </row>
        <row r="1013">
          <cell r="A1013" t="str">
            <v/>
          </cell>
          <cell r="B1013" t="str">
            <v/>
          </cell>
          <cell r="C1013" t="str">
            <v>Future</v>
          </cell>
          <cell r="D1013" t="e">
            <v>#N/A</v>
          </cell>
          <cell r="E1013">
            <v>-27.464703557312031</v>
          </cell>
          <cell r="F1013">
            <v>47.902885375494428</v>
          </cell>
          <cell r="G1013">
            <v>29.95822134387268</v>
          </cell>
          <cell r="H1013">
            <v>29.95822134387268</v>
          </cell>
          <cell r="I1013" t="e">
            <v>#N/A</v>
          </cell>
          <cell r="J1013" t="e">
            <v>#N/A</v>
          </cell>
          <cell r="K1013">
            <v>42</v>
          </cell>
          <cell r="L1013">
            <v>32</v>
          </cell>
          <cell r="M1013" t="e">
            <v>#N/A</v>
          </cell>
          <cell r="N1013">
            <v>37</v>
          </cell>
          <cell r="O1013" t="e">
            <v>#N/A</v>
          </cell>
          <cell r="P1013" t="str">
            <v/>
          </cell>
          <cell r="Q1013" t="str">
            <v/>
          </cell>
          <cell r="R1013" t="e">
            <v>#N/A</v>
          </cell>
        </row>
        <row r="1014">
          <cell r="A1014" t="str">
            <v/>
          </cell>
          <cell r="B1014" t="str">
            <v/>
          </cell>
          <cell r="C1014" t="str">
            <v>Future</v>
          </cell>
          <cell r="D1014" t="e">
            <v>#N/A</v>
          </cell>
          <cell r="E1014">
            <v>-27.601343873517564</v>
          </cell>
          <cell r="F1014">
            <v>47.932252964427235</v>
          </cell>
          <cell r="G1014">
            <v>29.948063241105881</v>
          </cell>
          <cell r="H1014">
            <v>29.948063241105881</v>
          </cell>
          <cell r="I1014" t="e">
            <v>#N/A</v>
          </cell>
          <cell r="J1014" t="e">
            <v>#N/A</v>
          </cell>
          <cell r="K1014">
            <v>42</v>
          </cell>
          <cell r="L1014">
            <v>32</v>
          </cell>
          <cell r="M1014" t="e">
            <v>#N/A</v>
          </cell>
          <cell r="N1014">
            <v>37</v>
          </cell>
          <cell r="O1014" t="e">
            <v>#N/A</v>
          </cell>
          <cell r="P1014" t="str">
            <v/>
          </cell>
          <cell r="Q1014" t="str">
            <v/>
          </cell>
          <cell r="R1014" t="e">
            <v>#N/A</v>
          </cell>
        </row>
        <row r="1015">
          <cell r="A1015" t="str">
            <v/>
          </cell>
          <cell r="B1015" t="str">
            <v/>
          </cell>
          <cell r="C1015" t="str">
            <v>Future</v>
          </cell>
          <cell r="D1015" t="e">
            <v>#N/A</v>
          </cell>
          <cell r="E1015">
            <v>-27.737984189723097</v>
          </cell>
          <cell r="F1015">
            <v>47.961620553360042</v>
          </cell>
          <cell r="G1015">
            <v>29.937905138339083</v>
          </cell>
          <cell r="H1015">
            <v>29.937905138339083</v>
          </cell>
          <cell r="I1015" t="e">
            <v>#N/A</v>
          </cell>
          <cell r="J1015" t="e">
            <v>#N/A</v>
          </cell>
          <cell r="K1015">
            <v>42</v>
          </cell>
          <cell r="L1015">
            <v>32</v>
          </cell>
          <cell r="M1015" t="e">
            <v>#N/A</v>
          </cell>
          <cell r="N1015">
            <v>37</v>
          </cell>
          <cell r="O1015" t="e">
            <v>#N/A</v>
          </cell>
          <cell r="P1015" t="str">
            <v/>
          </cell>
          <cell r="Q1015" t="str">
            <v/>
          </cell>
          <cell r="R1015" t="e">
            <v>#N/A</v>
          </cell>
        </row>
        <row r="1016">
          <cell r="A1016" t="str">
            <v/>
          </cell>
          <cell r="B1016" t="str">
            <v/>
          </cell>
          <cell r="C1016" t="str">
            <v>Future</v>
          </cell>
          <cell r="D1016" t="e">
            <v>#N/A</v>
          </cell>
          <cell r="E1016">
            <v>-27.87462450592863</v>
          </cell>
          <cell r="F1016">
            <v>47.990988142292849</v>
          </cell>
          <cell r="G1016">
            <v>29.927747035572285</v>
          </cell>
          <cell r="H1016">
            <v>29.927747035572285</v>
          </cell>
          <cell r="I1016" t="e">
            <v>#N/A</v>
          </cell>
          <cell r="J1016" t="e">
            <v>#N/A</v>
          </cell>
          <cell r="K1016">
            <v>42</v>
          </cell>
          <cell r="L1016">
            <v>32</v>
          </cell>
          <cell r="M1016" t="e">
            <v>#N/A</v>
          </cell>
          <cell r="N1016">
            <v>37</v>
          </cell>
          <cell r="O1016" t="e">
            <v>#N/A</v>
          </cell>
          <cell r="P1016" t="str">
            <v/>
          </cell>
          <cell r="Q1016" t="str">
            <v/>
          </cell>
          <cell r="R1016" t="e">
            <v>#N/A</v>
          </cell>
        </row>
        <row r="1017">
          <cell r="A1017" t="str">
            <v/>
          </cell>
          <cell r="B1017" t="str">
            <v/>
          </cell>
          <cell r="C1017" t="str">
            <v>Future</v>
          </cell>
          <cell r="D1017" t="e">
            <v>#N/A</v>
          </cell>
          <cell r="E1017">
            <v>-28.011264822134162</v>
          </cell>
          <cell r="F1017">
            <v>48.020355731225656</v>
          </cell>
          <cell r="G1017">
            <v>29.917588932805486</v>
          </cell>
          <cell r="H1017">
            <v>29.917588932805486</v>
          </cell>
          <cell r="I1017" t="e">
            <v>#N/A</v>
          </cell>
          <cell r="J1017" t="e">
            <v>#N/A</v>
          </cell>
          <cell r="K1017">
            <v>42</v>
          </cell>
          <cell r="L1017">
            <v>32</v>
          </cell>
          <cell r="M1017" t="e">
            <v>#N/A</v>
          </cell>
          <cell r="N1017">
            <v>37</v>
          </cell>
          <cell r="O1017" t="e">
            <v>#N/A</v>
          </cell>
          <cell r="P1017" t="str">
            <v/>
          </cell>
          <cell r="Q1017" t="str">
            <v/>
          </cell>
          <cell r="R1017" t="e">
            <v>#N/A</v>
          </cell>
        </row>
        <row r="1018">
          <cell r="A1018" t="str">
            <v/>
          </cell>
          <cell r="B1018" t="str">
            <v/>
          </cell>
          <cell r="C1018" t="str">
            <v>Future</v>
          </cell>
          <cell r="D1018" t="e">
            <v>#N/A</v>
          </cell>
          <cell r="E1018">
            <v>-28.147905138339695</v>
          </cell>
          <cell r="F1018">
            <v>48.049723320158463</v>
          </cell>
          <cell r="G1018">
            <v>29.907430830038688</v>
          </cell>
          <cell r="H1018">
            <v>29.907430830038688</v>
          </cell>
          <cell r="I1018" t="e">
            <v>#N/A</v>
          </cell>
          <cell r="J1018" t="e">
            <v>#N/A</v>
          </cell>
          <cell r="K1018">
            <v>42</v>
          </cell>
          <cell r="L1018">
            <v>32</v>
          </cell>
          <cell r="M1018" t="e">
            <v>#N/A</v>
          </cell>
          <cell r="N1018">
            <v>37</v>
          </cell>
          <cell r="O1018" t="e">
            <v>#N/A</v>
          </cell>
          <cell r="P1018" t="str">
            <v/>
          </cell>
          <cell r="Q1018" t="str">
            <v/>
          </cell>
          <cell r="R1018" t="e">
            <v>#N/A</v>
          </cell>
        </row>
        <row r="1019">
          <cell r="A1019" t="str">
            <v/>
          </cell>
          <cell r="B1019" t="str">
            <v/>
          </cell>
          <cell r="C1019" t="str">
            <v>Future</v>
          </cell>
          <cell r="D1019" t="e">
            <v>#N/A</v>
          </cell>
          <cell r="E1019">
            <v>-28.284545454545228</v>
          </cell>
          <cell r="F1019">
            <v>48.079090909091271</v>
          </cell>
          <cell r="G1019">
            <v>29.89727272727189</v>
          </cell>
          <cell r="H1019">
            <v>29.89727272727189</v>
          </cell>
          <cell r="I1019" t="e">
            <v>#N/A</v>
          </cell>
          <cell r="J1019" t="e">
            <v>#N/A</v>
          </cell>
          <cell r="K1019">
            <v>42</v>
          </cell>
          <cell r="L1019">
            <v>32</v>
          </cell>
          <cell r="M1019" t="e">
            <v>#N/A</v>
          </cell>
          <cell r="N1019">
            <v>37</v>
          </cell>
          <cell r="O1019" t="e">
            <v>#N/A</v>
          </cell>
          <cell r="P1019" t="str">
            <v/>
          </cell>
          <cell r="Q1019" t="str">
            <v/>
          </cell>
          <cell r="R1019" t="e">
            <v>#N/A</v>
          </cell>
        </row>
        <row r="1020">
          <cell r="A1020" t="str">
            <v/>
          </cell>
          <cell r="B1020" t="str">
            <v/>
          </cell>
          <cell r="C1020" t="str">
            <v>Future</v>
          </cell>
          <cell r="D1020" t="e">
            <v>#N/A</v>
          </cell>
          <cell r="E1020">
            <v>-28.42118577075076</v>
          </cell>
          <cell r="F1020">
            <v>48.108458498024078</v>
          </cell>
          <cell r="G1020">
            <v>29.887114624505092</v>
          </cell>
          <cell r="H1020">
            <v>29.887114624505092</v>
          </cell>
          <cell r="I1020" t="e">
            <v>#N/A</v>
          </cell>
          <cell r="J1020" t="e">
            <v>#N/A</v>
          </cell>
          <cell r="K1020">
            <v>42</v>
          </cell>
          <cell r="L1020">
            <v>32</v>
          </cell>
          <cell r="M1020" t="e">
            <v>#N/A</v>
          </cell>
          <cell r="N1020">
            <v>37</v>
          </cell>
          <cell r="O1020" t="e">
            <v>#N/A</v>
          </cell>
          <cell r="P1020" t="str">
            <v/>
          </cell>
          <cell r="Q1020" t="str">
            <v/>
          </cell>
          <cell r="R1020" t="e">
            <v>#N/A</v>
          </cell>
        </row>
        <row r="1021">
          <cell r="A1021" t="str">
            <v/>
          </cell>
          <cell r="B1021" t="str">
            <v/>
          </cell>
          <cell r="C1021" t="str">
            <v>Future</v>
          </cell>
          <cell r="D1021" t="e">
            <v>#N/A</v>
          </cell>
          <cell r="E1021">
            <v>-28.557826086956293</v>
          </cell>
          <cell r="F1021">
            <v>48.137826086956885</v>
          </cell>
          <cell r="G1021">
            <v>29.876956521738293</v>
          </cell>
          <cell r="H1021">
            <v>29.876956521738293</v>
          </cell>
          <cell r="I1021" t="e">
            <v>#N/A</v>
          </cell>
          <cell r="J1021" t="e">
            <v>#N/A</v>
          </cell>
          <cell r="K1021">
            <v>42</v>
          </cell>
          <cell r="L1021">
            <v>32</v>
          </cell>
          <cell r="M1021" t="e">
            <v>#N/A</v>
          </cell>
          <cell r="N1021">
            <v>37</v>
          </cell>
          <cell r="O1021" t="e">
            <v>#N/A</v>
          </cell>
          <cell r="P1021" t="str">
            <v/>
          </cell>
          <cell r="Q1021" t="str">
            <v/>
          </cell>
          <cell r="R1021" t="e">
            <v>#N/A</v>
          </cell>
        </row>
        <row r="1022">
          <cell r="A1022" t="str">
            <v/>
          </cell>
          <cell r="B1022" t="str">
            <v/>
          </cell>
          <cell r="C1022" t="str">
            <v>Future</v>
          </cell>
          <cell r="D1022" t="e">
            <v>#N/A</v>
          </cell>
          <cell r="E1022">
            <v>-28.694466403161826</v>
          </cell>
          <cell r="F1022">
            <v>48.167193675889692</v>
          </cell>
          <cell r="G1022">
            <v>29.866798418971495</v>
          </cell>
          <cell r="H1022">
            <v>29.866798418971495</v>
          </cell>
          <cell r="I1022" t="e">
            <v>#N/A</v>
          </cell>
          <cell r="J1022" t="e">
            <v>#N/A</v>
          </cell>
          <cell r="K1022">
            <v>42</v>
          </cell>
          <cell r="L1022">
            <v>32</v>
          </cell>
          <cell r="M1022" t="e">
            <v>#N/A</v>
          </cell>
          <cell r="N1022">
            <v>37</v>
          </cell>
          <cell r="O1022" t="e">
            <v>#N/A</v>
          </cell>
          <cell r="P1022" t="str">
            <v/>
          </cell>
          <cell r="Q1022" t="str">
            <v/>
          </cell>
          <cell r="R1022" t="e">
            <v>#N/A</v>
          </cell>
        </row>
        <row r="1023">
          <cell r="A1023" t="str">
            <v/>
          </cell>
          <cell r="B1023" t="str">
            <v/>
          </cell>
          <cell r="C1023" t="str">
            <v>Future</v>
          </cell>
          <cell r="D1023" t="e">
            <v>#N/A</v>
          </cell>
          <cell r="E1023">
            <v>-28.831106719367359</v>
          </cell>
          <cell r="F1023">
            <v>48.196561264822499</v>
          </cell>
          <cell r="G1023">
            <v>29.856640316204697</v>
          </cell>
          <cell r="H1023">
            <v>29.856640316204697</v>
          </cell>
          <cell r="I1023" t="e">
            <v>#N/A</v>
          </cell>
          <cell r="J1023" t="e">
            <v>#N/A</v>
          </cell>
          <cell r="K1023">
            <v>42</v>
          </cell>
          <cell r="L1023">
            <v>32</v>
          </cell>
          <cell r="M1023" t="e">
            <v>#N/A</v>
          </cell>
          <cell r="N1023">
            <v>37</v>
          </cell>
          <cell r="O1023" t="e">
            <v>#N/A</v>
          </cell>
          <cell r="P1023" t="str">
            <v/>
          </cell>
          <cell r="Q1023" t="str">
            <v/>
          </cell>
          <cell r="R1023" t="e">
            <v>#N/A</v>
          </cell>
        </row>
        <row r="1024">
          <cell r="A1024" t="str">
            <v/>
          </cell>
          <cell r="B1024" t="str">
            <v/>
          </cell>
          <cell r="C1024" t="str">
            <v>Future</v>
          </cell>
          <cell r="D1024" t="e">
            <v>#N/A</v>
          </cell>
          <cell r="E1024">
            <v>-28.967747035572891</v>
          </cell>
          <cell r="F1024">
            <v>48.225928853755306</v>
          </cell>
          <cell r="G1024">
            <v>29.846482213437898</v>
          </cell>
          <cell r="H1024">
            <v>29.846482213437898</v>
          </cell>
          <cell r="I1024" t="e">
            <v>#N/A</v>
          </cell>
          <cell r="J1024" t="e">
            <v>#N/A</v>
          </cell>
          <cell r="K1024">
            <v>42</v>
          </cell>
          <cell r="L1024">
            <v>32</v>
          </cell>
          <cell r="M1024" t="e">
            <v>#N/A</v>
          </cell>
          <cell r="N1024">
            <v>37</v>
          </cell>
          <cell r="O1024" t="e">
            <v>#N/A</v>
          </cell>
          <cell r="P1024" t="str">
            <v/>
          </cell>
          <cell r="Q1024" t="str">
            <v/>
          </cell>
          <cell r="R1024" t="e">
            <v>#N/A</v>
          </cell>
        </row>
        <row r="1025">
          <cell r="A1025" t="str">
            <v/>
          </cell>
          <cell r="B1025" t="str">
            <v/>
          </cell>
          <cell r="C1025" t="str">
            <v>Future</v>
          </cell>
          <cell r="D1025" t="e">
            <v>#N/A</v>
          </cell>
          <cell r="E1025">
            <v>-29.104387351778424</v>
          </cell>
          <cell r="F1025">
            <v>48.255296442688113</v>
          </cell>
          <cell r="G1025">
            <v>29.8363241106711</v>
          </cell>
          <cell r="H1025">
            <v>29.8363241106711</v>
          </cell>
          <cell r="I1025" t="e">
            <v>#N/A</v>
          </cell>
          <cell r="J1025" t="e">
            <v>#N/A</v>
          </cell>
          <cell r="K1025">
            <v>42</v>
          </cell>
          <cell r="L1025">
            <v>32</v>
          </cell>
          <cell r="M1025" t="e">
            <v>#N/A</v>
          </cell>
          <cell r="N1025">
            <v>37</v>
          </cell>
          <cell r="O1025" t="e">
            <v>#N/A</v>
          </cell>
          <cell r="P1025" t="str">
            <v/>
          </cell>
          <cell r="Q1025" t="str">
            <v/>
          </cell>
          <cell r="R1025" t="e">
            <v>#N/A</v>
          </cell>
        </row>
        <row r="1026">
          <cell r="A1026" t="str">
            <v/>
          </cell>
          <cell r="B1026" t="str">
            <v/>
          </cell>
          <cell r="C1026" t="str">
            <v>Future</v>
          </cell>
          <cell r="D1026" t="e">
            <v>#N/A</v>
          </cell>
          <cell r="E1026">
            <v>-29.241027667983957</v>
          </cell>
          <cell r="F1026">
            <v>48.28466403162092</v>
          </cell>
          <cell r="G1026">
            <v>29.826166007904302</v>
          </cell>
          <cell r="H1026">
            <v>29.826166007904302</v>
          </cell>
          <cell r="I1026" t="e">
            <v>#N/A</v>
          </cell>
          <cell r="J1026" t="e">
            <v>#N/A</v>
          </cell>
          <cell r="K1026">
            <v>42</v>
          </cell>
          <cell r="L1026">
            <v>32</v>
          </cell>
          <cell r="M1026" t="e">
            <v>#N/A</v>
          </cell>
          <cell r="N1026">
            <v>37</v>
          </cell>
          <cell r="O1026" t="e">
            <v>#N/A</v>
          </cell>
          <cell r="P1026" t="str">
            <v/>
          </cell>
          <cell r="Q1026" t="str">
            <v/>
          </cell>
          <cell r="R1026" t="e">
            <v>#N/A</v>
          </cell>
        </row>
        <row r="1027">
          <cell r="A1027" t="str">
            <v/>
          </cell>
          <cell r="B1027" t="str">
            <v/>
          </cell>
          <cell r="C1027" t="str">
            <v>Future</v>
          </cell>
          <cell r="D1027" t="e">
            <v>#N/A</v>
          </cell>
          <cell r="E1027">
            <v>-29.37766798418949</v>
          </cell>
          <cell r="F1027">
            <v>48.314031620553727</v>
          </cell>
          <cell r="G1027">
            <v>29.816007905137504</v>
          </cell>
          <cell r="H1027">
            <v>29.816007905137504</v>
          </cell>
          <cell r="I1027" t="e">
            <v>#N/A</v>
          </cell>
          <cell r="J1027" t="e">
            <v>#N/A</v>
          </cell>
          <cell r="K1027">
            <v>42</v>
          </cell>
          <cell r="L1027">
            <v>32</v>
          </cell>
          <cell r="M1027" t="e">
            <v>#N/A</v>
          </cell>
          <cell r="N1027">
            <v>37</v>
          </cell>
          <cell r="O1027" t="e">
            <v>#N/A</v>
          </cell>
          <cell r="P1027" t="str">
            <v/>
          </cell>
          <cell r="Q1027" t="str">
            <v/>
          </cell>
          <cell r="R1027" t="e">
            <v>#N/A</v>
          </cell>
        </row>
        <row r="1028">
          <cell r="A1028" t="str">
            <v/>
          </cell>
          <cell r="B1028" t="str">
            <v/>
          </cell>
          <cell r="C1028" t="str">
            <v>Future</v>
          </cell>
          <cell r="D1028" t="e">
            <v>#N/A</v>
          </cell>
          <cell r="E1028">
            <v>-29.514308300395022</v>
          </cell>
          <cell r="F1028">
            <v>48.343399209486535</v>
          </cell>
          <cell r="G1028">
            <v>29.805849802370705</v>
          </cell>
          <cell r="H1028">
            <v>29.805849802370705</v>
          </cell>
          <cell r="I1028" t="e">
            <v>#N/A</v>
          </cell>
          <cell r="J1028" t="e">
            <v>#N/A</v>
          </cell>
          <cell r="K1028">
            <v>42</v>
          </cell>
          <cell r="L1028">
            <v>32</v>
          </cell>
          <cell r="M1028" t="e">
            <v>#N/A</v>
          </cell>
          <cell r="N1028">
            <v>37</v>
          </cell>
          <cell r="O1028" t="e">
            <v>#N/A</v>
          </cell>
          <cell r="P1028" t="str">
            <v/>
          </cell>
          <cell r="Q1028" t="str">
            <v/>
          </cell>
          <cell r="R1028" t="e">
            <v>#N/A</v>
          </cell>
        </row>
        <row r="1029">
          <cell r="A1029" t="str">
            <v/>
          </cell>
          <cell r="B1029" t="str">
            <v/>
          </cell>
          <cell r="C1029" t="str">
            <v>Future</v>
          </cell>
          <cell r="D1029" t="e">
            <v>#N/A</v>
          </cell>
          <cell r="E1029">
            <v>-29.650948616600555</v>
          </cell>
          <cell r="F1029">
            <v>48.372766798419342</v>
          </cell>
          <cell r="G1029">
            <v>29.795691699603907</v>
          </cell>
          <cell r="H1029">
            <v>29.795691699603907</v>
          </cell>
          <cell r="I1029" t="e">
            <v>#N/A</v>
          </cell>
          <cell r="J1029" t="e">
            <v>#N/A</v>
          </cell>
          <cell r="K1029">
            <v>42</v>
          </cell>
          <cell r="L1029">
            <v>32</v>
          </cell>
          <cell r="M1029" t="e">
            <v>#N/A</v>
          </cell>
          <cell r="N1029">
            <v>37</v>
          </cell>
          <cell r="O1029" t="e">
            <v>#N/A</v>
          </cell>
          <cell r="P1029" t="str">
            <v/>
          </cell>
          <cell r="Q1029" t="str">
            <v/>
          </cell>
          <cell r="R1029" t="e">
            <v>#N/A</v>
          </cell>
        </row>
        <row r="1030">
          <cell r="A1030" t="str">
            <v/>
          </cell>
          <cell r="B1030" t="str">
            <v/>
          </cell>
          <cell r="C1030" t="str">
            <v>Future</v>
          </cell>
          <cell r="D1030" t="e">
            <v>#N/A</v>
          </cell>
          <cell r="E1030">
            <v>-29.787588932806088</v>
          </cell>
          <cell r="F1030">
            <v>48.402134387352149</v>
          </cell>
          <cell r="G1030">
            <v>29.785533596837109</v>
          </cell>
          <cell r="H1030">
            <v>29.785533596837109</v>
          </cell>
          <cell r="I1030" t="e">
            <v>#N/A</v>
          </cell>
          <cell r="J1030" t="e">
            <v>#N/A</v>
          </cell>
          <cell r="K1030">
            <v>42</v>
          </cell>
          <cell r="L1030">
            <v>32</v>
          </cell>
          <cell r="M1030" t="e">
            <v>#N/A</v>
          </cell>
          <cell r="N1030">
            <v>37</v>
          </cell>
          <cell r="O1030" t="e">
            <v>#N/A</v>
          </cell>
          <cell r="P1030" t="str">
            <v/>
          </cell>
          <cell r="Q1030" t="str">
            <v/>
          </cell>
          <cell r="R1030" t="e">
            <v>#N/A</v>
          </cell>
        </row>
        <row r="1031">
          <cell r="A1031" t="str">
            <v/>
          </cell>
          <cell r="B1031" t="str">
            <v/>
          </cell>
          <cell r="C1031" t="str">
            <v>Future</v>
          </cell>
          <cell r="D1031" t="e">
            <v>#N/A</v>
          </cell>
          <cell r="E1031">
            <v>-29.924229249011621</v>
          </cell>
          <cell r="F1031">
            <v>48.431501976284956</v>
          </cell>
          <cell r="G1031">
            <v>29.77537549407031</v>
          </cell>
          <cell r="H1031">
            <v>29.77537549407031</v>
          </cell>
          <cell r="I1031" t="e">
            <v>#N/A</v>
          </cell>
          <cell r="J1031" t="e">
            <v>#N/A</v>
          </cell>
          <cell r="K1031">
            <v>42</v>
          </cell>
          <cell r="L1031">
            <v>32</v>
          </cell>
          <cell r="M1031" t="e">
            <v>#N/A</v>
          </cell>
          <cell r="N1031">
            <v>37</v>
          </cell>
          <cell r="O1031" t="e">
            <v>#N/A</v>
          </cell>
          <cell r="P1031" t="str">
            <v/>
          </cell>
          <cell r="Q1031" t="str">
            <v/>
          </cell>
          <cell r="R1031" t="e">
            <v>#N/A</v>
          </cell>
        </row>
        <row r="1032">
          <cell r="A1032" t="str">
            <v/>
          </cell>
          <cell r="B1032" t="str">
            <v/>
          </cell>
          <cell r="C1032" t="str">
            <v>Future</v>
          </cell>
          <cell r="D1032" t="e">
            <v>#N/A</v>
          </cell>
          <cell r="E1032">
            <v>-30.060869565217153</v>
          </cell>
          <cell r="F1032">
            <v>48.460869565217763</v>
          </cell>
          <cell r="G1032">
            <v>29.765217391303512</v>
          </cell>
          <cell r="H1032">
            <v>29.765217391303512</v>
          </cell>
          <cell r="I1032" t="e">
            <v>#N/A</v>
          </cell>
          <cell r="J1032" t="e">
            <v>#N/A</v>
          </cell>
          <cell r="K1032">
            <v>42</v>
          </cell>
          <cell r="L1032">
            <v>32</v>
          </cell>
          <cell r="M1032" t="e">
            <v>#N/A</v>
          </cell>
          <cell r="N1032">
            <v>37</v>
          </cell>
          <cell r="O1032" t="e">
            <v>#N/A</v>
          </cell>
          <cell r="P1032" t="str">
            <v/>
          </cell>
          <cell r="Q1032" t="str">
            <v/>
          </cell>
          <cell r="R1032" t="e">
            <v>#N/A</v>
          </cell>
        </row>
        <row r="1033">
          <cell r="A1033" t="str">
            <v/>
          </cell>
          <cell r="B1033" t="str">
            <v/>
          </cell>
          <cell r="C1033" t="str">
            <v>Future</v>
          </cell>
          <cell r="D1033" t="e">
            <v>#N/A</v>
          </cell>
          <cell r="E1033">
            <v>-30.197509881422686</v>
          </cell>
          <cell r="F1033">
            <v>48.49023715415057</v>
          </cell>
          <cell r="G1033">
            <v>29.755059288536714</v>
          </cell>
          <cell r="H1033">
            <v>29.755059288536714</v>
          </cell>
          <cell r="I1033" t="e">
            <v>#N/A</v>
          </cell>
          <cell r="J1033" t="e">
            <v>#N/A</v>
          </cell>
          <cell r="K1033">
            <v>42</v>
          </cell>
          <cell r="L1033">
            <v>32</v>
          </cell>
          <cell r="M1033" t="e">
            <v>#N/A</v>
          </cell>
          <cell r="N1033">
            <v>37</v>
          </cell>
          <cell r="O1033" t="e">
            <v>#N/A</v>
          </cell>
          <cell r="P1033" t="str">
            <v/>
          </cell>
          <cell r="Q1033" t="str">
            <v/>
          </cell>
          <cell r="R1033" t="e">
            <v>#N/A</v>
          </cell>
        </row>
        <row r="1034">
          <cell r="A1034" t="str">
            <v/>
          </cell>
          <cell r="B1034" t="str">
            <v/>
          </cell>
          <cell r="C1034" t="str">
            <v>Future</v>
          </cell>
          <cell r="D1034" t="e">
            <v>#N/A</v>
          </cell>
          <cell r="E1034">
            <v>-30.334150197628219</v>
          </cell>
          <cell r="F1034">
            <v>48.519604743083377</v>
          </cell>
          <cell r="G1034">
            <v>29.744901185769915</v>
          </cell>
          <cell r="H1034">
            <v>29.744901185769915</v>
          </cell>
          <cell r="I1034" t="e">
            <v>#N/A</v>
          </cell>
          <cell r="J1034" t="e">
            <v>#N/A</v>
          </cell>
          <cell r="K1034">
            <v>42</v>
          </cell>
          <cell r="L1034">
            <v>32</v>
          </cell>
          <cell r="M1034" t="e">
            <v>#N/A</v>
          </cell>
          <cell r="N1034">
            <v>37</v>
          </cell>
          <cell r="O1034" t="e">
            <v>#N/A</v>
          </cell>
          <cell r="P1034" t="str">
            <v/>
          </cell>
          <cell r="Q1034" t="str">
            <v/>
          </cell>
          <cell r="R1034" t="e">
            <v>#N/A</v>
          </cell>
        </row>
        <row r="1035">
          <cell r="A1035" t="str">
            <v/>
          </cell>
          <cell r="B1035" t="str">
            <v/>
          </cell>
          <cell r="C1035" t="str">
            <v>Future</v>
          </cell>
          <cell r="D1035" t="e">
            <v>#N/A</v>
          </cell>
          <cell r="E1035">
            <v>-30.470790513833752</v>
          </cell>
          <cell r="F1035">
            <v>48.548972332016184</v>
          </cell>
          <cell r="G1035">
            <v>29.734743083003117</v>
          </cell>
          <cell r="H1035">
            <v>29.734743083003117</v>
          </cell>
          <cell r="I1035" t="e">
            <v>#N/A</v>
          </cell>
          <cell r="J1035" t="e">
            <v>#N/A</v>
          </cell>
          <cell r="K1035">
            <v>42</v>
          </cell>
          <cell r="L1035">
            <v>32</v>
          </cell>
          <cell r="M1035" t="e">
            <v>#N/A</v>
          </cell>
          <cell r="N1035">
            <v>37</v>
          </cell>
          <cell r="O1035" t="e">
            <v>#N/A</v>
          </cell>
          <cell r="P1035" t="str">
            <v/>
          </cell>
          <cell r="Q1035" t="str">
            <v/>
          </cell>
          <cell r="R1035" t="e">
            <v>#N/A</v>
          </cell>
        </row>
        <row r="1036">
          <cell r="A1036" t="str">
            <v/>
          </cell>
          <cell r="B1036" t="str">
            <v/>
          </cell>
          <cell r="C1036" t="str">
            <v>Future</v>
          </cell>
          <cell r="D1036" t="e">
            <v>#N/A</v>
          </cell>
          <cell r="E1036">
            <v>-30.607430830039284</v>
          </cell>
          <cell r="F1036">
            <v>48.578339920948991</v>
          </cell>
          <cell r="G1036">
            <v>29.724584980236319</v>
          </cell>
          <cell r="H1036">
            <v>29.724584980236319</v>
          </cell>
          <cell r="I1036" t="e">
            <v>#N/A</v>
          </cell>
          <cell r="J1036" t="e">
            <v>#N/A</v>
          </cell>
          <cell r="K1036">
            <v>42</v>
          </cell>
          <cell r="L1036">
            <v>32</v>
          </cell>
          <cell r="M1036" t="e">
            <v>#N/A</v>
          </cell>
          <cell r="N1036">
            <v>37</v>
          </cell>
          <cell r="O1036" t="e">
            <v>#N/A</v>
          </cell>
          <cell r="P1036" t="str">
            <v/>
          </cell>
          <cell r="Q1036" t="str">
            <v/>
          </cell>
          <cell r="R1036" t="e">
            <v>#N/A</v>
          </cell>
        </row>
        <row r="1037">
          <cell r="A1037" t="str">
            <v/>
          </cell>
          <cell r="B1037" t="str">
            <v/>
          </cell>
          <cell r="C1037" t="str">
            <v>Future</v>
          </cell>
          <cell r="D1037" t="e">
            <v>#N/A</v>
          </cell>
          <cell r="E1037">
            <v>-30.744071146244817</v>
          </cell>
          <cell r="F1037">
            <v>48.607707509881799</v>
          </cell>
          <cell r="G1037">
            <v>29.714426877469521</v>
          </cell>
          <cell r="H1037">
            <v>29.714426877469521</v>
          </cell>
          <cell r="I1037" t="e">
            <v>#N/A</v>
          </cell>
          <cell r="J1037" t="e">
            <v>#N/A</v>
          </cell>
          <cell r="K1037">
            <v>42</v>
          </cell>
          <cell r="L1037">
            <v>32</v>
          </cell>
          <cell r="M1037" t="e">
            <v>#N/A</v>
          </cell>
          <cell r="N1037">
            <v>37</v>
          </cell>
          <cell r="O1037" t="e">
            <v>#N/A</v>
          </cell>
          <cell r="P1037" t="str">
            <v/>
          </cell>
          <cell r="Q1037" t="str">
            <v/>
          </cell>
          <cell r="R1037" t="e">
            <v>#N/A</v>
          </cell>
        </row>
        <row r="1038">
          <cell r="A1038" t="str">
            <v/>
          </cell>
          <cell r="B1038" t="str">
            <v/>
          </cell>
          <cell r="C1038" t="str">
            <v>Future</v>
          </cell>
          <cell r="D1038" t="e">
            <v>#N/A</v>
          </cell>
          <cell r="E1038">
            <v>-30.88071146245035</v>
          </cell>
          <cell r="F1038">
            <v>48.637075098814606</v>
          </cell>
          <cell r="G1038">
            <v>29.704268774702722</v>
          </cell>
          <cell r="H1038">
            <v>29.704268774702722</v>
          </cell>
          <cell r="I1038" t="e">
            <v>#N/A</v>
          </cell>
          <cell r="J1038" t="e">
            <v>#N/A</v>
          </cell>
          <cell r="K1038">
            <v>42</v>
          </cell>
          <cell r="L1038">
            <v>32</v>
          </cell>
          <cell r="M1038" t="e">
            <v>#N/A</v>
          </cell>
          <cell r="N1038">
            <v>37</v>
          </cell>
          <cell r="O1038" t="e">
            <v>#N/A</v>
          </cell>
          <cell r="P1038" t="str">
            <v/>
          </cell>
          <cell r="Q1038" t="str">
            <v/>
          </cell>
          <cell r="R1038" t="e">
            <v>#N/A</v>
          </cell>
        </row>
        <row r="1039">
          <cell r="A1039" t="str">
            <v/>
          </cell>
          <cell r="B1039" t="str">
            <v/>
          </cell>
          <cell r="C1039" t="str">
            <v>Future</v>
          </cell>
          <cell r="D1039" t="e">
            <v>#N/A</v>
          </cell>
          <cell r="E1039">
            <v>-31.017351778655883</v>
          </cell>
          <cell r="F1039">
            <v>48.666442687747413</v>
          </cell>
          <cell r="G1039">
            <v>29.694110671935924</v>
          </cell>
          <cell r="H1039">
            <v>29.694110671935924</v>
          </cell>
          <cell r="I1039" t="e">
            <v>#N/A</v>
          </cell>
          <cell r="J1039" t="e">
            <v>#N/A</v>
          </cell>
          <cell r="K1039">
            <v>42</v>
          </cell>
          <cell r="L1039">
            <v>32</v>
          </cell>
          <cell r="M1039" t="e">
            <v>#N/A</v>
          </cell>
          <cell r="N1039">
            <v>37</v>
          </cell>
          <cell r="O1039" t="e">
            <v>#N/A</v>
          </cell>
          <cell r="P1039" t="str">
            <v/>
          </cell>
          <cell r="Q1039" t="str">
            <v/>
          </cell>
          <cell r="R1039" t="e">
            <v>#N/A</v>
          </cell>
        </row>
        <row r="1040">
          <cell r="A1040" t="str">
            <v/>
          </cell>
          <cell r="B1040" t="str">
            <v/>
          </cell>
          <cell r="C1040" t="str">
            <v>Future</v>
          </cell>
          <cell r="D1040" t="e">
            <v>#N/A</v>
          </cell>
          <cell r="E1040">
            <v>-31.153992094861415</v>
          </cell>
          <cell r="F1040">
            <v>48.69581027668022</v>
          </cell>
          <cell r="G1040">
            <v>29.683952569169126</v>
          </cell>
          <cell r="H1040">
            <v>29.683952569169126</v>
          </cell>
          <cell r="I1040" t="e">
            <v>#N/A</v>
          </cell>
          <cell r="J1040" t="e">
            <v>#N/A</v>
          </cell>
          <cell r="K1040">
            <v>42</v>
          </cell>
          <cell r="L1040">
            <v>32</v>
          </cell>
          <cell r="M1040" t="e">
            <v>#N/A</v>
          </cell>
          <cell r="N1040">
            <v>37</v>
          </cell>
          <cell r="O1040" t="e">
            <v>#N/A</v>
          </cell>
          <cell r="P1040" t="str">
            <v/>
          </cell>
          <cell r="Q1040" t="str">
            <v/>
          </cell>
          <cell r="R1040" t="e">
            <v>#N/A</v>
          </cell>
        </row>
        <row r="1041">
          <cell r="A1041" t="str">
            <v/>
          </cell>
          <cell r="B1041" t="str">
            <v/>
          </cell>
          <cell r="C1041" t="str">
            <v>Future</v>
          </cell>
          <cell r="D1041" t="e">
            <v>#N/A</v>
          </cell>
          <cell r="E1041">
            <v>-31.290632411066948</v>
          </cell>
          <cell r="F1041">
            <v>48.725177865613027</v>
          </cell>
          <cell r="G1041">
            <v>29.673794466402327</v>
          </cell>
          <cell r="H1041">
            <v>29.673794466402327</v>
          </cell>
          <cell r="I1041" t="e">
            <v>#N/A</v>
          </cell>
          <cell r="J1041" t="e">
            <v>#N/A</v>
          </cell>
          <cell r="K1041">
            <v>42</v>
          </cell>
          <cell r="L1041">
            <v>32</v>
          </cell>
          <cell r="M1041" t="e">
            <v>#N/A</v>
          </cell>
          <cell r="N1041">
            <v>37</v>
          </cell>
          <cell r="O1041" t="e">
            <v>#N/A</v>
          </cell>
          <cell r="P1041" t="str">
            <v/>
          </cell>
          <cell r="Q1041" t="str">
            <v/>
          </cell>
          <cell r="R1041" t="e">
            <v>#N/A</v>
          </cell>
        </row>
        <row r="1042">
          <cell r="A1042" t="str">
            <v/>
          </cell>
          <cell r="B1042" t="str">
            <v/>
          </cell>
          <cell r="C1042" t="str">
            <v>Future</v>
          </cell>
          <cell r="D1042" t="e">
            <v>#N/A</v>
          </cell>
          <cell r="E1042">
            <v>-31.427272727272481</v>
          </cell>
          <cell r="F1042">
            <v>48.754545454545834</v>
          </cell>
          <cell r="G1042">
            <v>29.663636363635529</v>
          </cell>
          <cell r="H1042">
            <v>29.663636363635529</v>
          </cell>
          <cell r="I1042" t="e">
            <v>#N/A</v>
          </cell>
          <cell r="J1042" t="e">
            <v>#N/A</v>
          </cell>
          <cell r="K1042">
            <v>42</v>
          </cell>
          <cell r="L1042">
            <v>32</v>
          </cell>
          <cell r="M1042" t="e">
            <v>#N/A</v>
          </cell>
          <cell r="N1042">
            <v>37</v>
          </cell>
          <cell r="O1042" t="e">
            <v>#N/A</v>
          </cell>
          <cell r="P1042" t="str">
            <v/>
          </cell>
          <cell r="Q1042" t="str">
            <v/>
          </cell>
          <cell r="R1042" t="e">
            <v>#N/A</v>
          </cell>
        </row>
        <row r="1043">
          <cell r="A1043" t="str">
            <v/>
          </cell>
          <cell r="B1043" t="str">
            <v/>
          </cell>
          <cell r="C1043" t="str">
            <v>Future</v>
          </cell>
          <cell r="D1043" t="e">
            <v>#N/A</v>
          </cell>
          <cell r="E1043">
            <v>-31.563913043478014</v>
          </cell>
          <cell r="F1043">
            <v>48.783913043478641</v>
          </cell>
          <cell r="G1043">
            <v>29.653478260868731</v>
          </cell>
          <cell r="H1043">
            <v>29.653478260868731</v>
          </cell>
          <cell r="I1043" t="e">
            <v>#N/A</v>
          </cell>
          <cell r="J1043" t="e">
            <v>#N/A</v>
          </cell>
          <cell r="K1043">
            <v>42</v>
          </cell>
          <cell r="L1043">
            <v>32</v>
          </cell>
          <cell r="M1043" t="e">
            <v>#N/A</v>
          </cell>
          <cell r="N1043">
            <v>37</v>
          </cell>
          <cell r="O1043" t="e">
            <v>#N/A</v>
          </cell>
          <cell r="P1043" t="str">
            <v/>
          </cell>
          <cell r="Q1043" t="str">
            <v/>
          </cell>
          <cell r="R1043" t="e">
            <v>#N/A</v>
          </cell>
        </row>
        <row r="1044">
          <cell r="A1044" t="str">
            <v/>
          </cell>
          <cell r="B1044" t="str">
            <v/>
          </cell>
          <cell r="C1044" t="str">
            <v>Future</v>
          </cell>
          <cell r="D1044" t="e">
            <v>#N/A</v>
          </cell>
          <cell r="E1044">
            <v>-31.700553359683546</v>
          </cell>
          <cell r="F1044">
            <v>48.813280632411448</v>
          </cell>
          <cell r="G1044">
            <v>29.643320158101933</v>
          </cell>
          <cell r="H1044">
            <v>29.643320158101933</v>
          </cell>
          <cell r="I1044" t="e">
            <v>#N/A</v>
          </cell>
          <cell r="J1044" t="e">
            <v>#N/A</v>
          </cell>
          <cell r="K1044">
            <v>42</v>
          </cell>
          <cell r="L1044">
            <v>32</v>
          </cell>
          <cell r="M1044" t="e">
            <v>#N/A</v>
          </cell>
          <cell r="N1044">
            <v>37</v>
          </cell>
          <cell r="O1044" t="e">
            <v>#N/A</v>
          </cell>
          <cell r="P1044" t="str">
            <v/>
          </cell>
          <cell r="Q1044" t="str">
            <v/>
          </cell>
          <cell r="R1044" t="e">
            <v>#N/A</v>
          </cell>
        </row>
        <row r="1045">
          <cell r="A1045" t="str">
            <v/>
          </cell>
          <cell r="B1045" t="str">
            <v/>
          </cell>
          <cell r="C1045" t="str">
            <v>Future</v>
          </cell>
          <cell r="D1045" t="e">
            <v>#N/A</v>
          </cell>
          <cell r="E1045">
            <v>-31.837193675889079</v>
          </cell>
          <cell r="F1045">
            <v>48.842648221344255</v>
          </cell>
          <cell r="G1045">
            <v>29.633162055335134</v>
          </cell>
          <cell r="H1045">
            <v>29.633162055335134</v>
          </cell>
          <cell r="I1045" t="e">
            <v>#N/A</v>
          </cell>
          <cell r="J1045" t="e">
            <v>#N/A</v>
          </cell>
          <cell r="K1045">
            <v>42</v>
          </cell>
          <cell r="L1045">
            <v>32</v>
          </cell>
          <cell r="M1045" t="e">
            <v>#N/A</v>
          </cell>
          <cell r="N1045">
            <v>37</v>
          </cell>
          <cell r="O1045" t="e">
            <v>#N/A</v>
          </cell>
          <cell r="P1045" t="str">
            <v/>
          </cell>
          <cell r="Q1045" t="str">
            <v/>
          </cell>
          <cell r="R1045" t="e">
            <v>#N/A</v>
          </cell>
        </row>
        <row r="1046">
          <cell r="A1046" t="str">
            <v/>
          </cell>
          <cell r="B1046" t="str">
            <v/>
          </cell>
          <cell r="C1046" t="str">
            <v>Future</v>
          </cell>
          <cell r="D1046" t="e">
            <v>#N/A</v>
          </cell>
          <cell r="E1046">
            <v>-31.973833992094612</v>
          </cell>
          <cell r="F1046">
            <v>48.872015810277063</v>
          </cell>
          <cell r="G1046">
            <v>29.623003952568336</v>
          </cell>
          <cell r="H1046">
            <v>29.623003952568336</v>
          </cell>
          <cell r="I1046" t="e">
            <v>#N/A</v>
          </cell>
          <cell r="J1046" t="e">
            <v>#N/A</v>
          </cell>
          <cell r="K1046">
            <v>42</v>
          </cell>
          <cell r="L1046">
            <v>32</v>
          </cell>
          <cell r="M1046" t="e">
            <v>#N/A</v>
          </cell>
          <cell r="N1046">
            <v>37</v>
          </cell>
          <cell r="O1046" t="e">
            <v>#N/A</v>
          </cell>
          <cell r="P1046" t="str">
            <v/>
          </cell>
          <cell r="Q1046" t="str">
            <v/>
          </cell>
          <cell r="R1046" t="e">
            <v>#N/A</v>
          </cell>
        </row>
        <row r="1047">
          <cell r="A1047" t="str">
            <v/>
          </cell>
          <cell r="B1047" t="str">
            <v/>
          </cell>
          <cell r="C1047" t="str">
            <v>Future</v>
          </cell>
          <cell r="D1047" t="e">
            <v>#N/A</v>
          </cell>
          <cell r="E1047">
            <v>-32.110474308300148</v>
          </cell>
          <cell r="F1047">
            <v>48.90138339920987</v>
          </cell>
          <cell r="G1047">
            <v>29.612845849801538</v>
          </cell>
          <cell r="H1047">
            <v>29.612845849801538</v>
          </cell>
          <cell r="I1047" t="e">
            <v>#N/A</v>
          </cell>
          <cell r="J1047" t="e">
            <v>#N/A</v>
          </cell>
          <cell r="K1047">
            <v>42</v>
          </cell>
          <cell r="L1047">
            <v>32</v>
          </cell>
          <cell r="M1047" t="e">
            <v>#N/A</v>
          </cell>
          <cell r="N1047">
            <v>37</v>
          </cell>
          <cell r="O1047" t="e">
            <v>#N/A</v>
          </cell>
          <cell r="P1047" t="str">
            <v/>
          </cell>
          <cell r="Q1047" t="str">
            <v/>
          </cell>
          <cell r="R1047" t="e">
            <v>#N/A</v>
          </cell>
        </row>
        <row r="1048">
          <cell r="A1048" t="str">
            <v/>
          </cell>
          <cell r="B1048" t="str">
            <v/>
          </cell>
          <cell r="C1048" t="str">
            <v>Future</v>
          </cell>
          <cell r="D1048" t="e">
            <v>#N/A</v>
          </cell>
          <cell r="E1048">
            <v>-32.247114624505684</v>
          </cell>
          <cell r="F1048">
            <v>48.930750988142677</v>
          </cell>
          <cell r="G1048">
            <v>29.602687747034739</v>
          </cell>
          <cell r="H1048">
            <v>29.602687747034739</v>
          </cell>
          <cell r="I1048" t="e">
            <v>#N/A</v>
          </cell>
          <cell r="J1048" t="e">
            <v>#N/A</v>
          </cell>
          <cell r="K1048">
            <v>42</v>
          </cell>
          <cell r="L1048">
            <v>32</v>
          </cell>
          <cell r="M1048" t="e">
            <v>#N/A</v>
          </cell>
          <cell r="N1048">
            <v>37</v>
          </cell>
          <cell r="O1048" t="e">
            <v>#N/A</v>
          </cell>
          <cell r="P1048" t="str">
            <v/>
          </cell>
          <cell r="Q1048" t="str">
            <v/>
          </cell>
          <cell r="R1048" t="e">
            <v>#N/A</v>
          </cell>
        </row>
        <row r="1049">
          <cell r="A1049" t="str">
            <v/>
          </cell>
          <cell r="B1049" t="str">
            <v/>
          </cell>
          <cell r="C1049" t="str">
            <v>Future</v>
          </cell>
          <cell r="D1049" t="e">
            <v>#N/A</v>
          </cell>
          <cell r="E1049">
            <v>-32.383754940711221</v>
          </cell>
          <cell r="F1049">
            <v>48.960118577075484</v>
          </cell>
          <cell r="G1049">
            <v>29.592529644267941</v>
          </cell>
          <cell r="H1049">
            <v>29.592529644267941</v>
          </cell>
          <cell r="I1049" t="e">
            <v>#N/A</v>
          </cell>
          <cell r="J1049" t="e">
            <v>#N/A</v>
          </cell>
          <cell r="K1049">
            <v>42</v>
          </cell>
          <cell r="L1049">
            <v>32</v>
          </cell>
          <cell r="M1049" t="e">
            <v>#N/A</v>
          </cell>
          <cell r="N1049">
            <v>37</v>
          </cell>
          <cell r="O1049" t="e">
            <v>#N/A</v>
          </cell>
          <cell r="P1049" t="str">
            <v/>
          </cell>
          <cell r="Q1049" t="str">
            <v/>
          </cell>
          <cell r="R1049" t="e">
            <v>#N/A</v>
          </cell>
        </row>
        <row r="1050">
          <cell r="A1050" t="str">
            <v/>
          </cell>
          <cell r="B1050" t="str">
            <v/>
          </cell>
          <cell r="C1050" t="str">
            <v>Future</v>
          </cell>
          <cell r="D1050" t="e">
            <v>#N/A</v>
          </cell>
          <cell r="E1050">
            <v>-32.520395256916757</v>
          </cell>
          <cell r="F1050">
            <v>48.989486166008291</v>
          </cell>
          <cell r="G1050">
            <v>29.582371541501143</v>
          </cell>
          <cell r="H1050">
            <v>29.582371541501143</v>
          </cell>
          <cell r="I1050" t="e">
            <v>#N/A</v>
          </cell>
          <cell r="J1050" t="e">
            <v>#N/A</v>
          </cell>
          <cell r="K1050">
            <v>42</v>
          </cell>
          <cell r="L1050">
            <v>32</v>
          </cell>
          <cell r="M1050" t="e">
            <v>#N/A</v>
          </cell>
          <cell r="N1050">
            <v>37</v>
          </cell>
          <cell r="O1050" t="e">
            <v>#N/A</v>
          </cell>
          <cell r="P1050" t="str">
            <v/>
          </cell>
          <cell r="Q1050" t="str">
            <v/>
          </cell>
          <cell r="R1050" t="e">
            <v>#N/A</v>
          </cell>
        </row>
        <row r="1051">
          <cell r="A1051" t="str">
            <v/>
          </cell>
          <cell r="B1051" t="str">
            <v/>
          </cell>
          <cell r="C1051" t="str">
            <v>Future</v>
          </cell>
          <cell r="D1051" t="e">
            <v>#N/A</v>
          </cell>
          <cell r="E1051">
            <v>-32.657035573122293</v>
          </cell>
          <cell r="F1051">
            <v>49.018853754941098</v>
          </cell>
          <cell r="G1051">
            <v>29.572213438734344</v>
          </cell>
          <cell r="H1051">
            <v>29.572213438734344</v>
          </cell>
          <cell r="I1051" t="e">
            <v>#N/A</v>
          </cell>
          <cell r="J1051" t="e">
            <v>#N/A</v>
          </cell>
          <cell r="K1051">
            <v>42</v>
          </cell>
          <cell r="L1051">
            <v>32</v>
          </cell>
          <cell r="M1051" t="e">
            <v>#N/A</v>
          </cell>
          <cell r="N1051">
            <v>37</v>
          </cell>
          <cell r="O1051" t="e">
            <v>#N/A</v>
          </cell>
          <cell r="P1051" t="str">
            <v/>
          </cell>
          <cell r="Q1051" t="str">
            <v/>
          </cell>
          <cell r="R1051" t="e">
            <v>#N/A</v>
          </cell>
        </row>
        <row r="1052">
          <cell r="A1052" t="str">
            <v/>
          </cell>
          <cell r="B1052" t="str">
            <v/>
          </cell>
          <cell r="C1052" t="str">
            <v>Future</v>
          </cell>
          <cell r="D1052" t="e">
            <v>#N/A</v>
          </cell>
          <cell r="E1052">
            <v>-32.79367588932783</v>
          </cell>
          <cell r="F1052">
            <v>49.048221343873905</v>
          </cell>
          <cell r="G1052">
            <v>29.562055335967546</v>
          </cell>
          <cell r="H1052">
            <v>29.562055335967546</v>
          </cell>
          <cell r="I1052" t="e">
            <v>#N/A</v>
          </cell>
          <cell r="J1052" t="e">
            <v>#N/A</v>
          </cell>
          <cell r="K1052">
            <v>42</v>
          </cell>
          <cell r="L1052">
            <v>32</v>
          </cell>
          <cell r="M1052" t="e">
            <v>#N/A</v>
          </cell>
          <cell r="N1052">
            <v>37</v>
          </cell>
          <cell r="O1052" t="e">
            <v>#N/A</v>
          </cell>
          <cell r="P1052" t="str">
            <v/>
          </cell>
          <cell r="Q1052" t="str">
            <v/>
          </cell>
          <cell r="R1052" t="e">
            <v>#N/A</v>
          </cell>
        </row>
        <row r="1053">
          <cell r="A1053" t="str">
            <v/>
          </cell>
          <cell r="B1053" t="str">
            <v/>
          </cell>
          <cell r="C1053" t="str">
            <v>Future</v>
          </cell>
          <cell r="D1053" t="e">
            <v>#N/A</v>
          </cell>
          <cell r="E1053">
            <v>-32.930316205533366</v>
          </cell>
          <cell r="F1053">
            <v>49.077588932806712</v>
          </cell>
          <cell r="G1053">
            <v>29.551897233200748</v>
          </cell>
          <cell r="H1053">
            <v>29.551897233200748</v>
          </cell>
          <cell r="I1053" t="e">
            <v>#N/A</v>
          </cell>
          <cell r="J1053" t="e">
            <v>#N/A</v>
          </cell>
          <cell r="K1053">
            <v>42</v>
          </cell>
          <cell r="L1053">
            <v>32</v>
          </cell>
          <cell r="M1053" t="e">
            <v>#N/A</v>
          </cell>
          <cell r="N1053">
            <v>37</v>
          </cell>
          <cell r="O1053" t="e">
            <v>#N/A</v>
          </cell>
          <cell r="P1053" t="str">
            <v/>
          </cell>
          <cell r="Q1053" t="str">
            <v/>
          </cell>
          <cell r="R1053" t="e">
            <v>#N/A</v>
          </cell>
        </row>
        <row r="1054">
          <cell r="A1054" t="str">
            <v/>
          </cell>
          <cell r="B1054" t="str">
            <v/>
          </cell>
          <cell r="C1054" t="str">
            <v>Future</v>
          </cell>
          <cell r="D1054" t="e">
            <v>#N/A</v>
          </cell>
          <cell r="E1054">
            <v>-33.066956521738902</v>
          </cell>
          <cell r="F1054">
            <v>49.106956521739519</v>
          </cell>
          <cell r="G1054">
            <v>29.54173913043395</v>
          </cell>
          <cell r="H1054">
            <v>29.54173913043395</v>
          </cell>
          <cell r="I1054" t="e">
            <v>#N/A</v>
          </cell>
          <cell r="J1054" t="e">
            <v>#N/A</v>
          </cell>
          <cell r="K1054">
            <v>42</v>
          </cell>
          <cell r="L1054">
            <v>32</v>
          </cell>
          <cell r="M1054" t="e">
            <v>#N/A</v>
          </cell>
          <cell r="N1054">
            <v>37</v>
          </cell>
          <cell r="O1054" t="e">
            <v>#N/A</v>
          </cell>
          <cell r="P1054" t="str">
            <v/>
          </cell>
          <cell r="Q1054" t="str">
            <v/>
          </cell>
          <cell r="R1054" t="e">
            <v>#N/A</v>
          </cell>
        </row>
        <row r="1055">
          <cell r="A1055" t="str">
            <v/>
          </cell>
          <cell r="B1055" t="str">
            <v/>
          </cell>
          <cell r="C1055" t="str">
            <v>Future</v>
          </cell>
          <cell r="D1055" t="e">
            <v>#N/A</v>
          </cell>
          <cell r="E1055">
            <v>-33.203596837944438</v>
          </cell>
          <cell r="F1055">
            <v>49.136324110672327</v>
          </cell>
          <cell r="G1055">
            <v>29.531581027667151</v>
          </cell>
          <cell r="H1055">
            <v>29.531581027667151</v>
          </cell>
          <cell r="I1055" t="e">
            <v>#N/A</v>
          </cell>
          <cell r="J1055" t="e">
            <v>#N/A</v>
          </cell>
          <cell r="K1055">
            <v>42</v>
          </cell>
          <cell r="L1055">
            <v>32</v>
          </cell>
          <cell r="M1055" t="e">
            <v>#N/A</v>
          </cell>
          <cell r="N1055">
            <v>37</v>
          </cell>
          <cell r="O1055" t="e">
            <v>#N/A</v>
          </cell>
          <cell r="P1055" t="str">
            <v/>
          </cell>
          <cell r="Q1055" t="str">
            <v/>
          </cell>
          <cell r="R1055" t="e">
            <v>#N/A</v>
          </cell>
        </row>
        <row r="1056">
          <cell r="A1056" t="str">
            <v/>
          </cell>
          <cell r="B1056" t="str">
            <v/>
          </cell>
          <cell r="C1056" t="str">
            <v>Future</v>
          </cell>
          <cell r="D1056" t="e">
            <v>#N/A</v>
          </cell>
          <cell r="E1056">
            <v>-33.340237154149975</v>
          </cell>
          <cell r="F1056">
            <v>49.165691699605134</v>
          </cell>
          <cell r="G1056">
            <v>29.521422924900353</v>
          </cell>
          <cell r="H1056">
            <v>29.521422924900353</v>
          </cell>
          <cell r="I1056" t="e">
            <v>#N/A</v>
          </cell>
          <cell r="J1056" t="e">
            <v>#N/A</v>
          </cell>
          <cell r="K1056">
            <v>42</v>
          </cell>
          <cell r="L1056">
            <v>32</v>
          </cell>
          <cell r="M1056" t="e">
            <v>#N/A</v>
          </cell>
          <cell r="N1056">
            <v>37</v>
          </cell>
          <cell r="O1056" t="e">
            <v>#N/A</v>
          </cell>
          <cell r="P1056" t="str">
            <v/>
          </cell>
          <cell r="Q1056" t="str">
            <v/>
          </cell>
          <cell r="R1056" t="e">
            <v>#N/A</v>
          </cell>
        </row>
        <row r="1057">
          <cell r="A1057" t="str">
            <v/>
          </cell>
          <cell r="B1057" t="str">
            <v/>
          </cell>
          <cell r="C1057" t="str">
            <v>Future</v>
          </cell>
          <cell r="D1057" t="e">
            <v>#N/A</v>
          </cell>
          <cell r="E1057">
            <v>-33.476877470355511</v>
          </cell>
          <cell r="F1057">
            <v>49.195059288537941</v>
          </cell>
          <cell r="G1057">
            <v>29.511264822133555</v>
          </cell>
          <cell r="H1057">
            <v>29.511264822133555</v>
          </cell>
          <cell r="I1057" t="e">
            <v>#N/A</v>
          </cell>
          <cell r="J1057" t="e">
            <v>#N/A</v>
          </cell>
          <cell r="K1057">
            <v>42</v>
          </cell>
          <cell r="L1057">
            <v>32</v>
          </cell>
          <cell r="M1057" t="e">
            <v>#N/A</v>
          </cell>
          <cell r="N1057">
            <v>37</v>
          </cell>
          <cell r="O1057" t="e">
            <v>#N/A</v>
          </cell>
          <cell r="P1057" t="str">
            <v/>
          </cell>
          <cell r="Q1057" t="str">
            <v/>
          </cell>
          <cell r="R1057" t="e">
            <v>#N/A</v>
          </cell>
        </row>
        <row r="1058">
          <cell r="A1058" t="str">
            <v/>
          </cell>
          <cell r="B1058" t="str">
            <v/>
          </cell>
          <cell r="C1058" t="str">
            <v>Future</v>
          </cell>
          <cell r="D1058" t="e">
            <v>#N/A</v>
          </cell>
          <cell r="E1058">
            <v>-33.613517786561047</v>
          </cell>
          <cell r="F1058">
            <v>49.224426877470748</v>
          </cell>
          <cell r="G1058">
            <v>29.501106719366756</v>
          </cell>
          <cell r="H1058">
            <v>29.501106719366756</v>
          </cell>
          <cell r="I1058" t="e">
            <v>#N/A</v>
          </cell>
          <cell r="J1058" t="e">
            <v>#N/A</v>
          </cell>
          <cell r="K1058">
            <v>42</v>
          </cell>
          <cell r="L1058">
            <v>32</v>
          </cell>
          <cell r="M1058" t="e">
            <v>#N/A</v>
          </cell>
          <cell r="N1058">
            <v>37</v>
          </cell>
          <cell r="O1058" t="e">
            <v>#N/A</v>
          </cell>
          <cell r="P1058" t="str">
            <v/>
          </cell>
          <cell r="Q1058" t="str">
            <v/>
          </cell>
          <cell r="R1058" t="e">
            <v>#N/A</v>
          </cell>
        </row>
        <row r="1059">
          <cell r="A1059" t="str">
            <v/>
          </cell>
          <cell r="B1059" t="str">
            <v/>
          </cell>
          <cell r="C1059" t="str">
            <v>Future</v>
          </cell>
          <cell r="D1059" t="e">
            <v>#N/A</v>
          </cell>
          <cell r="E1059">
            <v>-33.750158102766584</v>
          </cell>
          <cell r="F1059">
            <v>49.253794466403555</v>
          </cell>
          <cell r="G1059">
            <v>29.490948616599958</v>
          </cell>
          <cell r="H1059">
            <v>29.490948616599958</v>
          </cell>
          <cell r="I1059" t="e">
            <v>#N/A</v>
          </cell>
          <cell r="J1059" t="e">
            <v>#N/A</v>
          </cell>
          <cell r="K1059">
            <v>42</v>
          </cell>
          <cell r="L1059">
            <v>32</v>
          </cell>
          <cell r="M1059" t="e">
            <v>#N/A</v>
          </cell>
          <cell r="N1059">
            <v>37</v>
          </cell>
          <cell r="O1059" t="e">
            <v>#N/A</v>
          </cell>
          <cell r="P1059" t="str">
            <v/>
          </cell>
          <cell r="Q1059" t="str">
            <v/>
          </cell>
          <cell r="R1059" t="e">
            <v>#N/A</v>
          </cell>
        </row>
        <row r="1060">
          <cell r="A1060" t="str">
            <v/>
          </cell>
          <cell r="B1060" t="str">
            <v/>
          </cell>
          <cell r="C1060" t="str">
            <v>Future</v>
          </cell>
          <cell r="D1060" t="e">
            <v>#N/A</v>
          </cell>
          <cell r="E1060">
            <v>-33.88679841897212</v>
          </cell>
          <cell r="F1060">
            <v>49.283162055336362</v>
          </cell>
          <cell r="G1060">
            <v>29.48079051383316</v>
          </cell>
          <cell r="H1060">
            <v>29.48079051383316</v>
          </cell>
          <cell r="I1060" t="e">
            <v>#N/A</v>
          </cell>
          <cell r="J1060" t="e">
            <v>#N/A</v>
          </cell>
          <cell r="K1060">
            <v>42</v>
          </cell>
          <cell r="L1060">
            <v>32</v>
          </cell>
          <cell r="M1060" t="e">
            <v>#N/A</v>
          </cell>
          <cell r="N1060">
            <v>37</v>
          </cell>
          <cell r="O1060" t="e">
            <v>#N/A</v>
          </cell>
          <cell r="P1060" t="str">
            <v/>
          </cell>
          <cell r="Q1060" t="str">
            <v/>
          </cell>
          <cell r="R1060" t="e">
            <v>#N/A</v>
          </cell>
        </row>
        <row r="1061">
          <cell r="A1061" t="str">
            <v/>
          </cell>
          <cell r="B1061" t="str">
            <v/>
          </cell>
          <cell r="C1061" t="str">
            <v>Future</v>
          </cell>
          <cell r="D1061" t="e">
            <v>#N/A</v>
          </cell>
          <cell r="E1061">
            <v>-34.023438735177656</v>
          </cell>
          <cell r="F1061">
            <v>49.312529644269169</v>
          </cell>
          <cell r="G1061">
            <v>29.470632411066362</v>
          </cell>
          <cell r="H1061">
            <v>29.470632411066362</v>
          </cell>
          <cell r="I1061" t="e">
            <v>#N/A</v>
          </cell>
          <cell r="J1061" t="e">
            <v>#N/A</v>
          </cell>
          <cell r="K1061">
            <v>42</v>
          </cell>
          <cell r="L1061">
            <v>32</v>
          </cell>
          <cell r="M1061" t="e">
            <v>#N/A</v>
          </cell>
          <cell r="N1061">
            <v>37</v>
          </cell>
          <cell r="O1061" t="e">
            <v>#N/A</v>
          </cell>
          <cell r="P1061" t="str">
            <v/>
          </cell>
          <cell r="Q1061" t="str">
            <v/>
          </cell>
          <cell r="R1061" t="e">
            <v>#N/A</v>
          </cell>
        </row>
        <row r="1062">
          <cell r="A1062" t="str">
            <v/>
          </cell>
          <cell r="B1062" t="str">
            <v/>
          </cell>
          <cell r="C1062" t="str">
            <v>Future</v>
          </cell>
          <cell r="D1062" t="e">
            <v>#N/A</v>
          </cell>
          <cell r="E1062">
            <v>-34.160079051383192</v>
          </cell>
          <cell r="F1062">
            <v>49.341897233201976</v>
          </cell>
          <cell r="G1062">
            <v>29.460474308299563</v>
          </cell>
          <cell r="H1062">
            <v>29.460474308299563</v>
          </cell>
          <cell r="I1062" t="e">
            <v>#N/A</v>
          </cell>
          <cell r="J1062" t="e">
            <v>#N/A</v>
          </cell>
          <cell r="K1062">
            <v>42</v>
          </cell>
          <cell r="L1062">
            <v>32</v>
          </cell>
          <cell r="M1062" t="e">
            <v>#N/A</v>
          </cell>
          <cell r="N1062">
            <v>37</v>
          </cell>
          <cell r="O1062" t="e">
            <v>#N/A</v>
          </cell>
          <cell r="P1062" t="str">
            <v/>
          </cell>
          <cell r="Q1062" t="str">
            <v/>
          </cell>
          <cell r="R1062" t="e">
            <v>#N/A</v>
          </cell>
        </row>
        <row r="1063">
          <cell r="A1063" t="str">
            <v/>
          </cell>
          <cell r="B1063" t="str">
            <v/>
          </cell>
          <cell r="C1063" t="str">
            <v>Future</v>
          </cell>
          <cell r="D1063" t="e">
            <v>#N/A</v>
          </cell>
          <cell r="E1063">
            <v>-34.296719367588729</v>
          </cell>
          <cell r="F1063">
            <v>49.371264822134783</v>
          </cell>
          <cell r="G1063">
            <v>29.450316205532765</v>
          </cell>
          <cell r="H1063">
            <v>29.450316205532765</v>
          </cell>
          <cell r="I1063" t="e">
            <v>#N/A</v>
          </cell>
          <cell r="J1063" t="e">
            <v>#N/A</v>
          </cell>
          <cell r="K1063">
            <v>42</v>
          </cell>
          <cell r="L1063">
            <v>32</v>
          </cell>
          <cell r="M1063" t="e">
            <v>#N/A</v>
          </cell>
          <cell r="N1063">
            <v>37</v>
          </cell>
          <cell r="O1063" t="e">
            <v>#N/A</v>
          </cell>
          <cell r="P1063" t="str">
            <v/>
          </cell>
          <cell r="Q1063" t="str">
            <v/>
          </cell>
          <cell r="R1063" t="e">
            <v>#N/A</v>
          </cell>
        </row>
        <row r="1064">
          <cell r="A1064" t="str">
            <v/>
          </cell>
          <cell r="B1064" t="str">
            <v/>
          </cell>
          <cell r="C1064" t="str">
            <v>Future</v>
          </cell>
          <cell r="D1064" t="e">
            <v>#N/A</v>
          </cell>
          <cell r="E1064">
            <v>-34.433359683794265</v>
          </cell>
          <cell r="F1064">
            <v>49.400632411067591</v>
          </cell>
          <cell r="G1064">
            <v>29.440158102765967</v>
          </cell>
          <cell r="H1064">
            <v>29.440158102765967</v>
          </cell>
          <cell r="I1064" t="e">
            <v>#N/A</v>
          </cell>
          <cell r="J1064" t="e">
            <v>#N/A</v>
          </cell>
          <cell r="K1064">
            <v>42</v>
          </cell>
          <cell r="L1064">
            <v>32</v>
          </cell>
          <cell r="M1064" t="e">
            <v>#N/A</v>
          </cell>
          <cell r="N1064">
            <v>37</v>
          </cell>
          <cell r="O1064" t="e">
            <v>#N/A</v>
          </cell>
          <cell r="P1064" t="str">
            <v/>
          </cell>
          <cell r="Q1064" t="str">
            <v/>
          </cell>
          <cell r="R1064" t="e">
            <v>#N/A</v>
          </cell>
        </row>
        <row r="1065">
          <cell r="A1065" t="str">
            <v/>
          </cell>
          <cell r="B1065" t="str">
            <v/>
          </cell>
          <cell r="C1065" t="str">
            <v>Future</v>
          </cell>
          <cell r="D1065" t="e">
            <v>#N/A</v>
          </cell>
          <cell r="E1065">
            <v>-34.569999999999801</v>
          </cell>
          <cell r="F1065">
            <v>49.430000000000398</v>
          </cell>
          <cell r="G1065">
            <v>29.429999999999168</v>
          </cell>
          <cell r="H1065">
            <v>29.429999999999168</v>
          </cell>
          <cell r="I1065" t="e">
            <v>#N/A</v>
          </cell>
          <cell r="J1065" t="e">
            <v>#N/A</v>
          </cell>
          <cell r="K1065">
            <v>42</v>
          </cell>
          <cell r="L1065">
            <v>32</v>
          </cell>
          <cell r="M1065" t="e">
            <v>#N/A</v>
          </cell>
          <cell r="N1065">
            <v>37</v>
          </cell>
          <cell r="O1065" t="e">
            <v>#N/A</v>
          </cell>
          <cell r="P1065" t="str">
            <v/>
          </cell>
          <cell r="Q1065" t="str">
            <v/>
          </cell>
          <cell r="R1065" t="e">
            <v>#N/A</v>
          </cell>
        </row>
        <row r="1066">
          <cell r="A1066" t="str">
            <v/>
          </cell>
          <cell r="B1066" t="str">
            <v/>
          </cell>
          <cell r="C1066" t="str">
            <v>Future</v>
          </cell>
          <cell r="D1066" t="e">
            <v>#N/A</v>
          </cell>
          <cell r="E1066">
            <v>-34.706640316205338</v>
          </cell>
          <cell r="F1066">
            <v>49.459367588933205</v>
          </cell>
          <cell r="G1066">
            <v>29.41984189723237</v>
          </cell>
          <cell r="H1066">
            <v>29.41984189723237</v>
          </cell>
          <cell r="I1066" t="e">
            <v>#N/A</v>
          </cell>
          <cell r="J1066" t="e">
            <v>#N/A</v>
          </cell>
          <cell r="K1066">
            <v>42</v>
          </cell>
          <cell r="L1066">
            <v>32</v>
          </cell>
          <cell r="M1066" t="e">
            <v>#N/A</v>
          </cell>
          <cell r="N1066">
            <v>37</v>
          </cell>
          <cell r="O1066" t="e">
            <v>#N/A</v>
          </cell>
          <cell r="P1066" t="str">
            <v/>
          </cell>
          <cell r="Q1066" t="str">
            <v/>
          </cell>
          <cell r="R1066" t="e">
            <v>#N/A</v>
          </cell>
        </row>
        <row r="1067">
          <cell r="A1067" t="str">
            <v/>
          </cell>
          <cell r="B1067" t="str">
            <v/>
          </cell>
          <cell r="C1067" t="str">
            <v>Future</v>
          </cell>
          <cell r="D1067" t="e">
            <v>#N/A</v>
          </cell>
          <cell r="E1067">
            <v>-34.843280632410874</v>
          </cell>
          <cell r="F1067">
            <v>49.488735177866012</v>
          </cell>
          <cell r="G1067">
            <v>29.409683794465572</v>
          </cell>
          <cell r="H1067">
            <v>29.409683794465572</v>
          </cell>
          <cell r="I1067" t="e">
            <v>#N/A</v>
          </cell>
          <cell r="J1067" t="e">
            <v>#N/A</v>
          </cell>
          <cell r="K1067">
            <v>42</v>
          </cell>
          <cell r="L1067">
            <v>32</v>
          </cell>
          <cell r="M1067" t="e">
            <v>#N/A</v>
          </cell>
          <cell r="N1067">
            <v>37</v>
          </cell>
          <cell r="O1067" t="e">
            <v>#N/A</v>
          </cell>
          <cell r="P1067" t="str">
            <v/>
          </cell>
          <cell r="Q1067" t="str">
            <v/>
          </cell>
          <cell r="R1067" t="e">
            <v>#N/A</v>
          </cell>
        </row>
        <row r="1068">
          <cell r="A1068" t="str">
            <v/>
          </cell>
          <cell r="B1068" t="str">
            <v/>
          </cell>
          <cell r="C1068" t="str">
            <v>Future</v>
          </cell>
          <cell r="D1068" t="e">
            <v>#N/A</v>
          </cell>
          <cell r="E1068">
            <v>-34.97992094861641</v>
          </cell>
          <cell r="F1068">
            <v>49.518102766798819</v>
          </cell>
          <cell r="G1068">
            <v>29.399525691698773</v>
          </cell>
          <cell r="H1068">
            <v>29.399525691698773</v>
          </cell>
          <cell r="I1068" t="e">
            <v>#N/A</v>
          </cell>
          <cell r="J1068" t="e">
            <v>#N/A</v>
          </cell>
          <cell r="K1068">
            <v>42</v>
          </cell>
          <cell r="L1068">
            <v>32</v>
          </cell>
          <cell r="M1068" t="e">
            <v>#N/A</v>
          </cell>
          <cell r="N1068">
            <v>37</v>
          </cell>
          <cell r="O1068" t="e">
            <v>#N/A</v>
          </cell>
          <cell r="P1068" t="str">
            <v/>
          </cell>
          <cell r="Q1068" t="str">
            <v/>
          </cell>
          <cell r="R1068" t="e">
            <v>#N/A</v>
          </cell>
        </row>
        <row r="1069">
          <cell r="A1069" t="str">
            <v/>
          </cell>
          <cell r="B1069" t="str">
            <v/>
          </cell>
          <cell r="C1069" t="str">
            <v>Future</v>
          </cell>
          <cell r="D1069" t="e">
            <v>#N/A</v>
          </cell>
          <cell r="E1069">
            <v>-35.116561264821947</v>
          </cell>
          <cell r="F1069">
            <v>49.547470355731626</v>
          </cell>
          <cell r="G1069">
            <v>29.389367588931975</v>
          </cell>
          <cell r="H1069">
            <v>29.389367588931975</v>
          </cell>
          <cell r="I1069" t="e">
            <v>#N/A</v>
          </cell>
          <cell r="J1069" t="e">
            <v>#N/A</v>
          </cell>
          <cell r="K1069">
            <v>42</v>
          </cell>
          <cell r="L1069">
            <v>32</v>
          </cell>
          <cell r="M1069" t="e">
            <v>#N/A</v>
          </cell>
          <cell r="N1069">
            <v>37</v>
          </cell>
          <cell r="O1069" t="e">
            <v>#N/A</v>
          </cell>
          <cell r="P1069" t="str">
            <v/>
          </cell>
          <cell r="Q1069" t="str">
            <v/>
          </cell>
          <cell r="R1069" t="e">
            <v>#N/A</v>
          </cell>
        </row>
        <row r="1070">
          <cell r="A1070" t="str">
            <v/>
          </cell>
          <cell r="B1070" t="str">
            <v/>
          </cell>
          <cell r="C1070" t="str">
            <v>Future</v>
          </cell>
          <cell r="D1070" t="e">
            <v>#N/A</v>
          </cell>
          <cell r="E1070">
            <v>-35.253201581027483</v>
          </cell>
          <cell r="F1070">
            <v>49.576837944664433</v>
          </cell>
          <cell r="G1070">
            <v>29.379209486165177</v>
          </cell>
          <cell r="H1070">
            <v>29.379209486165177</v>
          </cell>
          <cell r="I1070" t="e">
            <v>#N/A</v>
          </cell>
          <cell r="J1070" t="e">
            <v>#N/A</v>
          </cell>
          <cell r="K1070">
            <v>42</v>
          </cell>
          <cell r="L1070">
            <v>32</v>
          </cell>
          <cell r="M1070" t="e">
            <v>#N/A</v>
          </cell>
          <cell r="N1070">
            <v>37</v>
          </cell>
          <cell r="O1070" t="e">
            <v>#N/A</v>
          </cell>
          <cell r="P1070" t="str">
            <v/>
          </cell>
          <cell r="Q1070" t="str">
            <v/>
          </cell>
          <cell r="R1070" t="e">
            <v>#N/A</v>
          </cell>
        </row>
        <row r="1071">
          <cell r="A1071" t="str">
            <v/>
          </cell>
          <cell r="B1071" t="str">
            <v/>
          </cell>
          <cell r="C1071" t="str">
            <v>Future</v>
          </cell>
          <cell r="D1071" t="e">
            <v>#N/A</v>
          </cell>
          <cell r="E1071">
            <v>-35.389841897233019</v>
          </cell>
          <cell r="F1071">
            <v>49.60620553359724</v>
          </cell>
          <cell r="G1071">
            <v>29.369051383398379</v>
          </cell>
          <cell r="H1071">
            <v>29.369051383398379</v>
          </cell>
          <cell r="I1071" t="e">
            <v>#N/A</v>
          </cell>
          <cell r="J1071" t="e">
            <v>#N/A</v>
          </cell>
          <cell r="K1071">
            <v>42</v>
          </cell>
          <cell r="L1071">
            <v>32</v>
          </cell>
          <cell r="M1071" t="e">
            <v>#N/A</v>
          </cell>
          <cell r="N1071">
            <v>37</v>
          </cell>
          <cell r="O1071" t="e">
            <v>#N/A</v>
          </cell>
          <cell r="P1071" t="str">
            <v/>
          </cell>
          <cell r="Q1071" t="str">
            <v/>
          </cell>
          <cell r="R1071" t="e">
            <v>#N/A</v>
          </cell>
        </row>
        <row r="1072">
          <cell r="A1072" t="str">
            <v/>
          </cell>
          <cell r="B1072" t="str">
            <v/>
          </cell>
          <cell r="C1072" t="str">
            <v>Future</v>
          </cell>
          <cell r="D1072" t="e">
            <v>#N/A</v>
          </cell>
          <cell r="E1072">
            <v>-35.526482213438555</v>
          </cell>
          <cell r="F1072">
            <v>49.635573122530047</v>
          </cell>
          <cell r="G1072">
            <v>29.35889328063158</v>
          </cell>
          <cell r="H1072">
            <v>29.35889328063158</v>
          </cell>
          <cell r="I1072" t="e">
            <v>#N/A</v>
          </cell>
          <cell r="J1072" t="e">
            <v>#N/A</v>
          </cell>
          <cell r="K1072">
            <v>42</v>
          </cell>
          <cell r="L1072">
            <v>32</v>
          </cell>
          <cell r="M1072" t="e">
            <v>#N/A</v>
          </cell>
          <cell r="N1072">
            <v>37</v>
          </cell>
          <cell r="O1072" t="e">
            <v>#N/A</v>
          </cell>
          <cell r="P1072" t="str">
            <v/>
          </cell>
          <cell r="Q1072" t="str">
            <v/>
          </cell>
          <cell r="R1072" t="e">
            <v>#N/A</v>
          </cell>
        </row>
        <row r="1073">
          <cell r="A1073" t="str">
            <v/>
          </cell>
          <cell r="B1073" t="str">
            <v/>
          </cell>
          <cell r="C1073" t="str">
            <v>Future</v>
          </cell>
          <cell r="D1073" t="e">
            <v>#N/A</v>
          </cell>
          <cell r="E1073">
            <v>-35.663122529644092</v>
          </cell>
          <cell r="F1073">
            <v>49.664940711462854</v>
          </cell>
          <cell r="G1073">
            <v>29.348735177864782</v>
          </cell>
          <cell r="H1073">
            <v>29.348735177864782</v>
          </cell>
          <cell r="I1073" t="e">
            <v>#N/A</v>
          </cell>
          <cell r="J1073" t="e">
            <v>#N/A</v>
          </cell>
          <cell r="K1073">
            <v>42</v>
          </cell>
          <cell r="L1073">
            <v>32</v>
          </cell>
          <cell r="M1073" t="e">
            <v>#N/A</v>
          </cell>
          <cell r="N1073">
            <v>37</v>
          </cell>
          <cell r="O1073" t="e">
            <v>#N/A</v>
          </cell>
          <cell r="P1073" t="str">
            <v/>
          </cell>
          <cell r="Q1073" t="str">
            <v/>
          </cell>
          <cell r="R1073" t="e">
            <v>#N/A</v>
          </cell>
        </row>
        <row r="1074">
          <cell r="A1074" t="str">
            <v/>
          </cell>
          <cell r="B1074" t="str">
            <v/>
          </cell>
          <cell r="C1074" t="str">
            <v>Future</v>
          </cell>
          <cell r="D1074" t="e">
            <v>#N/A</v>
          </cell>
          <cell r="E1074">
            <v>-35.799762845849628</v>
          </cell>
          <cell r="F1074">
            <v>49.694308300395662</v>
          </cell>
          <cell r="G1074">
            <v>29.338577075097984</v>
          </cell>
          <cell r="H1074">
            <v>29.338577075097984</v>
          </cell>
          <cell r="I1074" t="e">
            <v>#N/A</v>
          </cell>
          <cell r="J1074" t="e">
            <v>#N/A</v>
          </cell>
          <cell r="K1074">
            <v>42</v>
          </cell>
          <cell r="L1074">
            <v>32</v>
          </cell>
          <cell r="M1074" t="e">
            <v>#N/A</v>
          </cell>
          <cell r="N1074">
            <v>37</v>
          </cell>
          <cell r="O1074" t="e">
            <v>#N/A</v>
          </cell>
          <cell r="P1074" t="str">
            <v/>
          </cell>
          <cell r="Q1074" t="str">
            <v/>
          </cell>
          <cell r="R1074" t="e">
            <v>#N/A</v>
          </cell>
        </row>
        <row r="1075">
          <cell r="A1075" t="str">
            <v/>
          </cell>
          <cell r="B1075" t="str">
            <v/>
          </cell>
          <cell r="C1075" t="str">
            <v>Future</v>
          </cell>
          <cell r="D1075" t="e">
            <v>#N/A</v>
          </cell>
          <cell r="E1075">
            <v>-35.936403162055164</v>
          </cell>
          <cell r="F1075">
            <v>49.723675889328469</v>
          </cell>
          <cell r="G1075">
            <v>29.328418972331185</v>
          </cell>
          <cell r="H1075">
            <v>29.328418972331185</v>
          </cell>
          <cell r="I1075" t="e">
            <v>#N/A</v>
          </cell>
          <cell r="J1075" t="e">
            <v>#N/A</v>
          </cell>
          <cell r="K1075">
            <v>42</v>
          </cell>
          <cell r="L1075">
            <v>32</v>
          </cell>
          <cell r="M1075" t="e">
            <v>#N/A</v>
          </cell>
          <cell r="N1075">
            <v>37</v>
          </cell>
          <cell r="O1075" t="e">
            <v>#N/A</v>
          </cell>
          <cell r="P1075" t="str">
            <v/>
          </cell>
          <cell r="Q1075" t="str">
            <v/>
          </cell>
          <cell r="R1075" t="e">
            <v>#N/A</v>
          </cell>
        </row>
        <row r="1076">
          <cell r="A1076" t="str">
            <v/>
          </cell>
          <cell r="B1076" t="str">
            <v/>
          </cell>
          <cell r="C1076" t="str">
            <v>Future</v>
          </cell>
          <cell r="D1076" t="e">
            <v>#N/A</v>
          </cell>
          <cell r="E1076">
            <v>-36.073043478260701</v>
          </cell>
          <cell r="F1076">
            <v>49.753043478261276</v>
          </cell>
          <cell r="G1076">
            <v>29.318260869564387</v>
          </cell>
          <cell r="H1076">
            <v>29.318260869564387</v>
          </cell>
          <cell r="I1076" t="e">
            <v>#N/A</v>
          </cell>
          <cell r="J1076" t="e">
            <v>#N/A</v>
          </cell>
          <cell r="K1076">
            <v>42</v>
          </cell>
          <cell r="L1076">
            <v>32</v>
          </cell>
          <cell r="M1076" t="e">
            <v>#N/A</v>
          </cell>
          <cell r="N1076">
            <v>37</v>
          </cell>
          <cell r="O1076" t="e">
            <v>#N/A</v>
          </cell>
          <cell r="P1076" t="str">
            <v/>
          </cell>
          <cell r="Q1076" t="str">
            <v/>
          </cell>
          <cell r="R1076" t="e">
            <v>#N/A</v>
          </cell>
        </row>
        <row r="1077">
          <cell r="A1077" t="str">
            <v/>
          </cell>
          <cell r="B1077" t="str">
            <v/>
          </cell>
          <cell r="C1077" t="str">
            <v>Future</v>
          </cell>
          <cell r="D1077" t="e">
            <v>#N/A</v>
          </cell>
          <cell r="E1077">
            <v>-36.209683794466237</v>
          </cell>
          <cell r="F1077">
            <v>49.782411067194083</v>
          </cell>
          <cell r="G1077">
            <v>29.308102766797589</v>
          </cell>
          <cell r="H1077">
            <v>29.308102766797589</v>
          </cell>
          <cell r="I1077" t="e">
            <v>#N/A</v>
          </cell>
          <cell r="J1077" t="e">
            <v>#N/A</v>
          </cell>
          <cell r="K1077">
            <v>42</v>
          </cell>
          <cell r="L1077">
            <v>32</v>
          </cell>
          <cell r="M1077" t="e">
            <v>#N/A</v>
          </cell>
          <cell r="N1077">
            <v>37</v>
          </cell>
          <cell r="O1077" t="e">
            <v>#N/A</v>
          </cell>
          <cell r="P1077" t="str">
            <v/>
          </cell>
          <cell r="Q1077" t="str">
            <v/>
          </cell>
          <cell r="R1077" t="e">
            <v>#N/A</v>
          </cell>
        </row>
        <row r="1078">
          <cell r="A1078" t="str">
            <v/>
          </cell>
          <cell r="B1078" t="str">
            <v/>
          </cell>
          <cell r="C1078" t="str">
            <v>Future</v>
          </cell>
          <cell r="D1078" t="e">
            <v>#N/A</v>
          </cell>
          <cell r="E1078">
            <v>-36.346324110671773</v>
          </cell>
          <cell r="F1078">
            <v>49.81177865612689</v>
          </cell>
          <cell r="G1078">
            <v>29.297944664030791</v>
          </cell>
          <cell r="H1078">
            <v>29.297944664030791</v>
          </cell>
          <cell r="I1078" t="e">
            <v>#N/A</v>
          </cell>
          <cell r="J1078" t="e">
            <v>#N/A</v>
          </cell>
          <cell r="K1078">
            <v>42</v>
          </cell>
          <cell r="L1078">
            <v>32</v>
          </cell>
          <cell r="M1078" t="e">
            <v>#N/A</v>
          </cell>
          <cell r="N1078">
            <v>37</v>
          </cell>
          <cell r="O1078" t="e">
            <v>#N/A</v>
          </cell>
          <cell r="P1078" t="str">
            <v/>
          </cell>
          <cell r="Q1078" t="str">
            <v/>
          </cell>
          <cell r="R1078" t="e">
            <v>#N/A</v>
          </cell>
        </row>
        <row r="1079">
          <cell r="A1079" t="str">
            <v/>
          </cell>
          <cell r="B1079" t="str">
            <v/>
          </cell>
          <cell r="C1079" t="str">
            <v>Future</v>
          </cell>
          <cell r="D1079" t="e">
            <v>#N/A</v>
          </cell>
          <cell r="E1079">
            <v>-36.482964426877309</v>
          </cell>
          <cell r="F1079">
            <v>49.841146245059697</v>
          </cell>
          <cell r="G1079">
            <v>29.287786561263992</v>
          </cell>
          <cell r="H1079">
            <v>29.287786561263992</v>
          </cell>
          <cell r="I1079" t="e">
            <v>#N/A</v>
          </cell>
          <cell r="J1079" t="e">
            <v>#N/A</v>
          </cell>
          <cell r="K1079">
            <v>42</v>
          </cell>
          <cell r="L1079">
            <v>32</v>
          </cell>
          <cell r="M1079" t="e">
            <v>#N/A</v>
          </cell>
          <cell r="N1079">
            <v>37</v>
          </cell>
          <cell r="O1079" t="e">
            <v>#N/A</v>
          </cell>
          <cell r="P1079" t="str">
            <v/>
          </cell>
          <cell r="Q1079" t="str">
            <v/>
          </cell>
          <cell r="R1079" t="e">
            <v>#N/A</v>
          </cell>
        </row>
        <row r="1080">
          <cell r="A1080" t="str">
            <v/>
          </cell>
          <cell r="B1080" t="str">
            <v/>
          </cell>
          <cell r="C1080" t="str">
            <v>Future</v>
          </cell>
          <cell r="D1080" t="e">
            <v>#N/A</v>
          </cell>
          <cell r="E1080">
            <v>-36.619604743082846</v>
          </cell>
          <cell r="F1080">
            <v>49.870513833992504</v>
          </cell>
          <cell r="G1080">
            <v>29.277628458497194</v>
          </cell>
          <cell r="H1080">
            <v>29.277628458497194</v>
          </cell>
          <cell r="I1080" t="e">
            <v>#N/A</v>
          </cell>
          <cell r="J1080" t="e">
            <v>#N/A</v>
          </cell>
          <cell r="K1080">
            <v>42</v>
          </cell>
          <cell r="L1080">
            <v>32</v>
          </cell>
          <cell r="M1080" t="e">
            <v>#N/A</v>
          </cell>
          <cell r="N1080">
            <v>37</v>
          </cell>
          <cell r="O1080" t="e">
            <v>#N/A</v>
          </cell>
          <cell r="P1080" t="str">
            <v/>
          </cell>
          <cell r="Q1080" t="str">
            <v/>
          </cell>
          <cell r="R1080" t="e">
            <v>#N/A</v>
          </cell>
        </row>
        <row r="1081">
          <cell r="A1081" t="str">
            <v/>
          </cell>
          <cell r="B1081" t="str">
            <v/>
          </cell>
          <cell r="C1081" t="str">
            <v>Future</v>
          </cell>
          <cell r="D1081" t="e">
            <v>#N/A</v>
          </cell>
          <cell r="E1081">
            <v>-36.756245059288382</v>
          </cell>
          <cell r="F1081">
            <v>49.899881422925311</v>
          </cell>
          <cell r="G1081">
            <v>29.267470355730396</v>
          </cell>
          <cell r="H1081">
            <v>29.267470355730396</v>
          </cell>
          <cell r="I1081" t="e">
            <v>#N/A</v>
          </cell>
          <cell r="J1081" t="e">
            <v>#N/A</v>
          </cell>
          <cell r="K1081">
            <v>42</v>
          </cell>
          <cell r="L1081">
            <v>32</v>
          </cell>
          <cell r="M1081" t="e">
            <v>#N/A</v>
          </cell>
          <cell r="N1081">
            <v>37</v>
          </cell>
          <cell r="O1081" t="e">
            <v>#N/A</v>
          </cell>
          <cell r="P1081" t="str">
            <v/>
          </cell>
          <cell r="Q1081" t="str">
            <v/>
          </cell>
          <cell r="R1081" t="e">
            <v>#N/A</v>
          </cell>
        </row>
        <row r="1082">
          <cell r="A1082" t="str">
            <v/>
          </cell>
          <cell r="B1082" t="str">
            <v/>
          </cell>
          <cell r="C1082" t="str">
            <v>Future</v>
          </cell>
          <cell r="D1082" t="e">
            <v>#N/A</v>
          </cell>
          <cell r="E1082">
            <v>-36.892885375493918</v>
          </cell>
          <cell r="F1082">
            <v>49.929249011858118</v>
          </cell>
          <cell r="G1082">
            <v>29.257312252963597</v>
          </cell>
          <cell r="H1082">
            <v>29.257312252963597</v>
          </cell>
          <cell r="I1082" t="e">
            <v>#N/A</v>
          </cell>
          <cell r="J1082" t="e">
            <v>#N/A</v>
          </cell>
          <cell r="K1082">
            <v>42</v>
          </cell>
          <cell r="L1082">
            <v>32</v>
          </cell>
          <cell r="M1082" t="e">
            <v>#N/A</v>
          </cell>
          <cell r="N1082">
            <v>37</v>
          </cell>
          <cell r="O1082" t="e">
            <v>#N/A</v>
          </cell>
          <cell r="P1082" t="str">
            <v/>
          </cell>
          <cell r="Q1082" t="str">
            <v/>
          </cell>
          <cell r="R1082" t="e">
            <v>#N/A</v>
          </cell>
        </row>
        <row r="1083">
          <cell r="A1083" t="str">
            <v/>
          </cell>
          <cell r="B1083" t="str">
            <v/>
          </cell>
          <cell r="C1083" t="str">
            <v>Future</v>
          </cell>
          <cell r="D1083" t="e">
            <v>#N/A</v>
          </cell>
          <cell r="E1083">
            <v>-37.029525691699455</v>
          </cell>
          <cell r="F1083">
            <v>49.958616600790926</v>
          </cell>
          <cell r="G1083">
            <v>29.247154150196799</v>
          </cell>
          <cell r="H1083">
            <v>29.247154150196799</v>
          </cell>
          <cell r="I1083" t="e">
            <v>#N/A</v>
          </cell>
          <cell r="J1083" t="e">
            <v>#N/A</v>
          </cell>
          <cell r="K1083">
            <v>42</v>
          </cell>
          <cell r="L1083">
            <v>32</v>
          </cell>
          <cell r="M1083" t="e">
            <v>#N/A</v>
          </cell>
          <cell r="N1083">
            <v>37</v>
          </cell>
          <cell r="O1083" t="e">
            <v>#N/A</v>
          </cell>
          <cell r="P1083" t="str">
            <v/>
          </cell>
          <cell r="Q1083" t="str">
            <v/>
          </cell>
          <cell r="R1083" t="e">
            <v>#N/A</v>
          </cell>
        </row>
        <row r="1084">
          <cell r="A1084" t="str">
            <v/>
          </cell>
          <cell r="B1084" t="str">
            <v/>
          </cell>
          <cell r="C1084" t="str">
            <v>Future</v>
          </cell>
          <cell r="D1084" t="e">
            <v>#N/A</v>
          </cell>
          <cell r="E1084">
            <v>-37.166166007904991</v>
          </cell>
          <cell r="F1084">
            <v>49.987984189723733</v>
          </cell>
          <cell r="G1084">
            <v>29.236996047430001</v>
          </cell>
          <cell r="H1084">
            <v>29.236996047430001</v>
          </cell>
          <cell r="I1084" t="e">
            <v>#N/A</v>
          </cell>
          <cell r="J1084" t="e">
            <v>#N/A</v>
          </cell>
          <cell r="K1084">
            <v>42</v>
          </cell>
          <cell r="L1084">
            <v>32</v>
          </cell>
          <cell r="M1084" t="e">
            <v>#N/A</v>
          </cell>
          <cell r="N1084">
            <v>37</v>
          </cell>
          <cell r="O1084" t="e">
            <v>#N/A</v>
          </cell>
          <cell r="P1084" t="str">
            <v/>
          </cell>
          <cell r="Q1084" t="str">
            <v/>
          </cell>
          <cell r="R1084" t="e">
            <v>#N/A</v>
          </cell>
        </row>
        <row r="1085">
          <cell r="A1085" t="str">
            <v/>
          </cell>
          <cell r="B1085" t="str">
            <v/>
          </cell>
          <cell r="C1085" t="str">
            <v>Future</v>
          </cell>
          <cell r="D1085" t="e">
            <v>#N/A</v>
          </cell>
          <cell r="E1085">
            <v>-37.302806324110527</v>
          </cell>
          <cell r="F1085">
            <v>50.01735177865654</v>
          </cell>
          <cell r="G1085">
            <v>29.226837944663203</v>
          </cell>
          <cell r="H1085">
            <v>29.226837944663203</v>
          </cell>
          <cell r="I1085" t="e">
            <v>#N/A</v>
          </cell>
          <cell r="J1085" t="e">
            <v>#N/A</v>
          </cell>
          <cell r="K1085">
            <v>42</v>
          </cell>
          <cell r="L1085">
            <v>32</v>
          </cell>
          <cell r="M1085" t="e">
            <v>#N/A</v>
          </cell>
          <cell r="N1085">
            <v>37</v>
          </cell>
          <cell r="O1085" t="e">
            <v>#N/A</v>
          </cell>
          <cell r="P1085" t="str">
            <v/>
          </cell>
          <cell r="Q1085" t="str">
            <v/>
          </cell>
          <cell r="R1085" t="e">
            <v>#N/A</v>
          </cell>
        </row>
        <row r="1086">
          <cell r="A1086" t="str">
            <v/>
          </cell>
          <cell r="B1086" t="str">
            <v/>
          </cell>
          <cell r="C1086" t="str">
            <v>Future</v>
          </cell>
          <cell r="D1086" t="e">
            <v>#N/A</v>
          </cell>
          <cell r="E1086">
            <v>-37.439446640316064</v>
          </cell>
          <cell r="F1086">
            <v>50.046719367589347</v>
          </cell>
          <cell r="G1086">
            <v>29.216679841896404</v>
          </cell>
          <cell r="H1086">
            <v>29.216679841896404</v>
          </cell>
          <cell r="I1086" t="e">
            <v>#N/A</v>
          </cell>
          <cell r="J1086" t="e">
            <v>#N/A</v>
          </cell>
          <cell r="K1086">
            <v>42</v>
          </cell>
          <cell r="L1086">
            <v>32</v>
          </cell>
          <cell r="M1086" t="e">
            <v>#N/A</v>
          </cell>
          <cell r="N1086">
            <v>37</v>
          </cell>
          <cell r="O1086" t="e">
            <v>#N/A</v>
          </cell>
          <cell r="P1086" t="str">
            <v/>
          </cell>
          <cell r="Q1086" t="str">
            <v/>
          </cell>
          <cell r="R1086" t="e">
            <v>#N/A</v>
          </cell>
        </row>
        <row r="1087">
          <cell r="A1087" t="str">
            <v/>
          </cell>
          <cell r="B1087" t="str">
            <v/>
          </cell>
          <cell r="C1087" t="str">
            <v>Future</v>
          </cell>
          <cell r="D1087" t="e">
            <v>#N/A</v>
          </cell>
          <cell r="E1087">
            <v>-37.5760869565216</v>
          </cell>
          <cell r="F1087">
            <v>50.076086956522154</v>
          </cell>
          <cell r="G1087">
            <v>29.206521739129606</v>
          </cell>
          <cell r="H1087">
            <v>29.206521739129606</v>
          </cell>
          <cell r="I1087" t="e">
            <v>#N/A</v>
          </cell>
          <cell r="J1087" t="e">
            <v>#N/A</v>
          </cell>
          <cell r="K1087">
            <v>42</v>
          </cell>
          <cell r="L1087">
            <v>32</v>
          </cell>
          <cell r="M1087" t="e">
            <v>#N/A</v>
          </cell>
          <cell r="N1087">
            <v>37</v>
          </cell>
          <cell r="O1087" t="e">
            <v>#N/A</v>
          </cell>
          <cell r="P1087" t="str">
            <v/>
          </cell>
          <cell r="Q1087" t="str">
            <v/>
          </cell>
          <cell r="R1087" t="e">
            <v>#N/A</v>
          </cell>
        </row>
        <row r="1088">
          <cell r="A1088" t="str">
            <v/>
          </cell>
          <cell r="B1088" t="str">
            <v/>
          </cell>
          <cell r="C1088" t="str">
            <v>Future</v>
          </cell>
          <cell r="D1088" t="e">
            <v>#N/A</v>
          </cell>
          <cell r="E1088">
            <v>-37.712727272727136</v>
          </cell>
          <cell r="F1088">
            <v>50.105454545454961</v>
          </cell>
          <cell r="G1088">
            <v>29.196363636362808</v>
          </cell>
          <cell r="H1088">
            <v>29.196363636362808</v>
          </cell>
          <cell r="I1088" t="e">
            <v>#N/A</v>
          </cell>
          <cell r="J1088" t="e">
            <v>#N/A</v>
          </cell>
          <cell r="K1088">
            <v>42</v>
          </cell>
          <cell r="L1088">
            <v>32</v>
          </cell>
          <cell r="M1088" t="e">
            <v>#N/A</v>
          </cell>
          <cell r="N1088">
            <v>37</v>
          </cell>
          <cell r="O1088" t="e">
            <v>#N/A</v>
          </cell>
          <cell r="P1088" t="str">
            <v/>
          </cell>
          <cell r="Q1088" t="str">
            <v/>
          </cell>
          <cell r="R1088" t="e">
            <v>#N/A</v>
          </cell>
        </row>
        <row r="1089">
          <cell r="A1089" t="str">
            <v/>
          </cell>
          <cell r="B1089" t="str">
            <v/>
          </cell>
          <cell r="C1089" t="str">
            <v>Future</v>
          </cell>
          <cell r="D1089" t="e">
            <v>#N/A</v>
          </cell>
          <cell r="E1089">
            <v>-37.849367588932672</v>
          </cell>
          <cell r="F1089">
            <v>50.134822134387768</v>
          </cell>
          <cell r="G1089">
            <v>29.186205533596009</v>
          </cell>
          <cell r="H1089">
            <v>29.186205533596009</v>
          </cell>
          <cell r="I1089" t="e">
            <v>#N/A</v>
          </cell>
          <cell r="J1089" t="e">
            <v>#N/A</v>
          </cell>
          <cell r="K1089">
            <v>42</v>
          </cell>
          <cell r="L1089">
            <v>32</v>
          </cell>
          <cell r="M1089" t="e">
            <v>#N/A</v>
          </cell>
          <cell r="N1089">
            <v>37</v>
          </cell>
          <cell r="O1089" t="e">
            <v>#N/A</v>
          </cell>
          <cell r="P1089" t="str">
            <v/>
          </cell>
          <cell r="Q1089" t="str">
            <v/>
          </cell>
          <cell r="R1089" t="e">
            <v>#N/A</v>
          </cell>
        </row>
        <row r="1090">
          <cell r="A1090" t="str">
            <v/>
          </cell>
          <cell r="B1090" t="str">
            <v/>
          </cell>
          <cell r="C1090" t="str">
            <v>Future</v>
          </cell>
          <cell r="D1090" t="e">
            <v>#N/A</v>
          </cell>
          <cell r="E1090">
            <v>-37.986007905138209</v>
          </cell>
          <cell r="F1090">
            <v>50.164189723320575</v>
          </cell>
          <cell r="G1090">
            <v>29.176047430829211</v>
          </cell>
          <cell r="H1090">
            <v>29.176047430829211</v>
          </cell>
          <cell r="I1090" t="e">
            <v>#N/A</v>
          </cell>
          <cell r="J1090" t="e">
            <v>#N/A</v>
          </cell>
          <cell r="K1090">
            <v>42</v>
          </cell>
          <cell r="L1090">
            <v>32</v>
          </cell>
          <cell r="M1090" t="e">
            <v>#N/A</v>
          </cell>
          <cell r="N1090">
            <v>37</v>
          </cell>
          <cell r="O1090" t="e">
            <v>#N/A</v>
          </cell>
          <cell r="P1090" t="str">
            <v/>
          </cell>
          <cell r="Q1090" t="str">
            <v/>
          </cell>
          <cell r="R1090" t="e">
            <v>#N/A</v>
          </cell>
        </row>
        <row r="1091">
          <cell r="A1091" t="str">
            <v/>
          </cell>
          <cell r="B1091" t="str">
            <v/>
          </cell>
          <cell r="C1091" t="str">
            <v>Future</v>
          </cell>
          <cell r="D1091" t="e">
            <v>#N/A</v>
          </cell>
          <cell r="E1091">
            <v>-38.122648221343745</v>
          </cell>
          <cell r="F1091">
            <v>50.193557312253382</v>
          </cell>
          <cell r="G1091">
            <v>29.165889328062413</v>
          </cell>
          <cell r="H1091">
            <v>29.165889328062413</v>
          </cell>
          <cell r="I1091" t="e">
            <v>#N/A</v>
          </cell>
          <cell r="J1091" t="e">
            <v>#N/A</v>
          </cell>
          <cell r="K1091">
            <v>42</v>
          </cell>
          <cell r="L1091">
            <v>32</v>
          </cell>
          <cell r="M1091" t="e">
            <v>#N/A</v>
          </cell>
          <cell r="N1091">
            <v>37</v>
          </cell>
          <cell r="O1091" t="e">
            <v>#N/A</v>
          </cell>
          <cell r="P1091" t="str">
            <v/>
          </cell>
          <cell r="Q1091" t="str">
            <v/>
          </cell>
          <cell r="R1091" t="e">
            <v>#N/A</v>
          </cell>
        </row>
        <row r="1092">
          <cell r="A1092" t="str">
            <v/>
          </cell>
          <cell r="B1092" t="str">
            <v/>
          </cell>
          <cell r="C1092" t="str">
            <v>Future</v>
          </cell>
          <cell r="D1092" t="e">
            <v>#N/A</v>
          </cell>
          <cell r="E1092">
            <v>-38.259288537549281</v>
          </cell>
          <cell r="F1092">
            <v>50.22292490118619</v>
          </cell>
          <cell r="G1092">
            <v>29.155731225295614</v>
          </cell>
          <cell r="H1092">
            <v>29.155731225295614</v>
          </cell>
          <cell r="I1092" t="e">
            <v>#N/A</v>
          </cell>
          <cell r="J1092" t="e">
            <v>#N/A</v>
          </cell>
          <cell r="K1092">
            <v>42</v>
          </cell>
          <cell r="L1092">
            <v>32</v>
          </cell>
          <cell r="M1092" t="e">
            <v>#N/A</v>
          </cell>
          <cell r="N1092">
            <v>37</v>
          </cell>
          <cell r="O1092" t="e">
            <v>#N/A</v>
          </cell>
          <cell r="P1092" t="str">
            <v/>
          </cell>
          <cell r="Q1092" t="str">
            <v/>
          </cell>
          <cell r="R1092" t="e">
            <v>#N/A</v>
          </cell>
        </row>
        <row r="1093">
          <cell r="A1093" t="str">
            <v/>
          </cell>
          <cell r="B1093" t="str">
            <v/>
          </cell>
          <cell r="C1093" t="str">
            <v>Future</v>
          </cell>
          <cell r="D1093" t="e">
            <v>#N/A</v>
          </cell>
          <cell r="E1093">
            <v>-38.395928853754818</v>
          </cell>
          <cell r="F1093">
            <v>50.252292490118997</v>
          </cell>
          <cell r="G1093">
            <v>29.145573122528816</v>
          </cell>
          <cell r="H1093">
            <v>29.145573122528816</v>
          </cell>
          <cell r="I1093" t="e">
            <v>#N/A</v>
          </cell>
          <cell r="J1093" t="e">
            <v>#N/A</v>
          </cell>
          <cell r="K1093">
            <v>42</v>
          </cell>
          <cell r="L1093">
            <v>32</v>
          </cell>
          <cell r="M1093" t="e">
            <v>#N/A</v>
          </cell>
          <cell r="N1093">
            <v>37</v>
          </cell>
          <cell r="O1093" t="e">
            <v>#N/A</v>
          </cell>
          <cell r="P1093" t="str">
            <v/>
          </cell>
          <cell r="Q1093" t="str">
            <v/>
          </cell>
          <cell r="R1093" t="e">
            <v>#N/A</v>
          </cell>
        </row>
        <row r="1094">
          <cell r="A1094" t="str">
            <v/>
          </cell>
          <cell r="B1094" t="str">
            <v/>
          </cell>
          <cell r="C1094" t="str">
            <v>Future</v>
          </cell>
          <cell r="D1094" t="e">
            <v>#N/A</v>
          </cell>
          <cell r="E1094">
            <v>-38.532569169960354</v>
          </cell>
          <cell r="F1094">
            <v>50.281660079051804</v>
          </cell>
          <cell r="G1094">
            <v>29.135415019762018</v>
          </cell>
          <cell r="H1094">
            <v>29.135415019762018</v>
          </cell>
          <cell r="I1094" t="e">
            <v>#N/A</v>
          </cell>
          <cell r="J1094" t="e">
            <v>#N/A</v>
          </cell>
          <cell r="K1094">
            <v>42</v>
          </cell>
          <cell r="L1094">
            <v>32</v>
          </cell>
          <cell r="M1094" t="e">
            <v>#N/A</v>
          </cell>
          <cell r="N1094">
            <v>37</v>
          </cell>
          <cell r="O1094" t="e">
            <v>#N/A</v>
          </cell>
          <cell r="P1094" t="str">
            <v/>
          </cell>
          <cell r="Q1094" t="str">
            <v/>
          </cell>
          <cell r="R1094" t="e">
            <v>#N/A</v>
          </cell>
        </row>
        <row r="1095">
          <cell r="A1095" t="str">
            <v/>
          </cell>
          <cell r="B1095" t="str">
            <v/>
          </cell>
          <cell r="C1095" t="str">
            <v>Future</v>
          </cell>
          <cell r="D1095" t="e">
            <v>#N/A</v>
          </cell>
          <cell r="E1095">
            <v>-38.66920948616589</v>
          </cell>
          <cell r="F1095">
            <v>50.311027667984611</v>
          </cell>
          <cell r="G1095">
            <v>29.12525691699522</v>
          </cell>
          <cell r="H1095">
            <v>29.12525691699522</v>
          </cell>
          <cell r="I1095" t="e">
            <v>#N/A</v>
          </cell>
          <cell r="J1095" t="e">
            <v>#N/A</v>
          </cell>
          <cell r="K1095">
            <v>42</v>
          </cell>
          <cell r="L1095">
            <v>32</v>
          </cell>
          <cell r="M1095" t="e">
            <v>#N/A</v>
          </cell>
          <cell r="N1095">
            <v>37</v>
          </cell>
          <cell r="O1095" t="e">
            <v>#N/A</v>
          </cell>
          <cell r="P1095" t="str">
            <v/>
          </cell>
          <cell r="Q1095" t="str">
            <v/>
          </cell>
          <cell r="R1095" t="e">
            <v>#N/A</v>
          </cell>
        </row>
        <row r="1096">
          <cell r="A1096" t="str">
            <v/>
          </cell>
          <cell r="B1096" t="str">
            <v/>
          </cell>
          <cell r="C1096" t="str">
            <v>Future</v>
          </cell>
          <cell r="D1096" t="e">
            <v>#N/A</v>
          </cell>
          <cell r="E1096">
            <v>-38.805849802371426</v>
          </cell>
          <cell r="F1096">
            <v>50.340395256917418</v>
          </cell>
          <cell r="G1096">
            <v>29.115098814228421</v>
          </cell>
          <cell r="H1096">
            <v>29.115098814228421</v>
          </cell>
          <cell r="I1096" t="e">
            <v>#N/A</v>
          </cell>
          <cell r="J1096" t="e">
            <v>#N/A</v>
          </cell>
          <cell r="K1096">
            <v>42</v>
          </cell>
          <cell r="L1096">
            <v>32</v>
          </cell>
          <cell r="M1096" t="e">
            <v>#N/A</v>
          </cell>
          <cell r="N1096">
            <v>37</v>
          </cell>
          <cell r="O1096" t="e">
            <v>#N/A</v>
          </cell>
          <cell r="P1096" t="str">
            <v/>
          </cell>
          <cell r="Q1096" t="str">
            <v/>
          </cell>
          <cell r="R1096" t="e">
            <v>#N/A</v>
          </cell>
        </row>
        <row r="1097">
          <cell r="A1097" t="str">
            <v/>
          </cell>
          <cell r="B1097" t="str">
            <v/>
          </cell>
          <cell r="C1097" t="str">
            <v>Future</v>
          </cell>
          <cell r="D1097" t="e">
            <v>#N/A</v>
          </cell>
          <cell r="E1097">
            <v>-38.942490118576963</v>
          </cell>
          <cell r="F1097">
            <v>50.369762845850225</v>
          </cell>
          <cell r="G1097">
            <v>29.104940711461623</v>
          </cell>
          <cell r="H1097">
            <v>29.104940711461623</v>
          </cell>
          <cell r="I1097" t="e">
            <v>#N/A</v>
          </cell>
          <cell r="J1097" t="e">
            <v>#N/A</v>
          </cell>
          <cell r="K1097">
            <v>42</v>
          </cell>
          <cell r="L1097">
            <v>32</v>
          </cell>
          <cell r="M1097" t="e">
            <v>#N/A</v>
          </cell>
          <cell r="N1097">
            <v>37</v>
          </cell>
          <cell r="O1097" t="e">
            <v>#N/A</v>
          </cell>
          <cell r="P1097" t="str">
            <v/>
          </cell>
          <cell r="Q1097" t="str">
            <v/>
          </cell>
          <cell r="R1097" t="e">
            <v>#N/A</v>
          </cell>
        </row>
        <row r="1098">
          <cell r="A1098" t="str">
            <v/>
          </cell>
          <cell r="B1098" t="str">
            <v/>
          </cell>
          <cell r="C1098" t="str">
            <v>Future</v>
          </cell>
          <cell r="D1098" t="e">
            <v>#N/A</v>
          </cell>
          <cell r="E1098">
            <v>-39.079130434782499</v>
          </cell>
          <cell r="F1098">
            <v>50.399130434783032</v>
          </cell>
          <cell r="G1098">
            <v>29.094782608694825</v>
          </cell>
          <cell r="H1098">
            <v>29.094782608694825</v>
          </cell>
          <cell r="I1098" t="e">
            <v>#N/A</v>
          </cell>
          <cell r="J1098" t="e">
            <v>#N/A</v>
          </cell>
          <cell r="K1098">
            <v>42</v>
          </cell>
          <cell r="L1098">
            <v>32</v>
          </cell>
          <cell r="M1098" t="e">
            <v>#N/A</v>
          </cell>
          <cell r="N1098">
            <v>37</v>
          </cell>
          <cell r="O1098" t="e">
            <v>#N/A</v>
          </cell>
          <cell r="P1098" t="str">
            <v/>
          </cell>
          <cell r="Q1098" t="str">
            <v/>
          </cell>
          <cell r="R1098" t="e">
            <v>#N/A</v>
          </cell>
        </row>
        <row r="1099">
          <cell r="A1099" t="str">
            <v/>
          </cell>
          <cell r="B1099" t="str">
            <v/>
          </cell>
          <cell r="C1099" t="str">
            <v>Future</v>
          </cell>
          <cell r="D1099" t="e">
            <v>#N/A</v>
          </cell>
          <cell r="E1099">
            <v>-39.215770750988035</v>
          </cell>
          <cell r="F1099">
            <v>50.428498023715839</v>
          </cell>
          <cell r="G1099">
            <v>29.084624505928026</v>
          </cell>
          <cell r="H1099">
            <v>29.084624505928026</v>
          </cell>
          <cell r="I1099" t="e">
            <v>#N/A</v>
          </cell>
          <cell r="J1099" t="e">
            <v>#N/A</v>
          </cell>
          <cell r="K1099">
            <v>42</v>
          </cell>
          <cell r="L1099">
            <v>32</v>
          </cell>
          <cell r="M1099" t="e">
            <v>#N/A</v>
          </cell>
          <cell r="N1099">
            <v>37</v>
          </cell>
          <cell r="O1099" t="e">
            <v>#N/A</v>
          </cell>
          <cell r="P1099" t="str">
            <v/>
          </cell>
          <cell r="Q1099" t="str">
            <v/>
          </cell>
          <cell r="R1099" t="e">
            <v>#N/A</v>
          </cell>
        </row>
        <row r="1100">
          <cell r="A1100" t="str">
            <v/>
          </cell>
          <cell r="B1100" t="str">
            <v/>
          </cell>
          <cell r="C1100" t="str">
            <v>Future</v>
          </cell>
          <cell r="D1100" t="e">
            <v>#N/A</v>
          </cell>
          <cell r="E1100">
            <v>-39.352411067193572</v>
          </cell>
          <cell r="F1100">
            <v>50.457865612648646</v>
          </cell>
          <cell r="G1100">
            <v>29.074466403161228</v>
          </cell>
          <cell r="H1100">
            <v>29.074466403161228</v>
          </cell>
          <cell r="I1100" t="e">
            <v>#N/A</v>
          </cell>
          <cell r="J1100" t="e">
            <v>#N/A</v>
          </cell>
          <cell r="K1100">
            <v>42</v>
          </cell>
          <cell r="L1100">
            <v>32</v>
          </cell>
          <cell r="M1100" t="e">
            <v>#N/A</v>
          </cell>
          <cell r="N1100">
            <v>37</v>
          </cell>
          <cell r="O1100" t="e">
            <v>#N/A</v>
          </cell>
          <cell r="P1100" t="str">
            <v/>
          </cell>
          <cell r="Q1100" t="str">
            <v/>
          </cell>
          <cell r="R1100" t="e">
            <v>#N/A</v>
          </cell>
        </row>
        <row r="1101">
          <cell r="A1101" t="str">
            <v/>
          </cell>
          <cell r="B1101" t="str">
            <v/>
          </cell>
          <cell r="C1101" t="str">
            <v>Future</v>
          </cell>
          <cell r="D1101" t="e">
            <v>#N/A</v>
          </cell>
          <cell r="E1101">
            <v>-39.489051383399108</v>
          </cell>
          <cell r="F1101">
            <v>50.487233201581454</v>
          </cell>
          <cell r="G1101">
            <v>29.06430830039443</v>
          </cell>
          <cell r="H1101">
            <v>29.06430830039443</v>
          </cell>
          <cell r="I1101" t="e">
            <v>#N/A</v>
          </cell>
          <cell r="J1101" t="e">
            <v>#N/A</v>
          </cell>
          <cell r="K1101">
            <v>42</v>
          </cell>
          <cell r="L1101">
            <v>32</v>
          </cell>
          <cell r="M1101" t="e">
            <v>#N/A</v>
          </cell>
          <cell r="N1101">
            <v>37</v>
          </cell>
          <cell r="O1101" t="e">
            <v>#N/A</v>
          </cell>
          <cell r="P1101" t="str">
            <v/>
          </cell>
          <cell r="Q1101" t="str">
            <v/>
          </cell>
          <cell r="R1101" t="e">
            <v>#N/A</v>
          </cell>
        </row>
        <row r="1102">
          <cell r="A1102" t="str">
            <v/>
          </cell>
          <cell r="B1102" t="str">
            <v/>
          </cell>
          <cell r="C1102" t="str">
            <v>Future</v>
          </cell>
          <cell r="D1102" t="e">
            <v>#N/A</v>
          </cell>
          <cell r="E1102">
            <v>-39.625691699604644</v>
          </cell>
          <cell r="F1102">
            <v>50.516600790514261</v>
          </cell>
          <cell r="G1102">
            <v>29.054150197627632</v>
          </cell>
          <cell r="H1102">
            <v>29.054150197627632</v>
          </cell>
          <cell r="I1102" t="e">
            <v>#N/A</v>
          </cell>
          <cell r="J1102" t="e">
            <v>#N/A</v>
          </cell>
          <cell r="K1102">
            <v>42</v>
          </cell>
          <cell r="L1102">
            <v>32</v>
          </cell>
          <cell r="M1102" t="e">
            <v>#N/A</v>
          </cell>
          <cell r="N1102">
            <v>37</v>
          </cell>
          <cell r="O1102" t="e">
            <v>#N/A</v>
          </cell>
          <cell r="P1102" t="str">
            <v/>
          </cell>
          <cell r="Q1102" t="str">
            <v/>
          </cell>
          <cell r="R1102" t="e">
            <v>#N/A</v>
          </cell>
        </row>
        <row r="1103">
          <cell r="A1103" t="str">
            <v/>
          </cell>
          <cell r="B1103" t="str">
            <v/>
          </cell>
          <cell r="C1103" t="str">
            <v>Future</v>
          </cell>
          <cell r="D1103" t="e">
            <v>#N/A</v>
          </cell>
          <cell r="E1103">
            <v>-39.762332015810181</v>
          </cell>
          <cell r="F1103">
            <v>50.545968379447068</v>
          </cell>
          <cell r="G1103">
            <v>29.043992094860833</v>
          </cell>
          <cell r="H1103">
            <v>29.043992094860833</v>
          </cell>
          <cell r="I1103" t="e">
            <v>#N/A</v>
          </cell>
          <cell r="J1103" t="e">
            <v>#N/A</v>
          </cell>
          <cell r="K1103">
            <v>42</v>
          </cell>
          <cell r="L1103">
            <v>32</v>
          </cell>
          <cell r="M1103" t="e">
            <v>#N/A</v>
          </cell>
          <cell r="N1103">
            <v>37</v>
          </cell>
          <cell r="O1103" t="e">
            <v>#N/A</v>
          </cell>
          <cell r="P1103" t="str">
            <v/>
          </cell>
          <cell r="Q1103" t="str">
            <v/>
          </cell>
          <cell r="R1103" t="e">
            <v>#N/A</v>
          </cell>
        </row>
        <row r="1104">
          <cell r="A1104" t="str">
            <v/>
          </cell>
          <cell r="B1104" t="str">
            <v/>
          </cell>
          <cell r="C1104" t="str">
            <v>Future</v>
          </cell>
          <cell r="D1104" t="e">
            <v>#N/A</v>
          </cell>
          <cell r="E1104">
            <v>-39.898972332015717</v>
          </cell>
          <cell r="F1104">
            <v>50.575335968379875</v>
          </cell>
          <cell r="G1104">
            <v>29.033833992094035</v>
          </cell>
          <cell r="H1104">
            <v>29.033833992094035</v>
          </cell>
          <cell r="I1104" t="e">
            <v>#N/A</v>
          </cell>
          <cell r="J1104" t="e">
            <v>#N/A</v>
          </cell>
          <cell r="K1104">
            <v>42</v>
          </cell>
          <cell r="L1104">
            <v>32</v>
          </cell>
          <cell r="M1104" t="e">
            <v>#N/A</v>
          </cell>
          <cell r="N1104">
            <v>37</v>
          </cell>
          <cell r="O1104" t="e">
            <v>#N/A</v>
          </cell>
          <cell r="P1104" t="str">
            <v/>
          </cell>
          <cell r="Q1104" t="str">
            <v/>
          </cell>
          <cell r="R1104" t="e">
            <v>#N/A</v>
          </cell>
        </row>
        <row r="1105">
          <cell r="A1105" t="str">
            <v/>
          </cell>
          <cell r="B1105" t="str">
            <v/>
          </cell>
          <cell r="C1105" t="str">
            <v>Future</v>
          </cell>
          <cell r="D1105" t="e">
            <v>#N/A</v>
          </cell>
          <cell r="E1105">
            <v>-40.035612648221253</v>
          </cell>
          <cell r="F1105">
            <v>50.604703557312682</v>
          </cell>
          <cell r="G1105">
            <v>29.023675889327237</v>
          </cell>
          <cell r="H1105">
            <v>29.023675889327237</v>
          </cell>
          <cell r="I1105" t="e">
            <v>#N/A</v>
          </cell>
          <cell r="J1105" t="e">
            <v>#N/A</v>
          </cell>
          <cell r="K1105">
            <v>42</v>
          </cell>
          <cell r="L1105">
            <v>32</v>
          </cell>
          <cell r="M1105" t="e">
            <v>#N/A</v>
          </cell>
          <cell r="N1105">
            <v>37</v>
          </cell>
          <cell r="O1105" t="e">
            <v>#N/A</v>
          </cell>
          <cell r="P1105" t="str">
            <v/>
          </cell>
          <cell r="Q1105" t="str">
            <v/>
          </cell>
          <cell r="R1105" t="e">
            <v>#N/A</v>
          </cell>
        </row>
        <row r="1106">
          <cell r="A1106" t="str">
            <v/>
          </cell>
          <cell r="B1106" t="str">
            <v/>
          </cell>
          <cell r="C1106" t="str">
            <v>Future</v>
          </cell>
          <cell r="D1106" t="e">
            <v>#N/A</v>
          </cell>
          <cell r="E1106">
            <v>-40.172252964426789</v>
          </cell>
          <cell r="F1106">
            <v>50.634071146245489</v>
          </cell>
          <cell r="G1106">
            <v>29.013517786560438</v>
          </cell>
          <cell r="H1106">
            <v>29.013517786560438</v>
          </cell>
          <cell r="I1106" t="e">
            <v>#N/A</v>
          </cell>
          <cell r="J1106" t="e">
            <v>#N/A</v>
          </cell>
          <cell r="K1106">
            <v>42</v>
          </cell>
          <cell r="L1106">
            <v>32</v>
          </cell>
          <cell r="M1106" t="e">
            <v>#N/A</v>
          </cell>
          <cell r="N1106">
            <v>37</v>
          </cell>
          <cell r="O1106" t="e">
            <v>#N/A</v>
          </cell>
          <cell r="P1106" t="str">
            <v/>
          </cell>
          <cell r="Q1106" t="str">
            <v/>
          </cell>
          <cell r="R1106" t="e">
            <v>#N/A</v>
          </cell>
        </row>
        <row r="1107">
          <cell r="A1107" t="str">
            <v/>
          </cell>
          <cell r="B1107" t="str">
            <v/>
          </cell>
          <cell r="C1107" t="str">
            <v>Future</v>
          </cell>
          <cell r="D1107" t="e">
            <v>#N/A</v>
          </cell>
          <cell r="E1107">
            <v>-40.308893280632326</v>
          </cell>
          <cell r="F1107">
            <v>50.663438735178296</v>
          </cell>
          <cell r="G1107">
            <v>29.00335968379364</v>
          </cell>
          <cell r="H1107">
            <v>29.00335968379364</v>
          </cell>
          <cell r="I1107" t="e">
            <v>#N/A</v>
          </cell>
          <cell r="J1107" t="e">
            <v>#N/A</v>
          </cell>
          <cell r="K1107">
            <v>42</v>
          </cell>
          <cell r="L1107">
            <v>32</v>
          </cell>
          <cell r="M1107" t="e">
            <v>#N/A</v>
          </cell>
          <cell r="N1107">
            <v>37</v>
          </cell>
          <cell r="O1107" t="e">
            <v>#N/A</v>
          </cell>
          <cell r="P1107" t="str">
            <v/>
          </cell>
          <cell r="Q1107" t="str">
            <v/>
          </cell>
          <cell r="R1107" t="e">
            <v>#N/A</v>
          </cell>
        </row>
        <row r="1108">
          <cell r="A1108" t="str">
            <v/>
          </cell>
          <cell r="B1108" t="str">
            <v/>
          </cell>
          <cell r="C1108" t="str">
            <v>Future</v>
          </cell>
          <cell r="D1108" t="e">
            <v>#N/A</v>
          </cell>
          <cell r="E1108">
            <v>-40.445533596837862</v>
          </cell>
          <cell r="F1108">
            <v>50.692806324111103</v>
          </cell>
          <cell r="G1108">
            <v>28.993201581026842</v>
          </cell>
          <cell r="H1108">
            <v>28.993201581026842</v>
          </cell>
          <cell r="I1108" t="e">
            <v>#N/A</v>
          </cell>
          <cell r="J1108" t="e">
            <v>#N/A</v>
          </cell>
          <cell r="K1108">
            <v>42</v>
          </cell>
          <cell r="L1108">
            <v>32</v>
          </cell>
          <cell r="M1108" t="e">
            <v>#N/A</v>
          </cell>
          <cell r="N1108">
            <v>37</v>
          </cell>
          <cell r="O1108" t="e">
            <v>#N/A</v>
          </cell>
          <cell r="P1108" t="str">
            <v/>
          </cell>
          <cell r="Q1108" t="str">
            <v/>
          </cell>
          <cell r="R1108" t="e">
            <v>#N/A</v>
          </cell>
        </row>
        <row r="1109">
          <cell r="A1109" t="str">
            <v/>
          </cell>
          <cell r="B1109" t="str">
            <v/>
          </cell>
          <cell r="C1109" t="str">
            <v>Future</v>
          </cell>
          <cell r="D1109" t="e">
            <v>#N/A</v>
          </cell>
          <cell r="E1109">
            <v>-40.582173913043398</v>
          </cell>
          <cell r="F1109">
            <v>50.72217391304391</v>
          </cell>
          <cell r="G1109">
            <v>28.983043478260043</v>
          </cell>
          <cell r="H1109">
            <v>28.983043478260043</v>
          </cell>
          <cell r="I1109" t="e">
            <v>#N/A</v>
          </cell>
          <cell r="J1109" t="e">
            <v>#N/A</v>
          </cell>
          <cell r="K1109">
            <v>42</v>
          </cell>
          <cell r="L1109">
            <v>32</v>
          </cell>
          <cell r="M1109" t="e">
            <v>#N/A</v>
          </cell>
          <cell r="N1109">
            <v>37</v>
          </cell>
          <cell r="O1109" t="e">
            <v>#N/A</v>
          </cell>
          <cell r="P1109" t="str">
            <v/>
          </cell>
          <cell r="Q1109" t="str">
            <v/>
          </cell>
          <cell r="R1109" t="e">
            <v>#N/A</v>
          </cell>
        </row>
        <row r="1110">
          <cell r="A1110" t="str">
            <v/>
          </cell>
          <cell r="B1110" t="str">
            <v/>
          </cell>
          <cell r="C1110" t="str">
            <v>Future</v>
          </cell>
          <cell r="D1110" t="e">
            <v>#N/A</v>
          </cell>
          <cell r="E1110">
            <v>-40.718814229248935</v>
          </cell>
          <cell r="F1110">
            <v>50.751541501976718</v>
          </cell>
          <cell r="G1110">
            <v>28.972885375493245</v>
          </cell>
          <cell r="H1110">
            <v>28.972885375493245</v>
          </cell>
          <cell r="I1110" t="e">
            <v>#N/A</v>
          </cell>
          <cell r="J1110" t="e">
            <v>#N/A</v>
          </cell>
          <cell r="K1110">
            <v>42</v>
          </cell>
          <cell r="L1110">
            <v>32</v>
          </cell>
          <cell r="M1110" t="e">
            <v>#N/A</v>
          </cell>
          <cell r="N1110">
            <v>37</v>
          </cell>
          <cell r="O1110" t="e">
            <v>#N/A</v>
          </cell>
          <cell r="P1110" t="str">
            <v/>
          </cell>
          <cell r="Q1110" t="str">
            <v/>
          </cell>
          <cell r="R1110" t="e">
            <v>#N/A</v>
          </cell>
        </row>
        <row r="1111">
          <cell r="A1111" t="str">
            <v/>
          </cell>
          <cell r="B1111" t="str">
            <v/>
          </cell>
          <cell r="C1111" t="str">
            <v>Future</v>
          </cell>
          <cell r="D1111" t="e">
            <v>#N/A</v>
          </cell>
          <cell r="E1111">
            <v>-40.855454545454471</v>
          </cell>
          <cell r="F1111">
            <v>50.780909090909525</v>
          </cell>
          <cell r="G1111">
            <v>28.962727272726447</v>
          </cell>
          <cell r="H1111">
            <v>28.962727272726447</v>
          </cell>
          <cell r="I1111" t="e">
            <v>#N/A</v>
          </cell>
          <cell r="J1111" t="e">
            <v>#N/A</v>
          </cell>
          <cell r="K1111">
            <v>42</v>
          </cell>
          <cell r="L1111">
            <v>32</v>
          </cell>
          <cell r="M1111" t="e">
            <v>#N/A</v>
          </cell>
          <cell r="N1111">
            <v>37</v>
          </cell>
          <cell r="O1111" t="e">
            <v>#N/A</v>
          </cell>
          <cell r="P1111" t="str">
            <v/>
          </cell>
          <cell r="Q1111" t="str">
            <v/>
          </cell>
          <cell r="R1111" t="e">
            <v>#N/A</v>
          </cell>
        </row>
        <row r="1112">
          <cell r="A1112" t="str">
            <v/>
          </cell>
          <cell r="B1112" t="str">
            <v/>
          </cell>
          <cell r="C1112" t="str">
            <v>Future</v>
          </cell>
          <cell r="D1112" t="e">
            <v>#N/A</v>
          </cell>
          <cell r="E1112">
            <v>-40.992094861660007</v>
          </cell>
          <cell r="F1112">
            <v>50.810276679842332</v>
          </cell>
          <cell r="G1112">
            <v>28.952569169959649</v>
          </cell>
          <cell r="H1112">
            <v>28.952569169959649</v>
          </cell>
          <cell r="I1112" t="e">
            <v>#N/A</v>
          </cell>
          <cell r="J1112" t="e">
            <v>#N/A</v>
          </cell>
          <cell r="K1112">
            <v>42</v>
          </cell>
          <cell r="L1112">
            <v>32</v>
          </cell>
          <cell r="M1112" t="e">
            <v>#N/A</v>
          </cell>
          <cell r="N1112">
            <v>37</v>
          </cell>
          <cell r="O1112" t="e">
            <v>#N/A</v>
          </cell>
          <cell r="P1112" t="str">
            <v/>
          </cell>
          <cell r="Q1112" t="str">
            <v/>
          </cell>
          <cell r="R1112" t="e">
            <v>#N/A</v>
          </cell>
        </row>
        <row r="1113">
          <cell r="A1113" t="str">
            <v/>
          </cell>
          <cell r="B1113" t="str">
            <v/>
          </cell>
          <cell r="C1113" t="str">
            <v>Future</v>
          </cell>
          <cell r="D1113" t="e">
            <v>#N/A</v>
          </cell>
          <cell r="E1113">
            <v>-41.128735177865543</v>
          </cell>
          <cell r="F1113">
            <v>50.839644268775139</v>
          </cell>
          <cell r="G1113">
            <v>28.94241106719285</v>
          </cell>
          <cell r="H1113">
            <v>28.94241106719285</v>
          </cell>
          <cell r="I1113" t="e">
            <v>#N/A</v>
          </cell>
          <cell r="J1113" t="e">
            <v>#N/A</v>
          </cell>
          <cell r="K1113">
            <v>42</v>
          </cell>
          <cell r="L1113">
            <v>32</v>
          </cell>
          <cell r="M1113" t="e">
            <v>#N/A</v>
          </cell>
          <cell r="N1113">
            <v>37</v>
          </cell>
          <cell r="O1113" t="e">
            <v>#N/A</v>
          </cell>
          <cell r="P1113" t="str">
            <v/>
          </cell>
          <cell r="Q1113" t="str">
            <v/>
          </cell>
          <cell r="R1113" t="e">
            <v>#N/A</v>
          </cell>
        </row>
        <row r="1114">
          <cell r="A1114" t="str">
            <v/>
          </cell>
          <cell r="B1114" t="str">
            <v/>
          </cell>
          <cell r="C1114" t="str">
            <v>Future</v>
          </cell>
          <cell r="D1114" t="e">
            <v>#N/A</v>
          </cell>
          <cell r="E1114">
            <v>-41.26537549407108</v>
          </cell>
          <cell r="F1114">
            <v>50.869011857707946</v>
          </cell>
          <cell r="G1114">
            <v>28.932252964426052</v>
          </cell>
          <cell r="H1114">
            <v>28.932252964426052</v>
          </cell>
          <cell r="I1114" t="e">
            <v>#N/A</v>
          </cell>
          <cell r="J1114" t="e">
            <v>#N/A</v>
          </cell>
          <cell r="K1114">
            <v>42</v>
          </cell>
          <cell r="L1114">
            <v>32</v>
          </cell>
          <cell r="M1114" t="e">
            <v>#N/A</v>
          </cell>
          <cell r="N1114">
            <v>37</v>
          </cell>
          <cell r="O1114" t="e">
            <v>#N/A</v>
          </cell>
          <cell r="P1114" t="str">
            <v/>
          </cell>
          <cell r="Q1114" t="str">
            <v/>
          </cell>
          <cell r="R1114" t="e">
            <v>#N/A</v>
          </cell>
        </row>
        <row r="1115">
          <cell r="A1115" t="str">
            <v/>
          </cell>
          <cell r="B1115" t="str">
            <v/>
          </cell>
          <cell r="C1115" t="str">
            <v>Future</v>
          </cell>
          <cell r="D1115" t="e">
            <v>#N/A</v>
          </cell>
          <cell r="E1115">
            <v>-41.402015810276616</v>
          </cell>
          <cell r="F1115">
            <v>50.898379446640753</v>
          </cell>
          <cell r="G1115">
            <v>28.922094861659254</v>
          </cell>
          <cell r="H1115">
            <v>28.922094861659254</v>
          </cell>
          <cell r="I1115" t="e">
            <v>#N/A</v>
          </cell>
          <cell r="J1115" t="e">
            <v>#N/A</v>
          </cell>
          <cell r="K1115">
            <v>42</v>
          </cell>
          <cell r="L1115">
            <v>32</v>
          </cell>
          <cell r="M1115" t="e">
            <v>#N/A</v>
          </cell>
          <cell r="N1115">
            <v>37</v>
          </cell>
          <cell r="O1115" t="e">
            <v>#N/A</v>
          </cell>
          <cell r="P1115" t="str">
            <v/>
          </cell>
          <cell r="Q1115" t="str">
            <v/>
          </cell>
          <cell r="R1115" t="e">
            <v>#N/A</v>
          </cell>
        </row>
        <row r="1116">
          <cell r="A1116" t="str">
            <v/>
          </cell>
          <cell r="B1116" t="str">
            <v/>
          </cell>
          <cell r="C1116" t="str">
            <v>Future</v>
          </cell>
          <cell r="D1116" t="e">
            <v>#N/A</v>
          </cell>
          <cell r="E1116">
            <v>-41.538656126482152</v>
          </cell>
          <cell r="F1116">
            <v>50.92774703557356</v>
          </cell>
          <cell r="G1116">
            <v>28.911936758892455</v>
          </cell>
          <cell r="H1116">
            <v>28.911936758892455</v>
          </cell>
          <cell r="I1116" t="e">
            <v>#N/A</v>
          </cell>
          <cell r="J1116" t="e">
            <v>#N/A</v>
          </cell>
          <cell r="K1116">
            <v>42</v>
          </cell>
          <cell r="L1116">
            <v>32</v>
          </cell>
          <cell r="M1116" t="e">
            <v>#N/A</v>
          </cell>
          <cell r="N1116">
            <v>37</v>
          </cell>
          <cell r="O1116" t="e">
            <v>#N/A</v>
          </cell>
          <cell r="P1116" t="str">
            <v/>
          </cell>
          <cell r="Q1116" t="str">
            <v/>
          </cell>
          <cell r="R1116" t="e">
            <v>#N/A</v>
          </cell>
        </row>
        <row r="1117">
          <cell r="A1117" t="str">
            <v/>
          </cell>
          <cell r="B1117" t="str">
            <v/>
          </cell>
          <cell r="C1117" t="str">
            <v>Future</v>
          </cell>
          <cell r="D1117" t="e">
            <v>#N/A</v>
          </cell>
          <cell r="E1117">
            <v>-41.675296442687689</v>
          </cell>
          <cell r="F1117">
            <v>50.957114624506367</v>
          </cell>
          <cell r="G1117">
            <v>28.901778656125657</v>
          </cell>
          <cell r="H1117">
            <v>28.901778656125657</v>
          </cell>
          <cell r="I1117" t="e">
            <v>#N/A</v>
          </cell>
          <cell r="J1117" t="e">
            <v>#N/A</v>
          </cell>
          <cell r="K1117">
            <v>42</v>
          </cell>
          <cell r="L1117">
            <v>32</v>
          </cell>
          <cell r="M1117" t="e">
            <v>#N/A</v>
          </cell>
          <cell r="N1117">
            <v>37</v>
          </cell>
          <cell r="O1117" t="e">
            <v>#N/A</v>
          </cell>
          <cell r="P1117" t="str">
            <v/>
          </cell>
          <cell r="Q1117" t="str">
            <v/>
          </cell>
          <cell r="R1117" t="e">
            <v>#N/A</v>
          </cell>
        </row>
        <row r="1118">
          <cell r="A1118" t="str">
            <v/>
          </cell>
          <cell r="B1118" t="str">
            <v/>
          </cell>
          <cell r="C1118" t="str">
            <v>Future</v>
          </cell>
          <cell r="D1118" t="e">
            <v>#N/A</v>
          </cell>
          <cell r="E1118">
            <v>-41.811936758893225</v>
          </cell>
          <cell r="F1118">
            <v>50.986482213439174</v>
          </cell>
          <cell r="G1118">
            <v>28.891620553358859</v>
          </cell>
          <cell r="H1118">
            <v>28.891620553358859</v>
          </cell>
          <cell r="I1118" t="e">
            <v>#N/A</v>
          </cell>
          <cell r="J1118" t="e">
            <v>#N/A</v>
          </cell>
          <cell r="K1118">
            <v>42</v>
          </cell>
          <cell r="L1118">
            <v>32</v>
          </cell>
          <cell r="M1118" t="e">
            <v>#N/A</v>
          </cell>
          <cell r="N1118">
            <v>37</v>
          </cell>
          <cell r="O1118" t="e">
            <v>#N/A</v>
          </cell>
          <cell r="P1118" t="str">
            <v/>
          </cell>
          <cell r="Q1118" t="str">
            <v/>
          </cell>
          <cell r="R1118" t="e">
            <v>#N/A</v>
          </cell>
        </row>
        <row r="1119">
          <cell r="A1119" t="str">
            <v/>
          </cell>
          <cell r="B1119" t="str">
            <v/>
          </cell>
          <cell r="C1119" t="str">
            <v>Future</v>
          </cell>
          <cell r="D1119" t="e">
            <v>#N/A</v>
          </cell>
          <cell r="E1119">
            <v>-41.948577075098761</v>
          </cell>
          <cell r="F1119">
            <v>51.015849802371982</v>
          </cell>
          <cell r="G1119">
            <v>28.881462450592061</v>
          </cell>
          <cell r="H1119">
            <v>28.881462450592061</v>
          </cell>
          <cell r="I1119" t="e">
            <v>#N/A</v>
          </cell>
          <cell r="J1119" t="e">
            <v>#N/A</v>
          </cell>
          <cell r="K1119">
            <v>42</v>
          </cell>
          <cell r="L1119">
            <v>32</v>
          </cell>
          <cell r="M1119" t="e">
            <v>#N/A</v>
          </cell>
          <cell r="N1119">
            <v>37</v>
          </cell>
          <cell r="O1119" t="e">
            <v>#N/A</v>
          </cell>
          <cell r="P1119" t="str">
            <v/>
          </cell>
          <cell r="Q1119" t="str">
            <v/>
          </cell>
          <cell r="R1119" t="e">
            <v>#N/A</v>
          </cell>
        </row>
        <row r="1120">
          <cell r="A1120" t="str">
            <v/>
          </cell>
          <cell r="B1120" t="str">
            <v/>
          </cell>
          <cell r="C1120" t="str">
            <v>Future</v>
          </cell>
          <cell r="D1120" t="e">
            <v>#N/A</v>
          </cell>
          <cell r="E1120">
            <v>-42.085217391304298</v>
          </cell>
          <cell r="F1120">
            <v>51.045217391304789</v>
          </cell>
          <cell r="G1120">
            <v>28.871304347825262</v>
          </cell>
          <cell r="H1120">
            <v>28.871304347825262</v>
          </cell>
          <cell r="I1120" t="e">
            <v>#N/A</v>
          </cell>
          <cell r="J1120" t="e">
            <v>#N/A</v>
          </cell>
          <cell r="K1120">
            <v>42</v>
          </cell>
          <cell r="L1120">
            <v>32</v>
          </cell>
          <cell r="M1120" t="e">
            <v>#N/A</v>
          </cell>
          <cell r="N1120">
            <v>37</v>
          </cell>
          <cell r="O1120" t="e">
            <v>#N/A</v>
          </cell>
          <cell r="P1120" t="str">
            <v/>
          </cell>
          <cell r="Q1120" t="str">
            <v/>
          </cell>
          <cell r="R1120" t="e">
            <v>#N/A</v>
          </cell>
        </row>
        <row r="1121">
          <cell r="A1121" t="str">
            <v/>
          </cell>
          <cell r="B1121" t="str">
            <v/>
          </cell>
          <cell r="C1121" t="str">
            <v>Future</v>
          </cell>
          <cell r="D1121" t="e">
            <v>#N/A</v>
          </cell>
          <cell r="E1121">
            <v>-42.221857707509834</v>
          </cell>
          <cell r="F1121">
            <v>51.074584980237596</v>
          </cell>
          <cell r="G1121">
            <v>28.861146245058464</v>
          </cell>
          <cell r="H1121">
            <v>28.861146245058464</v>
          </cell>
          <cell r="I1121" t="e">
            <v>#N/A</v>
          </cell>
          <cell r="J1121" t="e">
            <v>#N/A</v>
          </cell>
          <cell r="K1121">
            <v>42</v>
          </cell>
          <cell r="L1121">
            <v>32</v>
          </cell>
          <cell r="M1121" t="e">
            <v>#N/A</v>
          </cell>
          <cell r="N1121">
            <v>37</v>
          </cell>
          <cell r="O1121" t="e">
            <v>#N/A</v>
          </cell>
          <cell r="P1121" t="str">
            <v/>
          </cell>
          <cell r="Q1121" t="str">
            <v/>
          </cell>
          <cell r="R1121" t="e">
            <v>#N/A</v>
          </cell>
        </row>
        <row r="1122">
          <cell r="A1122" t="str">
            <v/>
          </cell>
          <cell r="B1122" t="str">
            <v/>
          </cell>
          <cell r="C1122" t="str">
            <v>Future</v>
          </cell>
          <cell r="D1122" t="e">
            <v>#N/A</v>
          </cell>
          <cell r="E1122">
            <v>-42.35849802371537</v>
          </cell>
          <cell r="F1122">
            <v>51.103952569170403</v>
          </cell>
          <cell r="G1122">
            <v>28.850988142291666</v>
          </cell>
          <cell r="H1122">
            <v>28.850988142291666</v>
          </cell>
          <cell r="I1122" t="e">
            <v>#N/A</v>
          </cell>
          <cell r="J1122" t="e">
            <v>#N/A</v>
          </cell>
          <cell r="K1122">
            <v>42</v>
          </cell>
          <cell r="L1122">
            <v>32</v>
          </cell>
          <cell r="M1122" t="e">
            <v>#N/A</v>
          </cell>
          <cell r="N1122">
            <v>37</v>
          </cell>
          <cell r="O1122" t="e">
            <v>#N/A</v>
          </cell>
          <cell r="P1122" t="str">
            <v/>
          </cell>
          <cell r="Q1122" t="str">
            <v/>
          </cell>
          <cell r="R1122" t="e">
            <v>#N/A</v>
          </cell>
        </row>
        <row r="1123">
          <cell r="A1123" t="str">
            <v/>
          </cell>
          <cell r="B1123" t="str">
            <v/>
          </cell>
          <cell r="C1123" t="str">
            <v>Future</v>
          </cell>
          <cell r="D1123" t="e">
            <v>#N/A</v>
          </cell>
          <cell r="E1123">
            <v>-42.495138339920906</v>
          </cell>
          <cell r="F1123">
            <v>51.13332015810321</v>
          </cell>
          <cell r="G1123">
            <v>28.840830039524867</v>
          </cell>
          <cell r="H1123">
            <v>28.840830039524867</v>
          </cell>
          <cell r="I1123" t="e">
            <v>#N/A</v>
          </cell>
          <cell r="J1123" t="e">
            <v>#N/A</v>
          </cell>
          <cell r="K1123">
            <v>42</v>
          </cell>
          <cell r="L1123">
            <v>32</v>
          </cell>
          <cell r="M1123" t="e">
            <v>#N/A</v>
          </cell>
          <cell r="N1123">
            <v>37</v>
          </cell>
          <cell r="O1123" t="e">
            <v>#N/A</v>
          </cell>
          <cell r="P1123" t="str">
            <v/>
          </cell>
          <cell r="Q1123" t="str">
            <v/>
          </cell>
          <cell r="R1123" t="e">
            <v>#N/A</v>
          </cell>
        </row>
        <row r="1124">
          <cell r="A1124" t="str">
            <v/>
          </cell>
          <cell r="B1124" t="str">
            <v/>
          </cell>
          <cell r="C1124" t="str">
            <v>Future</v>
          </cell>
          <cell r="D1124" t="e">
            <v>#N/A</v>
          </cell>
          <cell r="E1124">
            <v>-42.631778656126443</v>
          </cell>
          <cell r="F1124">
            <v>51.162687747036017</v>
          </cell>
          <cell r="G1124">
            <v>28.830671936758069</v>
          </cell>
          <cell r="H1124">
            <v>28.830671936758069</v>
          </cell>
          <cell r="I1124" t="e">
            <v>#N/A</v>
          </cell>
          <cell r="J1124" t="e">
            <v>#N/A</v>
          </cell>
          <cell r="K1124">
            <v>42</v>
          </cell>
          <cell r="L1124">
            <v>32</v>
          </cell>
          <cell r="M1124" t="e">
            <v>#N/A</v>
          </cell>
          <cell r="N1124">
            <v>37</v>
          </cell>
          <cell r="O1124" t="e">
            <v>#N/A</v>
          </cell>
          <cell r="P1124" t="str">
            <v/>
          </cell>
          <cell r="Q1124" t="str">
            <v/>
          </cell>
          <cell r="R1124" t="e">
            <v>#N/A</v>
          </cell>
        </row>
        <row r="1125">
          <cell r="A1125" t="str">
            <v/>
          </cell>
          <cell r="B1125" t="str">
            <v/>
          </cell>
          <cell r="C1125" t="str">
            <v>Future</v>
          </cell>
          <cell r="D1125" t="e">
            <v>#N/A</v>
          </cell>
          <cell r="E1125">
            <v>-42.768418972331979</v>
          </cell>
          <cell r="F1125">
            <v>51.192055335968824</v>
          </cell>
          <cell r="G1125">
            <v>28.820513833991271</v>
          </cell>
          <cell r="H1125">
            <v>28.820513833991271</v>
          </cell>
          <cell r="I1125" t="e">
            <v>#N/A</v>
          </cell>
          <cell r="J1125" t="e">
            <v>#N/A</v>
          </cell>
          <cell r="K1125">
            <v>42</v>
          </cell>
          <cell r="L1125">
            <v>32</v>
          </cell>
          <cell r="M1125" t="e">
            <v>#N/A</v>
          </cell>
          <cell r="N1125">
            <v>37</v>
          </cell>
          <cell r="O1125" t="e">
            <v>#N/A</v>
          </cell>
          <cell r="P1125" t="str">
            <v/>
          </cell>
          <cell r="Q1125" t="str">
            <v/>
          </cell>
          <cell r="R1125" t="e">
            <v>#N/A</v>
          </cell>
        </row>
        <row r="1126">
          <cell r="A1126" t="str">
            <v/>
          </cell>
          <cell r="B1126" t="str">
            <v/>
          </cell>
          <cell r="C1126" t="str">
            <v>Future</v>
          </cell>
          <cell r="D1126" t="e">
            <v>#N/A</v>
          </cell>
          <cell r="E1126">
            <v>-42.905059288537515</v>
          </cell>
          <cell r="F1126">
            <v>51.221422924901631</v>
          </cell>
          <cell r="G1126">
            <v>28.810355731224472</v>
          </cell>
          <cell r="H1126">
            <v>28.810355731224472</v>
          </cell>
          <cell r="I1126" t="e">
            <v>#N/A</v>
          </cell>
          <cell r="J1126" t="e">
            <v>#N/A</v>
          </cell>
          <cell r="K1126">
            <v>42</v>
          </cell>
          <cell r="L1126">
            <v>32</v>
          </cell>
          <cell r="M1126" t="e">
            <v>#N/A</v>
          </cell>
          <cell r="N1126">
            <v>37</v>
          </cell>
          <cell r="O1126" t="e">
            <v>#N/A</v>
          </cell>
          <cell r="P1126" t="str">
            <v/>
          </cell>
          <cell r="Q1126" t="str">
            <v/>
          </cell>
          <cell r="R1126" t="e">
            <v>#N/A</v>
          </cell>
        </row>
        <row r="1127">
          <cell r="A1127" t="str">
            <v/>
          </cell>
          <cell r="B1127" t="str">
            <v/>
          </cell>
          <cell r="C1127" t="str">
            <v>Future</v>
          </cell>
          <cell r="D1127" t="e">
            <v>#N/A</v>
          </cell>
          <cell r="E1127">
            <v>-43.041699604743052</v>
          </cell>
          <cell r="F1127">
            <v>51.250790513834438</v>
          </cell>
          <cell r="G1127">
            <v>28.800197628457674</v>
          </cell>
          <cell r="H1127">
            <v>28.800197628457674</v>
          </cell>
          <cell r="I1127" t="e">
            <v>#N/A</v>
          </cell>
          <cell r="J1127" t="e">
            <v>#N/A</v>
          </cell>
          <cell r="K1127">
            <v>42</v>
          </cell>
          <cell r="L1127">
            <v>32</v>
          </cell>
          <cell r="M1127" t="e">
            <v>#N/A</v>
          </cell>
          <cell r="N1127">
            <v>37</v>
          </cell>
          <cell r="O1127" t="e">
            <v>#N/A</v>
          </cell>
          <cell r="P1127" t="str">
            <v/>
          </cell>
          <cell r="Q1127" t="str">
            <v/>
          </cell>
          <cell r="R1127" t="e">
            <v>#N/A</v>
          </cell>
        </row>
        <row r="1128">
          <cell r="A1128" t="str">
            <v/>
          </cell>
          <cell r="B1128" t="str">
            <v/>
          </cell>
          <cell r="C1128" t="str">
            <v>Future</v>
          </cell>
          <cell r="D1128" t="e">
            <v>#N/A</v>
          </cell>
          <cell r="E1128">
            <v>-43.178339920948588</v>
          </cell>
          <cell r="F1128">
            <v>51.280158102767246</v>
          </cell>
          <cell r="G1128">
            <v>28.790039525690876</v>
          </cell>
          <cell r="H1128">
            <v>28.790039525690876</v>
          </cell>
          <cell r="I1128" t="e">
            <v>#N/A</v>
          </cell>
          <cell r="J1128" t="e">
            <v>#N/A</v>
          </cell>
          <cell r="K1128">
            <v>42</v>
          </cell>
          <cell r="L1128">
            <v>32</v>
          </cell>
          <cell r="M1128" t="e">
            <v>#N/A</v>
          </cell>
          <cell r="N1128">
            <v>37</v>
          </cell>
          <cell r="O1128" t="e">
            <v>#N/A</v>
          </cell>
          <cell r="P1128" t="str">
            <v/>
          </cell>
          <cell r="Q1128" t="str">
            <v/>
          </cell>
          <cell r="R1128" t="e">
            <v>#N/A</v>
          </cell>
        </row>
        <row r="1129">
          <cell r="A1129" t="str">
            <v/>
          </cell>
          <cell r="B1129" t="str">
            <v/>
          </cell>
          <cell r="C1129" t="str">
            <v>Future</v>
          </cell>
          <cell r="D1129" t="e">
            <v>#N/A</v>
          </cell>
          <cell r="E1129">
            <v>-43.314980237154124</v>
          </cell>
          <cell r="F1129">
            <v>51.309525691700053</v>
          </cell>
          <cell r="G1129">
            <v>28.779881422924078</v>
          </cell>
          <cell r="H1129">
            <v>28.779881422924078</v>
          </cell>
          <cell r="I1129" t="e">
            <v>#N/A</v>
          </cell>
          <cell r="J1129" t="e">
            <v>#N/A</v>
          </cell>
          <cell r="K1129">
            <v>42</v>
          </cell>
          <cell r="L1129">
            <v>32</v>
          </cell>
          <cell r="M1129" t="e">
            <v>#N/A</v>
          </cell>
          <cell r="N1129">
            <v>37</v>
          </cell>
          <cell r="O1129" t="e">
            <v>#N/A</v>
          </cell>
          <cell r="P1129" t="str">
            <v/>
          </cell>
          <cell r="Q1129" t="str">
            <v/>
          </cell>
          <cell r="R1129" t="e">
            <v>#N/A</v>
          </cell>
        </row>
        <row r="1130">
          <cell r="A1130" t="str">
            <v/>
          </cell>
          <cell r="B1130" t="str">
            <v/>
          </cell>
          <cell r="C1130" t="str">
            <v>Future</v>
          </cell>
          <cell r="D1130" t="e">
            <v>#N/A</v>
          </cell>
          <cell r="E1130">
            <v>-43.45162055335966</v>
          </cell>
          <cell r="F1130">
            <v>51.33889328063286</v>
          </cell>
          <cell r="G1130">
            <v>28.769723320157279</v>
          </cell>
          <cell r="H1130">
            <v>28.769723320157279</v>
          </cell>
          <cell r="I1130" t="e">
            <v>#N/A</v>
          </cell>
          <cell r="J1130" t="e">
            <v>#N/A</v>
          </cell>
          <cell r="K1130">
            <v>42</v>
          </cell>
          <cell r="L1130">
            <v>32</v>
          </cell>
          <cell r="M1130" t="e">
            <v>#N/A</v>
          </cell>
          <cell r="N1130">
            <v>37</v>
          </cell>
          <cell r="O1130" t="e">
            <v>#N/A</v>
          </cell>
          <cell r="P1130" t="str">
            <v/>
          </cell>
          <cell r="Q1130" t="str">
            <v/>
          </cell>
          <cell r="R1130" t="e">
            <v>#N/A</v>
          </cell>
        </row>
        <row r="1131">
          <cell r="A1131" t="str">
            <v/>
          </cell>
          <cell r="B1131" t="str">
            <v/>
          </cell>
          <cell r="C1131" t="str">
            <v>Future</v>
          </cell>
          <cell r="D1131" t="e">
            <v>#N/A</v>
          </cell>
          <cell r="E1131">
            <v>-43.588260869565197</v>
          </cell>
          <cell r="F1131">
            <v>51.368260869565667</v>
          </cell>
          <cell r="G1131">
            <v>28.759565217390481</v>
          </cell>
          <cell r="H1131">
            <v>28.759565217390481</v>
          </cell>
          <cell r="I1131" t="e">
            <v>#N/A</v>
          </cell>
          <cell r="J1131" t="e">
            <v>#N/A</v>
          </cell>
          <cell r="K1131">
            <v>42</v>
          </cell>
          <cell r="L1131">
            <v>32</v>
          </cell>
          <cell r="M1131" t="e">
            <v>#N/A</v>
          </cell>
          <cell r="N1131">
            <v>37</v>
          </cell>
          <cell r="O1131" t="e">
            <v>#N/A</v>
          </cell>
          <cell r="P1131" t="str">
            <v/>
          </cell>
          <cell r="Q1131" t="str">
            <v/>
          </cell>
          <cell r="R1131" t="e">
            <v>#N/A</v>
          </cell>
        </row>
        <row r="1132">
          <cell r="A1132" t="str">
            <v/>
          </cell>
          <cell r="B1132" t="str">
            <v/>
          </cell>
          <cell r="C1132" t="str">
            <v>Future</v>
          </cell>
          <cell r="D1132" t="e">
            <v>#N/A</v>
          </cell>
          <cell r="E1132">
            <v>-43.724901185770733</v>
          </cell>
          <cell r="F1132">
            <v>51.397628458498474</v>
          </cell>
          <cell r="G1132">
            <v>28.749407114623683</v>
          </cell>
          <cell r="H1132">
            <v>28.749407114623683</v>
          </cell>
          <cell r="I1132" t="e">
            <v>#N/A</v>
          </cell>
          <cell r="J1132" t="e">
            <v>#N/A</v>
          </cell>
          <cell r="K1132">
            <v>42</v>
          </cell>
          <cell r="L1132">
            <v>32</v>
          </cell>
          <cell r="M1132" t="e">
            <v>#N/A</v>
          </cell>
          <cell r="N1132">
            <v>37</v>
          </cell>
          <cell r="O1132" t="e">
            <v>#N/A</v>
          </cell>
          <cell r="P1132" t="str">
            <v/>
          </cell>
          <cell r="Q1132" t="str">
            <v/>
          </cell>
          <cell r="R1132" t="e">
            <v>#N/A</v>
          </cell>
        </row>
        <row r="1133">
          <cell r="A1133" t="str">
            <v/>
          </cell>
          <cell r="B1133" t="str">
            <v/>
          </cell>
          <cell r="C1133" t="str">
            <v>Future</v>
          </cell>
          <cell r="D1133" t="e">
            <v>#N/A</v>
          </cell>
          <cell r="E1133">
            <v>-43.861541501976269</v>
          </cell>
          <cell r="F1133">
            <v>51.426996047431281</v>
          </cell>
          <cell r="G1133">
            <v>28.739249011856884</v>
          </cell>
          <cell r="H1133">
            <v>28.739249011856884</v>
          </cell>
          <cell r="I1133" t="e">
            <v>#N/A</v>
          </cell>
          <cell r="J1133" t="e">
            <v>#N/A</v>
          </cell>
          <cell r="K1133">
            <v>42</v>
          </cell>
          <cell r="L1133">
            <v>32</v>
          </cell>
          <cell r="M1133" t="e">
            <v>#N/A</v>
          </cell>
          <cell r="N1133">
            <v>37</v>
          </cell>
          <cell r="O1133" t="e">
            <v>#N/A</v>
          </cell>
          <cell r="P1133" t="str">
            <v/>
          </cell>
          <cell r="Q1133" t="str">
            <v/>
          </cell>
          <cell r="R1133" t="e">
            <v>#N/A</v>
          </cell>
        </row>
        <row r="1134">
          <cell r="A1134" t="str">
            <v/>
          </cell>
          <cell r="B1134" t="str">
            <v/>
          </cell>
          <cell r="C1134" t="str">
            <v>Future</v>
          </cell>
          <cell r="D1134" t="e">
            <v>#N/A</v>
          </cell>
          <cell r="E1134">
            <v>-43.998181818181806</v>
          </cell>
          <cell r="F1134">
            <v>51.456363636364088</v>
          </cell>
          <cell r="G1134">
            <v>28.729090909090086</v>
          </cell>
          <cell r="H1134">
            <v>28.729090909090086</v>
          </cell>
          <cell r="I1134" t="e">
            <v>#N/A</v>
          </cell>
          <cell r="J1134" t="e">
            <v>#N/A</v>
          </cell>
          <cell r="K1134">
            <v>42</v>
          </cell>
          <cell r="L1134">
            <v>32</v>
          </cell>
          <cell r="M1134" t="e">
            <v>#N/A</v>
          </cell>
          <cell r="N1134">
            <v>37</v>
          </cell>
          <cell r="O1134" t="e">
            <v>#N/A</v>
          </cell>
          <cell r="P1134" t="str">
            <v/>
          </cell>
          <cell r="Q1134" t="str">
            <v/>
          </cell>
          <cell r="R1134" t="e">
            <v>#N/A</v>
          </cell>
        </row>
        <row r="1135">
          <cell r="A1135" t="str">
            <v/>
          </cell>
          <cell r="B1135" t="str">
            <v/>
          </cell>
          <cell r="C1135" t="str">
            <v>Future</v>
          </cell>
          <cell r="D1135" t="e">
            <v>#N/A</v>
          </cell>
          <cell r="E1135">
            <v>-44.134822134387342</v>
          </cell>
          <cell r="F1135">
            <v>51.485731225296895</v>
          </cell>
          <cell r="G1135">
            <v>28.718932806323288</v>
          </cell>
          <cell r="H1135">
            <v>28.718932806323288</v>
          </cell>
          <cell r="I1135" t="e">
            <v>#N/A</v>
          </cell>
          <cell r="J1135" t="e">
            <v>#N/A</v>
          </cell>
          <cell r="K1135">
            <v>42</v>
          </cell>
          <cell r="L1135">
            <v>32</v>
          </cell>
          <cell r="M1135" t="e">
            <v>#N/A</v>
          </cell>
          <cell r="N1135">
            <v>37</v>
          </cell>
          <cell r="O1135" t="e">
            <v>#N/A</v>
          </cell>
          <cell r="P1135" t="str">
            <v/>
          </cell>
          <cell r="Q1135" t="str">
            <v/>
          </cell>
          <cell r="R1135" t="e">
            <v>#N/A</v>
          </cell>
        </row>
        <row r="1136">
          <cell r="A1136" t="str">
            <v/>
          </cell>
          <cell r="B1136" t="str">
            <v/>
          </cell>
          <cell r="C1136" t="str">
            <v>Future</v>
          </cell>
          <cell r="D1136" t="e">
            <v>#N/A</v>
          </cell>
          <cell r="E1136">
            <v>-44.271462450592878</v>
          </cell>
          <cell r="F1136">
            <v>51.515098814229702</v>
          </cell>
          <cell r="G1136">
            <v>28.70877470355649</v>
          </cell>
          <cell r="H1136">
            <v>28.70877470355649</v>
          </cell>
          <cell r="I1136" t="e">
            <v>#N/A</v>
          </cell>
          <cell r="J1136" t="e">
            <v>#N/A</v>
          </cell>
          <cell r="K1136">
            <v>42</v>
          </cell>
          <cell r="L1136">
            <v>32</v>
          </cell>
          <cell r="M1136" t="e">
            <v>#N/A</v>
          </cell>
          <cell r="N1136">
            <v>37</v>
          </cell>
          <cell r="O1136" t="e">
            <v>#N/A</v>
          </cell>
          <cell r="P1136" t="str">
            <v/>
          </cell>
          <cell r="Q1136" t="str">
            <v/>
          </cell>
          <cell r="R1136" t="e">
            <v>#N/A</v>
          </cell>
        </row>
        <row r="1137">
          <cell r="A1137" t="str">
            <v/>
          </cell>
          <cell r="B1137" t="str">
            <v/>
          </cell>
          <cell r="C1137" t="str">
            <v>Future</v>
          </cell>
          <cell r="D1137" t="e">
            <v>#N/A</v>
          </cell>
          <cell r="E1137">
            <v>-44.408102766798415</v>
          </cell>
          <cell r="F1137">
            <v>51.544466403162509</v>
          </cell>
          <cell r="G1137">
            <v>28.698616600789691</v>
          </cell>
          <cell r="H1137">
            <v>28.698616600789691</v>
          </cell>
          <cell r="I1137" t="e">
            <v>#N/A</v>
          </cell>
          <cell r="J1137" t="e">
            <v>#N/A</v>
          </cell>
          <cell r="K1137">
            <v>42</v>
          </cell>
          <cell r="L1137">
            <v>32</v>
          </cell>
          <cell r="M1137" t="e">
            <v>#N/A</v>
          </cell>
          <cell r="N1137">
            <v>37</v>
          </cell>
          <cell r="O1137" t="e">
            <v>#N/A</v>
          </cell>
          <cell r="P1137" t="str">
            <v/>
          </cell>
          <cell r="Q1137" t="str">
            <v/>
          </cell>
          <cell r="R1137" t="e">
            <v>#N/A</v>
          </cell>
        </row>
        <row r="1138">
          <cell r="A1138" t="str">
            <v/>
          </cell>
          <cell r="B1138" t="str">
            <v/>
          </cell>
          <cell r="C1138" t="str">
            <v>Future</v>
          </cell>
          <cell r="D1138" t="e">
            <v>#N/A</v>
          </cell>
          <cell r="E1138">
            <v>-44.544743083003951</v>
          </cell>
          <cell r="F1138">
            <v>51.573833992095317</v>
          </cell>
          <cell r="G1138">
            <v>28.688458498022893</v>
          </cell>
          <cell r="H1138">
            <v>28.688458498022893</v>
          </cell>
          <cell r="I1138" t="e">
            <v>#N/A</v>
          </cell>
          <cell r="J1138" t="e">
            <v>#N/A</v>
          </cell>
          <cell r="K1138">
            <v>42</v>
          </cell>
          <cell r="L1138">
            <v>32</v>
          </cell>
          <cell r="M1138" t="e">
            <v>#N/A</v>
          </cell>
          <cell r="N1138">
            <v>37</v>
          </cell>
          <cell r="O1138" t="e">
            <v>#N/A</v>
          </cell>
          <cell r="P1138" t="str">
            <v/>
          </cell>
          <cell r="Q1138" t="str">
            <v/>
          </cell>
          <cell r="R1138" t="e">
            <v>#N/A</v>
          </cell>
        </row>
        <row r="1139">
          <cell r="A1139" t="str">
            <v/>
          </cell>
          <cell r="B1139" t="str">
            <v/>
          </cell>
          <cell r="C1139" t="str">
            <v>Future</v>
          </cell>
          <cell r="D1139" t="e">
            <v>#N/A</v>
          </cell>
          <cell r="E1139">
            <v>-44.681383399209487</v>
          </cell>
          <cell r="F1139">
            <v>51.603201581028124</v>
          </cell>
          <cell r="G1139">
            <v>28.678300395256095</v>
          </cell>
          <cell r="H1139">
            <v>28.678300395256095</v>
          </cell>
          <cell r="I1139" t="e">
            <v>#N/A</v>
          </cell>
          <cell r="J1139" t="e">
            <v>#N/A</v>
          </cell>
          <cell r="K1139">
            <v>42</v>
          </cell>
          <cell r="L1139">
            <v>32</v>
          </cell>
          <cell r="M1139" t="e">
            <v>#N/A</v>
          </cell>
          <cell r="N1139">
            <v>37</v>
          </cell>
          <cell r="O1139" t="e">
            <v>#N/A</v>
          </cell>
          <cell r="P1139" t="str">
            <v/>
          </cell>
          <cell r="Q1139" t="str">
            <v/>
          </cell>
          <cell r="R1139" t="e">
            <v>#N/A</v>
          </cell>
        </row>
        <row r="1140">
          <cell r="A1140" t="str">
            <v/>
          </cell>
          <cell r="B1140" t="str">
            <v/>
          </cell>
          <cell r="C1140" t="str">
            <v>Future</v>
          </cell>
          <cell r="D1140" t="e">
            <v>#N/A</v>
          </cell>
          <cell r="E1140">
            <v>-44.818023715415023</v>
          </cell>
          <cell r="F1140">
            <v>51.632569169960931</v>
          </cell>
          <cell r="G1140">
            <v>28.668142292489296</v>
          </cell>
          <cell r="H1140">
            <v>28.668142292489296</v>
          </cell>
          <cell r="I1140" t="e">
            <v>#N/A</v>
          </cell>
          <cell r="J1140" t="e">
            <v>#N/A</v>
          </cell>
          <cell r="K1140">
            <v>42</v>
          </cell>
          <cell r="L1140">
            <v>32</v>
          </cell>
          <cell r="M1140" t="e">
            <v>#N/A</v>
          </cell>
          <cell r="N1140">
            <v>37</v>
          </cell>
          <cell r="O1140" t="e">
            <v>#N/A</v>
          </cell>
          <cell r="P1140" t="str">
            <v/>
          </cell>
          <cell r="Q1140" t="str">
            <v/>
          </cell>
          <cell r="R1140" t="e">
            <v>#N/A</v>
          </cell>
        </row>
        <row r="1141">
          <cell r="A1141" t="str">
            <v/>
          </cell>
          <cell r="B1141" t="str">
            <v/>
          </cell>
          <cell r="C1141" t="str">
            <v>Future</v>
          </cell>
          <cell r="D1141" t="e">
            <v>#N/A</v>
          </cell>
          <cell r="E1141">
            <v>-44.95466403162056</v>
          </cell>
          <cell r="F1141">
            <v>51.661936758893738</v>
          </cell>
          <cell r="G1141">
            <v>28.657984189722498</v>
          </cell>
          <cell r="H1141">
            <v>28.657984189722498</v>
          </cell>
          <cell r="I1141" t="e">
            <v>#N/A</v>
          </cell>
          <cell r="J1141" t="e">
            <v>#N/A</v>
          </cell>
          <cell r="K1141">
            <v>42</v>
          </cell>
          <cell r="L1141">
            <v>32</v>
          </cell>
          <cell r="M1141" t="e">
            <v>#N/A</v>
          </cell>
          <cell r="N1141">
            <v>37</v>
          </cell>
          <cell r="O1141" t="e">
            <v>#N/A</v>
          </cell>
          <cell r="P1141" t="str">
            <v/>
          </cell>
          <cell r="Q1141" t="str">
            <v/>
          </cell>
          <cell r="R1141" t="e">
            <v>#N/A</v>
          </cell>
        </row>
        <row r="1142">
          <cell r="A1142" t="str">
            <v/>
          </cell>
          <cell r="B1142" t="str">
            <v/>
          </cell>
          <cell r="C1142" t="str">
            <v>Future</v>
          </cell>
          <cell r="D1142" t="e">
            <v>#N/A</v>
          </cell>
          <cell r="E1142">
            <v>-45.091304347826096</v>
          </cell>
          <cell r="F1142">
            <v>51.691304347826545</v>
          </cell>
          <cell r="G1142">
            <v>28.6478260869557</v>
          </cell>
          <cell r="H1142">
            <v>28.6478260869557</v>
          </cell>
          <cell r="I1142" t="e">
            <v>#N/A</v>
          </cell>
          <cell r="J1142" t="e">
            <v>#N/A</v>
          </cell>
          <cell r="K1142">
            <v>42</v>
          </cell>
          <cell r="L1142">
            <v>32</v>
          </cell>
          <cell r="M1142" t="e">
            <v>#N/A</v>
          </cell>
          <cell r="N1142">
            <v>37</v>
          </cell>
          <cell r="O1142" t="e">
            <v>#N/A</v>
          </cell>
          <cell r="P1142" t="str">
            <v/>
          </cell>
          <cell r="Q1142" t="str">
            <v/>
          </cell>
          <cell r="R1142" t="e">
            <v>#N/A</v>
          </cell>
        </row>
        <row r="1143">
          <cell r="A1143" t="str">
            <v/>
          </cell>
          <cell r="B1143" t="str">
            <v/>
          </cell>
          <cell r="C1143" t="str">
            <v>Future</v>
          </cell>
          <cell r="D1143" t="e">
            <v>#N/A</v>
          </cell>
          <cell r="E1143">
            <v>-45.227944664031632</v>
          </cell>
          <cell r="F1143">
            <v>51.720671936759352</v>
          </cell>
          <cell r="G1143">
            <v>28.637667984188901</v>
          </cell>
          <cell r="H1143">
            <v>28.637667984188901</v>
          </cell>
          <cell r="I1143" t="e">
            <v>#N/A</v>
          </cell>
          <cell r="J1143" t="e">
            <v>#N/A</v>
          </cell>
          <cell r="K1143">
            <v>42</v>
          </cell>
          <cell r="L1143">
            <v>32</v>
          </cell>
          <cell r="M1143" t="e">
            <v>#N/A</v>
          </cell>
          <cell r="N1143">
            <v>37</v>
          </cell>
          <cell r="O1143" t="e">
            <v>#N/A</v>
          </cell>
          <cell r="P1143" t="str">
            <v/>
          </cell>
          <cell r="Q1143" t="str">
            <v/>
          </cell>
          <cell r="R1143" t="e">
            <v>#N/A</v>
          </cell>
        </row>
        <row r="1144">
          <cell r="A1144" t="str">
            <v/>
          </cell>
          <cell r="B1144" t="str">
            <v/>
          </cell>
          <cell r="C1144" t="str">
            <v>Future</v>
          </cell>
          <cell r="D1144" t="e">
            <v>#N/A</v>
          </cell>
          <cell r="E1144">
            <v>-45.364584980237169</v>
          </cell>
          <cell r="F1144">
            <v>51.750039525692159</v>
          </cell>
          <cell r="G1144">
            <v>28.627509881422103</v>
          </cell>
          <cell r="H1144">
            <v>28.627509881422103</v>
          </cell>
          <cell r="I1144" t="e">
            <v>#N/A</v>
          </cell>
          <cell r="J1144" t="e">
            <v>#N/A</v>
          </cell>
          <cell r="K1144">
            <v>42</v>
          </cell>
          <cell r="L1144">
            <v>32</v>
          </cell>
          <cell r="M1144" t="e">
            <v>#N/A</v>
          </cell>
          <cell r="N1144">
            <v>37</v>
          </cell>
          <cell r="O1144" t="e">
            <v>#N/A</v>
          </cell>
          <cell r="P1144" t="str">
            <v/>
          </cell>
          <cell r="Q1144" t="str">
            <v/>
          </cell>
          <cell r="R1144" t="e">
            <v>#N/A</v>
          </cell>
        </row>
        <row r="1145">
          <cell r="A1145" t="str">
            <v/>
          </cell>
          <cell r="B1145" t="str">
            <v/>
          </cell>
          <cell r="C1145" t="str">
            <v>Future</v>
          </cell>
          <cell r="D1145" t="e">
            <v>#N/A</v>
          </cell>
          <cell r="E1145">
            <v>-45.501225296442705</v>
          </cell>
          <cell r="F1145">
            <v>51.779407114624966</v>
          </cell>
          <cell r="G1145">
            <v>28.617351778655305</v>
          </cell>
          <cell r="H1145">
            <v>28.617351778655305</v>
          </cell>
          <cell r="I1145" t="e">
            <v>#N/A</v>
          </cell>
          <cell r="J1145" t="e">
            <v>#N/A</v>
          </cell>
          <cell r="K1145">
            <v>42</v>
          </cell>
          <cell r="L1145">
            <v>32</v>
          </cell>
          <cell r="M1145" t="e">
            <v>#N/A</v>
          </cell>
          <cell r="N1145">
            <v>37</v>
          </cell>
          <cell r="O1145" t="e">
            <v>#N/A</v>
          </cell>
          <cell r="P1145" t="str">
            <v/>
          </cell>
          <cell r="Q1145" t="str">
            <v/>
          </cell>
          <cell r="R1145" t="e">
            <v>#N/A</v>
          </cell>
        </row>
        <row r="1146">
          <cell r="A1146" t="str">
            <v/>
          </cell>
          <cell r="B1146" t="str">
            <v/>
          </cell>
          <cell r="C1146" t="str">
            <v>Future</v>
          </cell>
          <cell r="D1146" t="e">
            <v>#N/A</v>
          </cell>
          <cell r="E1146">
            <v>-45.637865612648241</v>
          </cell>
          <cell r="F1146">
            <v>51.808774703557773</v>
          </cell>
          <cell r="G1146">
            <v>28.607193675888507</v>
          </cell>
          <cell r="H1146">
            <v>28.607193675888507</v>
          </cell>
          <cell r="I1146" t="e">
            <v>#N/A</v>
          </cell>
          <cell r="J1146" t="e">
            <v>#N/A</v>
          </cell>
          <cell r="K1146">
            <v>42</v>
          </cell>
          <cell r="L1146">
            <v>32</v>
          </cell>
          <cell r="M1146" t="e">
            <v>#N/A</v>
          </cell>
          <cell r="N1146">
            <v>37</v>
          </cell>
          <cell r="O1146" t="e">
            <v>#N/A</v>
          </cell>
          <cell r="P1146" t="str">
            <v/>
          </cell>
          <cell r="Q1146" t="str">
            <v/>
          </cell>
          <cell r="R1146" t="e">
            <v>#N/A</v>
          </cell>
        </row>
        <row r="1147">
          <cell r="A1147" t="str">
            <v/>
          </cell>
          <cell r="B1147" t="str">
            <v/>
          </cell>
          <cell r="C1147" t="str">
            <v>Future</v>
          </cell>
          <cell r="D1147" t="e">
            <v>#N/A</v>
          </cell>
          <cell r="E1147">
            <v>-45.774505928853777</v>
          </cell>
          <cell r="F1147">
            <v>51.838142292490581</v>
          </cell>
          <cell r="G1147">
            <v>28.597035573121708</v>
          </cell>
          <cell r="H1147">
            <v>28.597035573121708</v>
          </cell>
          <cell r="I1147" t="e">
            <v>#N/A</v>
          </cell>
          <cell r="J1147" t="e">
            <v>#N/A</v>
          </cell>
          <cell r="K1147">
            <v>42</v>
          </cell>
          <cell r="L1147">
            <v>32</v>
          </cell>
          <cell r="M1147" t="e">
            <v>#N/A</v>
          </cell>
          <cell r="N1147">
            <v>37</v>
          </cell>
          <cell r="O1147" t="e">
            <v>#N/A</v>
          </cell>
          <cell r="P1147" t="str">
            <v/>
          </cell>
          <cell r="Q1147" t="str">
            <v/>
          </cell>
          <cell r="R1147" t="e">
            <v>#N/A</v>
          </cell>
        </row>
        <row r="1148">
          <cell r="A1148" t="str">
            <v/>
          </cell>
          <cell r="B1148" t="str">
            <v/>
          </cell>
          <cell r="C1148" t="str">
            <v>Future</v>
          </cell>
          <cell r="D1148" t="e">
            <v>#N/A</v>
          </cell>
          <cell r="E1148">
            <v>-45.911146245059314</v>
          </cell>
          <cell r="F1148">
            <v>51.867509881423388</v>
          </cell>
          <cell r="G1148">
            <v>28.58687747035491</v>
          </cell>
          <cell r="H1148">
            <v>28.58687747035491</v>
          </cell>
          <cell r="I1148" t="e">
            <v>#N/A</v>
          </cell>
          <cell r="J1148" t="e">
            <v>#N/A</v>
          </cell>
          <cell r="K1148">
            <v>42</v>
          </cell>
          <cell r="L1148">
            <v>32</v>
          </cell>
          <cell r="M1148" t="e">
            <v>#N/A</v>
          </cell>
          <cell r="N1148">
            <v>37</v>
          </cell>
          <cell r="O1148" t="e">
            <v>#N/A</v>
          </cell>
          <cell r="P1148" t="str">
            <v/>
          </cell>
          <cell r="Q1148" t="str">
            <v/>
          </cell>
          <cell r="R1148" t="e">
            <v>#N/A</v>
          </cell>
        </row>
        <row r="1149">
          <cell r="A1149" t="str">
            <v/>
          </cell>
          <cell r="B1149" t="str">
            <v/>
          </cell>
          <cell r="C1149" t="str">
            <v>Future</v>
          </cell>
          <cell r="D1149" t="e">
            <v>#N/A</v>
          </cell>
          <cell r="E1149">
            <v>-46.04778656126485</v>
          </cell>
          <cell r="F1149">
            <v>51.896877470356195</v>
          </cell>
          <cell r="G1149">
            <v>28.576719367588112</v>
          </cell>
          <cell r="H1149">
            <v>28.576719367588112</v>
          </cell>
          <cell r="I1149" t="e">
            <v>#N/A</v>
          </cell>
          <cell r="J1149" t="e">
            <v>#N/A</v>
          </cell>
          <cell r="K1149">
            <v>42</v>
          </cell>
          <cell r="L1149">
            <v>32</v>
          </cell>
          <cell r="M1149" t="e">
            <v>#N/A</v>
          </cell>
          <cell r="N1149">
            <v>37</v>
          </cell>
          <cell r="O1149" t="e">
            <v>#N/A</v>
          </cell>
          <cell r="P1149" t="str">
            <v/>
          </cell>
          <cell r="Q1149" t="str">
            <v/>
          </cell>
          <cell r="R1149" t="e">
            <v>#N/A</v>
          </cell>
        </row>
        <row r="1150">
          <cell r="A1150" t="str">
            <v/>
          </cell>
          <cell r="B1150" t="str">
            <v/>
          </cell>
          <cell r="C1150" t="str">
            <v>Future</v>
          </cell>
          <cell r="D1150" t="e">
            <v>#N/A</v>
          </cell>
          <cell r="E1150">
            <v>-46.184426877470386</v>
          </cell>
          <cell r="F1150">
            <v>51.926245059289002</v>
          </cell>
          <cell r="G1150">
            <v>28.566561264821313</v>
          </cell>
          <cell r="H1150">
            <v>28.566561264821313</v>
          </cell>
          <cell r="I1150" t="e">
            <v>#N/A</v>
          </cell>
          <cell r="J1150" t="e">
            <v>#N/A</v>
          </cell>
          <cell r="K1150">
            <v>42</v>
          </cell>
          <cell r="L1150">
            <v>32</v>
          </cell>
          <cell r="M1150" t="e">
            <v>#N/A</v>
          </cell>
          <cell r="N1150">
            <v>37</v>
          </cell>
          <cell r="O1150" t="e">
            <v>#N/A</v>
          </cell>
          <cell r="P1150" t="str">
            <v/>
          </cell>
          <cell r="Q1150" t="str">
            <v/>
          </cell>
          <cell r="R1150" t="e">
            <v>#N/A</v>
          </cell>
        </row>
        <row r="1151">
          <cell r="A1151" t="str">
            <v/>
          </cell>
          <cell r="B1151" t="str">
            <v/>
          </cell>
          <cell r="C1151" t="str">
            <v>Future</v>
          </cell>
          <cell r="D1151" t="e">
            <v>#N/A</v>
          </cell>
          <cell r="E1151">
            <v>-46.321067193675923</v>
          </cell>
          <cell r="F1151">
            <v>51.955612648221809</v>
          </cell>
          <cell r="G1151">
            <v>28.556403162054515</v>
          </cell>
          <cell r="H1151">
            <v>28.556403162054515</v>
          </cell>
          <cell r="I1151" t="e">
            <v>#N/A</v>
          </cell>
          <cell r="J1151" t="e">
            <v>#N/A</v>
          </cell>
          <cell r="K1151">
            <v>42</v>
          </cell>
          <cell r="L1151">
            <v>32</v>
          </cell>
          <cell r="M1151" t="e">
            <v>#N/A</v>
          </cell>
          <cell r="N1151">
            <v>37</v>
          </cell>
          <cell r="O1151" t="e">
            <v>#N/A</v>
          </cell>
          <cell r="P1151" t="str">
            <v/>
          </cell>
          <cell r="Q1151" t="str">
            <v/>
          </cell>
          <cell r="R1151" t="e">
            <v>#N/A</v>
          </cell>
        </row>
        <row r="1152">
          <cell r="A1152" t="str">
            <v/>
          </cell>
          <cell r="B1152" t="str">
            <v/>
          </cell>
          <cell r="C1152" t="str">
            <v>Future</v>
          </cell>
          <cell r="D1152" t="e">
            <v>#N/A</v>
          </cell>
          <cell r="E1152">
            <v>-46.457707509881459</v>
          </cell>
          <cell r="F1152">
            <v>51.984980237154616</v>
          </cell>
          <cell r="G1152">
            <v>28.546245059287717</v>
          </cell>
          <cell r="H1152">
            <v>28.546245059287717</v>
          </cell>
          <cell r="I1152" t="e">
            <v>#N/A</v>
          </cell>
          <cell r="J1152" t="e">
            <v>#N/A</v>
          </cell>
          <cell r="K1152">
            <v>42</v>
          </cell>
          <cell r="L1152">
            <v>32</v>
          </cell>
          <cell r="M1152" t="e">
            <v>#N/A</v>
          </cell>
          <cell r="N1152">
            <v>37</v>
          </cell>
          <cell r="O1152" t="e">
            <v>#N/A</v>
          </cell>
          <cell r="P1152" t="str">
            <v/>
          </cell>
          <cell r="Q1152" t="str">
            <v/>
          </cell>
          <cell r="R1152" t="e">
            <v>#N/A</v>
          </cell>
        </row>
        <row r="1153">
          <cell r="A1153" t="str">
            <v/>
          </cell>
          <cell r="B1153" t="str">
            <v/>
          </cell>
          <cell r="C1153" t="str">
            <v>Future</v>
          </cell>
          <cell r="D1153" t="e">
            <v>#N/A</v>
          </cell>
          <cell r="E1153">
            <v>-46.594347826086995</v>
          </cell>
          <cell r="F1153">
            <v>52.014347826087423</v>
          </cell>
          <cell r="G1153">
            <v>28.536086956520919</v>
          </cell>
          <cell r="H1153">
            <v>28.536086956520919</v>
          </cell>
          <cell r="I1153" t="e">
            <v>#N/A</v>
          </cell>
          <cell r="J1153" t="e">
            <v>#N/A</v>
          </cell>
          <cell r="K1153">
            <v>42</v>
          </cell>
          <cell r="L1153">
            <v>32</v>
          </cell>
          <cell r="M1153" t="e">
            <v>#N/A</v>
          </cell>
          <cell r="N1153">
            <v>37</v>
          </cell>
          <cell r="O1153" t="e">
            <v>#N/A</v>
          </cell>
          <cell r="P1153" t="str">
            <v/>
          </cell>
          <cell r="Q1153" t="str">
            <v/>
          </cell>
          <cell r="R1153" t="e">
            <v>#N/A</v>
          </cell>
        </row>
        <row r="1154">
          <cell r="A1154" t="str">
            <v/>
          </cell>
          <cell r="B1154" t="str">
            <v/>
          </cell>
          <cell r="C1154" t="str">
            <v>Future</v>
          </cell>
          <cell r="D1154" t="e">
            <v>#N/A</v>
          </cell>
          <cell r="E1154">
            <v>-46.730988142292532</v>
          </cell>
          <cell r="F1154">
            <v>52.04371541502023</v>
          </cell>
          <cell r="G1154">
            <v>28.52592885375412</v>
          </cell>
          <cell r="H1154">
            <v>28.52592885375412</v>
          </cell>
          <cell r="I1154" t="e">
            <v>#N/A</v>
          </cell>
          <cell r="J1154" t="e">
            <v>#N/A</v>
          </cell>
          <cell r="K1154">
            <v>42</v>
          </cell>
          <cell r="L1154">
            <v>32</v>
          </cell>
          <cell r="M1154" t="e">
            <v>#N/A</v>
          </cell>
          <cell r="N1154">
            <v>37</v>
          </cell>
          <cell r="O1154" t="e">
            <v>#N/A</v>
          </cell>
          <cell r="P1154" t="str">
            <v/>
          </cell>
          <cell r="Q1154" t="str">
            <v/>
          </cell>
          <cell r="R1154" t="e">
            <v>#N/A</v>
          </cell>
        </row>
        <row r="1155">
          <cell r="A1155" t="str">
            <v/>
          </cell>
          <cell r="B1155" t="str">
            <v/>
          </cell>
          <cell r="C1155" t="str">
            <v>Future</v>
          </cell>
          <cell r="D1155" t="e">
            <v>#N/A</v>
          </cell>
          <cell r="E1155">
            <v>-46.867628458498068</v>
          </cell>
          <cell r="F1155">
            <v>52.073083003953037</v>
          </cell>
          <cell r="G1155">
            <v>28.515770750987322</v>
          </cell>
          <cell r="H1155">
            <v>28.515770750987322</v>
          </cell>
          <cell r="I1155" t="e">
            <v>#N/A</v>
          </cell>
          <cell r="J1155" t="e">
            <v>#N/A</v>
          </cell>
          <cell r="K1155">
            <v>42</v>
          </cell>
          <cell r="L1155">
            <v>32</v>
          </cell>
          <cell r="M1155" t="e">
            <v>#N/A</v>
          </cell>
          <cell r="N1155">
            <v>37</v>
          </cell>
          <cell r="O1155" t="e">
            <v>#N/A</v>
          </cell>
          <cell r="P1155" t="str">
            <v/>
          </cell>
          <cell r="Q1155" t="str">
            <v/>
          </cell>
          <cell r="R1155" t="e">
            <v>#N/A</v>
          </cell>
        </row>
        <row r="1156">
          <cell r="A1156" t="str">
            <v/>
          </cell>
          <cell r="B1156" t="str">
            <v/>
          </cell>
          <cell r="C1156" t="str">
            <v>Future</v>
          </cell>
          <cell r="D1156" t="e">
            <v>#N/A</v>
          </cell>
          <cell r="E1156">
            <v>-47.004268774703604</v>
          </cell>
          <cell r="F1156">
            <v>52.102450592885845</v>
          </cell>
          <cell r="G1156">
            <v>28.505612648220524</v>
          </cell>
          <cell r="H1156">
            <v>28.505612648220524</v>
          </cell>
          <cell r="I1156" t="e">
            <v>#N/A</v>
          </cell>
          <cell r="J1156" t="e">
            <v>#N/A</v>
          </cell>
          <cell r="K1156">
            <v>42</v>
          </cell>
          <cell r="L1156">
            <v>32</v>
          </cell>
          <cell r="M1156" t="e">
            <v>#N/A</v>
          </cell>
          <cell r="N1156">
            <v>37</v>
          </cell>
          <cell r="O1156" t="e">
            <v>#N/A</v>
          </cell>
          <cell r="P1156" t="str">
            <v/>
          </cell>
          <cell r="Q1156" t="str">
            <v/>
          </cell>
          <cell r="R1156" t="e">
            <v>#N/A</v>
          </cell>
        </row>
        <row r="1157">
          <cell r="A1157" t="str">
            <v/>
          </cell>
          <cell r="B1157" t="str">
            <v/>
          </cell>
          <cell r="C1157" t="str">
            <v>Future</v>
          </cell>
          <cell r="D1157" t="e">
            <v>#N/A</v>
          </cell>
          <cell r="E1157">
            <v>-47.14090909090914</v>
          </cell>
          <cell r="F1157">
            <v>52.131818181818652</v>
          </cell>
          <cell r="G1157">
            <v>28.495454545453725</v>
          </cell>
          <cell r="H1157">
            <v>28.495454545453725</v>
          </cell>
          <cell r="I1157" t="e">
            <v>#N/A</v>
          </cell>
          <cell r="J1157" t="e">
            <v>#N/A</v>
          </cell>
          <cell r="K1157">
            <v>42</v>
          </cell>
          <cell r="L1157">
            <v>32</v>
          </cell>
          <cell r="M1157" t="e">
            <v>#N/A</v>
          </cell>
          <cell r="N1157">
            <v>37</v>
          </cell>
          <cell r="O1157" t="e">
            <v>#N/A</v>
          </cell>
          <cell r="P1157" t="str">
            <v/>
          </cell>
          <cell r="Q1157" t="str">
            <v/>
          </cell>
          <cell r="R1157" t="e">
            <v>#N/A</v>
          </cell>
        </row>
        <row r="1158">
          <cell r="A1158" t="str">
            <v/>
          </cell>
          <cell r="B1158" t="str">
            <v/>
          </cell>
          <cell r="C1158" t="str">
            <v>Future</v>
          </cell>
          <cell r="D1158" t="e">
            <v>#N/A</v>
          </cell>
          <cell r="E1158">
            <v>-47.277549407114677</v>
          </cell>
          <cell r="F1158">
            <v>52.161185770751459</v>
          </cell>
          <cell r="G1158">
            <v>28.485296442686927</v>
          </cell>
          <cell r="H1158">
            <v>28.485296442686927</v>
          </cell>
          <cell r="I1158" t="e">
            <v>#N/A</v>
          </cell>
          <cell r="J1158" t="e">
            <v>#N/A</v>
          </cell>
          <cell r="K1158">
            <v>42</v>
          </cell>
          <cell r="L1158">
            <v>32</v>
          </cell>
          <cell r="M1158" t="e">
            <v>#N/A</v>
          </cell>
          <cell r="N1158">
            <v>37</v>
          </cell>
          <cell r="O1158" t="e">
            <v>#N/A</v>
          </cell>
          <cell r="P1158" t="str">
            <v/>
          </cell>
          <cell r="Q1158" t="str">
            <v/>
          </cell>
          <cell r="R1158" t="e">
            <v>#N/A</v>
          </cell>
        </row>
        <row r="1159">
          <cell r="A1159" t="str">
            <v/>
          </cell>
          <cell r="B1159" t="str">
            <v/>
          </cell>
          <cell r="C1159" t="str">
            <v>Future</v>
          </cell>
          <cell r="D1159" t="e">
            <v>#N/A</v>
          </cell>
          <cell r="E1159">
            <v>-47.414189723320213</v>
          </cell>
          <cell r="F1159">
            <v>52.190553359684266</v>
          </cell>
          <cell r="G1159">
            <v>28.475138339920129</v>
          </cell>
          <cell r="H1159">
            <v>28.475138339920129</v>
          </cell>
          <cell r="I1159" t="e">
            <v>#N/A</v>
          </cell>
          <cell r="J1159" t="e">
            <v>#N/A</v>
          </cell>
          <cell r="K1159">
            <v>42</v>
          </cell>
          <cell r="L1159">
            <v>32</v>
          </cell>
          <cell r="M1159" t="e">
            <v>#N/A</v>
          </cell>
          <cell r="N1159">
            <v>37</v>
          </cell>
          <cell r="O1159" t="e">
            <v>#N/A</v>
          </cell>
          <cell r="P1159" t="str">
            <v/>
          </cell>
          <cell r="Q1159" t="str">
            <v/>
          </cell>
          <cell r="R1159" t="e">
            <v>#N/A</v>
          </cell>
        </row>
        <row r="1160">
          <cell r="A1160" t="str">
            <v/>
          </cell>
          <cell r="B1160" t="str">
            <v/>
          </cell>
          <cell r="C1160" t="str">
            <v>Future</v>
          </cell>
          <cell r="D1160" t="e">
            <v>#N/A</v>
          </cell>
          <cell r="E1160">
            <v>-47.550830039525749</v>
          </cell>
          <cell r="F1160">
            <v>52.219920948617073</v>
          </cell>
          <cell r="G1160">
            <v>28.46498023715333</v>
          </cell>
          <cell r="H1160">
            <v>28.46498023715333</v>
          </cell>
          <cell r="I1160" t="e">
            <v>#N/A</v>
          </cell>
          <cell r="J1160" t="e">
            <v>#N/A</v>
          </cell>
          <cell r="K1160">
            <v>42</v>
          </cell>
          <cell r="L1160">
            <v>32</v>
          </cell>
          <cell r="M1160" t="e">
            <v>#N/A</v>
          </cell>
          <cell r="N1160">
            <v>37</v>
          </cell>
          <cell r="O1160" t="e">
            <v>#N/A</v>
          </cell>
          <cell r="P1160" t="str">
            <v/>
          </cell>
          <cell r="Q1160" t="str">
            <v/>
          </cell>
          <cell r="R1160" t="e">
            <v>#N/A</v>
          </cell>
        </row>
        <row r="1161">
          <cell r="A1161" t="str">
            <v/>
          </cell>
          <cell r="B1161" t="str">
            <v/>
          </cell>
          <cell r="C1161" t="str">
            <v>Future</v>
          </cell>
          <cell r="D1161" t="e">
            <v>#N/A</v>
          </cell>
          <cell r="E1161">
            <v>-47.687470355731286</v>
          </cell>
          <cell r="F1161">
            <v>52.24928853754988</v>
          </cell>
          <cell r="G1161">
            <v>28.454822134386532</v>
          </cell>
          <cell r="H1161">
            <v>28.454822134386532</v>
          </cell>
          <cell r="I1161" t="e">
            <v>#N/A</v>
          </cell>
          <cell r="J1161" t="e">
            <v>#N/A</v>
          </cell>
          <cell r="K1161">
            <v>42</v>
          </cell>
          <cell r="L1161">
            <v>32</v>
          </cell>
          <cell r="M1161" t="e">
            <v>#N/A</v>
          </cell>
          <cell r="N1161">
            <v>37</v>
          </cell>
          <cell r="O1161" t="e">
            <v>#N/A</v>
          </cell>
          <cell r="P1161" t="str">
            <v/>
          </cell>
          <cell r="Q1161" t="str">
            <v/>
          </cell>
          <cell r="R1161" t="e">
            <v>#N/A</v>
          </cell>
        </row>
        <row r="1162">
          <cell r="A1162" t="str">
            <v/>
          </cell>
          <cell r="B1162" t="str">
            <v/>
          </cell>
          <cell r="C1162" t="str">
            <v>Future</v>
          </cell>
          <cell r="D1162" t="e">
            <v>#N/A</v>
          </cell>
          <cell r="E1162">
            <v>-47.824110671936822</v>
          </cell>
          <cell r="F1162">
            <v>52.278656126482687</v>
          </cell>
          <cell r="G1162">
            <v>28.444664031619734</v>
          </cell>
          <cell r="H1162">
            <v>28.444664031619734</v>
          </cell>
          <cell r="I1162" t="e">
            <v>#N/A</v>
          </cell>
          <cell r="J1162" t="e">
            <v>#N/A</v>
          </cell>
          <cell r="K1162">
            <v>42</v>
          </cell>
          <cell r="L1162">
            <v>32</v>
          </cell>
          <cell r="M1162" t="e">
            <v>#N/A</v>
          </cell>
          <cell r="N1162">
            <v>37</v>
          </cell>
          <cell r="O1162" t="e">
            <v>#N/A</v>
          </cell>
          <cell r="P1162" t="str">
            <v/>
          </cell>
          <cell r="Q1162" t="str">
            <v/>
          </cell>
          <cell r="R1162" t="e">
            <v>#N/A</v>
          </cell>
        </row>
        <row r="1163">
          <cell r="A1163" t="str">
            <v/>
          </cell>
          <cell r="B1163" t="str">
            <v/>
          </cell>
          <cell r="C1163" t="str">
            <v>Future</v>
          </cell>
          <cell r="D1163" t="e">
            <v>#N/A</v>
          </cell>
          <cell r="E1163">
            <v>-47.960750988142358</v>
          </cell>
          <cell r="F1163">
            <v>52.308023715415494</v>
          </cell>
          <cell r="G1163">
            <v>28.434505928852936</v>
          </cell>
          <cell r="H1163">
            <v>28.434505928852936</v>
          </cell>
          <cell r="I1163" t="e">
            <v>#N/A</v>
          </cell>
          <cell r="J1163" t="e">
            <v>#N/A</v>
          </cell>
          <cell r="K1163">
            <v>42</v>
          </cell>
          <cell r="L1163">
            <v>32</v>
          </cell>
          <cell r="M1163" t="e">
            <v>#N/A</v>
          </cell>
          <cell r="N1163">
            <v>37</v>
          </cell>
          <cell r="O1163" t="e">
            <v>#N/A</v>
          </cell>
          <cell r="P1163" t="str">
            <v/>
          </cell>
          <cell r="Q1163" t="str">
            <v/>
          </cell>
          <cell r="R1163" t="e">
            <v>#N/A</v>
          </cell>
        </row>
        <row r="1164">
          <cell r="A1164" t="str">
            <v/>
          </cell>
          <cell r="B1164" t="str">
            <v/>
          </cell>
          <cell r="C1164" t="str">
            <v>Future</v>
          </cell>
          <cell r="D1164" t="e">
            <v>#N/A</v>
          </cell>
          <cell r="E1164">
            <v>-48.097391304347894</v>
          </cell>
          <cell r="F1164">
            <v>52.337391304348301</v>
          </cell>
          <cell r="G1164">
            <v>28.424347826086137</v>
          </cell>
          <cell r="H1164">
            <v>28.424347826086137</v>
          </cell>
          <cell r="I1164" t="e">
            <v>#N/A</v>
          </cell>
          <cell r="J1164" t="e">
            <v>#N/A</v>
          </cell>
          <cell r="K1164">
            <v>42</v>
          </cell>
          <cell r="L1164">
            <v>32</v>
          </cell>
          <cell r="M1164" t="e">
            <v>#N/A</v>
          </cell>
          <cell r="N1164">
            <v>37</v>
          </cell>
          <cell r="O1164" t="e">
            <v>#N/A</v>
          </cell>
          <cell r="P1164" t="str">
            <v/>
          </cell>
          <cell r="Q1164" t="str">
            <v/>
          </cell>
          <cell r="R1164" t="e">
            <v>#N/A</v>
          </cell>
        </row>
        <row r="1165">
          <cell r="A1165" t="str">
            <v/>
          </cell>
          <cell r="B1165" t="str">
            <v/>
          </cell>
          <cell r="C1165" t="str">
            <v>Future</v>
          </cell>
          <cell r="D1165" t="e">
            <v>#N/A</v>
          </cell>
          <cell r="E1165">
            <v>-48.234031620553431</v>
          </cell>
          <cell r="F1165">
            <v>52.366758893281109</v>
          </cell>
          <cell r="G1165">
            <v>28.414189723319339</v>
          </cell>
          <cell r="H1165">
            <v>28.414189723319339</v>
          </cell>
          <cell r="I1165" t="e">
            <v>#N/A</v>
          </cell>
          <cell r="J1165" t="e">
            <v>#N/A</v>
          </cell>
          <cell r="K1165">
            <v>42</v>
          </cell>
          <cell r="L1165">
            <v>32</v>
          </cell>
          <cell r="M1165" t="e">
            <v>#N/A</v>
          </cell>
          <cell r="N1165">
            <v>37</v>
          </cell>
          <cell r="O1165" t="e">
            <v>#N/A</v>
          </cell>
          <cell r="P1165" t="str">
            <v/>
          </cell>
          <cell r="Q1165" t="str">
            <v/>
          </cell>
          <cell r="R1165" t="e">
            <v>#N/A</v>
          </cell>
        </row>
        <row r="1166">
          <cell r="A1166" t="str">
            <v/>
          </cell>
          <cell r="B1166" t="str">
            <v/>
          </cell>
          <cell r="C1166" t="str">
            <v>Future</v>
          </cell>
          <cell r="D1166" t="e">
            <v>#N/A</v>
          </cell>
          <cell r="E1166">
            <v>-48.370671936758967</v>
          </cell>
          <cell r="F1166">
            <v>52.396126482213916</v>
          </cell>
          <cell r="G1166">
            <v>28.404031620552541</v>
          </cell>
          <cell r="H1166">
            <v>28.404031620552541</v>
          </cell>
          <cell r="I1166" t="e">
            <v>#N/A</v>
          </cell>
          <cell r="J1166" t="e">
            <v>#N/A</v>
          </cell>
          <cell r="K1166">
            <v>42</v>
          </cell>
          <cell r="L1166">
            <v>32</v>
          </cell>
          <cell r="M1166" t="e">
            <v>#N/A</v>
          </cell>
          <cell r="N1166">
            <v>37</v>
          </cell>
          <cell r="O1166" t="e">
            <v>#N/A</v>
          </cell>
          <cell r="P1166" t="str">
            <v/>
          </cell>
          <cell r="Q1166" t="str">
            <v/>
          </cell>
          <cell r="R1166" t="e">
            <v>#N/A</v>
          </cell>
        </row>
        <row r="1167">
          <cell r="A1167" t="str">
            <v/>
          </cell>
          <cell r="B1167" t="str">
            <v/>
          </cell>
          <cell r="C1167" t="str">
            <v>Future</v>
          </cell>
          <cell r="D1167" t="e">
            <v>#N/A</v>
          </cell>
          <cell r="E1167">
            <v>-48.507312252964503</v>
          </cell>
          <cell r="F1167">
            <v>52.425494071146723</v>
          </cell>
          <cell r="G1167">
            <v>28.393873517785742</v>
          </cell>
          <cell r="H1167">
            <v>28.393873517785742</v>
          </cell>
          <cell r="I1167" t="e">
            <v>#N/A</v>
          </cell>
          <cell r="J1167" t="e">
            <v>#N/A</v>
          </cell>
          <cell r="K1167">
            <v>42</v>
          </cell>
          <cell r="L1167">
            <v>32</v>
          </cell>
          <cell r="M1167" t="e">
            <v>#N/A</v>
          </cell>
          <cell r="N1167">
            <v>37</v>
          </cell>
          <cell r="O1167" t="e">
            <v>#N/A</v>
          </cell>
          <cell r="P1167" t="str">
            <v/>
          </cell>
          <cell r="Q1167" t="str">
            <v/>
          </cell>
          <cell r="R1167" t="e">
            <v>#N/A</v>
          </cell>
        </row>
        <row r="1168">
          <cell r="A1168" t="str">
            <v/>
          </cell>
          <cell r="B1168" t="str">
            <v/>
          </cell>
          <cell r="C1168" t="str">
            <v>Future</v>
          </cell>
          <cell r="D1168" t="e">
            <v>#N/A</v>
          </cell>
          <cell r="E1168">
            <v>-48.64395256917004</v>
          </cell>
          <cell r="F1168">
            <v>52.45486166007953</v>
          </cell>
          <cell r="G1168">
            <v>28.383715415018944</v>
          </cell>
          <cell r="H1168">
            <v>28.383715415018944</v>
          </cell>
          <cell r="I1168" t="e">
            <v>#N/A</v>
          </cell>
          <cell r="J1168" t="e">
            <v>#N/A</v>
          </cell>
          <cell r="K1168">
            <v>42</v>
          </cell>
          <cell r="L1168">
            <v>32</v>
          </cell>
          <cell r="M1168" t="e">
            <v>#N/A</v>
          </cell>
          <cell r="N1168">
            <v>37</v>
          </cell>
          <cell r="O1168" t="e">
            <v>#N/A</v>
          </cell>
          <cell r="P1168" t="str">
            <v/>
          </cell>
          <cell r="Q1168" t="str">
            <v/>
          </cell>
          <cell r="R1168" t="e">
            <v>#N/A</v>
          </cell>
        </row>
        <row r="1169">
          <cell r="A1169" t="str">
            <v/>
          </cell>
          <cell r="B1169" t="str">
            <v/>
          </cell>
          <cell r="C1169" t="str">
            <v>Future</v>
          </cell>
          <cell r="D1169" t="e">
            <v>#N/A</v>
          </cell>
          <cell r="E1169">
            <v>-48.780592885375576</v>
          </cell>
          <cell r="F1169">
            <v>52.484229249012337</v>
          </cell>
          <cell r="G1169">
            <v>28.373557312252146</v>
          </cell>
          <cell r="H1169">
            <v>28.373557312252146</v>
          </cell>
          <cell r="I1169" t="e">
            <v>#N/A</v>
          </cell>
          <cell r="J1169" t="e">
            <v>#N/A</v>
          </cell>
          <cell r="K1169">
            <v>42</v>
          </cell>
          <cell r="L1169">
            <v>32</v>
          </cell>
          <cell r="M1169" t="e">
            <v>#N/A</v>
          </cell>
          <cell r="N1169">
            <v>37</v>
          </cell>
          <cell r="O1169" t="e">
            <v>#N/A</v>
          </cell>
          <cell r="P1169" t="str">
            <v/>
          </cell>
          <cell r="Q1169" t="str">
            <v/>
          </cell>
          <cell r="R1169" t="e">
            <v>#N/A</v>
          </cell>
        </row>
        <row r="1170">
          <cell r="A1170" t="str">
            <v/>
          </cell>
          <cell r="B1170" t="str">
            <v/>
          </cell>
          <cell r="C1170" t="str">
            <v>Future</v>
          </cell>
          <cell r="D1170" t="e">
            <v>#N/A</v>
          </cell>
          <cell r="E1170">
            <v>-48.917233201581112</v>
          </cell>
          <cell r="F1170">
            <v>52.513596837945144</v>
          </cell>
          <cell r="G1170">
            <v>28.363399209485348</v>
          </cell>
          <cell r="H1170">
            <v>28.363399209485348</v>
          </cell>
          <cell r="I1170" t="e">
            <v>#N/A</v>
          </cell>
          <cell r="J1170" t="e">
            <v>#N/A</v>
          </cell>
          <cell r="K1170">
            <v>42</v>
          </cell>
          <cell r="L1170">
            <v>32</v>
          </cell>
          <cell r="M1170" t="e">
            <v>#N/A</v>
          </cell>
          <cell r="N1170">
            <v>37</v>
          </cell>
          <cell r="O1170" t="e">
            <v>#N/A</v>
          </cell>
          <cell r="P1170" t="str">
            <v/>
          </cell>
          <cell r="Q1170" t="str">
            <v/>
          </cell>
          <cell r="R1170" t="e">
            <v>#N/A</v>
          </cell>
        </row>
        <row r="1171">
          <cell r="A1171" t="str">
            <v/>
          </cell>
          <cell r="B1171" t="str">
            <v/>
          </cell>
          <cell r="C1171" t="str">
            <v>Future</v>
          </cell>
          <cell r="D1171" t="e">
            <v>#N/A</v>
          </cell>
          <cell r="E1171">
            <v>-49.053873517786649</v>
          </cell>
          <cell r="F1171">
            <v>52.542964426877951</v>
          </cell>
          <cell r="G1171">
            <v>28.353241106718549</v>
          </cell>
          <cell r="H1171">
            <v>28.353241106718549</v>
          </cell>
          <cell r="I1171" t="e">
            <v>#N/A</v>
          </cell>
          <cell r="J1171" t="e">
            <v>#N/A</v>
          </cell>
          <cell r="K1171">
            <v>42</v>
          </cell>
          <cell r="L1171">
            <v>32</v>
          </cell>
          <cell r="M1171" t="e">
            <v>#N/A</v>
          </cell>
          <cell r="N1171">
            <v>37</v>
          </cell>
          <cell r="O1171" t="e">
            <v>#N/A</v>
          </cell>
          <cell r="P1171" t="str">
            <v/>
          </cell>
          <cell r="Q1171" t="str">
            <v/>
          </cell>
          <cell r="R1171" t="e">
            <v>#N/A</v>
          </cell>
        </row>
        <row r="1172">
          <cell r="A1172" t="str">
            <v/>
          </cell>
          <cell r="B1172" t="str">
            <v/>
          </cell>
          <cell r="C1172" t="str">
            <v>Future</v>
          </cell>
          <cell r="D1172" t="e">
            <v>#N/A</v>
          </cell>
          <cell r="E1172">
            <v>-49.190513833992185</v>
          </cell>
          <cell r="F1172">
            <v>52.572332015810758</v>
          </cell>
          <cell r="G1172">
            <v>28.343083003951751</v>
          </cell>
          <cell r="H1172">
            <v>28.343083003951751</v>
          </cell>
          <cell r="I1172" t="e">
            <v>#N/A</v>
          </cell>
          <cell r="J1172" t="e">
            <v>#N/A</v>
          </cell>
          <cell r="K1172">
            <v>42</v>
          </cell>
          <cell r="L1172">
            <v>32</v>
          </cell>
          <cell r="M1172" t="e">
            <v>#N/A</v>
          </cell>
          <cell r="N1172">
            <v>37</v>
          </cell>
          <cell r="O1172" t="e">
            <v>#N/A</v>
          </cell>
          <cell r="P1172" t="str">
            <v/>
          </cell>
          <cell r="Q1172" t="str">
            <v/>
          </cell>
          <cell r="R1172" t="e">
            <v>#N/A</v>
          </cell>
        </row>
        <row r="1173">
          <cell r="A1173" t="str">
            <v/>
          </cell>
          <cell r="B1173" t="str">
            <v/>
          </cell>
          <cell r="C1173" t="str">
            <v>Future</v>
          </cell>
          <cell r="D1173" t="e">
            <v>#N/A</v>
          </cell>
          <cell r="E1173">
            <v>-49.327154150197721</v>
          </cell>
          <cell r="F1173">
            <v>52.601699604743565</v>
          </cell>
          <cell r="G1173">
            <v>28.332924901184953</v>
          </cell>
          <cell r="H1173">
            <v>28.332924901184953</v>
          </cell>
          <cell r="I1173" t="e">
            <v>#N/A</v>
          </cell>
          <cell r="J1173" t="e">
            <v>#N/A</v>
          </cell>
          <cell r="K1173">
            <v>42</v>
          </cell>
          <cell r="L1173">
            <v>32</v>
          </cell>
          <cell r="M1173" t="e">
            <v>#N/A</v>
          </cell>
          <cell r="N1173">
            <v>37</v>
          </cell>
          <cell r="O1173" t="e">
            <v>#N/A</v>
          </cell>
          <cell r="P1173" t="str">
            <v/>
          </cell>
          <cell r="Q1173" t="str">
            <v/>
          </cell>
          <cell r="R1173" t="e">
            <v>#N/A</v>
          </cell>
        </row>
        <row r="1174">
          <cell r="A1174" t="str">
            <v/>
          </cell>
          <cell r="B1174" t="str">
            <v/>
          </cell>
          <cell r="C1174" t="str">
            <v>Future</v>
          </cell>
          <cell r="D1174" t="e">
            <v>#N/A</v>
          </cell>
          <cell r="E1174">
            <v>-49.463794466403257</v>
          </cell>
          <cell r="F1174">
            <v>52.631067193676373</v>
          </cell>
          <cell r="G1174">
            <v>28.322766798418154</v>
          </cell>
          <cell r="H1174">
            <v>28.322766798418154</v>
          </cell>
          <cell r="I1174" t="e">
            <v>#N/A</v>
          </cell>
          <cell r="J1174" t="e">
            <v>#N/A</v>
          </cell>
          <cell r="K1174">
            <v>42</v>
          </cell>
          <cell r="L1174">
            <v>32</v>
          </cell>
          <cell r="M1174" t="e">
            <v>#N/A</v>
          </cell>
          <cell r="N1174">
            <v>37</v>
          </cell>
          <cell r="O1174" t="e">
            <v>#N/A</v>
          </cell>
          <cell r="P1174" t="str">
            <v/>
          </cell>
          <cell r="Q1174" t="str">
            <v/>
          </cell>
          <cell r="R1174" t="e">
            <v>#N/A</v>
          </cell>
        </row>
        <row r="1175">
          <cell r="A1175" t="str">
            <v/>
          </cell>
          <cell r="B1175" t="str">
            <v/>
          </cell>
          <cell r="C1175" t="str">
            <v>Future</v>
          </cell>
          <cell r="D1175" t="e">
            <v>#N/A</v>
          </cell>
          <cell r="E1175">
            <v>-49.600434782608794</v>
          </cell>
          <cell r="F1175">
            <v>52.66043478260918</v>
          </cell>
          <cell r="G1175">
            <v>28.312608695651356</v>
          </cell>
          <cell r="H1175">
            <v>28.312608695651356</v>
          </cell>
          <cell r="I1175" t="e">
            <v>#N/A</v>
          </cell>
          <cell r="J1175" t="e">
            <v>#N/A</v>
          </cell>
          <cell r="K1175">
            <v>42</v>
          </cell>
          <cell r="L1175">
            <v>32</v>
          </cell>
          <cell r="M1175" t="e">
            <v>#N/A</v>
          </cell>
          <cell r="N1175">
            <v>37</v>
          </cell>
          <cell r="O1175" t="e">
            <v>#N/A</v>
          </cell>
          <cell r="P1175" t="str">
            <v/>
          </cell>
          <cell r="Q1175" t="str">
            <v/>
          </cell>
          <cell r="R1175" t="e">
            <v>#N/A</v>
          </cell>
        </row>
        <row r="1176">
          <cell r="A1176" t="str">
            <v/>
          </cell>
          <cell r="B1176" t="str">
            <v/>
          </cell>
          <cell r="C1176" t="str">
            <v>Future</v>
          </cell>
          <cell r="D1176" t="e">
            <v>#N/A</v>
          </cell>
          <cell r="E1176">
            <v>-49.73707509881433</v>
          </cell>
          <cell r="F1176">
            <v>52.689802371541987</v>
          </cell>
          <cell r="G1176">
            <v>28.302450592884558</v>
          </cell>
          <cell r="H1176">
            <v>28.302450592884558</v>
          </cell>
          <cell r="I1176" t="e">
            <v>#N/A</v>
          </cell>
          <cell r="J1176" t="e">
            <v>#N/A</v>
          </cell>
          <cell r="K1176">
            <v>42</v>
          </cell>
          <cell r="L1176">
            <v>32</v>
          </cell>
          <cell r="M1176" t="e">
            <v>#N/A</v>
          </cell>
          <cell r="N1176">
            <v>37</v>
          </cell>
          <cell r="O1176" t="e">
            <v>#N/A</v>
          </cell>
          <cell r="P1176" t="str">
            <v/>
          </cell>
          <cell r="Q1176" t="str">
            <v/>
          </cell>
          <cell r="R1176" t="e">
            <v>#N/A</v>
          </cell>
        </row>
        <row r="1177">
          <cell r="A1177" t="str">
            <v/>
          </cell>
          <cell r="B1177" t="str">
            <v/>
          </cell>
          <cell r="C1177" t="str">
            <v>Future</v>
          </cell>
          <cell r="D1177" t="e">
            <v>#N/A</v>
          </cell>
          <cell r="E1177">
            <v>-49.873715415019866</v>
          </cell>
          <cell r="F1177">
            <v>52.719169960474794</v>
          </cell>
          <cell r="G1177">
            <v>28.292292490117759</v>
          </cell>
          <cell r="H1177">
            <v>28.292292490117759</v>
          </cell>
          <cell r="I1177" t="e">
            <v>#N/A</v>
          </cell>
          <cell r="J1177" t="e">
            <v>#N/A</v>
          </cell>
          <cell r="K1177">
            <v>42</v>
          </cell>
          <cell r="L1177">
            <v>32</v>
          </cell>
          <cell r="M1177" t="e">
            <v>#N/A</v>
          </cell>
          <cell r="N1177">
            <v>37</v>
          </cell>
          <cell r="O1177" t="e">
            <v>#N/A</v>
          </cell>
          <cell r="P1177" t="str">
            <v/>
          </cell>
          <cell r="Q1177" t="str">
            <v/>
          </cell>
          <cell r="R1177" t="e">
            <v>#N/A</v>
          </cell>
        </row>
        <row r="1178">
          <cell r="A1178" t="str">
            <v/>
          </cell>
          <cell r="B1178" t="str">
            <v/>
          </cell>
          <cell r="C1178" t="str">
            <v>Future</v>
          </cell>
          <cell r="D1178" t="e">
            <v>#N/A</v>
          </cell>
          <cell r="E1178">
            <v>-50.010355731225403</v>
          </cell>
          <cell r="F1178">
            <v>52.748537549407601</v>
          </cell>
          <cell r="G1178">
            <v>28.282134387350961</v>
          </cell>
          <cell r="H1178">
            <v>28.282134387350961</v>
          </cell>
          <cell r="I1178" t="e">
            <v>#N/A</v>
          </cell>
          <cell r="J1178" t="e">
            <v>#N/A</v>
          </cell>
          <cell r="K1178">
            <v>42</v>
          </cell>
          <cell r="L1178">
            <v>32</v>
          </cell>
          <cell r="M1178" t="e">
            <v>#N/A</v>
          </cell>
          <cell r="N1178">
            <v>37</v>
          </cell>
          <cell r="O1178" t="e">
            <v>#N/A</v>
          </cell>
          <cell r="P1178" t="str">
            <v/>
          </cell>
          <cell r="Q1178" t="str">
            <v/>
          </cell>
          <cell r="R1178" t="e">
            <v>#N/A</v>
          </cell>
        </row>
        <row r="1179">
          <cell r="A1179" t="str">
            <v/>
          </cell>
          <cell r="B1179" t="str">
            <v/>
          </cell>
          <cell r="C1179" t="str">
            <v>Future</v>
          </cell>
          <cell r="D1179" t="e">
            <v>#N/A</v>
          </cell>
          <cell r="E1179">
            <v>-50.146996047430939</v>
          </cell>
          <cell r="F1179">
            <v>52.777905138340408</v>
          </cell>
          <cell r="G1179">
            <v>28.271976284584163</v>
          </cell>
          <cell r="H1179">
            <v>28.271976284584163</v>
          </cell>
          <cell r="I1179" t="e">
            <v>#N/A</v>
          </cell>
          <cell r="J1179" t="e">
            <v>#N/A</v>
          </cell>
          <cell r="K1179">
            <v>42</v>
          </cell>
          <cell r="L1179">
            <v>32</v>
          </cell>
          <cell r="M1179" t="e">
            <v>#N/A</v>
          </cell>
          <cell r="N1179">
            <v>37</v>
          </cell>
          <cell r="O1179" t="e">
            <v>#N/A</v>
          </cell>
          <cell r="P1179" t="str">
            <v/>
          </cell>
          <cell r="Q1179" t="str">
            <v/>
          </cell>
          <cell r="R1179" t="e">
            <v>#N/A</v>
          </cell>
        </row>
        <row r="1180">
          <cell r="A1180" t="str">
            <v/>
          </cell>
          <cell r="B1180" t="str">
            <v/>
          </cell>
          <cell r="C1180" t="str">
            <v>Future</v>
          </cell>
          <cell r="D1180" t="e">
            <v>#N/A</v>
          </cell>
          <cell r="E1180">
            <v>-50.283636363636475</v>
          </cell>
          <cell r="F1180">
            <v>52.807272727273215</v>
          </cell>
          <cell r="G1180">
            <v>28.261818181817365</v>
          </cell>
          <cell r="H1180">
            <v>28.261818181817365</v>
          </cell>
          <cell r="I1180" t="e">
            <v>#N/A</v>
          </cell>
          <cell r="J1180" t="e">
            <v>#N/A</v>
          </cell>
          <cell r="K1180">
            <v>42</v>
          </cell>
          <cell r="L1180">
            <v>32</v>
          </cell>
          <cell r="M1180" t="e">
            <v>#N/A</v>
          </cell>
          <cell r="N1180">
            <v>37</v>
          </cell>
          <cell r="O1180" t="e">
            <v>#N/A</v>
          </cell>
          <cell r="P1180" t="str">
            <v/>
          </cell>
          <cell r="Q1180" t="str">
            <v/>
          </cell>
          <cell r="R1180" t="e">
            <v>#N/A</v>
          </cell>
        </row>
        <row r="1181">
          <cell r="A1181" t="str">
            <v/>
          </cell>
          <cell r="B1181" t="str">
            <v/>
          </cell>
          <cell r="C1181" t="str">
            <v>Future</v>
          </cell>
          <cell r="D1181" t="e">
            <v>#N/A</v>
          </cell>
          <cell r="E1181">
            <v>-50.420276679842011</v>
          </cell>
          <cell r="F1181">
            <v>52.836640316206022</v>
          </cell>
          <cell r="G1181">
            <v>28.251660079050566</v>
          </cell>
          <cell r="H1181">
            <v>28.251660079050566</v>
          </cell>
          <cell r="I1181" t="e">
            <v>#N/A</v>
          </cell>
          <cell r="J1181" t="e">
            <v>#N/A</v>
          </cell>
          <cell r="K1181">
            <v>42</v>
          </cell>
          <cell r="L1181">
            <v>32</v>
          </cell>
          <cell r="M1181" t="e">
            <v>#N/A</v>
          </cell>
          <cell r="N1181">
            <v>37</v>
          </cell>
          <cell r="O1181" t="e">
            <v>#N/A</v>
          </cell>
          <cell r="P1181" t="str">
            <v/>
          </cell>
          <cell r="Q1181" t="str">
            <v/>
          </cell>
          <cell r="R1181" t="e">
            <v>#N/A</v>
          </cell>
        </row>
        <row r="1182">
          <cell r="A1182" t="str">
            <v/>
          </cell>
          <cell r="B1182" t="str">
            <v/>
          </cell>
          <cell r="C1182" t="str">
            <v>Future</v>
          </cell>
          <cell r="D1182" t="e">
            <v>#N/A</v>
          </cell>
          <cell r="E1182">
            <v>-50.556916996047548</v>
          </cell>
          <cell r="F1182">
            <v>52.866007905138829</v>
          </cell>
          <cell r="G1182">
            <v>28.241501976283768</v>
          </cell>
          <cell r="H1182">
            <v>28.241501976283768</v>
          </cell>
          <cell r="I1182" t="e">
            <v>#N/A</v>
          </cell>
          <cell r="J1182" t="e">
            <v>#N/A</v>
          </cell>
          <cell r="K1182">
            <v>42</v>
          </cell>
          <cell r="L1182">
            <v>32</v>
          </cell>
          <cell r="M1182" t="e">
            <v>#N/A</v>
          </cell>
          <cell r="N1182">
            <v>37</v>
          </cell>
          <cell r="O1182" t="e">
            <v>#N/A</v>
          </cell>
          <cell r="P1182" t="str">
            <v/>
          </cell>
          <cell r="Q1182" t="str">
            <v/>
          </cell>
          <cell r="R1182" t="e">
            <v>#N/A</v>
          </cell>
        </row>
        <row r="1183">
          <cell r="A1183" t="str">
            <v/>
          </cell>
          <cell r="B1183" t="str">
            <v/>
          </cell>
          <cell r="C1183" t="str">
            <v>Future</v>
          </cell>
          <cell r="D1183" t="e">
            <v>#N/A</v>
          </cell>
          <cell r="E1183">
            <v>-50.693557312253084</v>
          </cell>
          <cell r="F1183">
            <v>52.895375494071637</v>
          </cell>
          <cell r="G1183">
            <v>28.23134387351697</v>
          </cell>
          <cell r="H1183">
            <v>28.23134387351697</v>
          </cell>
          <cell r="I1183" t="e">
            <v>#N/A</v>
          </cell>
          <cell r="J1183" t="e">
            <v>#N/A</v>
          </cell>
          <cell r="K1183">
            <v>42</v>
          </cell>
          <cell r="L1183">
            <v>32</v>
          </cell>
          <cell r="M1183" t="e">
            <v>#N/A</v>
          </cell>
          <cell r="N1183">
            <v>37</v>
          </cell>
          <cell r="O1183" t="e">
            <v>#N/A</v>
          </cell>
          <cell r="P1183" t="str">
            <v/>
          </cell>
          <cell r="Q1183" t="str">
            <v/>
          </cell>
          <cell r="R1183" t="e">
            <v>#N/A</v>
          </cell>
        </row>
        <row r="1184">
          <cell r="A1184" t="str">
            <v/>
          </cell>
          <cell r="B1184" t="str">
            <v/>
          </cell>
          <cell r="C1184" t="str">
            <v>Future</v>
          </cell>
          <cell r="D1184" t="e">
            <v>#N/A</v>
          </cell>
          <cell r="E1184">
            <v>-50.83019762845862</v>
          </cell>
          <cell r="F1184">
            <v>52.924743083004444</v>
          </cell>
          <cell r="G1184">
            <v>28.221185770750171</v>
          </cell>
          <cell r="H1184">
            <v>28.221185770750171</v>
          </cell>
          <cell r="I1184" t="e">
            <v>#N/A</v>
          </cell>
          <cell r="J1184" t="e">
            <v>#N/A</v>
          </cell>
          <cell r="K1184">
            <v>42</v>
          </cell>
          <cell r="L1184">
            <v>32</v>
          </cell>
          <cell r="M1184" t="e">
            <v>#N/A</v>
          </cell>
          <cell r="N1184">
            <v>37</v>
          </cell>
          <cell r="O1184" t="e">
            <v>#N/A</v>
          </cell>
          <cell r="P1184" t="str">
            <v/>
          </cell>
          <cell r="Q1184" t="str">
            <v/>
          </cell>
          <cell r="R1184" t="e">
            <v>#N/A</v>
          </cell>
        </row>
        <row r="1185">
          <cell r="A1185" t="str">
            <v/>
          </cell>
          <cell r="B1185" t="str">
            <v/>
          </cell>
          <cell r="C1185" t="str">
            <v>Future</v>
          </cell>
          <cell r="D1185" t="e">
            <v>#N/A</v>
          </cell>
          <cell r="E1185">
            <v>-50.966837944664157</v>
          </cell>
          <cell r="F1185">
            <v>52.954110671937251</v>
          </cell>
          <cell r="G1185">
            <v>28.211027667983373</v>
          </cell>
          <cell r="H1185">
            <v>28.211027667983373</v>
          </cell>
          <cell r="I1185" t="e">
            <v>#N/A</v>
          </cell>
          <cell r="J1185" t="e">
            <v>#N/A</v>
          </cell>
          <cell r="K1185">
            <v>42</v>
          </cell>
          <cell r="L1185">
            <v>32</v>
          </cell>
          <cell r="M1185" t="e">
            <v>#N/A</v>
          </cell>
          <cell r="N1185">
            <v>37</v>
          </cell>
          <cell r="O1185" t="e">
            <v>#N/A</v>
          </cell>
          <cell r="P1185" t="str">
            <v/>
          </cell>
          <cell r="Q1185" t="str">
            <v/>
          </cell>
          <cell r="R1185" t="e">
            <v>#N/A</v>
          </cell>
        </row>
        <row r="1186">
          <cell r="A1186" t="str">
            <v/>
          </cell>
          <cell r="B1186" t="str">
            <v/>
          </cell>
          <cell r="C1186" t="str">
            <v>Future</v>
          </cell>
          <cell r="D1186" t="e">
            <v>#N/A</v>
          </cell>
          <cell r="E1186">
            <v>-51.103478260869693</v>
          </cell>
          <cell r="F1186">
            <v>52.983478260870058</v>
          </cell>
          <cell r="G1186">
            <v>28.200869565216575</v>
          </cell>
          <cell r="H1186">
            <v>28.200869565216575</v>
          </cell>
          <cell r="I1186" t="e">
            <v>#N/A</v>
          </cell>
          <cell r="J1186" t="e">
            <v>#N/A</v>
          </cell>
          <cell r="K1186">
            <v>42</v>
          </cell>
          <cell r="L1186">
            <v>32</v>
          </cell>
          <cell r="M1186" t="e">
            <v>#N/A</v>
          </cell>
          <cell r="N1186">
            <v>37</v>
          </cell>
          <cell r="O1186" t="e">
            <v>#N/A</v>
          </cell>
          <cell r="P1186" t="str">
            <v/>
          </cell>
          <cell r="Q1186" t="str">
            <v/>
          </cell>
          <cell r="R1186" t="e">
            <v>#N/A</v>
          </cell>
        </row>
        <row r="1187">
          <cell r="A1187" t="str">
            <v/>
          </cell>
          <cell r="B1187" t="str">
            <v/>
          </cell>
          <cell r="C1187" t="str">
            <v>Future</v>
          </cell>
          <cell r="D1187" t="e">
            <v>#N/A</v>
          </cell>
          <cell r="E1187">
            <v>-51.240118577075229</v>
          </cell>
          <cell r="F1187">
            <v>53.012845849802865</v>
          </cell>
          <cell r="G1187">
            <v>28.190711462449777</v>
          </cell>
          <cell r="H1187">
            <v>28.190711462449777</v>
          </cell>
          <cell r="I1187" t="e">
            <v>#N/A</v>
          </cell>
          <cell r="J1187" t="e">
            <v>#N/A</v>
          </cell>
          <cell r="K1187">
            <v>42</v>
          </cell>
          <cell r="L1187">
            <v>32</v>
          </cell>
          <cell r="M1187" t="e">
            <v>#N/A</v>
          </cell>
          <cell r="N1187">
            <v>37</v>
          </cell>
          <cell r="O1187" t="e">
            <v>#N/A</v>
          </cell>
          <cell r="P1187" t="str">
            <v/>
          </cell>
          <cell r="Q1187" t="str">
            <v/>
          </cell>
          <cell r="R1187" t="e">
            <v>#N/A</v>
          </cell>
        </row>
        <row r="1188">
          <cell r="A1188" t="str">
            <v/>
          </cell>
          <cell r="B1188" t="str">
            <v/>
          </cell>
          <cell r="C1188" t="str">
            <v>Future</v>
          </cell>
          <cell r="D1188" t="e">
            <v>#N/A</v>
          </cell>
          <cell r="E1188">
            <v>-51.376758893280766</v>
          </cell>
          <cell r="F1188">
            <v>53.042213438735672</v>
          </cell>
          <cell r="G1188">
            <v>28.180553359682978</v>
          </cell>
          <cell r="H1188">
            <v>28.180553359682978</v>
          </cell>
          <cell r="I1188" t="e">
            <v>#N/A</v>
          </cell>
          <cell r="J1188" t="e">
            <v>#N/A</v>
          </cell>
          <cell r="K1188">
            <v>42</v>
          </cell>
          <cell r="L1188">
            <v>32</v>
          </cell>
          <cell r="M1188" t="e">
            <v>#N/A</v>
          </cell>
          <cell r="N1188">
            <v>37</v>
          </cell>
          <cell r="O1188" t="e">
            <v>#N/A</v>
          </cell>
          <cell r="P1188" t="str">
            <v/>
          </cell>
          <cell r="Q1188" t="str">
            <v/>
          </cell>
          <cell r="R1188" t="e">
            <v>#N/A</v>
          </cell>
        </row>
        <row r="1189">
          <cell r="A1189" t="str">
            <v/>
          </cell>
          <cell r="B1189" t="str">
            <v/>
          </cell>
          <cell r="C1189" t="str">
            <v>Future</v>
          </cell>
          <cell r="D1189" t="e">
            <v>#N/A</v>
          </cell>
          <cell r="E1189">
            <v>-51.513399209486302</v>
          </cell>
          <cell r="F1189">
            <v>53.071581027668479</v>
          </cell>
          <cell r="G1189">
            <v>28.17039525691618</v>
          </cell>
          <cell r="H1189">
            <v>28.17039525691618</v>
          </cell>
          <cell r="I1189" t="e">
            <v>#N/A</v>
          </cell>
          <cell r="J1189" t="e">
            <v>#N/A</v>
          </cell>
          <cell r="K1189">
            <v>42</v>
          </cell>
          <cell r="L1189">
            <v>32</v>
          </cell>
          <cell r="M1189" t="e">
            <v>#N/A</v>
          </cell>
          <cell r="N1189">
            <v>37</v>
          </cell>
          <cell r="O1189" t="e">
            <v>#N/A</v>
          </cell>
          <cell r="P1189" t="str">
            <v/>
          </cell>
          <cell r="Q1189" t="str">
            <v/>
          </cell>
          <cell r="R1189" t="e">
            <v>#N/A</v>
          </cell>
        </row>
        <row r="1190">
          <cell r="A1190" t="str">
            <v/>
          </cell>
          <cell r="B1190" t="str">
            <v/>
          </cell>
          <cell r="C1190" t="str">
            <v>Future</v>
          </cell>
          <cell r="D1190" t="e">
            <v>#N/A</v>
          </cell>
          <cell r="E1190">
            <v>-51.650039525691838</v>
          </cell>
          <cell r="F1190">
            <v>53.100948616601286</v>
          </cell>
          <cell r="G1190">
            <v>28.160237154149382</v>
          </cell>
          <cell r="H1190">
            <v>28.160237154149382</v>
          </cell>
          <cell r="I1190" t="e">
            <v>#N/A</v>
          </cell>
          <cell r="J1190" t="e">
            <v>#N/A</v>
          </cell>
          <cell r="K1190">
            <v>42</v>
          </cell>
          <cell r="L1190">
            <v>32</v>
          </cell>
          <cell r="M1190" t="e">
            <v>#N/A</v>
          </cell>
          <cell r="N1190">
            <v>37</v>
          </cell>
          <cell r="O1190" t="e">
            <v>#N/A</v>
          </cell>
          <cell r="P1190" t="str">
            <v/>
          </cell>
          <cell r="Q1190" t="str">
            <v/>
          </cell>
          <cell r="R1190" t="e">
            <v>#N/A</v>
          </cell>
        </row>
        <row r="1191">
          <cell r="A1191" t="str">
            <v/>
          </cell>
          <cell r="B1191" t="str">
            <v/>
          </cell>
          <cell r="C1191" t="str">
            <v>Future</v>
          </cell>
          <cell r="D1191" t="e">
            <v>#N/A</v>
          </cell>
          <cell r="E1191">
            <v>-51.786679841897374</v>
          </cell>
          <cell r="F1191">
            <v>53.130316205534093</v>
          </cell>
          <cell r="G1191">
            <v>28.150079051382583</v>
          </cell>
          <cell r="H1191">
            <v>28.150079051382583</v>
          </cell>
          <cell r="I1191" t="e">
            <v>#N/A</v>
          </cell>
          <cell r="J1191" t="e">
            <v>#N/A</v>
          </cell>
          <cell r="K1191">
            <v>42</v>
          </cell>
          <cell r="L1191">
            <v>32</v>
          </cell>
          <cell r="M1191" t="e">
            <v>#N/A</v>
          </cell>
          <cell r="N1191">
            <v>37</v>
          </cell>
          <cell r="O1191" t="e">
            <v>#N/A</v>
          </cell>
          <cell r="P1191" t="str">
            <v/>
          </cell>
          <cell r="Q1191" t="str">
            <v/>
          </cell>
          <cell r="R1191" t="e">
            <v>#N/A</v>
          </cell>
        </row>
        <row r="1192">
          <cell r="A1192" t="str">
            <v/>
          </cell>
          <cell r="B1192" t="str">
            <v/>
          </cell>
          <cell r="C1192" t="str">
            <v>Future</v>
          </cell>
          <cell r="D1192" t="e">
            <v>#N/A</v>
          </cell>
          <cell r="E1192">
            <v>-51.923320158102911</v>
          </cell>
          <cell r="F1192">
            <v>53.159683794466901</v>
          </cell>
          <cell r="G1192">
            <v>28.139920948615785</v>
          </cell>
          <cell r="H1192">
            <v>28.139920948615785</v>
          </cell>
          <cell r="I1192" t="e">
            <v>#N/A</v>
          </cell>
          <cell r="J1192" t="e">
            <v>#N/A</v>
          </cell>
          <cell r="K1192">
            <v>42</v>
          </cell>
          <cell r="L1192">
            <v>32</v>
          </cell>
          <cell r="M1192" t="e">
            <v>#N/A</v>
          </cell>
          <cell r="N1192">
            <v>37</v>
          </cell>
          <cell r="O1192" t="e">
            <v>#N/A</v>
          </cell>
          <cell r="P1192" t="str">
            <v/>
          </cell>
          <cell r="Q1192" t="str">
            <v/>
          </cell>
          <cell r="R1192" t="e">
            <v>#N/A</v>
          </cell>
        </row>
        <row r="1193">
          <cell r="A1193" t="str">
            <v/>
          </cell>
          <cell r="B1193" t="str">
            <v/>
          </cell>
          <cell r="C1193" t="str">
            <v>Future</v>
          </cell>
          <cell r="D1193" t="e">
            <v>#N/A</v>
          </cell>
          <cell r="E1193">
            <v>-52.059960474308447</v>
          </cell>
          <cell r="F1193">
            <v>53.189051383399708</v>
          </cell>
          <cell r="G1193">
            <v>28.129762845848987</v>
          </cell>
          <cell r="H1193">
            <v>28.129762845848987</v>
          </cell>
          <cell r="I1193" t="e">
            <v>#N/A</v>
          </cell>
          <cell r="J1193" t="e">
            <v>#N/A</v>
          </cell>
          <cell r="K1193">
            <v>42</v>
          </cell>
          <cell r="L1193">
            <v>32</v>
          </cell>
          <cell r="M1193" t="e">
            <v>#N/A</v>
          </cell>
          <cell r="N1193">
            <v>37</v>
          </cell>
          <cell r="O1193" t="e">
            <v>#N/A</v>
          </cell>
          <cell r="P1193" t="str">
            <v/>
          </cell>
          <cell r="Q1193" t="str">
            <v/>
          </cell>
          <cell r="R1193" t="e">
            <v>#N/A</v>
          </cell>
        </row>
        <row r="1194">
          <cell r="A1194" t="str">
            <v/>
          </cell>
          <cell r="B1194" t="str">
            <v/>
          </cell>
          <cell r="C1194" t="str">
            <v>Future</v>
          </cell>
          <cell r="D1194" t="e">
            <v>#N/A</v>
          </cell>
          <cell r="E1194">
            <v>-52.196600790513983</v>
          </cell>
          <cell r="F1194">
            <v>53.218418972332515</v>
          </cell>
          <cell r="G1194">
            <v>28.119604743082188</v>
          </cell>
          <cell r="H1194">
            <v>28.119604743082188</v>
          </cell>
          <cell r="I1194" t="e">
            <v>#N/A</v>
          </cell>
          <cell r="J1194" t="e">
            <v>#N/A</v>
          </cell>
          <cell r="K1194">
            <v>42</v>
          </cell>
          <cell r="L1194">
            <v>32</v>
          </cell>
          <cell r="M1194" t="e">
            <v>#N/A</v>
          </cell>
          <cell r="N1194">
            <v>37</v>
          </cell>
          <cell r="O1194" t="e">
            <v>#N/A</v>
          </cell>
          <cell r="P1194" t="str">
            <v/>
          </cell>
          <cell r="Q1194" t="str">
            <v/>
          </cell>
          <cell r="R1194" t="e">
            <v>#N/A</v>
          </cell>
        </row>
        <row r="1195">
          <cell r="A1195" t="str">
            <v/>
          </cell>
          <cell r="B1195" t="str">
            <v/>
          </cell>
          <cell r="C1195" t="str">
            <v>Future</v>
          </cell>
          <cell r="D1195" t="e">
            <v>#N/A</v>
          </cell>
          <cell r="E1195">
            <v>-52.33324110671952</v>
          </cell>
          <cell r="F1195">
            <v>53.247786561265322</v>
          </cell>
          <cell r="G1195">
            <v>28.10944664031539</v>
          </cell>
          <cell r="H1195">
            <v>28.10944664031539</v>
          </cell>
          <cell r="I1195" t="e">
            <v>#N/A</v>
          </cell>
          <cell r="J1195" t="e">
            <v>#N/A</v>
          </cell>
          <cell r="K1195">
            <v>42</v>
          </cell>
          <cell r="L1195">
            <v>32</v>
          </cell>
          <cell r="M1195" t="e">
            <v>#N/A</v>
          </cell>
          <cell r="N1195">
            <v>37</v>
          </cell>
          <cell r="O1195" t="e">
            <v>#N/A</v>
          </cell>
          <cell r="P1195" t="str">
            <v/>
          </cell>
          <cell r="Q1195" t="str">
            <v/>
          </cell>
          <cell r="R1195" t="e">
            <v>#N/A</v>
          </cell>
        </row>
        <row r="1196">
          <cell r="A1196" t="str">
            <v/>
          </cell>
          <cell r="B1196" t="str">
            <v/>
          </cell>
          <cell r="C1196" t="str">
            <v>Future</v>
          </cell>
          <cell r="D1196" t="e">
            <v>#N/A</v>
          </cell>
          <cell r="E1196">
            <v>-52.469881422925056</v>
          </cell>
          <cell r="F1196">
            <v>53.277154150198129</v>
          </cell>
          <cell r="G1196">
            <v>28.099288537548592</v>
          </cell>
          <cell r="H1196">
            <v>28.099288537548592</v>
          </cell>
          <cell r="I1196" t="e">
            <v>#N/A</v>
          </cell>
          <cell r="J1196" t="e">
            <v>#N/A</v>
          </cell>
          <cell r="K1196">
            <v>42</v>
          </cell>
          <cell r="L1196">
            <v>32</v>
          </cell>
          <cell r="M1196" t="e">
            <v>#N/A</v>
          </cell>
          <cell r="N1196">
            <v>37</v>
          </cell>
          <cell r="O1196" t="e">
            <v>#N/A</v>
          </cell>
          <cell r="P1196" t="str">
            <v/>
          </cell>
          <cell r="Q1196" t="str">
            <v/>
          </cell>
          <cell r="R1196" t="e">
            <v>#N/A</v>
          </cell>
        </row>
        <row r="1197">
          <cell r="A1197" t="str">
            <v/>
          </cell>
          <cell r="B1197" t="str">
            <v/>
          </cell>
          <cell r="C1197" t="str">
            <v>Future</v>
          </cell>
          <cell r="D1197" t="e">
            <v>#N/A</v>
          </cell>
          <cell r="E1197">
            <v>-52.606521739130592</v>
          </cell>
          <cell r="F1197">
            <v>53.306521739130936</v>
          </cell>
          <cell r="G1197">
            <v>28.089130434781794</v>
          </cell>
          <cell r="H1197">
            <v>28.089130434781794</v>
          </cell>
          <cell r="I1197" t="e">
            <v>#N/A</v>
          </cell>
          <cell r="J1197" t="e">
            <v>#N/A</v>
          </cell>
          <cell r="K1197">
            <v>42</v>
          </cell>
          <cell r="L1197">
            <v>32</v>
          </cell>
          <cell r="M1197" t="e">
            <v>#N/A</v>
          </cell>
          <cell r="N1197">
            <v>37</v>
          </cell>
          <cell r="O1197" t="e">
            <v>#N/A</v>
          </cell>
          <cell r="P1197" t="str">
            <v/>
          </cell>
          <cell r="Q1197" t="str">
            <v/>
          </cell>
          <cell r="R1197" t="e">
            <v>#N/A</v>
          </cell>
        </row>
        <row r="1198">
          <cell r="A1198" t="str">
            <v/>
          </cell>
          <cell r="B1198" t="str">
            <v/>
          </cell>
          <cell r="C1198" t="str">
            <v>Future</v>
          </cell>
          <cell r="D1198" t="e">
            <v>#N/A</v>
          </cell>
          <cell r="E1198">
            <v>-52.743162055336128</v>
          </cell>
          <cell r="F1198">
            <v>53.335889328063743</v>
          </cell>
          <cell r="G1198">
            <v>28.078972332014995</v>
          </cell>
          <cell r="H1198">
            <v>28.078972332014995</v>
          </cell>
          <cell r="I1198" t="e">
            <v>#N/A</v>
          </cell>
          <cell r="J1198" t="e">
            <v>#N/A</v>
          </cell>
          <cell r="K1198">
            <v>42</v>
          </cell>
          <cell r="L1198">
            <v>32</v>
          </cell>
          <cell r="M1198" t="e">
            <v>#N/A</v>
          </cell>
          <cell r="N1198">
            <v>37</v>
          </cell>
          <cell r="O1198" t="e">
            <v>#N/A</v>
          </cell>
          <cell r="P1198" t="str">
            <v/>
          </cell>
          <cell r="Q1198" t="str">
            <v/>
          </cell>
          <cell r="R1198" t="e">
            <v>#N/A</v>
          </cell>
        </row>
        <row r="1199">
          <cell r="A1199" t="str">
            <v/>
          </cell>
          <cell r="B1199" t="str">
            <v/>
          </cell>
          <cell r="C1199" t="str">
            <v>Future</v>
          </cell>
          <cell r="D1199" t="e">
            <v>#N/A</v>
          </cell>
          <cell r="E1199">
            <v>-52.879802371541665</v>
          </cell>
          <cell r="F1199">
            <v>53.36525691699655</v>
          </cell>
          <cell r="G1199">
            <v>28.068814229248197</v>
          </cell>
          <cell r="H1199">
            <v>28.068814229248197</v>
          </cell>
          <cell r="I1199" t="e">
            <v>#N/A</v>
          </cell>
          <cell r="J1199" t="e">
            <v>#N/A</v>
          </cell>
          <cell r="K1199">
            <v>42</v>
          </cell>
          <cell r="L1199">
            <v>32</v>
          </cell>
          <cell r="M1199" t="e">
            <v>#N/A</v>
          </cell>
          <cell r="N1199">
            <v>37</v>
          </cell>
          <cell r="O1199" t="e">
            <v>#N/A</v>
          </cell>
          <cell r="P1199" t="str">
            <v/>
          </cell>
          <cell r="Q1199" t="str">
            <v/>
          </cell>
          <cell r="R1199" t="e">
            <v>#N/A</v>
          </cell>
        </row>
        <row r="1200">
          <cell r="A1200" t="str">
            <v/>
          </cell>
          <cell r="B1200" t="str">
            <v/>
          </cell>
          <cell r="C1200" t="str">
            <v>Future</v>
          </cell>
          <cell r="D1200" t="e">
            <v>#N/A</v>
          </cell>
          <cell r="E1200">
            <v>-53.016442687747201</v>
          </cell>
          <cell r="F1200">
            <v>53.394624505929357</v>
          </cell>
          <cell r="G1200">
            <v>28.058656126481399</v>
          </cell>
          <cell r="H1200">
            <v>28.058656126481399</v>
          </cell>
          <cell r="I1200" t="e">
            <v>#N/A</v>
          </cell>
          <cell r="J1200" t="e">
            <v>#N/A</v>
          </cell>
          <cell r="K1200">
            <v>42</v>
          </cell>
          <cell r="L1200">
            <v>32</v>
          </cell>
          <cell r="M1200" t="e">
            <v>#N/A</v>
          </cell>
          <cell r="N1200">
            <v>37</v>
          </cell>
          <cell r="O1200" t="e">
            <v>#N/A</v>
          </cell>
          <cell r="P1200" t="str">
            <v/>
          </cell>
          <cell r="Q1200" t="str">
            <v/>
          </cell>
          <cell r="R1200" t="e">
            <v>#N/A</v>
          </cell>
        </row>
        <row r="1201">
          <cell r="A1201" t="str">
            <v/>
          </cell>
          <cell r="B1201" t="str">
            <v/>
          </cell>
          <cell r="C1201" t="str">
            <v>Future</v>
          </cell>
          <cell r="D1201" t="e">
            <v>#N/A</v>
          </cell>
          <cell r="E1201">
            <v>-53.153083003952737</v>
          </cell>
          <cell r="F1201">
            <v>53.423992094862164</v>
          </cell>
          <cell r="G1201">
            <v>28.0484980237146</v>
          </cell>
          <cell r="H1201">
            <v>28.0484980237146</v>
          </cell>
          <cell r="I1201" t="e">
            <v>#N/A</v>
          </cell>
          <cell r="J1201" t="e">
            <v>#N/A</v>
          </cell>
          <cell r="K1201">
            <v>42</v>
          </cell>
          <cell r="L1201">
            <v>32</v>
          </cell>
          <cell r="M1201" t="e">
            <v>#N/A</v>
          </cell>
          <cell r="N1201">
            <v>37</v>
          </cell>
          <cell r="O1201" t="e">
            <v>#N/A</v>
          </cell>
          <cell r="P1201" t="str">
            <v/>
          </cell>
          <cell r="Q1201" t="str">
            <v/>
          </cell>
          <cell r="R1201" t="e">
            <v>#N/A</v>
          </cell>
        </row>
        <row r="1202">
          <cell r="A1202" t="str">
            <v/>
          </cell>
          <cell r="B1202" t="str">
            <v/>
          </cell>
          <cell r="C1202" t="str">
            <v>Future</v>
          </cell>
          <cell r="D1202" t="e">
            <v>#N/A</v>
          </cell>
          <cell r="E1202">
            <v>-53.289723320158274</v>
          </cell>
          <cell r="F1202">
            <v>53.453359683794972</v>
          </cell>
          <cell r="G1202">
            <v>28.038339920947802</v>
          </cell>
          <cell r="H1202">
            <v>28.038339920947802</v>
          </cell>
          <cell r="I1202" t="e">
            <v>#N/A</v>
          </cell>
          <cell r="J1202" t="e">
            <v>#N/A</v>
          </cell>
          <cell r="K1202">
            <v>42</v>
          </cell>
          <cell r="L1202">
            <v>32</v>
          </cell>
          <cell r="M1202" t="e">
            <v>#N/A</v>
          </cell>
          <cell r="N1202">
            <v>37</v>
          </cell>
          <cell r="O1202" t="e">
            <v>#N/A</v>
          </cell>
          <cell r="P1202" t="str">
            <v/>
          </cell>
          <cell r="Q1202" t="str">
            <v/>
          </cell>
          <cell r="R1202" t="e">
            <v>#N/A</v>
          </cell>
        </row>
        <row r="1203">
          <cell r="A1203" t="str">
            <v/>
          </cell>
          <cell r="B1203" t="str">
            <v/>
          </cell>
          <cell r="C1203" t="str">
            <v>Future</v>
          </cell>
          <cell r="D1203" t="e">
            <v>#N/A</v>
          </cell>
          <cell r="E1203">
            <v>-53.42636363636381</v>
          </cell>
          <cell r="F1203">
            <v>53.482727272727779</v>
          </cell>
          <cell r="G1203">
            <v>28.028181818181004</v>
          </cell>
          <cell r="H1203">
            <v>28.028181818181004</v>
          </cell>
          <cell r="I1203" t="e">
            <v>#N/A</v>
          </cell>
          <cell r="J1203" t="e">
            <v>#N/A</v>
          </cell>
          <cell r="K1203">
            <v>42</v>
          </cell>
          <cell r="L1203">
            <v>32</v>
          </cell>
          <cell r="M1203" t="e">
            <v>#N/A</v>
          </cell>
          <cell r="N1203">
            <v>37</v>
          </cell>
          <cell r="O1203" t="e">
            <v>#N/A</v>
          </cell>
          <cell r="P1203" t="str">
            <v/>
          </cell>
          <cell r="Q1203" t="str">
            <v/>
          </cell>
          <cell r="R1203" t="e">
            <v>#N/A</v>
          </cell>
        </row>
        <row r="1204">
          <cell r="A1204" t="str">
            <v/>
          </cell>
          <cell r="B1204" t="str">
            <v/>
          </cell>
          <cell r="C1204" t="str">
            <v>Future</v>
          </cell>
          <cell r="D1204" t="e">
            <v>#N/A</v>
          </cell>
          <cell r="E1204">
            <v>-53.563003952569346</v>
          </cell>
          <cell r="F1204">
            <v>53.512094861660586</v>
          </cell>
          <cell r="G1204">
            <v>28.018023715414206</v>
          </cell>
          <cell r="H1204">
            <v>28.018023715414206</v>
          </cell>
          <cell r="I1204" t="e">
            <v>#N/A</v>
          </cell>
          <cell r="J1204" t="e">
            <v>#N/A</v>
          </cell>
          <cell r="K1204">
            <v>42</v>
          </cell>
          <cell r="L1204">
            <v>32</v>
          </cell>
          <cell r="M1204" t="e">
            <v>#N/A</v>
          </cell>
          <cell r="N1204">
            <v>37</v>
          </cell>
          <cell r="O1204" t="e">
            <v>#N/A</v>
          </cell>
          <cell r="P1204" t="str">
            <v/>
          </cell>
          <cell r="Q1204" t="str">
            <v/>
          </cell>
          <cell r="R1204" t="e">
            <v>#N/A</v>
          </cell>
        </row>
        <row r="1205">
          <cell r="A1205" t="str">
            <v/>
          </cell>
          <cell r="B1205" t="str">
            <v/>
          </cell>
          <cell r="C1205" t="str">
            <v>Future</v>
          </cell>
          <cell r="D1205" t="e">
            <v>#N/A</v>
          </cell>
          <cell r="E1205">
            <v>-53.699644268774883</v>
          </cell>
          <cell r="F1205">
            <v>53.541462450593393</v>
          </cell>
          <cell r="G1205">
            <v>28.007865612647407</v>
          </cell>
          <cell r="H1205">
            <v>28.007865612647407</v>
          </cell>
          <cell r="I1205" t="e">
            <v>#N/A</v>
          </cell>
          <cell r="J1205" t="e">
            <v>#N/A</v>
          </cell>
          <cell r="K1205">
            <v>42</v>
          </cell>
          <cell r="L1205">
            <v>32</v>
          </cell>
          <cell r="M1205" t="e">
            <v>#N/A</v>
          </cell>
          <cell r="N1205">
            <v>37</v>
          </cell>
          <cell r="O1205" t="e">
            <v>#N/A</v>
          </cell>
          <cell r="P1205" t="str">
            <v/>
          </cell>
          <cell r="Q1205" t="str">
            <v/>
          </cell>
          <cell r="R1205" t="e">
            <v>#N/A</v>
          </cell>
        </row>
        <row r="1206">
          <cell r="A1206" t="str">
            <v/>
          </cell>
          <cell r="B1206" t="str">
            <v/>
          </cell>
          <cell r="C1206" t="str">
            <v>Future</v>
          </cell>
          <cell r="D1206" t="e">
            <v>#N/A</v>
          </cell>
          <cell r="E1206">
            <v>-53.836284584980419</v>
          </cell>
          <cell r="F1206">
            <v>53.5708300395262</v>
          </cell>
          <cell r="G1206">
            <v>27.997707509880609</v>
          </cell>
          <cell r="H1206">
            <v>27.997707509880609</v>
          </cell>
          <cell r="I1206" t="e">
            <v>#N/A</v>
          </cell>
          <cell r="J1206" t="e">
            <v>#N/A</v>
          </cell>
          <cell r="K1206">
            <v>42</v>
          </cell>
          <cell r="L1206">
            <v>32</v>
          </cell>
          <cell r="M1206" t="e">
            <v>#N/A</v>
          </cell>
          <cell r="N1206">
            <v>37</v>
          </cell>
          <cell r="O1206" t="e">
            <v>#N/A</v>
          </cell>
          <cell r="P1206" t="str">
            <v/>
          </cell>
          <cell r="Q1206" t="str">
            <v/>
          </cell>
          <cell r="R1206" t="e">
            <v>#N/A</v>
          </cell>
        </row>
        <row r="1207">
          <cell r="A1207" t="str">
            <v/>
          </cell>
          <cell r="B1207" t="str">
            <v/>
          </cell>
          <cell r="C1207" t="str">
            <v>Future</v>
          </cell>
          <cell r="D1207" t="e">
            <v>#N/A</v>
          </cell>
          <cell r="E1207">
            <v>-53.972924901185955</v>
          </cell>
          <cell r="F1207">
            <v>53.600197628459007</v>
          </cell>
          <cell r="G1207">
            <v>27.987549407113811</v>
          </cell>
          <cell r="H1207">
            <v>27.987549407113811</v>
          </cell>
          <cell r="I1207" t="e">
            <v>#N/A</v>
          </cell>
          <cell r="J1207" t="e">
            <v>#N/A</v>
          </cell>
          <cell r="K1207">
            <v>42</v>
          </cell>
          <cell r="L1207">
            <v>32</v>
          </cell>
          <cell r="M1207" t="e">
            <v>#N/A</v>
          </cell>
          <cell r="N1207">
            <v>37</v>
          </cell>
          <cell r="O1207" t="e">
            <v>#N/A</v>
          </cell>
          <cell r="P1207" t="str">
            <v/>
          </cell>
          <cell r="Q1207" t="str">
            <v/>
          </cell>
          <cell r="R1207" t="e">
            <v>#N/A</v>
          </cell>
        </row>
        <row r="1208">
          <cell r="A1208" t="str">
            <v/>
          </cell>
          <cell r="B1208" t="str">
            <v/>
          </cell>
          <cell r="C1208" t="str">
            <v>Future</v>
          </cell>
          <cell r="D1208" t="e">
            <v>#N/A</v>
          </cell>
          <cell r="E1208">
            <v>-54.109565217391491</v>
          </cell>
          <cell r="F1208">
            <v>53.629565217391814</v>
          </cell>
          <cell r="G1208">
            <v>27.977391304347012</v>
          </cell>
          <cell r="H1208">
            <v>27.977391304347012</v>
          </cell>
          <cell r="I1208" t="e">
            <v>#N/A</v>
          </cell>
          <cell r="J1208" t="e">
            <v>#N/A</v>
          </cell>
          <cell r="K1208">
            <v>42</v>
          </cell>
          <cell r="L1208">
            <v>32</v>
          </cell>
          <cell r="M1208" t="e">
            <v>#N/A</v>
          </cell>
          <cell r="N1208">
            <v>37</v>
          </cell>
          <cell r="O1208" t="e">
            <v>#N/A</v>
          </cell>
          <cell r="P1208" t="str">
            <v/>
          </cell>
          <cell r="Q1208" t="str">
            <v/>
          </cell>
          <cell r="R1208" t="e">
            <v>#N/A</v>
          </cell>
        </row>
        <row r="1209">
          <cell r="A1209" t="str">
            <v/>
          </cell>
          <cell r="B1209" t="str">
            <v/>
          </cell>
          <cell r="C1209" t="str">
            <v>Future</v>
          </cell>
          <cell r="D1209" t="e">
            <v>#N/A</v>
          </cell>
          <cell r="E1209">
            <v>-54.246205533597028</v>
          </cell>
          <cell r="F1209">
            <v>53.658932806324621</v>
          </cell>
          <cell r="G1209">
            <v>27.967233201580214</v>
          </cell>
          <cell r="H1209">
            <v>27.967233201580214</v>
          </cell>
          <cell r="I1209" t="e">
            <v>#N/A</v>
          </cell>
          <cell r="J1209" t="e">
            <v>#N/A</v>
          </cell>
          <cell r="K1209">
            <v>42</v>
          </cell>
          <cell r="L1209">
            <v>32</v>
          </cell>
          <cell r="M1209" t="e">
            <v>#N/A</v>
          </cell>
          <cell r="N1209">
            <v>37</v>
          </cell>
          <cell r="O1209" t="e">
            <v>#N/A</v>
          </cell>
          <cell r="P1209" t="str">
            <v/>
          </cell>
          <cell r="Q1209" t="str">
            <v/>
          </cell>
          <cell r="R1209" t="e">
            <v>#N/A</v>
          </cell>
        </row>
        <row r="1210">
          <cell r="A1210" t="str">
            <v/>
          </cell>
          <cell r="B1210" t="str">
            <v/>
          </cell>
          <cell r="C1210" t="str">
            <v>Future</v>
          </cell>
          <cell r="D1210" t="e">
            <v>#N/A</v>
          </cell>
          <cell r="E1210">
            <v>-54.382845849802564</v>
          </cell>
          <cell r="F1210">
            <v>53.688300395257428</v>
          </cell>
          <cell r="G1210">
            <v>27.957075098813416</v>
          </cell>
          <cell r="H1210">
            <v>27.957075098813416</v>
          </cell>
          <cell r="I1210" t="e">
            <v>#N/A</v>
          </cell>
          <cell r="J1210" t="e">
            <v>#N/A</v>
          </cell>
          <cell r="K1210">
            <v>42</v>
          </cell>
          <cell r="L1210">
            <v>32</v>
          </cell>
          <cell r="M1210" t="e">
            <v>#N/A</v>
          </cell>
          <cell r="N1210">
            <v>37</v>
          </cell>
          <cell r="O1210" t="e">
            <v>#N/A</v>
          </cell>
          <cell r="P1210" t="str">
            <v/>
          </cell>
          <cell r="Q1210" t="str">
            <v/>
          </cell>
          <cell r="R1210" t="e">
            <v>#N/A</v>
          </cell>
        </row>
        <row r="1211">
          <cell r="A1211" t="str">
            <v/>
          </cell>
          <cell r="B1211" t="str">
            <v/>
          </cell>
          <cell r="C1211" t="str">
            <v>Future</v>
          </cell>
          <cell r="D1211" t="e">
            <v>#N/A</v>
          </cell>
          <cell r="E1211">
            <v>-54.5194861660081</v>
          </cell>
          <cell r="F1211">
            <v>53.717667984190236</v>
          </cell>
          <cell r="G1211">
            <v>27.946916996046617</v>
          </cell>
          <cell r="H1211">
            <v>27.946916996046617</v>
          </cell>
          <cell r="I1211" t="e">
            <v>#N/A</v>
          </cell>
          <cell r="J1211" t="e">
            <v>#N/A</v>
          </cell>
          <cell r="K1211">
            <v>42</v>
          </cell>
          <cell r="L1211">
            <v>32</v>
          </cell>
          <cell r="M1211" t="e">
            <v>#N/A</v>
          </cell>
          <cell r="N1211">
            <v>37</v>
          </cell>
          <cell r="O1211" t="e">
            <v>#N/A</v>
          </cell>
          <cell r="P1211" t="str">
            <v/>
          </cell>
          <cell r="Q1211" t="str">
            <v/>
          </cell>
          <cell r="R1211" t="e">
            <v>#N/A</v>
          </cell>
        </row>
        <row r="1212">
          <cell r="A1212" t="str">
            <v/>
          </cell>
          <cell r="B1212" t="str">
            <v/>
          </cell>
          <cell r="C1212" t="str">
            <v>Future</v>
          </cell>
          <cell r="D1212" t="e">
            <v>#N/A</v>
          </cell>
          <cell r="E1212">
            <v>-54.656126482213637</v>
          </cell>
          <cell r="F1212">
            <v>53.747035573123043</v>
          </cell>
          <cell r="G1212">
            <v>27.936758893279819</v>
          </cell>
          <cell r="H1212">
            <v>27.936758893279819</v>
          </cell>
          <cell r="I1212" t="e">
            <v>#N/A</v>
          </cell>
          <cell r="J1212" t="e">
            <v>#N/A</v>
          </cell>
          <cell r="K1212">
            <v>42</v>
          </cell>
          <cell r="L1212">
            <v>32</v>
          </cell>
          <cell r="M1212" t="e">
            <v>#N/A</v>
          </cell>
          <cell r="N1212">
            <v>37</v>
          </cell>
          <cell r="O1212" t="e">
            <v>#N/A</v>
          </cell>
          <cell r="P1212" t="str">
            <v/>
          </cell>
          <cell r="Q1212" t="str">
            <v/>
          </cell>
          <cell r="R1212" t="e">
            <v>#N/A</v>
          </cell>
        </row>
        <row r="1213">
          <cell r="A1213" t="str">
            <v/>
          </cell>
          <cell r="B1213" t="str">
            <v/>
          </cell>
          <cell r="C1213" t="str">
            <v>Future</v>
          </cell>
          <cell r="D1213" t="e">
            <v>#N/A</v>
          </cell>
          <cell r="E1213">
            <v>-54.792766798419173</v>
          </cell>
          <cell r="F1213">
            <v>53.77640316205585</v>
          </cell>
          <cell r="G1213">
            <v>27.926600790513021</v>
          </cell>
          <cell r="H1213">
            <v>27.926600790513021</v>
          </cell>
          <cell r="I1213" t="e">
            <v>#N/A</v>
          </cell>
          <cell r="J1213" t="e">
            <v>#N/A</v>
          </cell>
          <cell r="K1213">
            <v>42</v>
          </cell>
          <cell r="L1213">
            <v>32</v>
          </cell>
          <cell r="M1213" t="e">
            <v>#N/A</v>
          </cell>
          <cell r="N1213">
            <v>37</v>
          </cell>
          <cell r="O1213" t="e">
            <v>#N/A</v>
          </cell>
          <cell r="P1213" t="str">
            <v/>
          </cell>
          <cell r="Q1213" t="str">
            <v/>
          </cell>
          <cell r="R1213" t="e">
            <v>#N/A</v>
          </cell>
        </row>
        <row r="1214">
          <cell r="A1214" t="str">
            <v/>
          </cell>
          <cell r="B1214" t="str">
            <v/>
          </cell>
          <cell r="C1214" t="str">
            <v>Future</v>
          </cell>
          <cell r="D1214" t="e">
            <v>#N/A</v>
          </cell>
          <cell r="E1214">
            <v>-54.929407114624709</v>
          </cell>
          <cell r="F1214">
            <v>53.805770750988657</v>
          </cell>
          <cell r="G1214">
            <v>27.916442687746223</v>
          </cell>
          <cell r="H1214">
            <v>27.916442687746223</v>
          </cell>
          <cell r="I1214" t="e">
            <v>#N/A</v>
          </cell>
          <cell r="J1214" t="e">
            <v>#N/A</v>
          </cell>
          <cell r="K1214">
            <v>42</v>
          </cell>
          <cell r="L1214">
            <v>32</v>
          </cell>
          <cell r="M1214" t="e">
            <v>#N/A</v>
          </cell>
          <cell r="N1214">
            <v>37</v>
          </cell>
          <cell r="O1214" t="e">
            <v>#N/A</v>
          </cell>
          <cell r="P1214" t="str">
            <v/>
          </cell>
          <cell r="Q1214" t="str">
            <v/>
          </cell>
          <cell r="R1214" t="e">
            <v>#N/A</v>
          </cell>
        </row>
        <row r="1215">
          <cell r="A1215" t="str">
            <v/>
          </cell>
          <cell r="B1215" t="str">
            <v/>
          </cell>
          <cell r="C1215" t="str">
            <v>Future</v>
          </cell>
          <cell r="D1215" t="e">
            <v>#N/A</v>
          </cell>
          <cell r="E1215">
            <v>-55.066047430830245</v>
          </cell>
          <cell r="F1215">
            <v>53.835138339921464</v>
          </cell>
          <cell r="G1215">
            <v>27.906284584979424</v>
          </cell>
          <cell r="H1215">
            <v>27.906284584979424</v>
          </cell>
          <cell r="I1215" t="e">
            <v>#N/A</v>
          </cell>
          <cell r="J1215" t="e">
            <v>#N/A</v>
          </cell>
          <cell r="K1215">
            <v>42</v>
          </cell>
          <cell r="L1215">
            <v>32</v>
          </cell>
          <cell r="M1215" t="e">
            <v>#N/A</v>
          </cell>
          <cell r="N1215">
            <v>37</v>
          </cell>
          <cell r="O1215" t="e">
            <v>#N/A</v>
          </cell>
          <cell r="P1215" t="str">
            <v/>
          </cell>
          <cell r="Q1215" t="str">
            <v/>
          </cell>
          <cell r="R1215" t="e">
            <v>#N/A</v>
          </cell>
        </row>
        <row r="1216">
          <cell r="A1216" t="str">
            <v/>
          </cell>
          <cell r="B1216" t="str">
            <v/>
          </cell>
          <cell r="C1216" t="str">
            <v>Future</v>
          </cell>
          <cell r="D1216" t="e">
            <v>#N/A</v>
          </cell>
          <cell r="E1216">
            <v>-55.202687747035782</v>
          </cell>
          <cell r="F1216">
            <v>53.864505928854271</v>
          </cell>
          <cell r="G1216">
            <v>27.896126482212626</v>
          </cell>
          <cell r="H1216">
            <v>27.896126482212626</v>
          </cell>
          <cell r="I1216" t="e">
            <v>#N/A</v>
          </cell>
          <cell r="J1216" t="e">
            <v>#N/A</v>
          </cell>
          <cell r="K1216">
            <v>42</v>
          </cell>
          <cell r="L1216">
            <v>32</v>
          </cell>
          <cell r="M1216" t="e">
            <v>#N/A</v>
          </cell>
          <cell r="N1216">
            <v>37</v>
          </cell>
          <cell r="O1216" t="e">
            <v>#N/A</v>
          </cell>
          <cell r="P1216" t="str">
            <v/>
          </cell>
          <cell r="Q1216" t="str">
            <v/>
          </cell>
          <cell r="R1216" t="e">
            <v>#N/A</v>
          </cell>
        </row>
        <row r="1217">
          <cell r="A1217" t="str">
            <v/>
          </cell>
          <cell r="B1217" t="str">
            <v/>
          </cell>
          <cell r="C1217" t="str">
            <v>Future</v>
          </cell>
          <cell r="D1217" t="e">
            <v>#N/A</v>
          </cell>
          <cell r="E1217">
            <v>-55.339328063241318</v>
          </cell>
          <cell r="F1217">
            <v>53.893873517787078</v>
          </cell>
          <cell r="G1217">
            <v>27.885968379445828</v>
          </cell>
          <cell r="H1217">
            <v>27.885968379445828</v>
          </cell>
          <cell r="I1217" t="e">
            <v>#N/A</v>
          </cell>
          <cell r="J1217" t="e">
            <v>#N/A</v>
          </cell>
          <cell r="K1217">
            <v>42</v>
          </cell>
          <cell r="L1217">
            <v>32</v>
          </cell>
          <cell r="M1217" t="e">
            <v>#N/A</v>
          </cell>
          <cell r="N1217">
            <v>37</v>
          </cell>
          <cell r="O1217" t="e">
            <v>#N/A</v>
          </cell>
          <cell r="P1217" t="str">
            <v/>
          </cell>
          <cell r="Q1217" t="str">
            <v/>
          </cell>
          <cell r="R1217" t="e">
            <v>#N/A</v>
          </cell>
        </row>
        <row r="1218">
          <cell r="A1218" t="str">
            <v/>
          </cell>
          <cell r="B1218" t="str">
            <v/>
          </cell>
          <cell r="C1218" t="str">
            <v>Future</v>
          </cell>
          <cell r="D1218" t="e">
            <v>#N/A</v>
          </cell>
          <cell r="E1218">
            <v>-55.475968379446854</v>
          </cell>
          <cell r="F1218">
            <v>53.923241106719885</v>
          </cell>
          <cell r="G1218">
            <v>27.875810276679029</v>
          </cell>
          <cell r="H1218">
            <v>27.875810276679029</v>
          </cell>
          <cell r="I1218" t="e">
            <v>#N/A</v>
          </cell>
          <cell r="J1218" t="e">
            <v>#N/A</v>
          </cell>
          <cell r="K1218">
            <v>42</v>
          </cell>
          <cell r="L1218">
            <v>32</v>
          </cell>
          <cell r="M1218" t="e">
            <v>#N/A</v>
          </cell>
          <cell r="N1218">
            <v>37</v>
          </cell>
          <cell r="O1218" t="e">
            <v>#N/A</v>
          </cell>
          <cell r="P1218" t="str">
            <v/>
          </cell>
          <cell r="Q1218" t="str">
            <v/>
          </cell>
          <cell r="R1218" t="e">
            <v>#N/A</v>
          </cell>
        </row>
        <row r="1219">
          <cell r="A1219" t="str">
            <v/>
          </cell>
          <cell r="B1219" t="str">
            <v/>
          </cell>
          <cell r="C1219" t="str">
            <v>Future</v>
          </cell>
          <cell r="D1219" t="e">
            <v>#N/A</v>
          </cell>
          <cell r="E1219">
            <v>-55.612608695652391</v>
          </cell>
          <cell r="F1219">
            <v>53.952608695652692</v>
          </cell>
          <cell r="G1219">
            <v>27.865652173912231</v>
          </cell>
          <cell r="H1219">
            <v>27.865652173912231</v>
          </cell>
          <cell r="I1219" t="e">
            <v>#N/A</v>
          </cell>
          <cell r="J1219" t="e">
            <v>#N/A</v>
          </cell>
          <cell r="K1219">
            <v>42</v>
          </cell>
          <cell r="L1219">
            <v>32</v>
          </cell>
          <cell r="M1219" t="e">
            <v>#N/A</v>
          </cell>
          <cell r="N1219">
            <v>37</v>
          </cell>
          <cell r="O1219" t="e">
            <v>#N/A</v>
          </cell>
          <cell r="P1219" t="str">
            <v/>
          </cell>
          <cell r="Q1219" t="str">
            <v/>
          </cell>
          <cell r="R1219" t="e">
            <v>#N/A</v>
          </cell>
        </row>
        <row r="1220">
          <cell r="A1220" t="str">
            <v/>
          </cell>
          <cell r="B1220" t="str">
            <v/>
          </cell>
          <cell r="C1220" t="str">
            <v>Future</v>
          </cell>
          <cell r="D1220" t="e">
            <v>#N/A</v>
          </cell>
          <cell r="E1220">
            <v>-55.749249011857927</v>
          </cell>
          <cell r="F1220">
            <v>53.9819762845855</v>
          </cell>
          <cell r="G1220">
            <v>27.855494071145433</v>
          </cell>
          <cell r="H1220">
            <v>27.855494071145433</v>
          </cell>
          <cell r="I1220" t="e">
            <v>#N/A</v>
          </cell>
          <cell r="J1220" t="e">
            <v>#N/A</v>
          </cell>
          <cell r="K1220">
            <v>42</v>
          </cell>
          <cell r="L1220">
            <v>32</v>
          </cell>
          <cell r="M1220" t="e">
            <v>#N/A</v>
          </cell>
          <cell r="N1220">
            <v>37</v>
          </cell>
          <cell r="O1220" t="e">
            <v>#N/A</v>
          </cell>
          <cell r="P1220" t="str">
            <v/>
          </cell>
          <cell r="Q1220" t="str">
            <v/>
          </cell>
          <cell r="R1220" t="e">
            <v>#N/A</v>
          </cell>
        </row>
        <row r="1221">
          <cell r="A1221" t="str">
            <v/>
          </cell>
          <cell r="B1221" t="str">
            <v/>
          </cell>
          <cell r="C1221" t="str">
            <v>Future</v>
          </cell>
          <cell r="D1221" t="e">
            <v>#N/A</v>
          </cell>
          <cell r="E1221">
            <v>-55.885889328063463</v>
          </cell>
          <cell r="F1221">
            <v>54.011343873518307</v>
          </cell>
          <cell r="G1221">
            <v>27.845335968378635</v>
          </cell>
          <cell r="H1221">
            <v>27.845335968378635</v>
          </cell>
          <cell r="I1221" t="e">
            <v>#N/A</v>
          </cell>
          <cell r="J1221" t="e">
            <v>#N/A</v>
          </cell>
          <cell r="K1221">
            <v>42</v>
          </cell>
          <cell r="L1221">
            <v>32</v>
          </cell>
          <cell r="M1221" t="e">
            <v>#N/A</v>
          </cell>
          <cell r="N1221">
            <v>37</v>
          </cell>
          <cell r="O1221" t="e">
            <v>#N/A</v>
          </cell>
          <cell r="P1221" t="str">
            <v/>
          </cell>
          <cell r="Q1221" t="str">
            <v/>
          </cell>
          <cell r="R1221" t="e">
            <v>#N/A</v>
          </cell>
        </row>
        <row r="1222">
          <cell r="A1222" t="str">
            <v/>
          </cell>
          <cell r="B1222" t="str">
            <v/>
          </cell>
          <cell r="C1222" t="str">
            <v>Future</v>
          </cell>
          <cell r="D1222" t="e">
            <v>#N/A</v>
          </cell>
          <cell r="E1222">
            <v>-56.022529644269</v>
          </cell>
          <cell r="F1222">
            <v>54.040711462451114</v>
          </cell>
          <cell r="G1222">
            <v>27.835177865611836</v>
          </cell>
          <cell r="H1222">
            <v>27.835177865611836</v>
          </cell>
          <cell r="I1222" t="e">
            <v>#N/A</v>
          </cell>
          <cell r="J1222" t="e">
            <v>#N/A</v>
          </cell>
          <cell r="K1222">
            <v>42</v>
          </cell>
          <cell r="L1222">
            <v>32</v>
          </cell>
          <cell r="M1222" t="e">
            <v>#N/A</v>
          </cell>
          <cell r="N1222">
            <v>37</v>
          </cell>
          <cell r="O1222" t="e">
            <v>#N/A</v>
          </cell>
          <cell r="P1222" t="str">
            <v/>
          </cell>
          <cell r="Q1222" t="str">
            <v/>
          </cell>
          <cell r="R1222" t="e">
            <v>#N/A</v>
          </cell>
        </row>
        <row r="1223">
          <cell r="A1223" t="str">
            <v/>
          </cell>
          <cell r="B1223" t="str">
            <v/>
          </cell>
          <cell r="C1223" t="str">
            <v>Future</v>
          </cell>
          <cell r="D1223" t="e">
            <v>#N/A</v>
          </cell>
          <cell r="E1223">
            <v>-56.159169960474536</v>
          </cell>
          <cell r="F1223">
            <v>54.070079051383921</v>
          </cell>
          <cell r="G1223">
            <v>27.825019762845038</v>
          </cell>
          <cell r="H1223">
            <v>27.825019762845038</v>
          </cell>
          <cell r="I1223" t="e">
            <v>#N/A</v>
          </cell>
          <cell r="J1223" t="e">
            <v>#N/A</v>
          </cell>
          <cell r="K1223">
            <v>42</v>
          </cell>
          <cell r="L1223">
            <v>32</v>
          </cell>
          <cell r="M1223" t="e">
            <v>#N/A</v>
          </cell>
          <cell r="N1223">
            <v>37</v>
          </cell>
          <cell r="O1223" t="e">
            <v>#N/A</v>
          </cell>
          <cell r="P1223" t="str">
            <v/>
          </cell>
          <cell r="Q1223" t="str">
            <v/>
          </cell>
          <cell r="R1223" t="e">
            <v>#N/A</v>
          </cell>
        </row>
        <row r="1224">
          <cell r="A1224" t="str">
            <v/>
          </cell>
          <cell r="B1224" t="str">
            <v/>
          </cell>
          <cell r="C1224" t="str">
            <v>Future</v>
          </cell>
          <cell r="D1224" t="e">
            <v>#N/A</v>
          </cell>
          <cell r="E1224">
            <v>-56.295810276680072</v>
          </cell>
          <cell r="F1224">
            <v>54.099446640316728</v>
          </cell>
          <cell r="G1224">
            <v>27.81486166007824</v>
          </cell>
          <cell r="H1224">
            <v>27.81486166007824</v>
          </cell>
          <cell r="I1224" t="e">
            <v>#N/A</v>
          </cell>
          <cell r="J1224" t="e">
            <v>#N/A</v>
          </cell>
          <cell r="K1224">
            <v>42</v>
          </cell>
          <cell r="L1224">
            <v>32</v>
          </cell>
          <cell r="M1224" t="e">
            <v>#N/A</v>
          </cell>
          <cell r="N1224">
            <v>37</v>
          </cell>
          <cell r="O1224" t="e">
            <v>#N/A</v>
          </cell>
          <cell r="P1224" t="str">
            <v/>
          </cell>
          <cell r="Q1224" t="str">
            <v/>
          </cell>
          <cell r="R1224" t="e">
            <v>#N/A</v>
          </cell>
        </row>
        <row r="1225">
          <cell r="A1225" t="str">
            <v/>
          </cell>
          <cell r="B1225" t="str">
            <v/>
          </cell>
          <cell r="C1225" t="str">
            <v>Future</v>
          </cell>
          <cell r="D1225" t="e">
            <v>#N/A</v>
          </cell>
          <cell r="E1225">
            <v>-56.432450592885608</v>
          </cell>
          <cell r="F1225">
            <v>54.128814229249535</v>
          </cell>
          <cell r="G1225">
            <v>27.804703557311441</v>
          </cell>
          <cell r="H1225">
            <v>27.804703557311441</v>
          </cell>
          <cell r="I1225" t="e">
            <v>#N/A</v>
          </cell>
          <cell r="J1225" t="e">
            <v>#N/A</v>
          </cell>
          <cell r="K1225">
            <v>42</v>
          </cell>
          <cell r="L1225">
            <v>32</v>
          </cell>
          <cell r="M1225" t="e">
            <v>#N/A</v>
          </cell>
          <cell r="N1225">
            <v>37</v>
          </cell>
          <cell r="O1225" t="e">
            <v>#N/A</v>
          </cell>
          <cell r="P1225" t="str">
            <v/>
          </cell>
          <cell r="Q1225" t="str">
            <v/>
          </cell>
          <cell r="R1225" t="e">
            <v>#N/A</v>
          </cell>
        </row>
        <row r="1226">
          <cell r="A1226" t="str">
            <v/>
          </cell>
          <cell r="B1226" t="str">
            <v/>
          </cell>
          <cell r="C1226" t="str">
            <v>Future</v>
          </cell>
          <cell r="D1226" t="e">
            <v>#N/A</v>
          </cell>
          <cell r="E1226">
            <v>-56.569090909091145</v>
          </cell>
          <cell r="F1226">
            <v>54.158181818182342</v>
          </cell>
          <cell r="G1226">
            <v>27.794545454544643</v>
          </cell>
          <cell r="H1226">
            <v>27.794545454544643</v>
          </cell>
          <cell r="I1226" t="e">
            <v>#N/A</v>
          </cell>
          <cell r="J1226" t="e">
            <v>#N/A</v>
          </cell>
          <cell r="K1226">
            <v>42</v>
          </cell>
          <cell r="L1226">
            <v>32</v>
          </cell>
          <cell r="M1226" t="e">
            <v>#N/A</v>
          </cell>
          <cell r="N1226">
            <v>37</v>
          </cell>
          <cell r="O1226" t="e">
            <v>#N/A</v>
          </cell>
          <cell r="P1226" t="str">
            <v/>
          </cell>
          <cell r="Q1226" t="str">
            <v/>
          </cell>
          <cell r="R1226" t="e">
            <v>#N/A</v>
          </cell>
        </row>
        <row r="1227">
          <cell r="A1227" t="str">
            <v/>
          </cell>
          <cell r="B1227" t="str">
            <v/>
          </cell>
          <cell r="C1227" t="str">
            <v>Future</v>
          </cell>
          <cell r="D1227" t="e">
            <v>#N/A</v>
          </cell>
          <cell r="E1227">
            <v>-56.705731225296681</v>
          </cell>
          <cell r="F1227">
            <v>54.187549407115149</v>
          </cell>
          <cell r="G1227">
            <v>27.784387351777845</v>
          </cell>
          <cell r="H1227">
            <v>27.784387351777845</v>
          </cell>
          <cell r="I1227" t="e">
            <v>#N/A</v>
          </cell>
          <cell r="J1227" t="e">
            <v>#N/A</v>
          </cell>
          <cell r="K1227">
            <v>42</v>
          </cell>
          <cell r="L1227">
            <v>32</v>
          </cell>
          <cell r="M1227" t="e">
            <v>#N/A</v>
          </cell>
          <cell r="N1227">
            <v>37</v>
          </cell>
          <cell r="O1227" t="e">
            <v>#N/A</v>
          </cell>
          <cell r="P1227" t="str">
            <v/>
          </cell>
          <cell r="Q1227" t="str">
            <v/>
          </cell>
          <cell r="R1227" t="e">
            <v>#N/A</v>
          </cell>
        </row>
        <row r="1228">
          <cell r="A1228" t="str">
            <v/>
          </cell>
          <cell r="B1228" t="str">
            <v/>
          </cell>
          <cell r="C1228" t="str">
            <v>Future</v>
          </cell>
          <cell r="D1228" t="e">
            <v>#N/A</v>
          </cell>
          <cell r="E1228">
            <v>-56.842371541502217</v>
          </cell>
          <cell r="F1228">
            <v>54.216916996047956</v>
          </cell>
          <cell r="G1228">
            <v>27.774229249011047</v>
          </cell>
          <cell r="H1228">
            <v>27.774229249011047</v>
          </cell>
          <cell r="I1228" t="e">
            <v>#N/A</v>
          </cell>
          <cell r="J1228" t="e">
            <v>#N/A</v>
          </cell>
          <cell r="K1228">
            <v>42</v>
          </cell>
          <cell r="L1228">
            <v>32</v>
          </cell>
          <cell r="M1228" t="e">
            <v>#N/A</v>
          </cell>
          <cell r="N1228">
            <v>37</v>
          </cell>
          <cell r="O1228" t="e">
            <v>#N/A</v>
          </cell>
          <cell r="P1228" t="str">
            <v/>
          </cell>
          <cell r="Q1228" t="str">
            <v/>
          </cell>
          <cell r="R1228" t="e">
            <v>#N/A</v>
          </cell>
        </row>
        <row r="1229">
          <cell r="A1229" t="str">
            <v/>
          </cell>
          <cell r="B1229" t="str">
            <v/>
          </cell>
          <cell r="C1229" t="str">
            <v>Future</v>
          </cell>
          <cell r="D1229" t="e">
            <v>#N/A</v>
          </cell>
          <cell r="E1229">
            <v>-56.979011857707754</v>
          </cell>
          <cell r="F1229">
            <v>54.246284584980764</v>
          </cell>
          <cell r="G1229">
            <v>27.764071146244248</v>
          </cell>
          <cell r="H1229">
            <v>27.764071146244248</v>
          </cell>
          <cell r="I1229" t="e">
            <v>#N/A</v>
          </cell>
          <cell r="J1229" t="e">
            <v>#N/A</v>
          </cell>
          <cell r="K1229">
            <v>42</v>
          </cell>
          <cell r="L1229">
            <v>32</v>
          </cell>
          <cell r="M1229" t="e">
            <v>#N/A</v>
          </cell>
          <cell r="N1229">
            <v>37</v>
          </cell>
          <cell r="O1229" t="e">
            <v>#N/A</v>
          </cell>
          <cell r="P1229" t="str">
            <v/>
          </cell>
          <cell r="Q1229" t="str">
            <v/>
          </cell>
          <cell r="R1229" t="e">
            <v>#N/A</v>
          </cell>
        </row>
        <row r="1230">
          <cell r="A1230" t="str">
            <v/>
          </cell>
          <cell r="B1230" t="str">
            <v/>
          </cell>
          <cell r="C1230" t="str">
            <v>Future</v>
          </cell>
          <cell r="D1230" t="e">
            <v>#N/A</v>
          </cell>
          <cell r="E1230">
            <v>-57.11565217391329</v>
          </cell>
          <cell r="F1230">
            <v>54.275652173913571</v>
          </cell>
          <cell r="G1230">
            <v>27.75391304347745</v>
          </cell>
          <cell r="H1230">
            <v>27.75391304347745</v>
          </cell>
          <cell r="I1230" t="e">
            <v>#N/A</v>
          </cell>
          <cell r="J1230" t="e">
            <v>#N/A</v>
          </cell>
          <cell r="K1230">
            <v>42</v>
          </cell>
          <cell r="L1230">
            <v>32</v>
          </cell>
          <cell r="M1230" t="e">
            <v>#N/A</v>
          </cell>
          <cell r="N1230">
            <v>37</v>
          </cell>
          <cell r="O1230" t="e">
            <v>#N/A</v>
          </cell>
          <cell r="P1230" t="str">
            <v/>
          </cell>
          <cell r="Q1230" t="str">
            <v/>
          </cell>
          <cell r="R1230" t="e">
            <v>#N/A</v>
          </cell>
        </row>
        <row r="1231">
          <cell r="A1231" t="str">
            <v/>
          </cell>
          <cell r="B1231" t="str">
            <v/>
          </cell>
          <cell r="C1231" t="str">
            <v>Future</v>
          </cell>
          <cell r="D1231" t="e">
            <v>#N/A</v>
          </cell>
          <cell r="E1231">
            <v>-57.252292490118826</v>
          </cell>
          <cell r="F1231">
            <v>54.305019762846378</v>
          </cell>
          <cell r="G1231">
            <v>27.743754940710652</v>
          </cell>
          <cell r="H1231">
            <v>27.743754940710652</v>
          </cell>
          <cell r="I1231" t="e">
            <v>#N/A</v>
          </cell>
          <cell r="J1231" t="e">
            <v>#N/A</v>
          </cell>
          <cell r="K1231">
            <v>42</v>
          </cell>
          <cell r="L1231">
            <v>32</v>
          </cell>
          <cell r="M1231" t="e">
            <v>#N/A</v>
          </cell>
          <cell r="N1231">
            <v>37</v>
          </cell>
          <cell r="O1231" t="e">
            <v>#N/A</v>
          </cell>
          <cell r="P1231" t="str">
            <v/>
          </cell>
          <cell r="Q1231" t="str">
            <v/>
          </cell>
          <cell r="R1231" t="e">
            <v>#N/A</v>
          </cell>
        </row>
        <row r="1232">
          <cell r="A1232" t="str">
            <v/>
          </cell>
          <cell r="B1232" t="str">
            <v/>
          </cell>
          <cell r="C1232" t="str">
            <v>Future</v>
          </cell>
          <cell r="D1232" t="e">
            <v>#N/A</v>
          </cell>
          <cell r="E1232">
            <v>-57.388932806324362</v>
          </cell>
          <cell r="F1232">
            <v>54.334387351779185</v>
          </cell>
          <cell r="G1232">
            <v>27.733596837943853</v>
          </cell>
          <cell r="H1232">
            <v>27.733596837943853</v>
          </cell>
          <cell r="I1232" t="e">
            <v>#N/A</v>
          </cell>
          <cell r="J1232" t="e">
            <v>#N/A</v>
          </cell>
          <cell r="K1232">
            <v>42</v>
          </cell>
          <cell r="L1232">
            <v>32</v>
          </cell>
          <cell r="M1232" t="e">
            <v>#N/A</v>
          </cell>
          <cell r="N1232">
            <v>37</v>
          </cell>
          <cell r="O1232" t="e">
            <v>#N/A</v>
          </cell>
          <cell r="P1232" t="str">
            <v/>
          </cell>
          <cell r="Q1232" t="str">
            <v/>
          </cell>
          <cell r="R1232" t="e">
            <v>#N/A</v>
          </cell>
        </row>
        <row r="1233">
          <cell r="A1233" t="str">
            <v/>
          </cell>
          <cell r="B1233" t="str">
            <v/>
          </cell>
          <cell r="C1233" t="str">
            <v>Future</v>
          </cell>
          <cell r="D1233" t="e">
            <v>#N/A</v>
          </cell>
          <cell r="E1233">
            <v>-57.525573122529899</v>
          </cell>
          <cell r="F1233">
            <v>54.363754940711992</v>
          </cell>
          <cell r="G1233">
            <v>27.723438735177055</v>
          </cell>
          <cell r="H1233">
            <v>27.723438735177055</v>
          </cell>
          <cell r="I1233" t="e">
            <v>#N/A</v>
          </cell>
          <cell r="J1233" t="e">
            <v>#N/A</v>
          </cell>
          <cell r="K1233">
            <v>42</v>
          </cell>
          <cell r="L1233">
            <v>32</v>
          </cell>
          <cell r="M1233" t="e">
            <v>#N/A</v>
          </cell>
          <cell r="N1233">
            <v>37</v>
          </cell>
          <cell r="O1233" t="e">
            <v>#N/A</v>
          </cell>
          <cell r="P1233" t="str">
            <v/>
          </cell>
          <cell r="Q1233" t="str">
            <v/>
          </cell>
          <cell r="R1233" t="e">
            <v>#N/A</v>
          </cell>
        </row>
        <row r="1234">
          <cell r="A1234" t="str">
            <v/>
          </cell>
          <cell r="B1234" t="str">
            <v/>
          </cell>
          <cell r="C1234" t="str">
            <v>Future</v>
          </cell>
          <cell r="D1234" t="e">
            <v>#N/A</v>
          </cell>
          <cell r="E1234">
            <v>-57.662213438735435</v>
          </cell>
          <cell r="F1234">
            <v>54.393122529644799</v>
          </cell>
          <cell r="G1234">
            <v>27.713280632410257</v>
          </cell>
          <cell r="H1234">
            <v>27.713280632410257</v>
          </cell>
          <cell r="I1234" t="e">
            <v>#N/A</v>
          </cell>
          <cell r="J1234" t="e">
            <v>#N/A</v>
          </cell>
          <cell r="K1234">
            <v>42</v>
          </cell>
          <cell r="L1234">
            <v>32</v>
          </cell>
          <cell r="M1234" t="e">
            <v>#N/A</v>
          </cell>
          <cell r="N1234">
            <v>37</v>
          </cell>
          <cell r="O1234" t="e">
            <v>#N/A</v>
          </cell>
          <cell r="P1234" t="str">
            <v/>
          </cell>
          <cell r="Q1234" t="str">
            <v/>
          </cell>
          <cell r="R1234" t="e">
            <v>#N/A</v>
          </cell>
        </row>
        <row r="1235">
          <cell r="A1235" t="str">
            <v/>
          </cell>
          <cell r="B1235" t="str">
            <v/>
          </cell>
          <cell r="C1235" t="str">
            <v>Future</v>
          </cell>
          <cell r="D1235" t="e">
            <v>#N/A</v>
          </cell>
          <cell r="E1235">
            <v>-57.798853754940971</v>
          </cell>
          <cell r="F1235">
            <v>54.422490118577606</v>
          </cell>
          <cell r="G1235">
            <v>27.703122529643458</v>
          </cell>
          <cell r="H1235">
            <v>27.703122529643458</v>
          </cell>
          <cell r="I1235" t="e">
            <v>#N/A</v>
          </cell>
          <cell r="J1235" t="e">
            <v>#N/A</v>
          </cell>
          <cell r="K1235">
            <v>42</v>
          </cell>
          <cell r="L1235">
            <v>32</v>
          </cell>
          <cell r="M1235" t="e">
            <v>#N/A</v>
          </cell>
          <cell r="N1235">
            <v>37</v>
          </cell>
          <cell r="O1235" t="e">
            <v>#N/A</v>
          </cell>
          <cell r="P1235" t="str">
            <v/>
          </cell>
          <cell r="Q1235" t="str">
            <v/>
          </cell>
          <cell r="R1235" t="e">
            <v>#N/A</v>
          </cell>
        </row>
        <row r="1236">
          <cell r="A1236" t="str">
            <v/>
          </cell>
          <cell r="B1236" t="str">
            <v/>
          </cell>
          <cell r="C1236" t="str">
            <v>Future</v>
          </cell>
          <cell r="D1236" t="e">
            <v>#N/A</v>
          </cell>
          <cell r="E1236">
            <v>-57.935494071146508</v>
          </cell>
          <cell r="F1236">
            <v>54.451857707510413</v>
          </cell>
          <cell r="G1236">
            <v>27.69296442687666</v>
          </cell>
          <cell r="H1236">
            <v>27.69296442687666</v>
          </cell>
          <cell r="I1236" t="e">
            <v>#N/A</v>
          </cell>
          <cell r="J1236" t="e">
            <v>#N/A</v>
          </cell>
          <cell r="K1236">
            <v>42</v>
          </cell>
          <cell r="L1236">
            <v>32</v>
          </cell>
          <cell r="M1236" t="e">
            <v>#N/A</v>
          </cell>
          <cell r="N1236">
            <v>37</v>
          </cell>
          <cell r="O1236" t="e">
            <v>#N/A</v>
          </cell>
          <cell r="P1236" t="str">
            <v/>
          </cell>
          <cell r="Q1236" t="str">
            <v/>
          </cell>
          <cell r="R1236" t="e">
            <v>#N/A</v>
          </cell>
        </row>
        <row r="1237">
          <cell r="A1237" t="str">
            <v/>
          </cell>
          <cell r="B1237" t="str">
            <v/>
          </cell>
          <cell r="C1237" t="str">
            <v>Future</v>
          </cell>
          <cell r="D1237" t="e">
            <v>#N/A</v>
          </cell>
          <cell r="E1237">
            <v>-58.072134387352044</v>
          </cell>
          <cell r="F1237">
            <v>54.48122529644322</v>
          </cell>
          <cell r="G1237">
            <v>27.682806324109862</v>
          </cell>
          <cell r="H1237">
            <v>27.682806324109862</v>
          </cell>
          <cell r="I1237" t="e">
            <v>#N/A</v>
          </cell>
          <cell r="J1237" t="e">
            <v>#N/A</v>
          </cell>
          <cell r="K1237">
            <v>42</v>
          </cell>
          <cell r="L1237">
            <v>32</v>
          </cell>
          <cell r="M1237" t="e">
            <v>#N/A</v>
          </cell>
          <cell r="N1237">
            <v>37</v>
          </cell>
          <cell r="O1237" t="e">
            <v>#N/A</v>
          </cell>
          <cell r="P1237" t="str">
            <v/>
          </cell>
          <cell r="Q1237" t="str">
            <v/>
          </cell>
          <cell r="R1237" t="e">
            <v>#N/A</v>
          </cell>
        </row>
        <row r="1238">
          <cell r="A1238" t="str">
            <v/>
          </cell>
          <cell r="B1238" t="str">
            <v/>
          </cell>
          <cell r="C1238" t="str">
            <v>Future</v>
          </cell>
          <cell r="D1238" t="e">
            <v>#N/A</v>
          </cell>
          <cell r="E1238">
            <v>-58.20877470355758</v>
          </cell>
          <cell r="F1238">
            <v>54.510592885376028</v>
          </cell>
          <cell r="G1238">
            <v>27.672648221343064</v>
          </cell>
          <cell r="H1238">
            <v>27.672648221343064</v>
          </cell>
          <cell r="I1238" t="e">
            <v>#N/A</v>
          </cell>
          <cell r="J1238" t="e">
            <v>#N/A</v>
          </cell>
          <cell r="K1238">
            <v>42</v>
          </cell>
          <cell r="L1238">
            <v>32</v>
          </cell>
          <cell r="M1238" t="e">
            <v>#N/A</v>
          </cell>
          <cell r="N1238">
            <v>37</v>
          </cell>
          <cell r="O1238" t="e">
            <v>#N/A</v>
          </cell>
          <cell r="P1238" t="str">
            <v/>
          </cell>
          <cell r="Q1238" t="str">
            <v/>
          </cell>
          <cell r="R1238" t="e">
            <v>#N/A</v>
          </cell>
        </row>
        <row r="1239">
          <cell r="A1239" t="str">
            <v/>
          </cell>
          <cell r="B1239" t="str">
            <v/>
          </cell>
          <cell r="C1239" t="str">
            <v>Future</v>
          </cell>
          <cell r="D1239" t="e">
            <v>#N/A</v>
          </cell>
          <cell r="E1239">
            <v>-58.345415019763117</v>
          </cell>
          <cell r="F1239">
            <v>54.539960474308835</v>
          </cell>
          <cell r="G1239">
            <v>27.662490118576265</v>
          </cell>
          <cell r="H1239">
            <v>27.662490118576265</v>
          </cell>
          <cell r="I1239" t="e">
            <v>#N/A</v>
          </cell>
          <cell r="J1239" t="e">
            <v>#N/A</v>
          </cell>
          <cell r="K1239">
            <v>42</v>
          </cell>
          <cell r="L1239">
            <v>32</v>
          </cell>
          <cell r="M1239" t="e">
            <v>#N/A</v>
          </cell>
          <cell r="N1239">
            <v>37</v>
          </cell>
          <cell r="O1239" t="e">
            <v>#N/A</v>
          </cell>
          <cell r="P1239" t="str">
            <v/>
          </cell>
          <cell r="Q1239" t="str">
            <v/>
          </cell>
          <cell r="R1239" t="e">
            <v>#N/A</v>
          </cell>
        </row>
        <row r="1240">
          <cell r="A1240" t="str">
            <v/>
          </cell>
          <cell r="B1240" t="str">
            <v/>
          </cell>
          <cell r="C1240" t="str">
            <v>Future</v>
          </cell>
          <cell r="D1240" t="e">
            <v>#N/A</v>
          </cell>
          <cell r="E1240">
            <v>-58.482055335968653</v>
          </cell>
          <cell r="F1240">
            <v>54.569328063241642</v>
          </cell>
          <cell r="G1240">
            <v>27.652332015809467</v>
          </cell>
          <cell r="H1240">
            <v>27.652332015809467</v>
          </cell>
          <cell r="I1240" t="e">
            <v>#N/A</v>
          </cell>
          <cell r="J1240" t="e">
            <v>#N/A</v>
          </cell>
          <cell r="K1240">
            <v>42</v>
          </cell>
          <cell r="L1240">
            <v>32</v>
          </cell>
          <cell r="M1240" t="e">
            <v>#N/A</v>
          </cell>
          <cell r="N1240">
            <v>37</v>
          </cell>
          <cell r="O1240" t="e">
            <v>#N/A</v>
          </cell>
          <cell r="P1240" t="str">
            <v/>
          </cell>
          <cell r="Q1240" t="str">
            <v/>
          </cell>
          <cell r="R1240" t="e">
            <v>#N/A</v>
          </cell>
        </row>
        <row r="1241">
          <cell r="A1241" t="str">
            <v/>
          </cell>
          <cell r="B1241" t="str">
            <v/>
          </cell>
          <cell r="C1241" t="str">
            <v>Future</v>
          </cell>
          <cell r="D1241" t="e">
            <v>#N/A</v>
          </cell>
          <cell r="E1241">
            <v>-58.618695652174189</v>
          </cell>
          <cell r="F1241">
            <v>54.598695652174449</v>
          </cell>
          <cell r="G1241">
            <v>27.642173913042669</v>
          </cell>
          <cell r="H1241">
            <v>27.642173913042669</v>
          </cell>
          <cell r="I1241" t="e">
            <v>#N/A</v>
          </cell>
          <cell r="J1241" t="e">
            <v>#N/A</v>
          </cell>
          <cell r="K1241">
            <v>42</v>
          </cell>
          <cell r="L1241">
            <v>32</v>
          </cell>
          <cell r="M1241" t="e">
            <v>#N/A</v>
          </cell>
          <cell r="N1241">
            <v>37</v>
          </cell>
          <cell r="O1241" t="e">
            <v>#N/A</v>
          </cell>
          <cell r="P1241" t="str">
            <v/>
          </cell>
          <cell r="Q1241" t="str">
            <v/>
          </cell>
          <cell r="R1241" t="e">
            <v>#N/A</v>
          </cell>
        </row>
        <row r="1242">
          <cell r="A1242" t="str">
            <v/>
          </cell>
          <cell r="B1242" t="str">
            <v/>
          </cell>
          <cell r="C1242" t="str">
            <v>Future</v>
          </cell>
          <cell r="D1242" t="e">
            <v>#N/A</v>
          </cell>
          <cell r="E1242">
            <v>-58.755335968379725</v>
          </cell>
          <cell r="F1242">
            <v>54.628063241107256</v>
          </cell>
          <cell r="G1242">
            <v>27.63201581027587</v>
          </cell>
          <cell r="H1242">
            <v>27.63201581027587</v>
          </cell>
          <cell r="I1242" t="e">
            <v>#N/A</v>
          </cell>
          <cell r="J1242" t="e">
            <v>#N/A</v>
          </cell>
          <cell r="K1242">
            <v>42</v>
          </cell>
          <cell r="L1242">
            <v>32</v>
          </cell>
          <cell r="M1242" t="e">
            <v>#N/A</v>
          </cell>
          <cell r="N1242">
            <v>37</v>
          </cell>
          <cell r="O1242" t="e">
            <v>#N/A</v>
          </cell>
          <cell r="P1242" t="str">
            <v/>
          </cell>
          <cell r="Q1242" t="str">
            <v/>
          </cell>
          <cell r="R1242" t="e">
            <v>#N/A</v>
          </cell>
        </row>
        <row r="1243">
          <cell r="A1243" t="str">
            <v/>
          </cell>
          <cell r="B1243" t="str">
            <v/>
          </cell>
          <cell r="C1243" t="str">
            <v>Future</v>
          </cell>
          <cell r="D1243" t="e">
            <v>#N/A</v>
          </cell>
          <cell r="E1243">
            <v>-58.891976284585262</v>
          </cell>
          <cell r="F1243">
            <v>54.657430830040063</v>
          </cell>
          <cell r="G1243">
            <v>27.621857707509072</v>
          </cell>
          <cell r="H1243">
            <v>27.621857707509072</v>
          </cell>
          <cell r="I1243" t="e">
            <v>#N/A</v>
          </cell>
          <cell r="J1243" t="e">
            <v>#N/A</v>
          </cell>
          <cell r="K1243">
            <v>42</v>
          </cell>
          <cell r="L1243">
            <v>32</v>
          </cell>
          <cell r="M1243" t="e">
            <v>#N/A</v>
          </cell>
          <cell r="N1243">
            <v>37</v>
          </cell>
          <cell r="O1243" t="e">
            <v>#N/A</v>
          </cell>
          <cell r="P1243" t="str">
            <v/>
          </cell>
          <cell r="Q1243" t="str">
            <v/>
          </cell>
          <cell r="R1243" t="e">
            <v>#N/A</v>
          </cell>
        </row>
        <row r="1244">
          <cell r="A1244" t="str">
            <v/>
          </cell>
          <cell r="B1244" t="str">
            <v/>
          </cell>
          <cell r="C1244" t="str">
            <v>Future</v>
          </cell>
          <cell r="D1244" t="e">
            <v>#N/A</v>
          </cell>
          <cell r="E1244">
            <v>-59.028616600790798</v>
          </cell>
          <cell r="F1244">
            <v>54.68679841897287</v>
          </cell>
          <cell r="G1244">
            <v>27.611699604742274</v>
          </cell>
          <cell r="H1244">
            <v>27.611699604742274</v>
          </cell>
          <cell r="I1244" t="e">
            <v>#N/A</v>
          </cell>
          <cell r="J1244" t="e">
            <v>#N/A</v>
          </cell>
          <cell r="K1244">
            <v>42</v>
          </cell>
          <cell r="L1244">
            <v>32</v>
          </cell>
          <cell r="M1244" t="e">
            <v>#N/A</v>
          </cell>
          <cell r="N1244">
            <v>37</v>
          </cell>
          <cell r="O1244" t="e">
            <v>#N/A</v>
          </cell>
          <cell r="P1244" t="str">
            <v/>
          </cell>
          <cell r="Q1244" t="str">
            <v/>
          </cell>
          <cell r="R1244" t="e">
            <v>#N/A</v>
          </cell>
        </row>
        <row r="1245">
          <cell r="A1245" t="str">
            <v/>
          </cell>
          <cell r="B1245" t="str">
            <v/>
          </cell>
          <cell r="C1245" t="str">
            <v>Future</v>
          </cell>
          <cell r="D1245" t="e">
            <v>#N/A</v>
          </cell>
          <cell r="E1245">
            <v>-59.165256916996334</v>
          </cell>
          <cell r="F1245">
            <v>54.716166007905677</v>
          </cell>
          <cell r="G1245">
            <v>27.601541501975476</v>
          </cell>
          <cell r="H1245">
            <v>27.601541501975476</v>
          </cell>
          <cell r="I1245" t="e">
            <v>#N/A</v>
          </cell>
          <cell r="J1245" t="e">
            <v>#N/A</v>
          </cell>
          <cell r="K1245">
            <v>42</v>
          </cell>
          <cell r="L1245">
            <v>32</v>
          </cell>
          <cell r="M1245" t="e">
            <v>#N/A</v>
          </cell>
          <cell r="N1245">
            <v>37</v>
          </cell>
          <cell r="O1245" t="e">
            <v>#N/A</v>
          </cell>
          <cell r="P1245" t="str">
            <v/>
          </cell>
          <cell r="Q1245" t="str">
            <v/>
          </cell>
          <cell r="R1245" t="e">
            <v>#N/A</v>
          </cell>
        </row>
        <row r="1246">
          <cell r="A1246" t="str">
            <v/>
          </cell>
          <cell r="B1246" t="str">
            <v/>
          </cell>
          <cell r="C1246" t="str">
            <v>Future</v>
          </cell>
          <cell r="D1246" t="e">
            <v>#N/A</v>
          </cell>
          <cell r="E1246">
            <v>-59.301897233201871</v>
          </cell>
          <cell r="F1246">
            <v>54.745533596838484</v>
          </cell>
          <cell r="G1246">
            <v>27.591383399208677</v>
          </cell>
          <cell r="H1246">
            <v>27.591383399208677</v>
          </cell>
          <cell r="I1246" t="e">
            <v>#N/A</v>
          </cell>
          <cell r="J1246" t="e">
            <v>#N/A</v>
          </cell>
          <cell r="K1246">
            <v>42</v>
          </cell>
          <cell r="L1246">
            <v>32</v>
          </cell>
          <cell r="M1246" t="e">
            <v>#N/A</v>
          </cell>
          <cell r="N1246">
            <v>37</v>
          </cell>
          <cell r="O1246" t="e">
            <v>#N/A</v>
          </cell>
          <cell r="P1246" t="str">
            <v/>
          </cell>
          <cell r="Q1246" t="str">
            <v/>
          </cell>
          <cell r="R1246" t="e">
            <v>#N/A</v>
          </cell>
        </row>
        <row r="1247">
          <cell r="A1247" t="str">
            <v/>
          </cell>
          <cell r="B1247" t="str">
            <v/>
          </cell>
          <cell r="C1247" t="str">
            <v>Future</v>
          </cell>
          <cell r="D1247" t="e">
            <v>#N/A</v>
          </cell>
          <cell r="E1247">
            <v>-59.438537549407407</v>
          </cell>
          <cell r="F1247">
            <v>54.774901185771292</v>
          </cell>
          <cell r="G1247">
            <v>27.581225296441879</v>
          </cell>
          <cell r="H1247">
            <v>27.581225296441879</v>
          </cell>
          <cell r="I1247" t="e">
            <v>#N/A</v>
          </cell>
          <cell r="J1247" t="e">
            <v>#N/A</v>
          </cell>
          <cell r="K1247">
            <v>42</v>
          </cell>
          <cell r="L1247">
            <v>32</v>
          </cell>
          <cell r="M1247" t="e">
            <v>#N/A</v>
          </cell>
          <cell r="N1247">
            <v>37</v>
          </cell>
          <cell r="O1247" t="e">
            <v>#N/A</v>
          </cell>
          <cell r="P1247" t="str">
            <v/>
          </cell>
          <cell r="Q1247" t="str">
            <v/>
          </cell>
          <cell r="R1247" t="e">
            <v>#N/A</v>
          </cell>
        </row>
        <row r="1248">
          <cell r="A1248" t="str">
            <v/>
          </cell>
          <cell r="B1248" t="str">
            <v/>
          </cell>
          <cell r="C1248" t="str">
            <v>Future</v>
          </cell>
          <cell r="D1248" t="e">
            <v>#N/A</v>
          </cell>
          <cell r="E1248">
            <v>-59.575177865612943</v>
          </cell>
          <cell r="F1248">
            <v>54.804268774704099</v>
          </cell>
          <cell r="G1248">
            <v>27.571067193675081</v>
          </cell>
          <cell r="H1248">
            <v>27.571067193675081</v>
          </cell>
          <cell r="I1248" t="e">
            <v>#N/A</v>
          </cell>
          <cell r="J1248" t="e">
            <v>#N/A</v>
          </cell>
          <cell r="K1248">
            <v>42</v>
          </cell>
          <cell r="L1248">
            <v>32</v>
          </cell>
          <cell r="M1248" t="e">
            <v>#N/A</v>
          </cell>
          <cell r="N1248">
            <v>37</v>
          </cell>
          <cell r="O1248" t="e">
            <v>#N/A</v>
          </cell>
          <cell r="P1248" t="str">
            <v/>
          </cell>
          <cell r="Q1248" t="str">
            <v/>
          </cell>
          <cell r="R1248" t="e">
            <v>#N/A</v>
          </cell>
        </row>
        <row r="1249">
          <cell r="A1249" t="str">
            <v/>
          </cell>
          <cell r="B1249" t="str">
            <v/>
          </cell>
          <cell r="C1249" t="str">
            <v>Future</v>
          </cell>
          <cell r="D1249" t="e">
            <v>#N/A</v>
          </cell>
          <cell r="E1249">
            <v>-59.711818181818479</v>
          </cell>
          <cell r="F1249">
            <v>54.833636363636906</v>
          </cell>
          <cell r="G1249">
            <v>27.560909090908282</v>
          </cell>
          <cell r="H1249">
            <v>27.560909090908282</v>
          </cell>
          <cell r="I1249" t="e">
            <v>#N/A</v>
          </cell>
          <cell r="J1249" t="e">
            <v>#N/A</v>
          </cell>
          <cell r="K1249">
            <v>42</v>
          </cell>
          <cell r="L1249">
            <v>32</v>
          </cell>
          <cell r="M1249" t="e">
            <v>#N/A</v>
          </cell>
          <cell r="N1249">
            <v>37</v>
          </cell>
          <cell r="O1249" t="e">
            <v>#N/A</v>
          </cell>
          <cell r="P1249" t="str">
            <v/>
          </cell>
          <cell r="Q1249" t="str">
            <v/>
          </cell>
          <cell r="R1249" t="e">
            <v>#N/A</v>
          </cell>
        </row>
        <row r="1250">
          <cell r="A1250" t="str">
            <v/>
          </cell>
          <cell r="B1250" t="str">
            <v/>
          </cell>
          <cell r="C1250" t="str">
            <v>Future</v>
          </cell>
          <cell r="D1250" t="e">
            <v>#N/A</v>
          </cell>
          <cell r="E1250">
            <v>-59.848458498024016</v>
          </cell>
          <cell r="F1250">
            <v>54.863003952569713</v>
          </cell>
          <cell r="G1250">
            <v>27.550750988141484</v>
          </cell>
          <cell r="H1250">
            <v>27.550750988141484</v>
          </cell>
          <cell r="I1250" t="e">
            <v>#N/A</v>
          </cell>
          <cell r="J1250" t="e">
            <v>#N/A</v>
          </cell>
          <cell r="K1250">
            <v>42</v>
          </cell>
          <cell r="L1250">
            <v>32</v>
          </cell>
          <cell r="M1250" t="e">
            <v>#N/A</v>
          </cell>
          <cell r="N1250">
            <v>37</v>
          </cell>
          <cell r="O1250" t="e">
            <v>#N/A</v>
          </cell>
          <cell r="P1250" t="str">
            <v/>
          </cell>
          <cell r="Q1250" t="str">
            <v/>
          </cell>
          <cell r="R1250" t="e">
            <v>#N/A</v>
          </cell>
        </row>
        <row r="1251">
          <cell r="A1251" t="str">
            <v/>
          </cell>
          <cell r="B1251" t="str">
            <v/>
          </cell>
          <cell r="C1251" t="str">
            <v>Future</v>
          </cell>
          <cell r="D1251" t="e">
            <v>#N/A</v>
          </cell>
          <cell r="E1251">
            <v>-59.985098814229552</v>
          </cell>
          <cell r="F1251">
            <v>54.89237154150252</v>
          </cell>
          <cell r="G1251">
            <v>27.540592885374686</v>
          </cell>
          <cell r="H1251">
            <v>27.540592885374686</v>
          </cell>
          <cell r="I1251" t="e">
            <v>#N/A</v>
          </cell>
          <cell r="J1251" t="e">
            <v>#N/A</v>
          </cell>
          <cell r="K1251">
            <v>42</v>
          </cell>
          <cell r="L1251">
            <v>32</v>
          </cell>
          <cell r="M1251" t="e">
            <v>#N/A</v>
          </cell>
          <cell r="N1251">
            <v>37</v>
          </cell>
          <cell r="O1251" t="e">
            <v>#N/A</v>
          </cell>
          <cell r="P1251" t="str">
            <v/>
          </cell>
          <cell r="Q1251" t="str">
            <v/>
          </cell>
          <cell r="R1251" t="e">
            <v>#N/A</v>
          </cell>
        </row>
        <row r="1252">
          <cell r="A1252" t="str">
            <v/>
          </cell>
          <cell r="B1252" t="str">
            <v/>
          </cell>
          <cell r="C1252" t="str">
            <v>Future</v>
          </cell>
          <cell r="D1252" t="e">
            <v>#N/A</v>
          </cell>
          <cell r="E1252">
            <v>-60.121739130435088</v>
          </cell>
          <cell r="F1252">
            <v>54.921739130435327</v>
          </cell>
          <cell r="G1252">
            <v>27.530434782607887</v>
          </cell>
          <cell r="H1252">
            <v>27.530434782607887</v>
          </cell>
          <cell r="I1252" t="e">
            <v>#N/A</v>
          </cell>
          <cell r="J1252" t="e">
            <v>#N/A</v>
          </cell>
          <cell r="K1252">
            <v>42</v>
          </cell>
          <cell r="L1252">
            <v>32</v>
          </cell>
          <cell r="M1252" t="e">
            <v>#N/A</v>
          </cell>
          <cell r="N1252">
            <v>37</v>
          </cell>
          <cell r="O1252" t="e">
            <v>#N/A</v>
          </cell>
          <cell r="P1252" t="str">
            <v/>
          </cell>
          <cell r="Q1252" t="str">
            <v/>
          </cell>
          <cell r="R1252" t="e">
            <v>#N/A</v>
          </cell>
        </row>
        <row r="1253">
          <cell r="A1253" t="str">
            <v/>
          </cell>
          <cell r="P1253" t="str">
            <v/>
          </cell>
          <cell r="Q1253" t="str">
            <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WYE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777.7528584280044</v>
          </cell>
          <cell r="E12">
            <v>801.12416082795426</v>
          </cell>
          <cell r="F12">
            <v>480.32922347793647</v>
          </cell>
          <cell r="G12">
            <v>302.52535042870295</v>
          </cell>
          <cell r="H12">
            <v>-140.85209419635794</v>
          </cell>
          <cell r="BA12" t="str">
            <v>.</v>
          </cell>
        </row>
        <row r="13">
          <cell r="C13" t="str">
            <v>Pipeline products launching 2010–2015</v>
          </cell>
          <cell r="D13">
            <v>336.15000000000003</v>
          </cell>
          <cell r="E13">
            <v>486.05249999999995</v>
          </cell>
          <cell r="F13">
            <v>643.90925000000004</v>
          </cell>
          <cell r="G13">
            <v>903.77877650000028</v>
          </cell>
          <cell r="H13">
            <v>877.75910161390948</v>
          </cell>
          <cell r="BA13" t="str">
            <v>.</v>
          </cell>
        </row>
        <row r="14">
          <cell r="C14" t="str">
            <v>Products expiring 2010–15</v>
          </cell>
          <cell r="D14">
            <v>-1897.5856368349996</v>
          </cell>
          <cell r="E14">
            <v>-405.26704991404949</v>
          </cell>
          <cell r="F14">
            <v>-247.4564255044188</v>
          </cell>
          <cell r="G14">
            <v>-486.45018457921105</v>
          </cell>
          <cell r="H14">
            <v>-467.41580692871912</v>
          </cell>
          <cell r="BA14" t="str">
            <v>.</v>
          </cell>
        </row>
        <row r="15">
          <cell r="C15" t="str">
            <v>Net YOY change</v>
          </cell>
          <cell r="D15">
            <v>-783.68277840699375</v>
          </cell>
          <cell r="E15">
            <v>881.90961091390272</v>
          </cell>
          <cell r="F15">
            <v>876.78204797351646</v>
          </cell>
          <cell r="G15">
            <v>719.85394234949126</v>
          </cell>
          <cell r="H15">
            <v>269.4912004888356</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Product Mix 100%"/>
      <sheetName val="Traditional &amp; Other"/>
      <sheetName val="Per Pharma Traditional &amp; Biolog"/>
      <sheetName val="MW-Cache"/>
      <sheetName val="__FDSCACHE__"/>
      <sheetName val="2010PE"/>
      <sheetName val="2010PE_Ex BMY"/>
      <sheetName val="2012PE"/>
      <sheetName val="2012PE_Ex BMY"/>
      <sheetName val="short IS"/>
      <sheetName val="cost savings"/>
      <sheetName val="2015 top 10"/>
      <sheetName val="2010 top 10"/>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PFE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932.42080930800876</v>
          </cell>
          <cell r="E12">
            <v>1421.1035914094464</v>
          </cell>
          <cell r="F12">
            <v>1765.8870921994021</v>
          </cell>
          <cell r="G12">
            <v>1055.7675672663318</v>
          </cell>
          <cell r="H12">
            <v>577.39612356401631</v>
          </cell>
          <cell r="BA12" t="str">
            <v>.</v>
          </cell>
        </row>
        <row r="13">
          <cell r="C13" t="str">
            <v>Pipeline products launching 2010–2015</v>
          </cell>
          <cell r="D13">
            <v>488.88851560750004</v>
          </cell>
          <cell r="E13">
            <v>1032.6222136879819</v>
          </cell>
          <cell r="F13">
            <v>1194.3879881319788</v>
          </cell>
          <cell r="G13">
            <v>1586.9809373847056</v>
          </cell>
          <cell r="H13">
            <v>1912.159684759381</v>
          </cell>
          <cell r="BA13" t="str">
            <v>.</v>
          </cell>
        </row>
        <row r="14">
          <cell r="C14" t="str">
            <v>Products expiring 2010–15</v>
          </cell>
          <cell r="D14">
            <v>-3093.4238533699972</v>
          </cell>
          <cell r="E14">
            <v>-9244.3086322740019</v>
          </cell>
          <cell r="F14">
            <v>-2500.25038596167</v>
          </cell>
          <cell r="G14">
            <v>-2111.4680686893898</v>
          </cell>
          <cell r="H14">
            <v>-2273.0544201852699</v>
          </cell>
          <cell r="BA14" t="str">
            <v>.</v>
          </cell>
        </row>
        <row r="15">
          <cell r="C15" t="str">
            <v>Net YOY change</v>
          </cell>
          <cell r="D15">
            <v>-1672.1145284544909</v>
          </cell>
          <cell r="E15">
            <v>-6790.582827176564</v>
          </cell>
          <cell r="F15">
            <v>460.02469436970568</v>
          </cell>
          <cell r="G15">
            <v>531.28043596164935</v>
          </cell>
          <cell r="H15">
            <v>216.50138813813101</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ow r="1">
          <cell r="Y1" t="str">
            <v>SmartCharts</v>
          </cell>
          <cell r="BH1" t="str">
            <v>.</v>
          </cell>
        </row>
        <row r="2">
          <cell r="BH2" t="str">
            <v>.</v>
          </cell>
        </row>
        <row r="3">
          <cell r="BH3" t="str">
            <v>.</v>
          </cell>
        </row>
        <row r="6">
          <cell r="C6" t="str">
            <v>Input starting data point here:</v>
          </cell>
        </row>
        <row r="7">
          <cell r="C7" t="str">
            <v>2010E</v>
          </cell>
          <cell r="D7">
            <v>67.2</v>
          </cell>
        </row>
        <row r="8">
          <cell r="M8" t="str">
            <v>inv series</v>
          </cell>
          <cell r="P8" t="str">
            <v>clean labels</v>
          </cell>
        </row>
        <row r="9">
          <cell r="M9" t="str">
            <v>for labels</v>
          </cell>
        </row>
        <row r="10">
          <cell r="C10" t="str">
            <v>Input increments here:</v>
          </cell>
          <cell r="G10">
            <v>3</v>
          </cell>
          <cell r="H10" t="str">
            <v>Invisible</v>
          </cell>
          <cell r="I10" t="str">
            <v>Final</v>
          </cell>
          <cell r="J10" t="str">
            <v>Minus</v>
          </cell>
          <cell r="K10" t="str">
            <v>Plus</v>
          </cell>
          <cell r="L10" t="str">
            <v>Initial</v>
          </cell>
          <cell r="M10" t="str">
            <v>inside1</v>
          </cell>
          <cell r="N10" t="str">
            <v>inside2</v>
          </cell>
          <cell r="O10" t="str">
            <v>outside</v>
          </cell>
          <cell r="P10" t="str">
            <v>labfinal</v>
          </cell>
          <cell r="Q10" t="str">
            <v>labminus</v>
          </cell>
          <cell r="R10" t="str">
            <v>labplus</v>
          </cell>
          <cell r="S10" t="str">
            <v>labinitial</v>
          </cell>
          <cell r="T10" t="str">
            <v>labinside1</v>
          </cell>
          <cell r="U10" t="str">
            <v>labinside2</v>
          </cell>
        </row>
        <row r="11">
          <cell r="H11">
            <v>0</v>
          </cell>
        </row>
        <row r="12">
          <cell r="L12">
            <v>67.2</v>
          </cell>
          <cell r="M12">
            <v>0</v>
          </cell>
          <cell r="N12">
            <v>0</v>
          </cell>
          <cell r="O12">
            <v>0</v>
          </cell>
          <cell r="P12" t="str">
            <v/>
          </cell>
          <cell r="Q12" t="str">
            <v/>
          </cell>
          <cell r="R12" t="str">
            <v/>
          </cell>
          <cell r="S12">
            <v>67.2</v>
          </cell>
          <cell r="T12" t="str">
            <v>2010E</v>
          </cell>
        </row>
        <row r="13">
          <cell r="C13" t="str">
            <v>In-Line Products</v>
          </cell>
          <cell r="D13">
            <v>5.8</v>
          </cell>
          <cell r="G13">
            <v>1</v>
          </cell>
          <cell r="H13">
            <v>67.2</v>
          </cell>
          <cell r="I13" t="str">
            <v/>
          </cell>
          <cell r="J13">
            <v>0</v>
          </cell>
          <cell r="K13">
            <v>5.8</v>
          </cell>
          <cell r="M13">
            <v>0</v>
          </cell>
          <cell r="N13">
            <v>0</v>
          </cell>
          <cell r="O13">
            <v>0</v>
          </cell>
          <cell r="P13" t="str">
            <v/>
          </cell>
          <cell r="Q13" t="str">
            <v/>
          </cell>
          <cell r="R13">
            <v>5.8</v>
          </cell>
          <cell r="S13" t="str">
            <v/>
          </cell>
          <cell r="T13" t="str">
            <v/>
          </cell>
          <cell r="U13" t="str">
            <v>In-Line Products</v>
          </cell>
        </row>
        <row r="14">
          <cell r="C14" t="str">
            <v>Pipeline</v>
          </cell>
          <cell r="D14">
            <v>6.2</v>
          </cell>
          <cell r="G14">
            <v>2</v>
          </cell>
          <cell r="H14">
            <v>73</v>
          </cell>
          <cell r="I14" t="str">
            <v/>
          </cell>
          <cell r="J14">
            <v>0</v>
          </cell>
          <cell r="K14">
            <v>6.2</v>
          </cell>
          <cell r="M14">
            <v>0</v>
          </cell>
          <cell r="N14">
            <v>0</v>
          </cell>
          <cell r="O14">
            <v>0</v>
          </cell>
          <cell r="P14" t="str">
            <v/>
          </cell>
          <cell r="Q14" t="str">
            <v/>
          </cell>
          <cell r="R14">
            <v>6.2</v>
          </cell>
          <cell r="S14" t="str">
            <v/>
          </cell>
          <cell r="T14" t="str">
            <v/>
          </cell>
          <cell r="U14" t="str">
            <v>Pipeline</v>
          </cell>
        </row>
        <row r="15">
          <cell r="C15" t="str">
            <v>Expirations</v>
          </cell>
          <cell r="D15">
            <v>-19.2</v>
          </cell>
          <cell r="G15">
            <v>3</v>
          </cell>
          <cell r="H15">
            <v>60</v>
          </cell>
          <cell r="I15" t="str">
            <v/>
          </cell>
          <cell r="J15">
            <v>19.2</v>
          </cell>
          <cell r="K15">
            <v>0</v>
          </cell>
          <cell r="M15">
            <v>0</v>
          </cell>
          <cell r="N15">
            <v>0</v>
          </cell>
          <cell r="O15">
            <v>0</v>
          </cell>
          <cell r="P15" t="str">
            <v/>
          </cell>
          <cell r="Q15">
            <v>-19.2</v>
          </cell>
          <cell r="R15" t="str">
            <v/>
          </cell>
          <cell r="S15" t="str">
            <v/>
          </cell>
          <cell r="T15" t="str">
            <v/>
          </cell>
          <cell r="U15" t="str">
            <v>Expirations</v>
          </cell>
        </row>
        <row r="16">
          <cell r="G16">
            <v>4</v>
          </cell>
          <cell r="H16" t="str">
            <v/>
          </cell>
          <cell r="I16">
            <v>60</v>
          </cell>
          <cell r="J16">
            <v>0</v>
          </cell>
          <cell r="K16">
            <v>0</v>
          </cell>
          <cell r="M16">
            <v>0</v>
          </cell>
          <cell r="N16">
            <v>0</v>
          </cell>
          <cell r="O16">
            <v>0</v>
          </cell>
          <cell r="P16">
            <v>60</v>
          </cell>
          <cell r="Q16" t="str">
            <v/>
          </cell>
          <cell r="R16" t="str">
            <v/>
          </cell>
          <cell r="S16" t="str">
            <v/>
          </cell>
          <cell r="T16" t="str">
            <v>2015E</v>
          </cell>
          <cell r="U16" t="str">
            <v/>
          </cell>
        </row>
        <row r="17">
          <cell r="G17">
            <v>5</v>
          </cell>
          <cell r="H17" t="str">
            <v/>
          </cell>
          <cell r="I17" t="str">
            <v/>
          </cell>
          <cell r="J17">
            <v>0</v>
          </cell>
          <cell r="K17">
            <v>0</v>
          </cell>
          <cell r="M17">
            <v>0</v>
          </cell>
          <cell r="N17">
            <v>0</v>
          </cell>
          <cell r="O17">
            <v>0</v>
          </cell>
          <cell r="P17" t="str">
            <v/>
          </cell>
          <cell r="Q17" t="str">
            <v/>
          </cell>
          <cell r="R17" t="str">
            <v/>
          </cell>
          <cell r="S17" t="str">
            <v/>
          </cell>
          <cell r="T17" t="str">
            <v/>
          </cell>
          <cell r="U17" t="str">
            <v/>
          </cell>
        </row>
        <row r="18">
          <cell r="G18">
            <v>6</v>
          </cell>
          <cell r="H18" t="str">
            <v/>
          </cell>
          <cell r="I18" t="str">
            <v/>
          </cell>
          <cell r="J18">
            <v>0</v>
          </cell>
          <cell r="K18">
            <v>0</v>
          </cell>
          <cell r="M18">
            <v>0</v>
          </cell>
          <cell r="N18">
            <v>0</v>
          </cell>
          <cell r="O18">
            <v>0</v>
          </cell>
          <cell r="P18" t="str">
            <v/>
          </cell>
          <cell r="Q18" t="str">
            <v/>
          </cell>
          <cell r="R18" t="str">
            <v/>
          </cell>
          <cell r="S18" t="str">
            <v/>
          </cell>
          <cell r="T18" t="str">
            <v/>
          </cell>
          <cell r="U18" t="str">
            <v/>
          </cell>
        </row>
        <row r="19">
          <cell r="G19">
            <v>7</v>
          </cell>
          <cell r="H19" t="str">
            <v/>
          </cell>
          <cell r="I19" t="str">
            <v/>
          </cell>
          <cell r="J19">
            <v>0</v>
          </cell>
          <cell r="K19">
            <v>0</v>
          </cell>
          <cell r="M19">
            <v>0</v>
          </cell>
          <cell r="N19">
            <v>0</v>
          </cell>
          <cell r="O19">
            <v>0</v>
          </cell>
          <cell r="P19" t="str">
            <v/>
          </cell>
          <cell r="Q19" t="str">
            <v/>
          </cell>
          <cell r="R19" t="str">
            <v/>
          </cell>
          <cell r="S19" t="str">
            <v/>
          </cell>
          <cell r="T19" t="str">
            <v/>
          </cell>
          <cell r="U19" t="str">
            <v/>
          </cell>
        </row>
        <row r="20">
          <cell r="G20">
            <v>8</v>
          </cell>
          <cell r="H20" t="str">
            <v/>
          </cell>
          <cell r="I20" t="str">
            <v/>
          </cell>
          <cell r="J20">
            <v>0</v>
          </cell>
          <cell r="K20">
            <v>0</v>
          </cell>
          <cell r="M20">
            <v>0</v>
          </cell>
          <cell r="N20">
            <v>0</v>
          </cell>
          <cell r="O20">
            <v>0</v>
          </cell>
          <cell r="P20" t="str">
            <v/>
          </cell>
          <cell r="Q20" t="str">
            <v/>
          </cell>
          <cell r="R20" t="str">
            <v/>
          </cell>
          <cell r="S20" t="str">
            <v/>
          </cell>
          <cell r="T20" t="str">
            <v/>
          </cell>
          <cell r="U20" t="str">
            <v/>
          </cell>
        </row>
        <row r="21">
          <cell r="G21">
            <v>9</v>
          </cell>
          <cell r="H21" t="str">
            <v/>
          </cell>
          <cell r="I21" t="str">
            <v/>
          </cell>
          <cell r="J21">
            <v>0</v>
          </cell>
          <cell r="K21">
            <v>0</v>
          </cell>
          <cell r="M21">
            <v>0</v>
          </cell>
          <cell r="N21">
            <v>0</v>
          </cell>
          <cell r="O21">
            <v>0</v>
          </cell>
          <cell r="P21" t="str">
            <v/>
          </cell>
          <cell r="Q21" t="str">
            <v/>
          </cell>
          <cell r="R21" t="str">
            <v/>
          </cell>
          <cell r="S21" t="str">
            <v/>
          </cell>
          <cell r="T21" t="str">
            <v/>
          </cell>
          <cell r="U21" t="str">
            <v/>
          </cell>
        </row>
        <row r="22">
          <cell r="G22">
            <v>10</v>
          </cell>
          <cell r="H22" t="str">
            <v/>
          </cell>
          <cell r="I22" t="str">
            <v/>
          </cell>
          <cell r="J22">
            <v>0</v>
          </cell>
          <cell r="K22">
            <v>0</v>
          </cell>
          <cell r="M22">
            <v>0</v>
          </cell>
          <cell r="N22">
            <v>0</v>
          </cell>
          <cell r="O22">
            <v>0</v>
          </cell>
          <cell r="P22" t="str">
            <v/>
          </cell>
          <cell r="Q22" t="str">
            <v/>
          </cell>
          <cell r="R22" t="str">
            <v/>
          </cell>
          <cell r="S22" t="str">
            <v/>
          </cell>
          <cell r="T22" t="str">
            <v/>
          </cell>
          <cell r="U22" t="str">
            <v/>
          </cell>
        </row>
        <row r="23">
          <cell r="G23">
            <v>11</v>
          </cell>
          <cell r="H23" t="str">
            <v/>
          </cell>
          <cell r="I23" t="str">
            <v/>
          </cell>
          <cell r="M23">
            <v>0</v>
          </cell>
          <cell r="N23">
            <v>0</v>
          </cell>
          <cell r="O23">
            <v>0</v>
          </cell>
          <cell r="P23" t="str">
            <v/>
          </cell>
          <cell r="Q23" t="str">
            <v/>
          </cell>
          <cell r="R23" t="str">
            <v/>
          </cell>
          <cell r="S23" t="str">
            <v/>
          </cell>
          <cell r="T23" t="str">
            <v/>
          </cell>
          <cell r="U23" t="str">
            <v/>
          </cell>
        </row>
        <row r="24">
          <cell r="G24">
            <v>12</v>
          </cell>
          <cell r="H24">
            <v>0</v>
          </cell>
          <cell r="I24" t="str">
            <v/>
          </cell>
          <cell r="M24">
            <v>0</v>
          </cell>
          <cell r="N24">
            <v>0</v>
          </cell>
          <cell r="O24">
            <v>0</v>
          </cell>
          <cell r="P24" t="str">
            <v/>
          </cell>
          <cell r="Q24" t="str">
            <v/>
          </cell>
          <cell r="R24" t="str">
            <v/>
          </cell>
          <cell r="S24" t="str">
            <v/>
          </cell>
          <cell r="T24" t="str">
            <v/>
          </cell>
          <cell r="U24" t="str">
            <v/>
          </cell>
        </row>
        <row r="25">
          <cell r="H25" t="str">
            <v>net chg</v>
          </cell>
          <cell r="I25">
            <v>-7.2</v>
          </cell>
        </row>
        <row r="27">
          <cell r="C27" t="str">
            <v>Input label for end point here:</v>
          </cell>
        </row>
        <row r="28">
          <cell r="C28" t="str">
            <v>2015E</v>
          </cell>
        </row>
        <row r="30">
          <cell r="C30" t="str">
            <v xml:space="preserve">End data value 
</v>
          </cell>
          <cell r="D30" t="str">
            <v/>
          </cell>
        </row>
        <row r="31">
          <cell r="C31" t="str">
            <v>is calculated</v>
          </cell>
        </row>
        <row r="32">
          <cell r="C32" t="str">
            <v>automatically</v>
          </cell>
        </row>
        <row r="1002">
          <cell r="A1002" t="str">
            <v>.</v>
          </cell>
          <cell r="B1002" t="str">
            <v>.</v>
          </cell>
          <cell r="C1002" t="str">
            <v>.</v>
          </cell>
        </row>
      </sheetData>
      <sheetData sheetId="3">
        <row r="1">
          <cell r="S1" t="str">
            <v>SmartCharts</v>
          </cell>
          <cell r="BB1" t="str">
            <v>.</v>
          </cell>
        </row>
        <row r="2">
          <cell r="BB2" t="str">
            <v>.</v>
          </cell>
        </row>
        <row r="3">
          <cell r="BB3" t="str">
            <v>.</v>
          </cell>
        </row>
        <row r="4">
          <cell r="BB4" t="str">
            <v>.</v>
          </cell>
        </row>
        <row r="5">
          <cell r="C5" t="str">
            <v>Define value axis here:</v>
          </cell>
        </row>
        <row r="6">
          <cell r="C6" t="str">
            <v>PFE/WYE Revenue Contribution per Segment</v>
          </cell>
        </row>
        <row r="10">
          <cell r="C10" t="str">
            <v>Input your data here:</v>
          </cell>
          <cell r="BB10" t="str">
            <v>.</v>
          </cell>
        </row>
        <row r="11">
          <cell r="D11" t="str">
            <v>Other</v>
          </cell>
          <cell r="E11" t="str">
            <v>Nutritionals</v>
          </cell>
          <cell r="F11" t="str">
            <v>Animal</v>
          </cell>
          <cell r="G11" t="str">
            <v>CHC</v>
          </cell>
          <cell r="H11" t="str">
            <v>Biologic</v>
          </cell>
          <cell r="I11" t="str">
            <v>Traditional</v>
          </cell>
          <cell r="BB11" t="str">
            <v>.</v>
          </cell>
        </row>
        <row r="12">
          <cell r="C12">
            <v>2010</v>
          </cell>
          <cell r="D12">
            <v>7.3922836848778701E-3</v>
          </cell>
          <cell r="E12">
            <v>3.9694505637046879E-2</v>
          </cell>
          <cell r="F12">
            <v>4.9542591862029917E-2</v>
          </cell>
          <cell r="G12">
            <v>4.5134290951814274E-2</v>
          </cell>
          <cell r="H12">
            <v>0.15079210822131184</v>
          </cell>
          <cell r="I12">
            <v>0.70744421964291904</v>
          </cell>
          <cell r="BB12" t="str">
            <v>.</v>
          </cell>
        </row>
        <row r="13">
          <cell r="C13">
            <v>2011</v>
          </cell>
          <cell r="D13">
            <v>7.8621358780429015E-3</v>
          </cell>
          <cell r="E13">
            <v>4.3501848606407156E-2</v>
          </cell>
          <cell r="F13">
            <v>5.2892461739374758E-2</v>
          </cell>
          <cell r="G13">
            <v>4.7788394858716006E-2</v>
          </cell>
          <cell r="H13">
            <v>0.16335309234331286</v>
          </cell>
          <cell r="I13">
            <v>0.68460206657414613</v>
          </cell>
          <cell r="BB13" t="str">
            <v>.</v>
          </cell>
        </row>
        <row r="14">
          <cell r="C14">
            <v>2012</v>
          </cell>
          <cell r="D14">
            <v>9.0894156599119914E-3</v>
          </cell>
          <cell r="E14">
            <v>5.1809888445371488E-2</v>
          </cell>
          <cell r="F14">
            <v>6.1361732478238944E-2</v>
          </cell>
          <cell r="G14">
            <v>5.4948172167998723E-2</v>
          </cell>
          <cell r="H14">
            <v>0.2064642573378605</v>
          </cell>
          <cell r="I14">
            <v>0.61632653391061831</v>
          </cell>
          <cell r="BB14" t="str">
            <v>.</v>
          </cell>
        </row>
        <row r="15">
          <cell r="C15">
            <v>2013</v>
          </cell>
          <cell r="D15">
            <v>9.3639207719231066E-3</v>
          </cell>
          <cell r="E15">
            <v>5.4972084194039497E-2</v>
          </cell>
          <cell r="F15">
            <v>6.3414379086380118E-2</v>
          </cell>
          <cell r="G15">
            <v>5.6314339157607203E-2</v>
          </cell>
          <cell r="H15">
            <v>0.22546494243949647</v>
          </cell>
          <cell r="I15">
            <v>0.59047033435055385</v>
          </cell>
          <cell r="BB15" t="str">
            <v>.</v>
          </cell>
        </row>
        <row r="16">
          <cell r="C16">
            <v>2014</v>
          </cell>
          <cell r="D16">
            <v>9.6393304601885728E-3</v>
          </cell>
          <cell r="E16">
            <v>5.826952701183119E-2</v>
          </cell>
          <cell r="F16">
            <v>6.5465107357308594E-2</v>
          </cell>
          <cell r="G16">
            <v>5.766814515501012E-2</v>
          </cell>
          <cell r="H16">
            <v>0.23925277361350805</v>
          </cell>
          <cell r="I16">
            <v>0.56970511640215349</v>
          </cell>
          <cell r="BB16" t="str">
            <v>.</v>
          </cell>
        </row>
        <row r="17">
          <cell r="C17">
            <v>2015</v>
          </cell>
          <cell r="D17">
            <v>9.9799761432740278E-3</v>
          </cell>
          <cell r="E17">
            <v>6.2107028447675697E-2</v>
          </cell>
          <cell r="F17">
            <v>6.7950841022483971E-2</v>
          </cell>
          <cell r="G17">
            <v>5.9392717383289405E-2</v>
          </cell>
          <cell r="H17">
            <v>0.25421323458932704</v>
          </cell>
          <cell r="I17">
            <v>0.54635620241394955</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4"/>
      <sheetData sheetId="5">
        <row r="1">
          <cell r="S1" t="str">
            <v>SmartCharts</v>
          </cell>
          <cell r="BB1" t="str">
            <v>.</v>
          </cell>
        </row>
        <row r="2">
          <cell r="BB2" t="str">
            <v>.</v>
          </cell>
        </row>
        <row r="3">
          <cell r="BB3" t="str">
            <v>.</v>
          </cell>
        </row>
        <row r="4">
          <cell r="BB4" t="str">
            <v>.</v>
          </cell>
        </row>
        <row r="5">
          <cell r="C5" t="str">
            <v>Define value axis here:</v>
          </cell>
        </row>
        <row r="6">
          <cell r="C6" t="str">
            <v>Pharmaceutical Revenue Contribution</v>
          </cell>
        </row>
        <row r="10">
          <cell r="C10" t="str">
            <v>Input your data here:</v>
          </cell>
          <cell r="BB10" t="str">
            <v>.</v>
          </cell>
        </row>
        <row r="11">
          <cell r="D11" t="str">
            <v>Traditional</v>
          </cell>
          <cell r="E11" t="str">
            <v>Biologic</v>
          </cell>
          <cell r="BB11" t="str">
            <v>.</v>
          </cell>
        </row>
        <row r="12">
          <cell r="C12">
            <v>2010</v>
          </cell>
          <cell r="D12">
            <v>0.82430001699349376</v>
          </cell>
          <cell r="E12">
            <v>0.17569998300650647</v>
          </cell>
          <cell r="BB12" t="str">
            <v>.</v>
          </cell>
        </row>
        <row r="13">
          <cell r="C13">
            <v>2011</v>
          </cell>
          <cell r="D13">
            <v>0.80735644965960518</v>
          </cell>
          <cell r="E13">
            <v>0.19264355034039463</v>
          </cell>
          <cell r="BB13" t="str">
            <v>.</v>
          </cell>
        </row>
        <row r="14">
          <cell r="C14">
            <v>2012</v>
          </cell>
          <cell r="D14">
            <v>0.74906834211819795</v>
          </cell>
          <cell r="E14">
            <v>0.25093165788180211</v>
          </cell>
          <cell r="BB14" t="str">
            <v>.</v>
          </cell>
        </row>
        <row r="15">
          <cell r="C15">
            <v>2013</v>
          </cell>
          <cell r="D15">
            <v>0.72367300587064676</v>
          </cell>
          <cell r="E15">
            <v>0.27632699412935324</v>
          </cell>
          <cell r="BB15" t="str">
            <v>.</v>
          </cell>
        </row>
        <row r="16">
          <cell r="C16">
            <v>2014</v>
          </cell>
          <cell r="D16">
            <v>0.70424570108479179</v>
          </cell>
          <cell r="E16">
            <v>0.29575429891520816</v>
          </cell>
          <cell r="BB16" t="str">
            <v>.</v>
          </cell>
        </row>
        <row r="17">
          <cell r="C17">
            <v>2015</v>
          </cell>
          <cell r="D17">
            <v>0.68245948091534925</v>
          </cell>
          <cell r="E17">
            <v>0.3175405190846507</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6"/>
      <sheetData sheetId="7"/>
      <sheetData sheetId="8"/>
      <sheetData sheetId="9"/>
      <sheetData sheetId="10"/>
      <sheetData sheetId="11"/>
      <sheetData sheetId="12">
        <row r="2">
          <cell r="B2" t="str">
            <v>($M)</v>
          </cell>
          <cell r="C2" t="str">
            <v>2009E</v>
          </cell>
          <cell r="D2" t="str">
            <v>2010E</v>
          </cell>
          <cell r="E2" t="str">
            <v>2011E</v>
          </cell>
          <cell r="F2" t="str">
            <v>2012E</v>
          </cell>
          <cell r="G2" t="str">
            <v>2013E</v>
          </cell>
          <cell r="H2" t="str">
            <v>2014E</v>
          </cell>
          <cell r="I2" t="str">
            <v>2015E</v>
          </cell>
        </row>
        <row r="3">
          <cell r="B3" t="str">
            <v>Revenue</v>
          </cell>
          <cell r="C3">
            <v>46664.590000000004</v>
          </cell>
          <cell r="D3">
            <v>59490.450000000004</v>
          </cell>
          <cell r="E3">
            <v>57134.93</v>
          </cell>
          <cell r="F3">
            <v>58779.911381268947</v>
          </cell>
          <cell r="G3">
            <v>59239.936075638652</v>
          </cell>
          <cell r="H3">
            <v>59771.216511600302</v>
          </cell>
          <cell r="I3">
            <v>59987.717899738433</v>
          </cell>
        </row>
        <row r="4">
          <cell r="B4" t="str">
            <v>Op. Income</v>
          </cell>
          <cell r="C4">
            <v>7540</v>
          </cell>
          <cell r="D4">
            <v>10000</v>
          </cell>
          <cell r="E4">
            <v>9200</v>
          </cell>
          <cell r="F4">
            <v>23420.697731424829</v>
          </cell>
          <cell r="G4">
            <v>24062.427582023694</v>
          </cell>
          <cell r="H4">
            <v>24252.934339512249</v>
          </cell>
          <cell r="I4">
            <v>24182.870845785517</v>
          </cell>
        </row>
        <row r="5">
          <cell r="B5" t="str">
            <v>Op. Margin</v>
          </cell>
          <cell r="C5">
            <v>0.15271279077999245</v>
          </cell>
          <cell r="D5">
            <v>0.14871522964147593</v>
          </cell>
          <cell r="E5">
            <v>0.14030701020421829</v>
          </cell>
          <cell r="F5">
            <v>0.39844731271384948</v>
          </cell>
          <cell r="G5">
            <v>0.40618591403104048</v>
          </cell>
          <cell r="H5">
            <v>0.40576276935580319</v>
          </cell>
          <cell r="I5">
            <v>0.40313036888991177</v>
          </cell>
        </row>
        <row r="6">
          <cell r="B6" t="str">
            <v>EPS</v>
          </cell>
          <cell r="C6">
            <v>0</v>
          </cell>
          <cell r="D6">
            <v>0</v>
          </cell>
          <cell r="E6">
            <v>0</v>
          </cell>
          <cell r="F6">
            <v>2.1029587057701495</v>
          </cell>
          <cell r="G6">
            <v>2.2372166055191349</v>
          </cell>
          <cell r="H6">
            <v>2.3276533306404867</v>
          </cell>
          <cell r="I6">
            <v>2.3911545965022829</v>
          </cell>
        </row>
      </sheetData>
      <sheetData sheetId="13">
        <row r="1">
          <cell r="B1" t="str">
            <v>Historical Planned vs. Realized Cost Savings</v>
          </cell>
        </row>
        <row r="3">
          <cell r="B3" t="str">
            <v>($B)</v>
          </cell>
          <cell r="C3" t="str">
            <v>Warner-Lambert</v>
          </cell>
          <cell r="D3" t="str">
            <v>Pharmacia</v>
          </cell>
          <cell r="E3" t="str">
            <v>Adapting to Scale (AtS)</v>
          </cell>
          <cell r="F3" t="str">
            <v>2007/2008 Plan</v>
          </cell>
        </row>
        <row r="4">
          <cell r="B4" t="str">
            <v>Original Goal</v>
          </cell>
          <cell r="C4">
            <v>1.6</v>
          </cell>
          <cell r="D4">
            <v>3.8</v>
          </cell>
          <cell r="E4">
            <v>2</v>
          </cell>
          <cell r="F4" t="str">
            <v>1.5-2.0</v>
          </cell>
        </row>
        <row r="5">
          <cell r="B5" t="str">
            <v>Actual Savings</v>
          </cell>
          <cell r="C5">
            <v>1.8</v>
          </cell>
          <cell r="D5">
            <v>4.2</v>
          </cell>
          <cell r="E5">
            <v>2.6</v>
          </cell>
          <cell r="F5">
            <v>2.8</v>
          </cell>
        </row>
        <row r="6">
          <cell r="B6" t="str">
            <v>% Upside</v>
          </cell>
          <cell r="C6">
            <v>0.12499999999999997</v>
          </cell>
          <cell r="D6">
            <v>0.10526315789473695</v>
          </cell>
          <cell r="E6">
            <v>0.30000000000000004</v>
          </cell>
          <cell r="F6" t="str">
            <v>40%-87%</v>
          </cell>
        </row>
      </sheetData>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ground - FL"/>
      <sheetName val="Background - DLBCL"/>
      <sheetName val="Background-CLL"/>
      <sheetName val="Summary"/>
      <sheetName val="Sensitivity Analyses"/>
      <sheetName val="CLL"/>
      <sheetName val="FL"/>
      <sheetName val="DLBCL"/>
      <sheetName val="MM"/>
      <sheetName val="MCL"/>
      <sheetName val="PFS Simulator"/>
      <sheetName val="Avg Dur Therapy Sim"/>
      <sheetName val="Epidemiology"/>
      <sheetName val="US Data Var"/>
      <sheetName val="EU Data V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1">
          <cell r="O1" t="str">
            <v>SmartCharts</v>
          </cell>
        </row>
        <row r="6">
          <cell r="C6" t="str">
            <v>Input value axis title here:</v>
          </cell>
        </row>
        <row r="7">
          <cell r="C7" t="str">
            <v>US Variance - PCYC v Roche data</v>
          </cell>
        </row>
        <row r="10">
          <cell r="C10" t="str">
            <v>Input your data here:</v>
          </cell>
          <cell r="BA10" t="str">
            <v>.</v>
          </cell>
        </row>
        <row r="11">
          <cell r="D11" t="str">
            <v>PCYC</v>
          </cell>
          <cell r="E11" t="str">
            <v>Roche</v>
          </cell>
          <cell r="AA11" t="str">
            <v>Cells below are used for chart calculations; please do not make any changes</v>
          </cell>
        </row>
        <row r="12">
          <cell r="C12" t="str">
            <v>CLL/SLL - R/R</v>
          </cell>
          <cell r="D12">
            <v>18000</v>
          </cell>
          <cell r="E12">
            <v>7300</v>
          </cell>
          <cell r="AA12">
            <v>6000</v>
          </cell>
          <cell r="AB12">
            <v>16700</v>
          </cell>
        </row>
        <row r="13">
          <cell r="C13" t="str">
            <v>CLL/SLL - Non R/R</v>
          </cell>
          <cell r="D13">
            <v>20000</v>
          </cell>
          <cell r="E13">
            <v>8200</v>
          </cell>
          <cell r="AA13">
            <v>4000</v>
          </cell>
          <cell r="AB13">
            <v>15800</v>
          </cell>
        </row>
        <row r="14">
          <cell r="C14" t="str">
            <v>DLBCL - R/R</v>
          </cell>
          <cell r="D14">
            <v>17000</v>
          </cell>
          <cell r="E14">
            <v>10400</v>
          </cell>
          <cell r="AA14">
            <v>7000</v>
          </cell>
          <cell r="AB14">
            <v>13600</v>
          </cell>
        </row>
        <row r="15">
          <cell r="C15" t="str">
            <v>DLBCL - Non R/R</v>
          </cell>
          <cell r="D15">
            <v>24000</v>
          </cell>
          <cell r="E15">
            <v>16900</v>
          </cell>
          <cell r="AA15">
            <v>0</v>
          </cell>
          <cell r="AB15">
            <v>7100</v>
          </cell>
        </row>
        <row r="16">
          <cell r="C16" t="str">
            <v>FL - R/R</v>
          </cell>
          <cell r="D16">
            <v>8000</v>
          </cell>
          <cell r="E16">
            <v>9500</v>
          </cell>
          <cell r="AA16">
            <v>16000</v>
          </cell>
          <cell r="AB16">
            <v>14500</v>
          </cell>
        </row>
        <row r="17">
          <cell r="C17" t="str">
            <v>FL - Non R/R</v>
          </cell>
          <cell r="D17">
            <v>13000</v>
          </cell>
          <cell r="E17">
            <v>10650</v>
          </cell>
          <cell r="AA17">
            <v>11000</v>
          </cell>
          <cell r="AB17">
            <v>13350</v>
          </cell>
        </row>
        <row r="18">
          <cell r="AA18">
            <v>24000</v>
          </cell>
          <cell r="AB18">
            <v>24000</v>
          </cell>
        </row>
        <row r="19">
          <cell r="AA19">
            <v>24000</v>
          </cell>
          <cell r="AB19">
            <v>24000</v>
          </cell>
        </row>
        <row r="20">
          <cell r="AA20">
            <v>24000</v>
          </cell>
          <cell r="AB20">
            <v>24000</v>
          </cell>
        </row>
        <row r="21">
          <cell r="AA21">
            <v>24000</v>
          </cell>
          <cell r="AB21">
            <v>24000</v>
          </cell>
        </row>
        <row r="22">
          <cell r="AA22">
            <v>24000</v>
          </cell>
          <cell r="AB22">
            <v>24000</v>
          </cell>
        </row>
        <row r="23">
          <cell r="AA23">
            <v>24000</v>
          </cell>
          <cell r="AB23">
            <v>24000</v>
          </cell>
        </row>
        <row r="24">
          <cell r="AA24">
            <v>24000</v>
          </cell>
          <cell r="AB24">
            <v>24000</v>
          </cell>
        </row>
        <row r="25">
          <cell r="AA25">
            <v>24000</v>
          </cell>
          <cell r="AB25">
            <v>24000</v>
          </cell>
        </row>
        <row r="26">
          <cell r="AA26">
            <v>24000</v>
          </cell>
          <cell r="AB26">
            <v>24000</v>
          </cell>
        </row>
        <row r="27">
          <cell r="AA27">
            <v>24000</v>
          </cell>
          <cell r="AB27">
            <v>24000</v>
          </cell>
        </row>
        <row r="28">
          <cell r="AA28">
            <v>24000</v>
          </cell>
          <cell r="AB28">
            <v>24000</v>
          </cell>
        </row>
        <row r="29">
          <cell r="AA29">
            <v>24000</v>
          </cell>
          <cell r="AB29">
            <v>24000</v>
          </cell>
        </row>
        <row r="30">
          <cell r="AA30">
            <v>24000</v>
          </cell>
          <cell r="AB30">
            <v>24000</v>
          </cell>
        </row>
        <row r="31">
          <cell r="AA31">
            <v>24000</v>
          </cell>
          <cell r="AB31">
            <v>24000</v>
          </cell>
        </row>
        <row r="998">
          <cell r="Q998" t="str">
            <v>.</v>
          </cell>
          <cell r="R998" t="str">
            <v>.</v>
          </cell>
          <cell r="S998" t="str">
            <v>.</v>
          </cell>
          <cell r="T998" t="str">
            <v>.</v>
          </cell>
          <cell r="U998" t="str">
            <v>.</v>
          </cell>
        </row>
      </sheetData>
      <sheetData sheetId="1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ail prices"/>
      <sheetName val="Margin build up"/>
      <sheetName val="Sheet1"/>
      <sheetName val="Sheet2"/>
      <sheetName val="Sheet3"/>
      <sheetName val="#REF"/>
    </sheetNames>
    <sheetDataSet>
      <sheetData sheetId="0">
        <row r="4">
          <cell r="C4" t="str">
            <v>Revlimid price in Germany</v>
          </cell>
        </row>
        <row r="5">
          <cell r="C5" t="str">
            <v>mg</v>
          </cell>
          <cell r="D5" t="str">
            <v>Pack size
(# of tabs)</v>
          </cell>
          <cell r="E5" t="str">
            <v>Price 
(€/ pack)</v>
          </cell>
          <cell r="F5" t="str">
            <v>Effective price in $ for 21 tabs</v>
          </cell>
          <cell r="G5" t="str">
            <v>Comparable price in US</v>
          </cell>
          <cell r="H5" t="str">
            <v>Increase in Germany price vs. US</v>
          </cell>
          <cell r="I5" t="str">
            <v>Net to Company</v>
          </cell>
          <cell r="J5" t="str">
            <v>Comparable Price in US</v>
          </cell>
          <cell r="K5" t="str">
            <v>Increase%</v>
          </cell>
        </row>
        <row r="6">
          <cell r="C6">
            <v>5</v>
          </cell>
          <cell r="D6">
            <v>21</v>
          </cell>
          <cell r="E6">
            <v>6496</v>
          </cell>
          <cell r="F6">
            <v>9198.3359999999993</v>
          </cell>
          <cell r="G6">
            <v>6080.9</v>
          </cell>
          <cell r="H6">
            <v>0.51266029699551052</v>
          </cell>
          <cell r="I6">
            <v>6714.7852799999991</v>
          </cell>
          <cell r="J6">
            <v>4905</v>
          </cell>
          <cell r="K6">
            <v>0.36896743730886827</v>
          </cell>
          <cell r="L6">
            <v>0.23769658715596331</v>
          </cell>
        </row>
        <row r="7">
          <cell r="C7">
            <v>10</v>
          </cell>
          <cell r="D7">
            <v>21</v>
          </cell>
          <cell r="E7">
            <v>6856</v>
          </cell>
          <cell r="F7">
            <v>9708.0959999999995</v>
          </cell>
          <cell r="G7">
            <v>6500</v>
          </cell>
          <cell r="H7">
            <v>0.49355323076923074</v>
          </cell>
          <cell r="I7">
            <v>7086.9100799999997</v>
          </cell>
          <cell r="J7">
            <v>5123</v>
          </cell>
          <cell r="K7">
            <v>0.38335156744095245</v>
          </cell>
          <cell r="L7">
            <v>0.25070141713839544</v>
          </cell>
        </row>
        <row r="8">
          <cell r="C8">
            <v>15</v>
          </cell>
          <cell r="D8">
            <v>21</v>
          </cell>
          <cell r="E8">
            <v>7216</v>
          </cell>
          <cell r="F8">
            <v>10217.856</v>
          </cell>
          <cell r="G8">
            <v>7429</v>
          </cell>
          <cell r="H8">
            <v>0.37540126531161655</v>
          </cell>
          <cell r="I8">
            <v>7459.0348799999992</v>
          </cell>
          <cell r="J8">
            <v>6056</v>
          </cell>
          <cell r="K8">
            <v>0.23167682959048874</v>
          </cell>
          <cell r="L8">
            <v>0.11357083223249664</v>
          </cell>
        </row>
        <row r="9">
          <cell r="C9">
            <v>25</v>
          </cell>
          <cell r="D9">
            <v>21</v>
          </cell>
          <cell r="E9">
            <v>7911</v>
          </cell>
          <cell r="F9">
            <v>11201.975999999999</v>
          </cell>
          <cell r="G9">
            <v>7826.2800000000007</v>
          </cell>
          <cell r="H9">
            <v>0.43132829390208349</v>
          </cell>
          <cell r="I9">
            <v>8177.4424799999988</v>
          </cell>
          <cell r="J9">
            <v>6381</v>
          </cell>
          <cell r="K9">
            <v>0.28152992947813793</v>
          </cell>
          <cell r="L9">
            <v>0.15864349788434406</v>
          </cell>
        </row>
        <row r="10">
          <cell r="I10">
            <v>0</v>
          </cell>
        </row>
        <row r="11">
          <cell r="I11">
            <v>0</v>
          </cell>
        </row>
        <row r="12">
          <cell r="C12" t="str">
            <v>Revlimid price in UK (private insurance)</v>
          </cell>
          <cell r="I12">
            <v>0</v>
          </cell>
        </row>
        <row r="13">
          <cell r="C13" t="str">
            <v>mg</v>
          </cell>
          <cell r="D13" t="str">
            <v>Pack size
(# of tabs)</v>
          </cell>
          <cell r="E13" t="str">
            <v>Price 
(£/ pack)</v>
          </cell>
          <cell r="F13" t="str">
            <v>Effective price in $ for 21 tabs</v>
          </cell>
          <cell r="G13" t="str">
            <v>Comparable price in US</v>
          </cell>
          <cell r="H13" t="str">
            <v>Increase in UK price vs. US</v>
          </cell>
          <cell r="I13" t="str">
            <v>Net to Company</v>
          </cell>
        </row>
        <row r="14">
          <cell r="C14">
            <v>5</v>
          </cell>
          <cell r="D14">
            <v>21</v>
          </cell>
          <cell r="E14">
            <v>5714</v>
          </cell>
          <cell r="F14">
            <v>11559.422</v>
          </cell>
          <cell r="G14">
            <v>6080.9</v>
          </cell>
          <cell r="H14">
            <v>0.90093933463796505</v>
          </cell>
          <cell r="I14">
            <v>8438.3780600000009</v>
          </cell>
          <cell r="J14">
            <v>4905</v>
          </cell>
          <cell r="K14">
            <v>0.72036249949031617</v>
          </cell>
        </row>
        <row r="15">
          <cell r="C15">
            <v>10</v>
          </cell>
          <cell r="D15">
            <v>21</v>
          </cell>
          <cell r="E15">
            <v>6050</v>
          </cell>
          <cell r="F15">
            <v>12239.150000000001</v>
          </cell>
          <cell r="G15">
            <v>6500</v>
          </cell>
          <cell r="H15">
            <v>0.88294615384615405</v>
          </cell>
          <cell r="I15">
            <v>8934.5795000000016</v>
          </cell>
          <cell r="J15">
            <v>5123</v>
          </cell>
          <cell r="K15">
            <v>0.74401317587351201</v>
          </cell>
        </row>
        <row r="16">
          <cell r="C16">
            <v>15</v>
          </cell>
          <cell r="D16">
            <v>21</v>
          </cell>
          <cell r="E16">
            <v>6352</v>
          </cell>
          <cell r="F16">
            <v>12850.096000000001</v>
          </cell>
          <cell r="G16">
            <v>7429</v>
          </cell>
          <cell r="H16">
            <v>0.72972082379862724</v>
          </cell>
          <cell r="I16">
            <v>9380.5700800000013</v>
          </cell>
          <cell r="J16">
            <v>6056</v>
          </cell>
          <cell r="K16">
            <v>0.54897128137384432</v>
          </cell>
        </row>
        <row r="17">
          <cell r="C17">
            <v>25</v>
          </cell>
          <cell r="D17">
            <v>21</v>
          </cell>
          <cell r="E17">
            <v>6990</v>
          </cell>
          <cell r="F17">
            <v>14140.77</v>
          </cell>
          <cell r="G17">
            <v>7826.2800000000007</v>
          </cell>
          <cell r="H17">
            <v>0.80683159815391203</v>
          </cell>
          <cell r="I17">
            <v>10322.7621</v>
          </cell>
          <cell r="J17">
            <v>6381</v>
          </cell>
          <cell r="K17">
            <v>0.61773422661024924</v>
          </cell>
        </row>
        <row r="18">
          <cell r="C18" t="str">
            <v>Source: Westbury, UK</v>
          </cell>
        </row>
        <row r="21">
          <cell r="C21" t="str">
            <v>Revlimid price in US</v>
          </cell>
        </row>
        <row r="22">
          <cell r="C22" t="str">
            <v>mg</v>
          </cell>
          <cell r="D22" t="str">
            <v>Pack size
(# of tabs)</v>
          </cell>
          <cell r="E22" t="str">
            <v>Price 
($/ pack)</v>
          </cell>
          <cell r="F22" t="str">
            <v>Effective price for 21 tabs</v>
          </cell>
          <cell r="G22" t="str">
            <v>Price given by Celgene in Jan, 07</v>
          </cell>
          <cell r="H22" t="str">
            <v>Est. price increase since Jan, 07</v>
          </cell>
        </row>
        <row r="23">
          <cell r="C23">
            <v>5</v>
          </cell>
          <cell r="D23">
            <v>30</v>
          </cell>
          <cell r="E23">
            <v>8687</v>
          </cell>
          <cell r="F23">
            <v>6080.9</v>
          </cell>
          <cell r="G23">
            <v>4905</v>
          </cell>
          <cell r="H23">
            <v>0.23973496432212027</v>
          </cell>
        </row>
        <row r="24">
          <cell r="C24">
            <v>10</v>
          </cell>
          <cell r="D24">
            <v>30</v>
          </cell>
          <cell r="E24">
            <v>9090</v>
          </cell>
          <cell r="F24">
            <v>6500</v>
          </cell>
          <cell r="G24">
            <v>5123</v>
          </cell>
          <cell r="H24">
            <v>0.26878781963693155</v>
          </cell>
        </row>
        <row r="25">
          <cell r="C25">
            <v>15</v>
          </cell>
          <cell r="D25">
            <v>21</v>
          </cell>
          <cell r="E25">
            <v>7423</v>
          </cell>
          <cell r="F25">
            <v>7429</v>
          </cell>
          <cell r="G25">
            <v>6056</v>
          </cell>
          <cell r="H25">
            <v>0.22671730515191535</v>
          </cell>
        </row>
        <row r="26">
          <cell r="C26">
            <v>25</v>
          </cell>
          <cell r="D26">
            <v>25</v>
          </cell>
          <cell r="E26">
            <v>9309</v>
          </cell>
          <cell r="F26">
            <v>7826.2800000000007</v>
          </cell>
          <cell r="G26">
            <v>6381</v>
          </cell>
          <cell r="H26">
            <v>0.22649741419840153</v>
          </cell>
        </row>
        <row r="27">
          <cell r="C27" t="str">
            <v>Source: NY pharmacies</v>
          </cell>
        </row>
        <row r="30">
          <cell r="C30" t="str">
            <v>mg</v>
          </cell>
          <cell r="D30" t="str">
            <v>Pack size
(# of tabs)</v>
          </cell>
          <cell r="E30" t="str">
            <v>Price 
($/ pack)</v>
          </cell>
          <cell r="F30" t="str">
            <v>Effective price for 21 tabs</v>
          </cell>
        </row>
        <row r="31">
          <cell r="C31">
            <v>5</v>
          </cell>
          <cell r="D31">
            <v>21</v>
          </cell>
          <cell r="E31" t="str">
            <v>N/A</v>
          </cell>
          <cell r="F31" t="str">
            <v>N/A</v>
          </cell>
        </row>
        <row r="32">
          <cell r="C32">
            <v>10</v>
          </cell>
          <cell r="D32">
            <v>21</v>
          </cell>
          <cell r="E32">
            <v>6637</v>
          </cell>
          <cell r="F32">
            <v>6637</v>
          </cell>
          <cell r="I32">
            <v>1.4159999999999999</v>
          </cell>
        </row>
        <row r="33">
          <cell r="C33">
            <v>15</v>
          </cell>
          <cell r="D33">
            <v>21</v>
          </cell>
          <cell r="E33">
            <v>7435</v>
          </cell>
          <cell r="F33">
            <v>7435</v>
          </cell>
        </row>
        <row r="34">
          <cell r="C34">
            <v>25</v>
          </cell>
          <cell r="D34">
            <v>21</v>
          </cell>
          <cell r="E34">
            <v>7833</v>
          </cell>
          <cell r="F34">
            <v>7833</v>
          </cell>
        </row>
        <row r="35">
          <cell r="C35" t="str">
            <v>Source: Duane Read, NY</v>
          </cell>
        </row>
        <row r="38">
          <cell r="C38" t="str">
            <v>mg</v>
          </cell>
          <cell r="D38" t="str">
            <v>Pack size
(# of tabs)</v>
          </cell>
          <cell r="E38" t="str">
            <v>Price 
($/ pack)</v>
          </cell>
          <cell r="F38" t="str">
            <v>Effective price for 21 tabs</v>
          </cell>
        </row>
        <row r="39">
          <cell r="C39">
            <v>5</v>
          </cell>
          <cell r="D39">
            <v>30</v>
          </cell>
          <cell r="E39">
            <v>8687</v>
          </cell>
          <cell r="F39">
            <v>6080.9</v>
          </cell>
        </row>
        <row r="40">
          <cell r="C40">
            <v>10</v>
          </cell>
          <cell r="D40">
            <v>30</v>
          </cell>
          <cell r="E40">
            <v>9090</v>
          </cell>
          <cell r="F40">
            <v>6363</v>
          </cell>
        </row>
        <row r="41">
          <cell r="C41">
            <v>15</v>
          </cell>
          <cell r="D41">
            <v>21</v>
          </cell>
          <cell r="E41">
            <v>7423</v>
          </cell>
          <cell r="F41">
            <v>7423</v>
          </cell>
        </row>
        <row r="42">
          <cell r="C42">
            <v>25</v>
          </cell>
          <cell r="D42">
            <v>25</v>
          </cell>
          <cell r="E42">
            <v>9309</v>
          </cell>
          <cell r="F42">
            <v>7819.56</v>
          </cell>
        </row>
        <row r="43">
          <cell r="C43" t="str">
            <v>Source: CVS Pharmacy, NY</v>
          </cell>
        </row>
        <row r="46">
          <cell r="C46" t="str">
            <v>mg</v>
          </cell>
          <cell r="D46" t="str">
            <v>Pack size
(# of tabs)</v>
          </cell>
          <cell r="E46" t="str">
            <v>Price 
($/ pack)</v>
          </cell>
          <cell r="F46" t="str">
            <v>Effective price for 21 tabs</v>
          </cell>
        </row>
        <row r="47">
          <cell r="C47">
            <v>5</v>
          </cell>
          <cell r="D47">
            <v>100</v>
          </cell>
          <cell r="E47">
            <v>26002</v>
          </cell>
          <cell r="F47">
            <v>5460.42</v>
          </cell>
        </row>
        <row r="48">
          <cell r="C48">
            <v>5</v>
          </cell>
          <cell r="D48">
            <v>300</v>
          </cell>
          <cell r="E48">
            <v>78006</v>
          </cell>
          <cell r="F48">
            <v>5460.42</v>
          </cell>
        </row>
        <row r="49">
          <cell r="C49">
            <v>10</v>
          </cell>
          <cell r="D49">
            <v>100</v>
          </cell>
          <cell r="E49">
            <v>28001</v>
          </cell>
          <cell r="F49">
            <v>5880.21</v>
          </cell>
        </row>
        <row r="50">
          <cell r="C50">
            <v>10</v>
          </cell>
          <cell r="D50">
            <v>30</v>
          </cell>
          <cell r="E50">
            <v>9232</v>
          </cell>
          <cell r="F50">
            <v>6462.4000000000005</v>
          </cell>
        </row>
        <row r="51">
          <cell r="C51">
            <v>10</v>
          </cell>
          <cell r="D51">
            <v>90</v>
          </cell>
          <cell r="E51">
            <v>27697</v>
          </cell>
          <cell r="F51">
            <v>6462.6333333333341</v>
          </cell>
        </row>
        <row r="52">
          <cell r="C52" t="str">
            <v>Sources: Walgreens</v>
          </cell>
        </row>
      </sheetData>
      <sheetData sheetId="1"/>
      <sheetData sheetId="2"/>
      <sheetData sheetId="3"/>
      <sheetData sheetId="4"/>
      <sheetData sheetId="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short IS"/>
      <sheetName val="Product Mix 100%"/>
      <sheetName val="cost savings"/>
      <sheetName val="Per Pharma Traditional &amp; Biolog"/>
    </sheetNames>
    <sheetDataSet>
      <sheetData sheetId="0" refreshError="1"/>
      <sheetData sheetId="1">
        <row r="1">
          <cell r="R1" t="str">
            <v>SmartCharts</v>
          </cell>
          <cell r="BA1" t="str">
            <v>.</v>
          </cell>
        </row>
        <row r="2">
          <cell r="BA2" t="str">
            <v>.</v>
          </cell>
        </row>
        <row r="3">
          <cell r="BA3" t="str">
            <v>.</v>
          </cell>
        </row>
        <row r="4">
          <cell r="BA4" t="str">
            <v>.</v>
          </cell>
        </row>
        <row r="5">
          <cell r="C5" t="str">
            <v>Define value axis here:</v>
          </cell>
        </row>
        <row r="6">
          <cell r="C6" t="str">
            <v>Eli Lilly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781.72624304999954</v>
          </cell>
          <cell r="E12">
            <v>628.01563373899808</v>
          </cell>
          <cell r="F12">
            <v>619.00336252127454</v>
          </cell>
          <cell r="G12">
            <v>650.37276247114823</v>
          </cell>
          <cell r="H12">
            <v>535.71762648130425</v>
          </cell>
          <cell r="BA12" t="str">
            <v>.</v>
          </cell>
        </row>
        <row r="13">
          <cell r="C13" t="str">
            <v>Pipeline products launching 2010–2015</v>
          </cell>
          <cell r="D13">
            <v>94.75</v>
          </cell>
          <cell r="E13">
            <v>176.17500000000001</v>
          </cell>
          <cell r="F13">
            <v>330.42500000000001</v>
          </cell>
          <cell r="G13">
            <v>642.0732999999999</v>
          </cell>
          <cell r="H13">
            <v>950.38365750000003</v>
          </cell>
          <cell r="BA13" t="str">
            <v>.</v>
          </cell>
        </row>
        <row r="14">
          <cell r="C14" t="str">
            <v>Products expiring 2010–2015</v>
          </cell>
          <cell r="D14">
            <v>-371.49615019999874</v>
          </cell>
          <cell r="E14">
            <v>-2226.0126789459991</v>
          </cell>
          <cell r="F14">
            <v>-713.0858879557818</v>
          </cell>
          <cell r="G14">
            <v>-2566.7028729389294</v>
          </cell>
          <cell r="H14">
            <v>-2382.3369144914741</v>
          </cell>
          <cell r="BA14" t="str">
            <v>.</v>
          </cell>
        </row>
        <row r="15">
          <cell r="C15" t="str">
            <v>Net YOY change</v>
          </cell>
          <cell r="D15">
            <v>504.9800928500008</v>
          </cell>
          <cell r="E15">
            <v>-1421.8220452070018</v>
          </cell>
          <cell r="F15">
            <v>236.34247456549201</v>
          </cell>
          <cell r="G15">
            <v>-1274.2568104677812</v>
          </cell>
          <cell r="H15">
            <v>-896.23563051016754</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efreshError="1"/>
      <sheetData sheetId="5" refreshError="1"/>
      <sheetData sheetId="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2015 biopharma rev change"/>
      <sheetName val="margins"/>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Bristol-Myers Squibb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428.20430499999929</v>
          </cell>
          <cell r="E12">
            <v>406.00087174999862</v>
          </cell>
          <cell r="F12">
            <v>379.77037045850375</v>
          </cell>
          <cell r="G12">
            <v>349.04459650893114</v>
          </cell>
          <cell r="H12">
            <v>290.7973990176979</v>
          </cell>
          <cell r="BA12" t="str">
            <v>.</v>
          </cell>
        </row>
        <row r="13">
          <cell r="C13" t="str">
            <v>Pipeline products launching 2010–2015</v>
          </cell>
          <cell r="D13">
            <v>509.8125</v>
          </cell>
          <cell r="E13">
            <v>791.0775000000001</v>
          </cell>
          <cell r="F13">
            <v>1302.57</v>
          </cell>
          <cell r="G13">
            <v>1653.0442999999996</v>
          </cell>
          <cell r="H13">
            <v>1227.8117000000011</v>
          </cell>
          <cell r="BA13" t="str">
            <v>.</v>
          </cell>
        </row>
        <row r="14">
          <cell r="C14" t="str">
            <v>Products expiring 2010–2015</v>
          </cell>
          <cell r="D14">
            <v>170.7135303846153</v>
          </cell>
          <cell r="E14">
            <v>-3013.0544055538448</v>
          </cell>
          <cell r="F14">
            <v>-3358.1474564076934</v>
          </cell>
          <cell r="G14">
            <v>-1309.0957018979234</v>
          </cell>
          <cell r="H14">
            <v>-2226.5059205538264</v>
          </cell>
          <cell r="BA14" t="str">
            <v>.</v>
          </cell>
        </row>
        <row r="15">
          <cell r="C15" t="str">
            <v>Biopharmaceuticals net YOY change</v>
          </cell>
          <cell r="D15">
            <v>1108.7303353846146</v>
          </cell>
          <cell r="E15">
            <v>-1815.9760338038468</v>
          </cell>
          <cell r="F15">
            <v>-1675.8070859491891</v>
          </cell>
          <cell r="G15">
            <v>692.99319461100822</v>
          </cell>
          <cell r="H15">
            <v>-707.89682153612739</v>
          </cell>
          <cell r="BA15" t="str">
            <v>.</v>
          </cell>
        </row>
        <row r="16">
          <cell r="C16" t="str">
            <v>Mead Johnson YOY change</v>
          </cell>
          <cell r="D16">
            <v>214.20896000000039</v>
          </cell>
          <cell r="E16">
            <v>221.85658040000044</v>
          </cell>
          <cell r="F16">
            <v>215.35684153200009</v>
          </cell>
          <cell r="G16">
            <v>204.1549097092402</v>
          </cell>
          <cell r="H16">
            <v>188.16653348492491</v>
          </cell>
          <cell r="BA16" t="str">
            <v>.</v>
          </cell>
        </row>
        <row r="17">
          <cell r="C17" t="str">
            <v>Total YOY change</v>
          </cell>
          <cell r="D17">
            <v>1322.9392953846145</v>
          </cell>
          <cell r="E17">
            <v>-1594.1194534038477</v>
          </cell>
          <cell r="F17">
            <v>-1460.4502444171885</v>
          </cell>
          <cell r="G17">
            <v>897.14810432025115</v>
          </cell>
          <cell r="H17">
            <v>-519.73028805120339</v>
          </cell>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ow r="1">
          <cell r="P1" t="str">
            <v>SmartCharts</v>
          </cell>
          <cell r="BA1" t="str">
            <v>.</v>
          </cell>
        </row>
        <row r="2">
          <cell r="BA2" t="str">
            <v>.</v>
          </cell>
        </row>
        <row r="3">
          <cell r="BA3" t="str">
            <v>.</v>
          </cell>
        </row>
        <row r="4">
          <cell r="BA4" t="str">
            <v>.</v>
          </cell>
        </row>
        <row r="5">
          <cell r="C5" t="str">
            <v>Define value axis here:</v>
          </cell>
        </row>
        <row r="6">
          <cell r="C6" t="str">
            <v>Bristol-Myers Squibb 2010E–2015 margins projections</v>
          </cell>
        </row>
        <row r="10">
          <cell r="C10" t="str">
            <v>Input your data here:</v>
          </cell>
          <cell r="BA10" t="str">
            <v>.</v>
          </cell>
        </row>
        <row r="11">
          <cell r="D11">
            <v>2010</v>
          </cell>
          <cell r="E11">
            <v>2015</v>
          </cell>
          <cell r="BA11" t="str">
            <v>.</v>
          </cell>
        </row>
        <row r="12">
          <cell r="C12" t="str">
            <v>Gross margin</v>
          </cell>
          <cell r="D12">
            <v>0.72499999999999998</v>
          </cell>
          <cell r="E12">
            <v>0.68100000000000005</v>
          </cell>
        </row>
        <row r="13">
          <cell r="C13" t="str">
            <v>Operating margin</v>
          </cell>
          <cell r="D13">
            <v>0.30161955647352828</v>
          </cell>
          <cell r="E13">
            <v>0.25676950311816399</v>
          </cell>
        </row>
        <row r="14">
          <cell r="C14" t="str">
            <v>Net margin</v>
          </cell>
          <cell r="D14">
            <v>0.18869606564379282</v>
          </cell>
          <cell r="E14">
            <v>0.17772499764542135</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WACC"/>
      <sheetName val="Sheet1"/>
      <sheetName val="Fixed Line Mkt"/>
      <sheetName val="Cash Flow"/>
      <sheetName val="upside_downside"/>
      <sheetName val="Income Statement"/>
      <sheetName val="Balance Sheet"/>
      <sheetName val="Valsum"/>
      <sheetName val="Operating Leases tagged"/>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Risk-Reward_View_Chart"/>
      <sheetName val="variables"/>
      <sheetName val="IS Quarterly"/>
      <sheetName val="Sheet1 (2)"/>
      <sheetName val="1Q11 Preview"/>
      <sheetName val="2Q11 Preview"/>
      <sheetName val="Model"/>
      <sheetName val="Intrinsic Value"/>
      <sheetName val="Rev by Geo"/>
      <sheetName val="Report template"/>
      <sheetName val="Model (WIP)"/>
      <sheetName val="sales bkd"/>
      <sheetName val="fin"/>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sheetData sheetId="4" refreshError="1"/>
      <sheetData sheetId="5" refreshError="1"/>
      <sheetData sheetId="6" refreshError="1">
        <row r="2">
          <cell r="A2" t="str">
            <v>Table 5</v>
          </cell>
          <cell r="EM2" t="str">
            <v>Table 4 Continued</v>
          </cell>
        </row>
        <row r="3">
          <cell r="EM3" t="str">
            <v>Warner Lambert</v>
          </cell>
        </row>
        <row r="4">
          <cell r="EM4" t="str">
            <v>Quarterly/Annual Sales Analysis 1998-2005E -- Confectionery</v>
          </cell>
        </row>
        <row r="5">
          <cell r="EM5" t="str">
            <v>($ Millions)</v>
          </cell>
        </row>
        <row r="6">
          <cell r="EN6" t="str">
            <v>Bubblicious</v>
          </cell>
          <cell r="ER6" t="str">
            <v>Dentyne</v>
          </cell>
          <cell r="EV6" t="str">
            <v>Bubbaloo</v>
          </cell>
          <cell r="EZ6" t="str">
            <v>Other</v>
          </cell>
          <cell r="FD6" t="str">
            <v>Total</v>
          </cell>
          <cell r="FH6" t="str">
            <v>Total Corporate Sales</v>
          </cell>
        </row>
        <row r="7">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10">
          <cell r="EM10" t="str">
            <v xml:space="preserve">1994 </v>
          </cell>
        </row>
        <row r="11">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EM18" t="str">
            <v>1995/94 % Change</v>
          </cell>
        </row>
        <row r="19">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EM26" t="str">
            <v xml:space="preserve">1995 </v>
          </cell>
        </row>
        <row r="27">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EM34" t="str">
            <v xml:space="preserve">1996/95 </v>
          </cell>
        </row>
        <row r="35">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EM42" t="str">
            <v>1996</v>
          </cell>
        </row>
        <row r="43">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EM50" t="str">
            <v xml:space="preserve">1997/96 </v>
          </cell>
        </row>
        <row r="51">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EM58" t="str">
            <v>1997</v>
          </cell>
        </row>
        <row r="59">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EM66" t="str">
            <v>1998/97 % Change</v>
          </cell>
        </row>
        <row r="67">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EM74" t="str">
            <v>1998</v>
          </cell>
        </row>
        <row r="75">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EM82" t="str">
            <v xml:space="preserve">1999/98 </v>
          </cell>
        </row>
        <row r="83">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EM90" t="str">
            <v>1999</v>
          </cell>
          <cell r="EQ90">
            <v>0</v>
          </cell>
          <cell r="EU90">
            <v>0</v>
          </cell>
          <cell r="EY90">
            <v>0</v>
          </cell>
          <cell r="FC90">
            <v>0</v>
          </cell>
        </row>
        <row r="91">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EM98" t="str">
            <v>2000E/99</v>
          </cell>
        </row>
        <row r="99">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4">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EM106" t="str">
            <v>2000E</v>
          </cell>
        </row>
        <row r="107">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2">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4">
          <cell r="EM114" t="str">
            <v>% Change</v>
          </cell>
        </row>
        <row r="115">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http://www.msif.org/includes/documents/cm_docs/2013/m/msif-atlas-of-ms-2013-report.pdf?f=1;%20Epidemiol%20Rev.%201997;19:99-106" TargetMode="External" Type="http://schemas.openxmlformats.org/officeDocument/2006/relationships/hyperlink"/>
<Relationship Id="rId2" Target="http://www.edmus.org/en/proj/studies_lyon.html" TargetMode="External" Type="http://schemas.openxmlformats.org/officeDocument/2006/relationships/hyperlink"/>
<Relationship Id="rId3" Target="http://www.msif.org/includes/documents/cm_docs/2013/m/msif-atlas-of-ms-2013-report.pdf?f=1;%20Epidemiol%20Rev.%201997;19:99-106" TargetMode="External" Type="http://schemas.openxmlformats.org/officeDocument/2006/relationships/hyperlink"/>
<Relationship Id="rId4" Target="http://mymsaa.org/about-ms/overview/" TargetMode="External" Type="http://schemas.openxmlformats.org/officeDocument/2006/relationships/hyperlink"/>
<Relationship Id="rId5" Target="http://mymsaa.org/about-ms/overview/" TargetMode="External" Type="http://schemas.openxmlformats.org/officeDocument/2006/relationships/hyperlink"/>
<Relationship Id="rId6"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http://www.msif.org/includes/documents/cm_docs/2013/m/msif-atlas-of-ms-2013-report.pdf?f=1;%20Epidemiol%20Rev.%201997;19:99-106" TargetMode="External" Type="http://schemas.openxmlformats.org/officeDocument/2006/relationships/hyperlink"/>
<Relationship Id="rId2" Target="http://www.edmus.org/en/proj/studies_lyon.html" TargetMode="External" Type="http://schemas.openxmlformats.org/officeDocument/2006/relationships/hyperlink"/>
<Relationship Id="rId3" Target="http://www.msif.org/includes/documents/cm_docs/2013/m/msif-atlas-of-ms-2013-report.pdf?f=1;%20Epidemiol%20Rev.%201997;19:99-106" TargetMode="External" Type="http://schemas.openxmlformats.org/officeDocument/2006/relationships/hyperlink"/>
<Relationship Id="rId4" Target="http://mymsaa.org/about-ms/overview/" TargetMode="External" Type="http://schemas.openxmlformats.org/officeDocument/2006/relationships/hyperlink"/>
<Relationship Id="rId5" Target="http://mymsaa.org/about-ms/overview/" TargetMode="External" Type="http://schemas.openxmlformats.org/officeDocument/2006/relationships/hyperlink"/>
<Relationship Id="rId6" Target="../printerSettings/printerSettings11.bin" Type="http://schemas.openxmlformats.org/officeDocument/2006/relationships/printerSettings"/>
<Relationship Id="rId7" Target="../drawings/vmlDrawing6.vml" Type="http://schemas.openxmlformats.org/officeDocument/2006/relationships/vmlDrawing"/>
<Relationship Id="rId8"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2.xml" Type="http://schemas.openxmlformats.org/officeDocument/2006/relationships/drawing"/>
<Relationship Id="rId3" Target="../drawings/vmlDrawing7.vml" Type="http://schemas.openxmlformats.org/officeDocument/2006/relationships/vmlDrawing"/>
<Relationship Id="rId4" Target="../comments7.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391"/>
  <sheetViews>
    <sheetView showGridLines="0" tabSelected="1" workbookViewId="0">
      <selection activeCell="Z1" sqref="Z1"/>
    </sheetView>
  </sheetViews>
  <sheetFormatPr defaultRowHeight="12.75"/>
  <cols>
    <col min="1" max="1" width="25.7109375" style="569" customWidth="1"/>
    <col min="2" max="5" width="9.140625" style="569"/>
    <col min="6" max="6" width="18.7109375" style="569" customWidth="1"/>
    <col min="7" max="256" width="9.140625" style="569"/>
    <col min="257" max="257" width="100.7109375" style="569" customWidth="1"/>
    <col min="258" max="512" width="9.140625" style="569"/>
    <col min="513" max="513" width="100.7109375" style="569" customWidth="1"/>
    <col min="514" max="768" width="9.140625" style="569"/>
    <col min="769" max="769" width="100.7109375" style="569" customWidth="1"/>
    <col min="770" max="1024" width="9.140625" style="569"/>
    <col min="1025" max="1025" width="100.7109375" style="569" customWidth="1"/>
    <col min="1026" max="1280" width="9.140625" style="569"/>
    <col min="1281" max="1281" width="100.7109375" style="569" customWidth="1"/>
    <col min="1282" max="1536" width="9.140625" style="569"/>
    <col min="1537" max="1537" width="100.7109375" style="569" customWidth="1"/>
    <col min="1538" max="1792" width="9.140625" style="569"/>
    <col min="1793" max="1793" width="100.7109375" style="569" customWidth="1"/>
    <col min="1794" max="2048" width="9.140625" style="569"/>
    <col min="2049" max="2049" width="100.7109375" style="569" customWidth="1"/>
    <col min="2050" max="2304" width="9.140625" style="569"/>
    <col min="2305" max="2305" width="100.7109375" style="569" customWidth="1"/>
    <col min="2306" max="2560" width="9.140625" style="569"/>
    <col min="2561" max="2561" width="100.7109375" style="569" customWidth="1"/>
    <col min="2562" max="2816" width="9.140625" style="569"/>
    <col min="2817" max="2817" width="100.7109375" style="569" customWidth="1"/>
    <col min="2818" max="3072" width="9.140625" style="569"/>
    <col min="3073" max="3073" width="100.7109375" style="569" customWidth="1"/>
    <col min="3074" max="3328" width="9.140625" style="569"/>
    <col min="3329" max="3329" width="100.7109375" style="569" customWidth="1"/>
    <col min="3330" max="3584" width="9.140625" style="569"/>
    <col min="3585" max="3585" width="100.7109375" style="569" customWidth="1"/>
    <col min="3586" max="3840" width="9.140625" style="569"/>
    <col min="3841" max="3841" width="100.7109375" style="569" customWidth="1"/>
    <col min="3842" max="4096" width="9.140625" style="569"/>
    <col min="4097" max="4097" width="100.7109375" style="569" customWidth="1"/>
    <col min="4098" max="4352" width="9.140625" style="569"/>
    <col min="4353" max="4353" width="100.7109375" style="569" customWidth="1"/>
    <col min="4354" max="4608" width="9.140625" style="569"/>
    <col min="4609" max="4609" width="100.7109375" style="569" customWidth="1"/>
    <col min="4610" max="4864" width="9.140625" style="569"/>
    <col min="4865" max="4865" width="100.7109375" style="569" customWidth="1"/>
    <col min="4866" max="5120" width="9.140625" style="569"/>
    <col min="5121" max="5121" width="100.7109375" style="569" customWidth="1"/>
    <col min="5122" max="5376" width="9.140625" style="569"/>
    <col min="5377" max="5377" width="100.7109375" style="569" customWidth="1"/>
    <col min="5378" max="5632" width="9.140625" style="569"/>
    <col min="5633" max="5633" width="100.7109375" style="569" customWidth="1"/>
    <col min="5634" max="5888" width="9.140625" style="569"/>
    <col min="5889" max="5889" width="100.7109375" style="569" customWidth="1"/>
    <col min="5890" max="6144" width="9.140625" style="569"/>
    <col min="6145" max="6145" width="100.7109375" style="569" customWidth="1"/>
    <col min="6146" max="6400" width="9.140625" style="569"/>
    <col min="6401" max="6401" width="100.7109375" style="569" customWidth="1"/>
    <col min="6402" max="6656" width="9.140625" style="569"/>
    <col min="6657" max="6657" width="100.7109375" style="569" customWidth="1"/>
    <col min="6658" max="6912" width="9.140625" style="569"/>
    <col min="6913" max="6913" width="100.7109375" style="569" customWidth="1"/>
    <col min="6914" max="7168" width="9.140625" style="569"/>
    <col min="7169" max="7169" width="100.7109375" style="569" customWidth="1"/>
    <col min="7170" max="7424" width="9.140625" style="569"/>
    <col min="7425" max="7425" width="100.7109375" style="569" customWidth="1"/>
    <col min="7426" max="7680" width="9.140625" style="569"/>
    <col min="7681" max="7681" width="100.7109375" style="569" customWidth="1"/>
    <col min="7682" max="7936" width="9.140625" style="569"/>
    <col min="7937" max="7937" width="100.7109375" style="569" customWidth="1"/>
    <col min="7938" max="8192" width="9.140625" style="569"/>
    <col min="8193" max="8193" width="100.7109375" style="569" customWidth="1"/>
    <col min="8194" max="8448" width="9.140625" style="569"/>
    <col min="8449" max="8449" width="100.7109375" style="569" customWidth="1"/>
    <col min="8450" max="8704" width="9.140625" style="569"/>
    <col min="8705" max="8705" width="100.7109375" style="569" customWidth="1"/>
    <col min="8706" max="8960" width="9.140625" style="569"/>
    <col min="8961" max="8961" width="100.7109375" style="569" customWidth="1"/>
    <col min="8962" max="9216" width="9.140625" style="569"/>
    <col min="9217" max="9217" width="100.7109375" style="569" customWidth="1"/>
    <col min="9218" max="9472" width="9.140625" style="569"/>
    <col min="9473" max="9473" width="100.7109375" style="569" customWidth="1"/>
    <col min="9474" max="9728" width="9.140625" style="569"/>
    <col min="9729" max="9729" width="100.7109375" style="569" customWidth="1"/>
    <col min="9730" max="9984" width="9.140625" style="569"/>
    <col min="9985" max="9985" width="100.7109375" style="569" customWidth="1"/>
    <col min="9986" max="10240" width="9.140625" style="569"/>
    <col min="10241" max="10241" width="100.7109375" style="569" customWidth="1"/>
    <col min="10242" max="10496" width="9.140625" style="569"/>
    <col min="10497" max="10497" width="100.7109375" style="569" customWidth="1"/>
    <col min="10498" max="10752" width="9.140625" style="569"/>
    <col min="10753" max="10753" width="100.7109375" style="569" customWidth="1"/>
    <col min="10754" max="11008" width="9.140625" style="569"/>
    <col min="11009" max="11009" width="100.7109375" style="569" customWidth="1"/>
    <col min="11010" max="11264" width="9.140625" style="569"/>
    <col min="11265" max="11265" width="100.7109375" style="569" customWidth="1"/>
    <col min="11266" max="11520" width="9.140625" style="569"/>
    <col min="11521" max="11521" width="100.7109375" style="569" customWidth="1"/>
    <col min="11522" max="11776" width="9.140625" style="569"/>
    <col min="11777" max="11777" width="100.7109375" style="569" customWidth="1"/>
    <col min="11778" max="12032" width="9.140625" style="569"/>
    <col min="12033" max="12033" width="100.7109375" style="569" customWidth="1"/>
    <col min="12034" max="12288" width="9.140625" style="569"/>
    <col min="12289" max="12289" width="100.7109375" style="569" customWidth="1"/>
    <col min="12290" max="12544" width="9.140625" style="569"/>
    <col min="12545" max="12545" width="100.7109375" style="569" customWidth="1"/>
    <col min="12546" max="12800" width="9.140625" style="569"/>
    <col min="12801" max="12801" width="100.7109375" style="569" customWidth="1"/>
    <col min="12802" max="13056" width="9.140625" style="569"/>
    <col min="13057" max="13057" width="100.7109375" style="569" customWidth="1"/>
    <col min="13058" max="13312" width="9.140625" style="569"/>
    <col min="13313" max="13313" width="100.7109375" style="569" customWidth="1"/>
    <col min="13314" max="13568" width="9.140625" style="569"/>
    <col min="13569" max="13569" width="100.7109375" style="569" customWidth="1"/>
    <col min="13570" max="13824" width="9.140625" style="569"/>
    <col min="13825" max="13825" width="100.7109375" style="569" customWidth="1"/>
    <col min="13826" max="14080" width="9.140625" style="569"/>
    <col min="14081" max="14081" width="100.7109375" style="569" customWidth="1"/>
    <col min="14082" max="14336" width="9.140625" style="569"/>
    <col min="14337" max="14337" width="100.7109375" style="569" customWidth="1"/>
    <col min="14338" max="14592" width="9.140625" style="569"/>
    <col min="14593" max="14593" width="100.7109375" style="569" customWidth="1"/>
    <col min="14594" max="14848" width="9.140625" style="569"/>
    <col min="14849" max="14849" width="100.7109375" style="569" customWidth="1"/>
    <col min="14850" max="15104" width="9.140625" style="569"/>
    <col min="15105" max="15105" width="100.7109375" style="569" customWidth="1"/>
    <col min="15106" max="15360" width="9.140625" style="569"/>
    <col min="15361" max="15361" width="100.7109375" style="569" customWidth="1"/>
    <col min="15362" max="15616" width="9.140625" style="569"/>
    <col min="15617" max="15617" width="100.7109375" style="569" customWidth="1"/>
    <col min="15618" max="15872" width="9.140625" style="569"/>
    <col min="15873" max="15873" width="100.7109375" style="569" customWidth="1"/>
    <col min="15874" max="16128" width="9.140625" style="569"/>
    <col min="16129" max="16129" width="100.7109375" style="569" customWidth="1"/>
    <col min="16130" max="16384" width="9.140625" style="569"/>
  </cols>
  <sheetData>
    <row r="1" spans="1:8" ht="30" customHeight="1">
      <c r="A1" s="567"/>
      <c r="B1" s="568"/>
      <c r="C1" s="568"/>
      <c r="D1" s="568"/>
      <c r="E1" s="568"/>
      <c r="F1" s="568"/>
      <c r="G1" s="568"/>
      <c r="H1" s="568"/>
    </row>
    <row r="2" spans="1:8" ht="14.25">
      <c r="A2" s="570" t="s">
        <v>944</v>
      </c>
      <c r="B2" s="568"/>
      <c r="C2" s="568"/>
      <c r="D2" s="568"/>
      <c r="E2" s="568"/>
      <c r="F2" s="568"/>
      <c r="G2" s="568"/>
      <c r="H2" s="568"/>
    </row>
    <row r="3" spans="1:8" ht="14.25">
      <c r="A3" s="570" t="s">
        <v>945</v>
      </c>
      <c r="B3" s="568"/>
      <c r="C3" s="568"/>
      <c r="D3" s="568"/>
      <c r="E3" s="568"/>
      <c r="F3" s="568"/>
      <c r="G3" s="568"/>
      <c r="H3" s="568"/>
    </row>
    <row r="4" spans="1:8" ht="14.25">
      <c r="A4" s="570" t="s">
        <v>199</v>
      </c>
      <c r="B4" s="568"/>
      <c r="C4" s="568"/>
      <c r="D4" s="568"/>
      <c r="E4" s="568"/>
      <c r="F4" s="568"/>
      <c r="G4" s="568"/>
      <c r="H4" s="568"/>
    </row>
    <row r="5" spans="1:8" ht="14.25">
      <c r="A5" s="570" t="s">
        <v>946</v>
      </c>
      <c r="B5" s="568"/>
      <c r="C5" s="568"/>
      <c r="D5" s="568"/>
      <c r="E5" s="568"/>
      <c r="F5" s="568"/>
      <c r="G5" s="568"/>
      <c r="H5" s="568"/>
    </row>
    <row r="6" spans="1:8" ht="14.25">
      <c r="A6" s="570"/>
      <c r="B6" s="568"/>
      <c r="C6" s="568"/>
      <c r="D6" s="568"/>
      <c r="E6" s="568"/>
      <c r="F6" s="568"/>
      <c r="G6" s="568"/>
      <c r="H6" s="568"/>
    </row>
    <row r="7" spans="1:8">
      <c r="A7" s="567" t="s">
        <v>947</v>
      </c>
      <c r="B7" s="568"/>
      <c r="C7" s="568"/>
      <c r="D7" s="568"/>
      <c r="E7" s="568"/>
      <c r="F7" s="568"/>
      <c r="G7" s="568"/>
      <c r="H7" s="568"/>
    </row>
    <row r="8" spans="1:8">
      <c r="A8" s="567" t="s">
        <v>948</v>
      </c>
      <c r="B8" s="568"/>
      <c r="C8" s="568"/>
      <c r="D8" s="568"/>
      <c r="E8" s="568"/>
      <c r="F8" s="568"/>
      <c r="G8" s="568"/>
      <c r="H8" s="568"/>
    </row>
    <row r="9" spans="1:8">
      <c r="A9" s="567"/>
      <c r="B9" s="568"/>
      <c r="C9" s="568"/>
      <c r="D9" s="568"/>
      <c r="E9" s="568"/>
      <c r="F9" s="568"/>
      <c r="G9" s="568"/>
      <c r="H9" s="568"/>
    </row>
    <row r="10" spans="1:8">
      <c r="A10" s="571" t="s">
        <v>949</v>
      </c>
      <c r="B10" s="568"/>
      <c r="C10" s="568"/>
      <c r="D10" s="568"/>
      <c r="E10" s="568"/>
      <c r="F10" s="568"/>
      <c r="G10" s="568"/>
      <c r="H10" s="568"/>
    </row>
    <row r="11" spans="1:8">
      <c r="A11" s="571" t="s">
        <v>950</v>
      </c>
      <c r="B11" s="568"/>
      <c r="C11" s="568"/>
      <c r="D11" s="568"/>
      <c r="E11" s="568"/>
      <c r="F11" s="568"/>
      <c r="G11" s="568"/>
      <c r="H11" s="568"/>
    </row>
    <row r="12" spans="1:8">
      <c r="A12" s="571" t="s">
        <v>951</v>
      </c>
      <c r="B12" s="568"/>
      <c r="C12" s="568"/>
      <c r="D12" s="568"/>
      <c r="E12" s="568"/>
      <c r="F12" s="568"/>
      <c r="G12" s="568"/>
      <c r="H12" s="568"/>
    </row>
    <row r="13" spans="1:8">
      <c r="A13" s="571" t="s">
        <v>952</v>
      </c>
      <c r="B13" s="568"/>
      <c r="C13" s="568"/>
      <c r="D13" s="568"/>
      <c r="E13" s="568"/>
      <c r="F13" s="568"/>
      <c r="G13" s="568"/>
      <c r="H13" s="568"/>
    </row>
    <row r="14" spans="1:8">
      <c r="A14" s="571" t="s">
        <v>953</v>
      </c>
      <c r="B14" s="568"/>
      <c r="C14" s="568"/>
      <c r="D14" s="568"/>
      <c r="E14" s="568"/>
      <c r="F14" s="568"/>
      <c r="G14" s="568"/>
      <c r="H14" s="568"/>
    </row>
    <row r="15" spans="1:8">
      <c r="A15" s="571" t="s">
        <v>954</v>
      </c>
      <c r="B15" s="568"/>
      <c r="C15" s="568"/>
      <c r="D15" s="568"/>
      <c r="E15" s="568"/>
      <c r="F15" s="568"/>
      <c r="G15" s="568"/>
      <c r="H15" s="568"/>
    </row>
    <row r="16" spans="1:8">
      <c r="A16" s="571"/>
      <c r="B16" s="568"/>
      <c r="C16" s="568"/>
      <c r="D16" s="568"/>
      <c r="E16" s="568"/>
      <c r="F16" s="568"/>
      <c r="G16" s="568"/>
      <c r="H16" s="568"/>
    </row>
    <row r="17" spans="1:8">
      <c r="A17" s="571" t="s">
        <v>941</v>
      </c>
      <c r="B17" s="568"/>
      <c r="C17" s="568"/>
      <c r="D17" s="568"/>
      <c r="E17" s="568"/>
      <c r="F17" s="568"/>
      <c r="G17" s="568"/>
      <c r="H17" s="568"/>
    </row>
    <row r="18" spans="1:8">
      <c r="A18" s="571"/>
      <c r="B18" s="568"/>
      <c r="C18" s="568"/>
      <c r="D18" s="568"/>
      <c r="E18" s="568"/>
      <c r="F18" s="568"/>
      <c r="G18" s="568"/>
      <c r="H18" s="568"/>
    </row>
    <row r="19" spans="1:8">
      <c r="A19" s="571" t="s">
        <v>942</v>
      </c>
      <c r="B19" s="568"/>
      <c r="C19" s="568"/>
      <c r="D19" s="568"/>
      <c r="E19" s="568"/>
      <c r="F19" s="568"/>
      <c r="G19" s="568"/>
      <c r="H19" s="568"/>
    </row>
    <row r="20" spans="1:8">
      <c r="A20" s="567"/>
      <c r="B20" s="568"/>
      <c r="C20" s="568"/>
      <c r="D20" s="568"/>
      <c r="E20" s="568"/>
      <c r="F20" s="568"/>
      <c r="G20" s="568"/>
      <c r="H20" s="568"/>
    </row>
    <row r="21" spans="1:8">
      <c r="A21" s="572" t="s">
        <v>943</v>
      </c>
      <c r="B21" s="568"/>
      <c r="C21" s="568"/>
      <c r="D21" s="568"/>
      <c r="E21" s="568"/>
      <c r="F21" s="568"/>
      <c r="G21" s="568"/>
      <c r="H21" s="568"/>
    </row>
    <row r="22" spans="1:8" ht="15">
      <c r="A22" s="573"/>
      <c r="B22" s="573"/>
      <c r="C22" s="573"/>
      <c r="D22" s="573"/>
      <c r="E22" s="573"/>
      <c r="F22" s="573"/>
      <c r="G22" s="573"/>
      <c r="H22" s="573"/>
    </row>
    <row r="23" spans="1:8" ht="15">
      <c r="A23" s="574" t="s">
        <v>1233</v>
      </c>
      <c r="B23" s="573"/>
      <c r="C23" s="573"/>
      <c r="D23" s="573"/>
      <c r="E23" s="573"/>
      <c r="F23" s="573"/>
      <c r="G23" s="573"/>
      <c r="H23" s="573"/>
    </row>
    <row r="24" spans="1:8" ht="15">
      <c r="A24" s="574" t="s">
        <v>1234</v>
      </c>
      <c r="B24" s="573"/>
      <c r="C24" s="573"/>
      <c r="D24" s="573"/>
      <c r="E24" s="573"/>
      <c r="F24" s="573"/>
      <c r="G24" s="573"/>
      <c r="H24" s="573"/>
    </row>
    <row r="25" spans="1:8" ht="15">
      <c r="A25" s="574" t="s">
        <v>1235</v>
      </c>
      <c r="B25" s="573"/>
      <c r="C25" s="573"/>
      <c r="D25" s="573"/>
      <c r="E25" s="573"/>
      <c r="F25" s="573"/>
      <c r="G25" s="573"/>
      <c r="H25" s="573"/>
    </row>
    <row r="26" spans="1:8" ht="15">
      <c r="A26" s="574" t="s">
        <v>1236</v>
      </c>
      <c r="B26" s="573"/>
      <c r="C26" s="573"/>
      <c r="D26" s="573"/>
      <c r="E26" s="573"/>
      <c r="F26" s="573"/>
      <c r="G26" s="573"/>
      <c r="H26" s="573"/>
    </row>
    <row r="27" spans="1:8" ht="15">
      <c r="A27" s="573"/>
      <c r="B27" s="573"/>
      <c r="C27" s="573"/>
      <c r="D27" s="573"/>
      <c r="E27" s="573"/>
      <c r="F27" s="573"/>
      <c r="G27" s="573"/>
      <c r="H27" s="573"/>
    </row>
    <row r="28" spans="1:8" ht="15">
      <c r="A28" s="573"/>
      <c r="B28" s="573"/>
      <c r="C28" s="573"/>
      <c r="D28" s="573"/>
      <c r="E28" s="573"/>
      <c r="F28" s="573"/>
      <c r="G28" s="573"/>
      <c r="H28" s="573"/>
    </row>
    <row r="29" spans="1:8" ht="15">
      <c r="A29" s="574" t="s">
        <v>1228</v>
      </c>
      <c r="B29" s="573"/>
      <c r="C29" s="573"/>
      <c r="D29" s="573"/>
      <c r="E29" s="573"/>
      <c r="F29" s="573"/>
      <c r="G29" s="573"/>
      <c r="H29" s="573"/>
    </row>
    <row r="30" spans="1:8" ht="15">
      <c r="A30" s="574" t="s">
        <v>1229</v>
      </c>
      <c r="B30" s="573"/>
      <c r="C30" s="573"/>
      <c r="D30" s="573"/>
      <c r="E30" s="573"/>
      <c r="F30" s="573"/>
      <c r="G30" s="573"/>
      <c r="H30" s="573"/>
    </row>
    <row r="31" spans="1:8" ht="15">
      <c r="A31" s="574" t="s">
        <v>1230</v>
      </c>
      <c r="B31" s="573"/>
      <c r="C31" s="573"/>
      <c r="D31" s="573"/>
      <c r="E31" s="573"/>
      <c r="F31" s="573"/>
      <c r="G31" s="573"/>
      <c r="H31" s="573"/>
    </row>
    <row r="32" spans="1:8" ht="15">
      <c r="A32" s="574" t="s">
        <v>1231</v>
      </c>
      <c r="B32" s="573"/>
      <c r="C32" s="573"/>
      <c r="D32" s="573"/>
      <c r="E32" s="573"/>
      <c r="F32" s="573"/>
      <c r="G32" s="573"/>
      <c r="H32" s="573"/>
    </row>
    <row r="33" spans="1:8" ht="15">
      <c r="A33" s="574" t="s">
        <v>1232</v>
      </c>
      <c r="B33" s="573"/>
      <c r="C33" s="573"/>
      <c r="D33" s="573"/>
      <c r="E33" s="573"/>
      <c r="F33" s="573"/>
      <c r="G33" s="573"/>
      <c r="H33" s="573"/>
    </row>
    <row r="34" spans="1:8" ht="15">
      <c r="A34" s="573"/>
      <c r="B34" s="573"/>
      <c r="C34" s="573"/>
      <c r="D34" s="573"/>
      <c r="E34" s="573"/>
      <c r="F34" s="573"/>
      <c r="G34" s="573"/>
      <c r="H34" s="573"/>
    </row>
    <row r="35" spans="1:8" ht="15">
      <c r="A35" s="574" t="s">
        <v>1224</v>
      </c>
      <c r="B35" s="573"/>
      <c r="C35" s="573"/>
      <c r="D35" s="573"/>
      <c r="E35" s="573"/>
      <c r="F35" s="573"/>
      <c r="G35" s="573"/>
      <c r="H35" s="573"/>
    </row>
    <row r="36" spans="1:8" ht="15">
      <c r="A36" s="574" t="s">
        <v>1225</v>
      </c>
      <c r="B36" s="573"/>
      <c r="C36" s="573"/>
      <c r="D36" s="573"/>
      <c r="E36" s="573"/>
      <c r="F36" s="573"/>
      <c r="G36" s="573"/>
      <c r="H36" s="573"/>
    </row>
    <row r="37" spans="1:8" ht="15">
      <c r="A37" s="574" t="s">
        <v>1226</v>
      </c>
      <c r="B37" s="573"/>
      <c r="C37" s="573"/>
      <c r="D37" s="573"/>
      <c r="E37" s="573"/>
      <c r="F37" s="573"/>
      <c r="G37" s="573"/>
      <c r="H37" s="573"/>
    </row>
    <row r="38" spans="1:8" ht="15">
      <c r="A38" s="574" t="s">
        <v>1227</v>
      </c>
      <c r="B38" s="573"/>
      <c r="C38" s="573"/>
      <c r="D38" s="573"/>
      <c r="E38" s="573"/>
      <c r="F38" s="573"/>
      <c r="G38" s="573"/>
      <c r="H38" s="573"/>
    </row>
    <row r="39" spans="1:8" ht="15">
      <c r="A39" s="573"/>
      <c r="B39" s="573"/>
      <c r="C39" s="573"/>
      <c r="D39" s="573"/>
      <c r="E39" s="573"/>
      <c r="F39" s="573"/>
      <c r="G39" s="573"/>
      <c r="H39" s="573"/>
    </row>
    <row r="40" spans="1:8" ht="15">
      <c r="A40" s="574" t="s">
        <v>1218</v>
      </c>
      <c r="B40" s="573"/>
      <c r="C40" s="573"/>
      <c r="D40" s="573"/>
      <c r="E40" s="573"/>
      <c r="F40" s="573"/>
      <c r="G40" s="573"/>
      <c r="H40" s="573"/>
    </row>
    <row r="41" spans="1:8" ht="15">
      <c r="A41" s="574" t="s">
        <v>1219</v>
      </c>
      <c r="B41" s="573"/>
      <c r="C41" s="573"/>
      <c r="D41" s="573"/>
      <c r="E41" s="573"/>
      <c r="F41" s="573"/>
      <c r="G41" s="573"/>
      <c r="H41" s="573"/>
    </row>
    <row r="42" spans="1:8" ht="15">
      <c r="A42" s="574" t="s">
        <v>1220</v>
      </c>
      <c r="B42" s="573"/>
      <c r="C42" s="573"/>
      <c r="D42" s="573"/>
      <c r="E42" s="573"/>
      <c r="F42" s="573"/>
      <c r="G42" s="573"/>
      <c r="H42" s="573"/>
    </row>
    <row r="43" spans="1:8" ht="15">
      <c r="A43" s="574" t="s">
        <v>1221</v>
      </c>
      <c r="B43" s="573"/>
      <c r="C43" s="573"/>
      <c r="D43" s="573"/>
      <c r="E43" s="573"/>
      <c r="F43" s="573"/>
      <c r="G43" s="573"/>
      <c r="H43" s="573"/>
    </row>
    <row r="44" spans="1:8" ht="15">
      <c r="A44" s="574" t="s">
        <v>1222</v>
      </c>
      <c r="B44" s="573"/>
      <c r="C44" s="573"/>
      <c r="D44" s="573"/>
      <c r="E44" s="573"/>
      <c r="F44" s="573"/>
      <c r="G44" s="573"/>
      <c r="H44" s="573"/>
    </row>
    <row r="45" spans="1:8" ht="15">
      <c r="A45" s="574" t="s">
        <v>1223</v>
      </c>
      <c r="B45" s="573"/>
      <c r="C45" s="573"/>
      <c r="D45" s="573"/>
      <c r="E45" s="573"/>
      <c r="F45" s="573"/>
      <c r="G45" s="573"/>
      <c r="H45" s="573"/>
    </row>
    <row r="46" spans="1:8" ht="15">
      <c r="A46" s="573"/>
      <c r="B46" s="573"/>
      <c r="C46" s="573"/>
      <c r="D46" s="573"/>
      <c r="E46" s="573"/>
      <c r="F46" s="573"/>
      <c r="G46" s="573"/>
      <c r="H46" s="573"/>
    </row>
    <row r="47" spans="1:8" ht="15.75">
      <c r="A47" s="575" t="s">
        <v>955</v>
      </c>
      <c r="B47" s="573"/>
      <c r="C47" s="573"/>
      <c r="D47" s="573"/>
      <c r="E47" s="573"/>
      <c r="F47" s="573"/>
      <c r="G47" s="573"/>
      <c r="H47" s="573"/>
    </row>
    <row r="48" spans="1:8" ht="15">
      <c r="A48" s="573"/>
      <c r="B48" s="573"/>
      <c r="C48" s="573"/>
      <c r="D48" s="573"/>
      <c r="E48" s="573"/>
      <c r="F48" s="573"/>
      <c r="G48" s="573"/>
      <c r="H48" s="573"/>
    </row>
    <row r="49" spans="1:8" ht="15">
      <c r="A49" s="574" t="s">
        <v>1214</v>
      </c>
      <c r="B49" s="573"/>
      <c r="C49" s="573"/>
      <c r="D49" s="573"/>
      <c r="E49" s="573"/>
      <c r="F49" s="573"/>
      <c r="G49" s="573"/>
      <c r="H49" s="573"/>
    </row>
    <row r="50" spans="1:8" ht="15">
      <c r="A50" s="574" t="s">
        <v>1215</v>
      </c>
      <c r="B50" s="573"/>
      <c r="C50" s="573"/>
      <c r="D50" s="573"/>
      <c r="E50" s="573"/>
      <c r="F50" s="573"/>
      <c r="G50" s="573"/>
      <c r="H50" s="573"/>
    </row>
    <row r="51" spans="1:8" ht="15">
      <c r="A51" s="574" t="s">
        <v>1216</v>
      </c>
      <c r="B51" s="573"/>
      <c r="C51" s="573"/>
      <c r="D51" s="573"/>
      <c r="E51" s="573"/>
      <c r="F51" s="573"/>
      <c r="G51" s="573"/>
      <c r="H51" s="573"/>
    </row>
    <row r="52" spans="1:8" ht="15">
      <c r="A52" s="574" t="s">
        <v>1217</v>
      </c>
      <c r="B52" s="573"/>
      <c r="C52" s="573"/>
      <c r="D52" s="573"/>
      <c r="E52" s="573"/>
      <c r="F52" s="573"/>
      <c r="G52" s="573"/>
      <c r="H52" s="573"/>
    </row>
    <row r="53" spans="1:8" ht="15">
      <c r="A53" s="573"/>
      <c r="B53" s="573"/>
      <c r="C53" s="573"/>
      <c r="D53" s="573"/>
      <c r="E53" s="573"/>
      <c r="F53" s="573"/>
      <c r="G53" s="573"/>
      <c r="H53" s="573"/>
    </row>
    <row r="54" spans="1:8" ht="15">
      <c r="A54" s="574" t="s">
        <v>956</v>
      </c>
      <c r="B54" s="573"/>
      <c r="C54" s="573"/>
      <c r="D54" s="573"/>
      <c r="E54" s="573"/>
      <c r="F54" s="573"/>
      <c r="G54" s="573"/>
      <c r="H54" s="573"/>
    </row>
    <row r="55" spans="1:8" ht="15">
      <c r="A55" s="573"/>
      <c r="B55" s="573"/>
      <c r="C55" s="573"/>
      <c r="D55" s="573"/>
      <c r="E55" s="573"/>
      <c r="F55" s="573"/>
      <c r="G55" s="573"/>
      <c r="H55" s="573"/>
    </row>
    <row r="56" spans="1:8" ht="15.75">
      <c r="A56" s="575" t="s">
        <v>957</v>
      </c>
      <c r="B56" s="573"/>
      <c r="C56" s="573"/>
      <c r="D56" s="573"/>
      <c r="E56" s="573"/>
      <c r="F56" s="573"/>
      <c r="G56" s="573"/>
      <c r="H56" s="573"/>
    </row>
    <row r="57" spans="1:8" ht="15">
      <c r="A57" s="573"/>
      <c r="B57" s="573"/>
      <c r="C57" s="573"/>
      <c r="D57" s="573"/>
      <c r="E57" s="573"/>
      <c r="F57" s="573"/>
      <c r="G57" s="573"/>
      <c r="H57" s="573"/>
    </row>
    <row r="58" spans="1:8" ht="15">
      <c r="A58" s="574" t="s">
        <v>1212</v>
      </c>
      <c r="B58" s="573"/>
      <c r="C58" s="573"/>
      <c r="D58" s="573"/>
      <c r="E58" s="573"/>
      <c r="F58" s="573"/>
      <c r="G58" s="573"/>
      <c r="H58" s="573"/>
    </row>
    <row r="59" spans="1:8" ht="15">
      <c r="A59" s="574" t="s">
        <v>1213</v>
      </c>
      <c r="B59" s="573"/>
      <c r="C59" s="573"/>
      <c r="D59" s="573"/>
      <c r="E59" s="573"/>
      <c r="F59" s="573"/>
      <c r="G59" s="573"/>
      <c r="H59" s="573"/>
    </row>
    <row r="60" spans="1:8" ht="15">
      <c r="A60" s="573"/>
      <c r="B60" s="573"/>
      <c r="C60" s="573"/>
      <c r="D60" s="573"/>
      <c r="E60" s="573"/>
      <c r="F60" s="573"/>
      <c r="G60" s="573"/>
      <c r="H60" s="573"/>
    </row>
    <row r="61" spans="1:8" ht="15.75">
      <c r="A61" s="575" t="s">
        <v>958</v>
      </c>
      <c r="B61" s="573"/>
      <c r="C61" s="573"/>
      <c r="D61" s="573"/>
      <c r="E61" s="573"/>
      <c r="F61" s="573"/>
      <c r="G61" s="573"/>
      <c r="H61" s="573"/>
    </row>
    <row r="62" spans="1:8" ht="15">
      <c r="A62" s="573"/>
      <c r="B62" s="573"/>
      <c r="C62" s="573"/>
      <c r="D62" s="573"/>
      <c r="E62" s="573"/>
      <c r="F62" s="573"/>
      <c r="G62" s="573"/>
      <c r="H62" s="573"/>
    </row>
    <row r="63" spans="1:8" ht="15">
      <c r="A63" s="574" t="s">
        <v>1210</v>
      </c>
      <c r="B63" s="573"/>
      <c r="C63" s="573"/>
      <c r="D63" s="573"/>
      <c r="E63" s="573"/>
      <c r="F63" s="573"/>
      <c r="G63" s="573"/>
      <c r="H63" s="573"/>
    </row>
    <row r="64" spans="1:8" ht="15">
      <c r="A64" s="574" t="s">
        <v>1211</v>
      </c>
      <c r="B64" s="573"/>
      <c r="C64" s="573"/>
      <c r="D64" s="573"/>
      <c r="E64" s="573"/>
      <c r="F64" s="573"/>
      <c r="G64" s="573"/>
      <c r="H64" s="573"/>
    </row>
    <row r="65" spans="1:8" ht="15">
      <c r="A65" s="573"/>
      <c r="B65" s="573"/>
      <c r="C65" s="573"/>
      <c r="D65" s="573"/>
      <c r="E65" s="573"/>
      <c r="F65" s="573"/>
      <c r="G65" s="573"/>
      <c r="H65" s="573"/>
    </row>
    <row r="66" spans="1:8" ht="15">
      <c r="A66" s="574" t="s">
        <v>1208</v>
      </c>
      <c r="B66" s="573"/>
      <c r="C66" s="573"/>
      <c r="D66" s="573"/>
      <c r="E66" s="573"/>
      <c r="F66" s="573"/>
      <c r="G66" s="573"/>
      <c r="H66" s="573"/>
    </row>
    <row r="67" spans="1:8" ht="15">
      <c r="A67" s="574" t="s">
        <v>1209</v>
      </c>
      <c r="B67" s="573"/>
      <c r="C67" s="573"/>
      <c r="D67" s="573"/>
      <c r="E67" s="573"/>
      <c r="F67" s="573"/>
      <c r="G67" s="573"/>
      <c r="H67" s="573"/>
    </row>
    <row r="68" spans="1:8" ht="15">
      <c r="A68" s="573"/>
      <c r="B68" s="573"/>
      <c r="C68" s="573"/>
      <c r="D68" s="573"/>
      <c r="E68" s="573"/>
      <c r="F68" s="573"/>
      <c r="G68" s="573"/>
      <c r="H68" s="573"/>
    </row>
    <row r="69" spans="1:8" ht="15">
      <c r="A69" s="574" t="s">
        <v>1206</v>
      </c>
      <c r="B69" s="573"/>
      <c r="C69" s="573"/>
      <c r="D69" s="573"/>
      <c r="E69" s="573"/>
      <c r="F69" s="573"/>
      <c r="G69" s="573"/>
      <c r="H69" s="573"/>
    </row>
    <row r="70" spans="1:8" ht="15">
      <c r="A70" s="574" t="s">
        <v>1207</v>
      </c>
      <c r="B70" s="573"/>
      <c r="C70" s="573"/>
      <c r="D70" s="573"/>
      <c r="E70" s="573"/>
      <c r="F70" s="573"/>
      <c r="G70" s="573"/>
      <c r="H70" s="573"/>
    </row>
    <row r="71" spans="1:8" ht="15">
      <c r="A71" s="573"/>
      <c r="B71" s="573"/>
      <c r="C71" s="573"/>
      <c r="D71" s="573"/>
      <c r="E71" s="573"/>
      <c r="F71" s="573"/>
      <c r="G71" s="573"/>
      <c r="H71" s="573"/>
    </row>
    <row r="72" spans="1:8" ht="15">
      <c r="A72" s="574" t="s">
        <v>1203</v>
      </c>
      <c r="B72" s="573"/>
      <c r="C72" s="573"/>
      <c r="D72" s="573"/>
      <c r="E72" s="573"/>
      <c r="F72" s="573"/>
      <c r="G72" s="573"/>
      <c r="H72" s="573"/>
    </row>
    <row r="73" spans="1:8" ht="15">
      <c r="A73" s="574" t="s">
        <v>1204</v>
      </c>
      <c r="B73" s="573"/>
      <c r="C73" s="573"/>
      <c r="D73" s="573"/>
      <c r="E73" s="573"/>
      <c r="F73" s="573"/>
      <c r="G73" s="573"/>
      <c r="H73" s="573"/>
    </row>
    <row r="74" spans="1:8" ht="15">
      <c r="A74" s="574" t="s">
        <v>1205</v>
      </c>
      <c r="B74" s="573"/>
      <c r="C74" s="573"/>
      <c r="D74" s="573"/>
      <c r="E74" s="573"/>
      <c r="F74" s="573"/>
      <c r="G74" s="573"/>
      <c r="H74" s="573"/>
    </row>
    <row r="75" spans="1:8" ht="15">
      <c r="A75" s="573"/>
      <c r="B75" s="573"/>
      <c r="C75" s="573"/>
      <c r="D75" s="573"/>
      <c r="E75" s="573"/>
      <c r="F75" s="573"/>
      <c r="G75" s="573"/>
      <c r="H75" s="573"/>
    </row>
    <row r="76" spans="1:8" ht="15">
      <c r="A76" s="574" t="s">
        <v>959</v>
      </c>
      <c r="B76" s="573"/>
      <c r="C76" s="573"/>
      <c r="D76" s="573"/>
      <c r="E76" s="573"/>
      <c r="F76" s="573"/>
      <c r="G76" s="573"/>
      <c r="H76" s="573"/>
    </row>
    <row r="77" spans="1:8" ht="15">
      <c r="A77" s="573"/>
      <c r="B77" s="573"/>
      <c r="C77" s="573"/>
      <c r="D77" s="573"/>
      <c r="E77" s="573"/>
      <c r="F77" s="573"/>
      <c r="G77" s="573"/>
      <c r="H77" s="573"/>
    </row>
    <row r="78" spans="1:8" ht="15">
      <c r="A78" s="574" t="s">
        <v>1198</v>
      </c>
      <c r="B78" s="573"/>
      <c r="C78" s="573"/>
      <c r="D78" s="573"/>
      <c r="E78" s="573"/>
      <c r="F78" s="573"/>
      <c r="G78" s="573"/>
      <c r="H78" s="573"/>
    </row>
    <row r="79" spans="1:8" ht="15">
      <c r="A79" s="574" t="s">
        <v>1199</v>
      </c>
      <c r="B79" s="573"/>
      <c r="C79" s="573"/>
      <c r="D79" s="573"/>
      <c r="E79" s="573"/>
      <c r="F79" s="573"/>
      <c r="G79" s="573"/>
      <c r="H79" s="573"/>
    </row>
    <row r="80" spans="1:8" ht="15">
      <c r="A80" s="574" t="s">
        <v>1200</v>
      </c>
      <c r="B80" s="573"/>
      <c r="C80" s="573"/>
      <c r="D80" s="573"/>
      <c r="E80" s="573"/>
      <c r="F80" s="573"/>
      <c r="G80" s="573"/>
      <c r="H80" s="573"/>
    </row>
    <row r="81" spans="1:8" ht="15">
      <c r="A81" s="574" t="s">
        <v>1201</v>
      </c>
      <c r="B81" s="573"/>
      <c r="C81" s="573"/>
      <c r="D81" s="573"/>
      <c r="E81" s="573"/>
      <c r="F81" s="573"/>
      <c r="G81" s="573"/>
      <c r="H81" s="573"/>
    </row>
    <row r="82" spans="1:8" ht="15">
      <c r="A82" s="574" t="s">
        <v>1202</v>
      </c>
      <c r="B82" s="573"/>
      <c r="C82" s="573"/>
      <c r="D82" s="573"/>
      <c r="E82" s="573"/>
      <c r="F82" s="573"/>
      <c r="G82" s="573"/>
      <c r="H82" s="573"/>
    </row>
    <row r="83" spans="1:8" ht="15">
      <c r="A83" s="574" t="s">
        <v>1085</v>
      </c>
      <c r="B83" s="573"/>
      <c r="C83" s="573"/>
      <c r="D83" s="573"/>
      <c r="E83" s="573"/>
      <c r="F83" s="573"/>
      <c r="G83" s="573"/>
      <c r="H83" s="573"/>
    </row>
    <row r="84" spans="1:8" ht="15">
      <c r="A84" s="573"/>
      <c r="B84" s="573"/>
      <c r="C84" s="573"/>
      <c r="D84" s="573"/>
      <c r="E84" s="573"/>
      <c r="F84" s="573"/>
      <c r="G84" s="573"/>
      <c r="H84" s="573"/>
    </row>
    <row r="85" spans="1:8" ht="15">
      <c r="A85" s="574" t="s">
        <v>1191</v>
      </c>
      <c r="B85" s="573"/>
      <c r="C85" s="573"/>
      <c r="D85" s="573"/>
      <c r="E85" s="573"/>
      <c r="F85" s="573"/>
      <c r="G85" s="573"/>
      <c r="H85" s="573"/>
    </row>
    <row r="86" spans="1:8" ht="15">
      <c r="A86" s="574" t="s">
        <v>1192</v>
      </c>
      <c r="B86" s="573"/>
      <c r="C86" s="573"/>
      <c r="D86" s="573"/>
      <c r="E86" s="573"/>
      <c r="F86" s="573"/>
      <c r="G86" s="573"/>
      <c r="H86" s="573"/>
    </row>
    <row r="87" spans="1:8" ht="15">
      <c r="A87" s="574" t="s">
        <v>1193</v>
      </c>
      <c r="B87" s="573"/>
      <c r="C87" s="573"/>
      <c r="D87" s="573"/>
      <c r="E87" s="573"/>
      <c r="F87" s="573"/>
      <c r="G87" s="573"/>
      <c r="H87" s="573"/>
    </row>
    <row r="88" spans="1:8" ht="15">
      <c r="A88" s="574" t="s">
        <v>1194</v>
      </c>
      <c r="B88" s="573"/>
      <c r="C88" s="573"/>
      <c r="D88" s="573"/>
      <c r="E88" s="573"/>
      <c r="F88" s="573"/>
      <c r="G88" s="573"/>
      <c r="H88" s="573"/>
    </row>
    <row r="89" spans="1:8" ht="15">
      <c r="A89" s="574" t="s">
        <v>1195</v>
      </c>
      <c r="B89" s="573"/>
      <c r="C89" s="573"/>
      <c r="D89" s="573"/>
      <c r="E89" s="573"/>
      <c r="F89" s="573"/>
      <c r="G89" s="573"/>
      <c r="H89" s="573"/>
    </row>
    <row r="90" spans="1:8" ht="15">
      <c r="A90" s="574" t="s">
        <v>1196</v>
      </c>
      <c r="B90" s="573"/>
      <c r="C90" s="573"/>
      <c r="D90" s="573"/>
      <c r="E90" s="573"/>
      <c r="F90" s="573"/>
      <c r="G90" s="573"/>
      <c r="H90" s="573"/>
    </row>
    <row r="91" spans="1:8" ht="15">
      <c r="A91" s="574" t="s">
        <v>1197</v>
      </c>
      <c r="B91" s="573"/>
      <c r="C91" s="573"/>
      <c r="D91" s="573"/>
      <c r="E91" s="573"/>
      <c r="F91" s="573"/>
      <c r="G91" s="573"/>
      <c r="H91" s="573"/>
    </row>
    <row r="92" spans="1:8" ht="15">
      <c r="A92" s="573"/>
      <c r="B92" s="573"/>
      <c r="C92" s="573"/>
      <c r="D92" s="573"/>
      <c r="E92" s="573"/>
      <c r="F92" s="573"/>
      <c r="G92" s="573"/>
      <c r="H92" s="573"/>
    </row>
    <row r="93" spans="1:8" ht="15">
      <c r="A93" s="574" t="s">
        <v>1189</v>
      </c>
      <c r="B93" s="573"/>
      <c r="C93" s="573"/>
      <c r="D93" s="573"/>
      <c r="E93" s="573"/>
      <c r="F93" s="573"/>
      <c r="G93" s="573"/>
      <c r="H93" s="573"/>
    </row>
    <row r="94" spans="1:8" ht="15">
      <c r="A94" s="574" t="s">
        <v>1190</v>
      </c>
      <c r="B94" s="573"/>
      <c r="C94" s="573"/>
      <c r="D94" s="573"/>
      <c r="E94" s="573"/>
      <c r="F94" s="573"/>
      <c r="G94" s="573"/>
      <c r="H94" s="573"/>
    </row>
    <row r="95" spans="1:8" ht="15">
      <c r="A95" s="573"/>
      <c r="B95" s="573"/>
      <c r="C95" s="573"/>
      <c r="D95" s="573"/>
      <c r="E95" s="573"/>
      <c r="F95" s="573"/>
      <c r="G95" s="573"/>
      <c r="H95" s="573"/>
    </row>
    <row r="96" spans="1:8" ht="15.75">
      <c r="A96" s="575" t="s">
        <v>960</v>
      </c>
      <c r="B96" s="573"/>
      <c r="C96" s="573"/>
      <c r="D96" s="573"/>
      <c r="E96" s="573"/>
      <c r="F96" s="573"/>
      <c r="G96" s="573"/>
      <c r="H96" s="573"/>
    </row>
    <row r="97" spans="1:8" ht="15">
      <c r="A97" s="573"/>
      <c r="B97" s="573"/>
      <c r="C97" s="573"/>
      <c r="D97" s="573"/>
      <c r="E97" s="573"/>
      <c r="F97" s="573"/>
      <c r="G97" s="573"/>
      <c r="H97" s="573"/>
    </row>
    <row r="98" spans="1:8" ht="15">
      <c r="A98" s="574" t="s">
        <v>1180</v>
      </c>
      <c r="B98" s="573"/>
      <c r="C98" s="573"/>
      <c r="D98" s="573"/>
      <c r="E98" s="573"/>
      <c r="F98" s="573"/>
      <c r="G98" s="573"/>
      <c r="H98" s="573"/>
    </row>
    <row r="99" spans="1:8" ht="15">
      <c r="A99" s="574" t="s">
        <v>1181</v>
      </c>
      <c r="B99" s="573"/>
      <c r="C99" s="573"/>
      <c r="D99" s="573"/>
      <c r="E99" s="573"/>
      <c r="F99" s="573"/>
      <c r="G99" s="573"/>
      <c r="H99" s="573"/>
    </row>
    <row r="100" spans="1:8" ht="15">
      <c r="A100" s="574" t="s">
        <v>1182</v>
      </c>
      <c r="B100" s="573"/>
      <c r="C100" s="573"/>
      <c r="D100" s="573"/>
      <c r="E100" s="573"/>
      <c r="F100" s="573"/>
      <c r="G100" s="573"/>
      <c r="H100" s="573"/>
    </row>
    <row r="101" spans="1:8" ht="15">
      <c r="A101" s="574" t="s">
        <v>1183</v>
      </c>
      <c r="B101" s="573"/>
      <c r="C101" s="573"/>
      <c r="D101" s="573"/>
      <c r="E101" s="573"/>
      <c r="F101" s="573"/>
      <c r="G101" s="573"/>
      <c r="H101" s="573"/>
    </row>
    <row r="102" spans="1:8" ht="15">
      <c r="A102" s="574" t="s">
        <v>1184</v>
      </c>
      <c r="B102" s="573"/>
      <c r="C102" s="573"/>
      <c r="D102" s="573"/>
      <c r="E102" s="573"/>
      <c r="F102" s="573"/>
      <c r="G102" s="573"/>
      <c r="H102" s="573"/>
    </row>
    <row r="103" spans="1:8" ht="15">
      <c r="A103" s="574" t="s">
        <v>1185</v>
      </c>
      <c r="B103" s="573"/>
      <c r="C103" s="573"/>
      <c r="D103" s="573"/>
      <c r="E103" s="573"/>
      <c r="F103" s="573"/>
      <c r="G103" s="573"/>
      <c r="H103" s="573"/>
    </row>
    <row r="104" spans="1:8" ht="15">
      <c r="A104" s="574" t="s">
        <v>1186</v>
      </c>
      <c r="B104" s="573"/>
      <c r="C104" s="573"/>
      <c r="D104" s="573"/>
      <c r="E104" s="573"/>
      <c r="F104" s="573"/>
      <c r="G104" s="573"/>
      <c r="H104" s="573"/>
    </row>
    <row r="105" spans="1:8" ht="15">
      <c r="A105" s="574" t="s">
        <v>1187</v>
      </c>
      <c r="B105" s="573"/>
      <c r="C105" s="573"/>
      <c r="D105" s="573"/>
      <c r="E105" s="573"/>
      <c r="F105" s="573"/>
      <c r="G105" s="573"/>
      <c r="H105" s="573"/>
    </row>
    <row r="106" spans="1:8" ht="15">
      <c r="A106" s="574" t="s">
        <v>1188</v>
      </c>
      <c r="B106" s="573"/>
      <c r="C106" s="573"/>
      <c r="D106" s="573"/>
      <c r="E106" s="573"/>
      <c r="F106" s="573"/>
      <c r="G106" s="573"/>
      <c r="H106" s="573"/>
    </row>
    <row r="107" spans="1:8" ht="15">
      <c r="A107" s="573"/>
      <c r="B107" s="573"/>
      <c r="C107" s="573"/>
      <c r="D107" s="573"/>
      <c r="E107" s="573"/>
      <c r="F107" s="573"/>
      <c r="G107" s="573"/>
      <c r="H107" s="573"/>
    </row>
    <row r="108" spans="1:8" ht="15.75">
      <c r="A108" s="576" t="s">
        <v>961</v>
      </c>
      <c r="B108" s="576"/>
      <c r="C108" s="576"/>
      <c r="D108" s="576"/>
      <c r="E108" s="576"/>
      <c r="F108" s="576"/>
      <c r="G108" s="576"/>
      <c r="H108" s="576"/>
    </row>
    <row r="109" spans="1:8">
      <c r="A109" s="577" t="s">
        <v>962</v>
      </c>
      <c r="B109" s="577"/>
      <c r="C109" s="577"/>
      <c r="D109" s="577"/>
      <c r="E109" s="577"/>
      <c r="F109" s="577"/>
      <c r="G109" s="577"/>
      <c r="H109" s="577"/>
    </row>
    <row r="110" spans="1:8" ht="15">
      <c r="A110" s="578"/>
      <c r="B110" s="578"/>
      <c r="C110" s="578"/>
      <c r="D110" s="578"/>
      <c r="E110" s="578"/>
      <c r="F110" s="578"/>
      <c r="G110" s="578"/>
      <c r="H110" s="578"/>
    </row>
    <row r="111" spans="1:8">
      <c r="A111" s="577" t="s">
        <v>1178</v>
      </c>
      <c r="B111" s="577"/>
      <c r="C111" s="577"/>
      <c r="D111" s="577"/>
      <c r="E111" s="577"/>
      <c r="F111" s="577"/>
      <c r="G111" s="577"/>
      <c r="H111" s="577"/>
    </row>
    <row r="112" spans="1:8">
      <c r="A112" s="574" t="s">
        <v>1179</v>
      </c>
      <c r="B112" s="574"/>
      <c r="C112" s="574"/>
      <c r="D112" s="574"/>
      <c r="E112" s="574"/>
      <c r="F112" s="574"/>
      <c r="G112" s="574"/>
      <c r="H112" s="574"/>
    </row>
    <row r="113" spans="1:8" ht="15">
      <c r="A113" s="578"/>
      <c r="B113" s="578"/>
      <c r="C113" s="578"/>
      <c r="D113" s="578"/>
      <c r="E113" s="578"/>
      <c r="F113" s="578"/>
      <c r="G113" s="578"/>
      <c r="H113" s="578"/>
    </row>
    <row r="114" spans="1:8">
      <c r="A114" s="577" t="s">
        <v>1171</v>
      </c>
      <c r="B114" s="577"/>
      <c r="C114" s="577"/>
      <c r="D114" s="577"/>
      <c r="E114" s="577"/>
      <c r="F114" s="577"/>
      <c r="G114" s="577"/>
      <c r="H114" s="577"/>
    </row>
    <row r="115" spans="1:8">
      <c r="A115" s="574" t="s">
        <v>1172</v>
      </c>
      <c r="B115" s="574"/>
      <c r="C115" s="574"/>
      <c r="D115" s="574"/>
      <c r="E115" s="574"/>
      <c r="F115" s="574"/>
      <c r="G115" s="574"/>
      <c r="H115" s="574"/>
    </row>
    <row r="116" spans="1:8">
      <c r="A116" s="574" t="s">
        <v>1173</v>
      </c>
      <c r="B116" s="574"/>
      <c r="C116" s="574"/>
      <c r="D116" s="574"/>
      <c r="E116" s="574"/>
      <c r="F116" s="574"/>
      <c r="G116" s="574"/>
      <c r="H116" s="574"/>
    </row>
    <row r="117" spans="1:8">
      <c r="A117" s="574" t="s">
        <v>1174</v>
      </c>
      <c r="B117" s="574"/>
      <c r="C117" s="574"/>
      <c r="D117" s="574"/>
      <c r="E117" s="574"/>
      <c r="F117" s="574"/>
      <c r="G117" s="574"/>
      <c r="H117" s="574"/>
    </row>
    <row r="118" spans="1:8">
      <c r="A118" s="574" t="s">
        <v>1175</v>
      </c>
      <c r="B118" s="574"/>
      <c r="C118" s="574"/>
      <c r="D118" s="574"/>
      <c r="E118" s="574"/>
      <c r="F118" s="574"/>
      <c r="G118" s="574"/>
      <c r="H118" s="574"/>
    </row>
    <row r="119" spans="1:8">
      <c r="A119" s="574" t="s">
        <v>1176</v>
      </c>
      <c r="B119" s="574"/>
      <c r="C119" s="574"/>
      <c r="D119" s="574"/>
      <c r="E119" s="574"/>
      <c r="F119" s="574"/>
      <c r="G119" s="574"/>
      <c r="H119" s="574"/>
    </row>
    <row r="120" spans="1:8">
      <c r="A120" s="574" t="s">
        <v>1177</v>
      </c>
      <c r="B120" s="574"/>
      <c r="C120" s="574"/>
      <c r="D120" s="574"/>
      <c r="E120" s="574"/>
      <c r="F120" s="574"/>
      <c r="G120" s="574"/>
      <c r="H120" s="574"/>
    </row>
    <row r="121" spans="1:8" ht="15">
      <c r="A121" s="579"/>
      <c r="B121" s="579"/>
      <c r="C121" s="579"/>
      <c r="D121" s="579"/>
      <c r="E121" s="579"/>
      <c r="F121" s="579"/>
      <c r="G121" s="579"/>
      <c r="H121" s="579"/>
    </row>
    <row r="122" spans="1:8">
      <c r="A122" s="580"/>
      <c r="B122" s="581" t="s">
        <v>963</v>
      </c>
      <c r="C122" s="582"/>
      <c r="D122" s="581" t="s">
        <v>964</v>
      </c>
      <c r="E122" s="583"/>
      <c r="F122" s="582"/>
      <c r="G122" s="581" t="s">
        <v>965</v>
      </c>
      <c r="H122" s="582"/>
    </row>
    <row r="123" spans="1:8">
      <c r="A123" s="580" t="s">
        <v>966</v>
      </c>
      <c r="B123" s="580" t="s">
        <v>571</v>
      </c>
      <c r="C123" s="580" t="s">
        <v>967</v>
      </c>
      <c r="D123" s="580" t="s">
        <v>571</v>
      </c>
      <c r="E123" s="580" t="s">
        <v>968</v>
      </c>
      <c r="F123" s="580" t="s">
        <v>969</v>
      </c>
      <c r="G123" s="580" t="s">
        <v>571</v>
      </c>
      <c r="H123" s="580" t="s">
        <v>970</v>
      </c>
    </row>
    <row r="124" spans="1:8">
      <c r="A124" s="580" t="s">
        <v>971</v>
      </c>
      <c r="B124" s="580">
        <v>1189</v>
      </c>
      <c r="C124" s="584">
        <v>0.38</v>
      </c>
      <c r="D124" s="580">
        <v>315</v>
      </c>
      <c r="E124" s="584">
        <v>0.41</v>
      </c>
      <c r="F124" s="584">
        <v>0.26</v>
      </c>
      <c r="G124" s="580">
        <v>555</v>
      </c>
      <c r="H124" s="584">
        <v>0.39</v>
      </c>
    </row>
    <row r="125" spans="1:8">
      <c r="A125" s="580" t="s">
        <v>972</v>
      </c>
      <c r="B125" s="580">
        <v>1355</v>
      </c>
      <c r="C125" s="584">
        <v>0.43</v>
      </c>
      <c r="D125" s="580">
        <v>364</v>
      </c>
      <c r="E125" s="584">
        <v>0.47</v>
      </c>
      <c r="F125" s="584">
        <v>0.27</v>
      </c>
      <c r="G125" s="580">
        <v>644</v>
      </c>
      <c r="H125" s="584">
        <v>0.45</v>
      </c>
    </row>
    <row r="126" spans="1:8">
      <c r="A126" s="580" t="s">
        <v>973</v>
      </c>
      <c r="B126" s="580">
        <v>53</v>
      </c>
      <c r="C126" s="584">
        <v>0.02</v>
      </c>
      <c r="D126" s="580">
        <v>4</v>
      </c>
      <c r="E126" s="584">
        <v>0.01</v>
      </c>
      <c r="F126" s="584">
        <v>0.08</v>
      </c>
      <c r="G126" s="580">
        <v>7</v>
      </c>
      <c r="H126" s="584">
        <v>0</v>
      </c>
    </row>
    <row r="127" spans="1:8">
      <c r="A127" s="580" t="s">
        <v>974</v>
      </c>
      <c r="B127" s="580">
        <v>545</v>
      </c>
      <c r="C127" s="584">
        <v>0.17</v>
      </c>
      <c r="D127" s="580">
        <v>84</v>
      </c>
      <c r="E127" s="584">
        <v>0.11</v>
      </c>
      <c r="F127" s="584">
        <v>0.15</v>
      </c>
      <c r="G127" s="580">
        <v>214</v>
      </c>
      <c r="H127" s="584">
        <v>0.15</v>
      </c>
    </row>
    <row r="128" spans="1:8">
      <c r="A128" s="580" t="s">
        <v>86</v>
      </c>
      <c r="B128" s="585">
        <v>3142</v>
      </c>
      <c r="C128" s="580"/>
      <c r="D128" s="580">
        <v>767</v>
      </c>
      <c r="E128" s="580"/>
      <c r="F128" s="580"/>
      <c r="G128" s="580">
        <v>1420</v>
      </c>
      <c r="H128" s="580"/>
    </row>
    <row r="129" spans="1:8" ht="15">
      <c r="A129" s="586"/>
      <c r="B129" s="586"/>
      <c r="C129" s="586"/>
      <c r="D129" s="586"/>
      <c r="E129" s="586"/>
      <c r="F129" s="586"/>
      <c r="G129" s="586"/>
      <c r="H129" s="586"/>
    </row>
    <row r="130" spans="1:8">
      <c r="A130" s="577" t="s">
        <v>1167</v>
      </c>
      <c r="B130" s="577"/>
      <c r="C130" s="577"/>
      <c r="D130" s="577"/>
      <c r="E130" s="577"/>
      <c r="F130" s="577"/>
      <c r="G130" s="577"/>
      <c r="H130" s="577"/>
    </row>
    <row r="131" spans="1:8">
      <c r="A131" s="574" t="s">
        <v>1168</v>
      </c>
      <c r="B131" s="574"/>
      <c r="C131" s="574"/>
      <c r="D131" s="574"/>
      <c r="E131" s="574"/>
      <c r="F131" s="574"/>
      <c r="G131" s="574"/>
      <c r="H131" s="574"/>
    </row>
    <row r="132" spans="1:8">
      <c r="A132" s="574" t="s">
        <v>1169</v>
      </c>
      <c r="B132" s="574"/>
      <c r="C132" s="574"/>
      <c r="D132" s="574"/>
      <c r="E132" s="574"/>
      <c r="F132" s="574"/>
      <c r="G132" s="574"/>
      <c r="H132" s="574"/>
    </row>
    <row r="133" spans="1:8">
      <c r="A133" s="574" t="s">
        <v>1170</v>
      </c>
      <c r="B133" s="574"/>
      <c r="C133" s="574"/>
      <c r="D133" s="574"/>
      <c r="E133" s="574"/>
      <c r="F133" s="574"/>
      <c r="G133" s="574"/>
      <c r="H133" s="574"/>
    </row>
    <row r="134" spans="1:8" ht="15">
      <c r="A134" s="573"/>
      <c r="B134" s="573"/>
      <c r="C134" s="573"/>
      <c r="D134" s="573"/>
      <c r="E134" s="573"/>
      <c r="F134" s="573"/>
      <c r="G134" s="573"/>
      <c r="H134" s="573"/>
    </row>
    <row r="135" spans="1:8" ht="15.75">
      <c r="A135" s="575" t="s">
        <v>975</v>
      </c>
      <c r="B135" s="573"/>
      <c r="C135" s="573"/>
      <c r="D135" s="573"/>
      <c r="E135" s="573"/>
      <c r="F135" s="573"/>
      <c r="G135" s="573"/>
      <c r="H135" s="573"/>
    </row>
    <row r="136" spans="1:8" ht="15">
      <c r="A136" s="573"/>
      <c r="B136" s="573"/>
      <c r="C136" s="573"/>
      <c r="D136" s="573"/>
      <c r="E136" s="573"/>
      <c r="F136" s="573"/>
      <c r="G136" s="573"/>
      <c r="H136" s="573"/>
    </row>
    <row r="137" spans="1:8" ht="15">
      <c r="A137" s="574" t="s">
        <v>1165</v>
      </c>
      <c r="B137" s="573"/>
      <c r="C137" s="573"/>
      <c r="D137" s="573"/>
      <c r="E137" s="573"/>
      <c r="F137" s="573"/>
      <c r="G137" s="573"/>
      <c r="H137" s="573"/>
    </row>
    <row r="138" spans="1:8" ht="15">
      <c r="A138" s="574" t="s">
        <v>1166</v>
      </c>
      <c r="B138" s="573"/>
      <c r="C138" s="573"/>
      <c r="D138" s="573"/>
      <c r="E138" s="573"/>
      <c r="F138" s="573"/>
      <c r="G138" s="573"/>
      <c r="H138" s="573"/>
    </row>
    <row r="139" spans="1:8" ht="15">
      <c r="A139" s="573"/>
      <c r="B139" s="573"/>
      <c r="C139" s="573"/>
      <c r="D139" s="573"/>
      <c r="E139" s="573"/>
      <c r="F139" s="573"/>
      <c r="G139" s="573"/>
      <c r="H139" s="573"/>
    </row>
    <row r="140" spans="1:8" ht="15">
      <c r="A140" s="574" t="s">
        <v>1162</v>
      </c>
      <c r="B140" s="573"/>
      <c r="C140" s="573"/>
      <c r="D140" s="573"/>
      <c r="E140" s="573"/>
      <c r="F140" s="573"/>
      <c r="G140" s="573"/>
      <c r="H140" s="573"/>
    </row>
    <row r="141" spans="1:8" ht="15">
      <c r="A141" s="574" t="s">
        <v>1163</v>
      </c>
      <c r="B141" s="573"/>
      <c r="C141" s="573"/>
      <c r="D141" s="573"/>
      <c r="E141" s="573"/>
      <c r="F141" s="573"/>
      <c r="G141" s="573"/>
      <c r="H141" s="573"/>
    </row>
    <row r="142" spans="1:8" ht="15">
      <c r="A142" s="574" t="s">
        <v>1164</v>
      </c>
      <c r="B142" s="573"/>
      <c r="C142" s="573"/>
      <c r="D142" s="573"/>
      <c r="E142" s="573"/>
      <c r="F142" s="573"/>
      <c r="G142" s="573"/>
      <c r="H142" s="573"/>
    </row>
    <row r="143" spans="1:8" ht="15">
      <c r="A143" s="573"/>
      <c r="B143" s="573"/>
      <c r="C143" s="573"/>
      <c r="D143" s="573"/>
      <c r="E143" s="573"/>
      <c r="F143" s="573"/>
      <c r="G143" s="573"/>
      <c r="H143" s="573"/>
    </row>
    <row r="144" spans="1:8" ht="15">
      <c r="A144" s="574" t="s">
        <v>1159</v>
      </c>
      <c r="B144" s="573"/>
      <c r="C144" s="573"/>
      <c r="D144" s="573"/>
      <c r="E144" s="573"/>
      <c r="F144" s="573"/>
      <c r="G144" s="573"/>
      <c r="H144" s="573"/>
    </row>
    <row r="145" spans="1:8" ht="15">
      <c r="A145" s="574" t="s">
        <v>1160</v>
      </c>
      <c r="B145" s="573"/>
      <c r="C145" s="573"/>
      <c r="D145" s="573"/>
      <c r="E145" s="573"/>
      <c r="F145" s="573"/>
      <c r="G145" s="573"/>
      <c r="H145" s="573"/>
    </row>
    <row r="146" spans="1:8" ht="15">
      <c r="A146" s="574" t="s">
        <v>1161</v>
      </c>
      <c r="B146" s="573"/>
      <c r="C146" s="573"/>
      <c r="D146" s="573"/>
      <c r="E146" s="573"/>
      <c r="F146" s="573"/>
      <c r="G146" s="573"/>
      <c r="H146" s="573"/>
    </row>
    <row r="147" spans="1:8" ht="15">
      <c r="A147" s="573"/>
      <c r="B147" s="573"/>
      <c r="C147" s="573"/>
      <c r="D147" s="573"/>
      <c r="E147" s="573"/>
      <c r="F147" s="573"/>
      <c r="G147" s="573"/>
      <c r="H147" s="573"/>
    </row>
    <row r="148" spans="1:8" ht="15">
      <c r="A148" s="574" t="s">
        <v>1156</v>
      </c>
      <c r="B148" s="573"/>
      <c r="C148" s="573"/>
      <c r="D148" s="573"/>
      <c r="E148" s="573"/>
      <c r="F148" s="573"/>
      <c r="G148" s="573"/>
      <c r="H148" s="573"/>
    </row>
    <row r="149" spans="1:8" ht="15">
      <c r="A149" s="574" t="s">
        <v>1157</v>
      </c>
      <c r="B149" s="573"/>
      <c r="C149" s="573"/>
      <c r="D149" s="573"/>
      <c r="E149" s="573"/>
      <c r="F149" s="573"/>
      <c r="G149" s="573"/>
      <c r="H149" s="573"/>
    </row>
    <row r="150" spans="1:8" ht="15">
      <c r="A150" s="574" t="s">
        <v>1158</v>
      </c>
      <c r="B150" s="573"/>
      <c r="C150" s="573"/>
      <c r="D150" s="573"/>
      <c r="E150" s="573"/>
      <c r="F150" s="573"/>
      <c r="G150" s="573"/>
      <c r="H150" s="573"/>
    </row>
    <row r="151" spans="1:8" ht="15">
      <c r="A151" s="573"/>
      <c r="B151" s="573"/>
      <c r="C151" s="573"/>
      <c r="D151" s="573"/>
      <c r="E151" s="573"/>
      <c r="F151" s="573"/>
      <c r="G151" s="573"/>
      <c r="H151" s="573"/>
    </row>
    <row r="152" spans="1:8" ht="15">
      <c r="A152" s="574" t="s">
        <v>1154</v>
      </c>
      <c r="B152" s="573"/>
      <c r="C152" s="573"/>
      <c r="D152" s="573"/>
      <c r="E152" s="573"/>
      <c r="F152" s="573"/>
      <c r="G152" s="573"/>
      <c r="H152" s="573"/>
    </row>
    <row r="153" spans="1:8" ht="15">
      <c r="A153" s="574" t="s">
        <v>1155</v>
      </c>
      <c r="B153" s="573"/>
      <c r="C153" s="573"/>
      <c r="D153" s="573"/>
      <c r="E153" s="573"/>
      <c r="F153" s="573"/>
      <c r="G153" s="573"/>
      <c r="H153" s="573"/>
    </row>
    <row r="154" spans="1:8" ht="15">
      <c r="A154" s="573"/>
      <c r="B154" s="573"/>
      <c r="C154" s="573"/>
      <c r="D154" s="573"/>
      <c r="E154" s="573"/>
      <c r="F154" s="573"/>
      <c r="G154" s="573"/>
      <c r="H154" s="573"/>
    </row>
    <row r="155" spans="1:8" ht="15.75">
      <c r="A155" s="575" t="s">
        <v>976</v>
      </c>
      <c r="B155" s="573"/>
      <c r="C155" s="573"/>
      <c r="D155" s="573"/>
      <c r="E155" s="573"/>
      <c r="F155" s="573"/>
      <c r="G155" s="573"/>
      <c r="H155" s="573"/>
    </row>
    <row r="156" spans="1:8" ht="15">
      <c r="A156" s="573"/>
      <c r="B156" s="573"/>
      <c r="C156" s="573"/>
      <c r="D156" s="573"/>
      <c r="E156" s="573"/>
      <c r="F156" s="573"/>
      <c r="G156" s="573"/>
      <c r="H156" s="573"/>
    </row>
    <row r="157" spans="1:8" ht="15">
      <c r="A157" s="574" t="s">
        <v>1152</v>
      </c>
      <c r="B157" s="573"/>
      <c r="C157" s="573"/>
      <c r="D157" s="573"/>
      <c r="E157" s="573"/>
      <c r="F157" s="573"/>
      <c r="G157" s="573"/>
      <c r="H157" s="573"/>
    </row>
    <row r="158" spans="1:8" ht="15">
      <c r="A158" s="574" t="s">
        <v>1153</v>
      </c>
      <c r="B158" s="573"/>
      <c r="C158" s="573"/>
      <c r="D158" s="573"/>
      <c r="E158" s="573"/>
      <c r="F158" s="573"/>
      <c r="G158" s="573"/>
      <c r="H158" s="573"/>
    </row>
    <row r="159" spans="1:8" ht="15">
      <c r="A159" s="573"/>
      <c r="B159" s="573"/>
      <c r="C159" s="573"/>
      <c r="D159" s="573"/>
      <c r="E159" s="573"/>
      <c r="F159" s="573"/>
      <c r="G159" s="573"/>
      <c r="H159" s="573"/>
    </row>
    <row r="160" spans="1:8" ht="15">
      <c r="A160" s="574" t="s">
        <v>1150</v>
      </c>
      <c r="B160" s="573"/>
      <c r="C160" s="573"/>
      <c r="D160" s="573"/>
      <c r="E160" s="573"/>
      <c r="F160" s="573"/>
      <c r="G160" s="573"/>
      <c r="H160" s="573"/>
    </row>
    <row r="161" spans="1:8" ht="15">
      <c r="A161" s="574" t="s">
        <v>1151</v>
      </c>
      <c r="B161" s="573"/>
      <c r="C161" s="573"/>
      <c r="D161" s="573"/>
      <c r="E161" s="573"/>
      <c r="F161" s="573"/>
      <c r="G161" s="573"/>
      <c r="H161" s="573"/>
    </row>
    <row r="162" spans="1:8" ht="15">
      <c r="A162" s="573"/>
      <c r="B162" s="573"/>
      <c r="C162" s="573"/>
      <c r="D162" s="573"/>
      <c r="E162" s="573"/>
      <c r="F162" s="573"/>
      <c r="G162" s="573"/>
      <c r="H162" s="573"/>
    </row>
    <row r="163" spans="1:8" ht="15">
      <c r="A163" s="574" t="s">
        <v>1148</v>
      </c>
      <c r="B163" s="573"/>
      <c r="C163" s="573"/>
      <c r="D163" s="573"/>
      <c r="E163" s="573"/>
      <c r="F163" s="573"/>
      <c r="G163" s="573"/>
      <c r="H163" s="573"/>
    </row>
    <row r="164" spans="1:8" ht="15">
      <c r="A164" s="574" t="s">
        <v>1149</v>
      </c>
      <c r="B164" s="573"/>
      <c r="C164" s="573"/>
      <c r="D164" s="573"/>
      <c r="E164" s="573"/>
      <c r="F164" s="573"/>
      <c r="G164" s="573"/>
      <c r="H164" s="573"/>
    </row>
    <row r="165" spans="1:8" ht="15">
      <c r="A165" s="573"/>
      <c r="B165" s="573"/>
      <c r="C165" s="573"/>
      <c r="D165" s="573"/>
      <c r="E165" s="573"/>
      <c r="F165" s="573"/>
      <c r="G165" s="573"/>
      <c r="H165" s="573"/>
    </row>
    <row r="166" spans="1:8" ht="15">
      <c r="A166" s="574" t="s">
        <v>1145</v>
      </c>
      <c r="B166" s="573"/>
      <c r="C166" s="573"/>
      <c r="D166" s="573"/>
      <c r="E166" s="573"/>
      <c r="F166" s="573"/>
      <c r="G166" s="573"/>
      <c r="H166" s="573"/>
    </row>
    <row r="167" spans="1:8" ht="15">
      <c r="A167" s="574" t="s">
        <v>1146</v>
      </c>
      <c r="B167" s="573"/>
      <c r="C167" s="573"/>
      <c r="D167" s="573"/>
      <c r="E167" s="573"/>
      <c r="F167" s="573"/>
      <c r="G167" s="573"/>
      <c r="H167" s="573"/>
    </row>
    <row r="168" spans="1:8" ht="15">
      <c r="A168" s="574" t="s">
        <v>1147</v>
      </c>
      <c r="B168" s="573"/>
      <c r="C168" s="573"/>
      <c r="D168" s="573"/>
      <c r="E168" s="573"/>
      <c r="F168" s="573"/>
      <c r="G168" s="573"/>
      <c r="H168" s="573"/>
    </row>
    <row r="169" spans="1:8" ht="15">
      <c r="A169" s="573"/>
      <c r="B169" s="573"/>
      <c r="C169" s="573"/>
      <c r="D169" s="573"/>
      <c r="E169" s="573"/>
      <c r="F169" s="573"/>
      <c r="G169" s="573"/>
      <c r="H169" s="573"/>
    </row>
    <row r="170" spans="1:8" ht="15">
      <c r="A170" s="573"/>
      <c r="B170" s="573"/>
      <c r="C170" s="573"/>
      <c r="D170" s="573"/>
      <c r="E170" s="573"/>
      <c r="F170" s="573"/>
      <c r="G170" s="573"/>
      <c r="H170" s="573"/>
    </row>
    <row r="171" spans="1:8" ht="15">
      <c r="A171" s="574" t="s">
        <v>977</v>
      </c>
      <c r="B171" s="573"/>
      <c r="C171" s="573"/>
      <c r="D171" s="573"/>
      <c r="E171" s="573"/>
      <c r="F171" s="573"/>
      <c r="G171" s="573"/>
      <c r="H171" s="573"/>
    </row>
    <row r="172" spans="1:8" ht="15">
      <c r="A172" s="573"/>
      <c r="B172" s="573"/>
      <c r="C172" s="573"/>
      <c r="D172" s="573"/>
      <c r="E172" s="573"/>
      <c r="F172" s="573"/>
      <c r="G172" s="573"/>
      <c r="H172" s="573"/>
    </row>
    <row r="173" spans="1:8" ht="15.75">
      <c r="A173" s="575" t="s">
        <v>978</v>
      </c>
      <c r="B173" s="573"/>
      <c r="C173" s="573"/>
      <c r="D173" s="573"/>
      <c r="E173" s="573"/>
      <c r="F173" s="573"/>
      <c r="G173" s="573"/>
      <c r="H173" s="573"/>
    </row>
    <row r="174" spans="1:8" ht="15">
      <c r="A174" s="573"/>
      <c r="B174" s="573"/>
      <c r="C174" s="573"/>
      <c r="D174" s="573"/>
      <c r="E174" s="573"/>
      <c r="F174" s="573"/>
      <c r="G174" s="573"/>
      <c r="H174" s="573"/>
    </row>
    <row r="175" spans="1:8" ht="15">
      <c r="A175" s="573"/>
      <c r="B175" s="573"/>
      <c r="C175" s="573"/>
      <c r="D175" s="573"/>
      <c r="E175" s="573"/>
      <c r="F175" s="573"/>
      <c r="G175" s="573"/>
      <c r="H175" s="573"/>
    </row>
    <row r="176" spans="1:8" ht="15">
      <c r="A176" s="573"/>
      <c r="B176" s="573"/>
      <c r="C176" s="573"/>
      <c r="D176" s="573"/>
      <c r="E176" s="573"/>
      <c r="F176" s="573"/>
      <c r="G176" s="573"/>
      <c r="H176" s="573"/>
    </row>
    <row r="177" spans="1:8" ht="15">
      <c r="A177" s="573"/>
      <c r="B177" s="573"/>
      <c r="C177" s="573"/>
      <c r="D177" s="573"/>
      <c r="E177" s="573"/>
      <c r="F177" s="573"/>
      <c r="G177" s="573"/>
      <c r="H177" s="573"/>
    </row>
    <row r="178" spans="1:8" ht="15">
      <c r="A178" s="573"/>
      <c r="B178" s="573"/>
      <c r="C178" s="573"/>
      <c r="D178" s="573"/>
      <c r="E178" s="573"/>
      <c r="F178" s="573"/>
      <c r="G178" s="573"/>
      <c r="H178" s="573"/>
    </row>
    <row r="179" spans="1:8" ht="15">
      <c r="A179" s="573"/>
      <c r="B179" s="573"/>
      <c r="C179" s="573"/>
      <c r="D179" s="573"/>
      <c r="E179" s="573"/>
      <c r="F179" s="573"/>
      <c r="G179" s="573"/>
      <c r="H179" s="573"/>
    </row>
    <row r="180" spans="1:8" ht="15">
      <c r="A180" s="573"/>
      <c r="B180" s="573"/>
      <c r="C180" s="573"/>
      <c r="D180" s="573"/>
      <c r="E180" s="573"/>
      <c r="F180" s="573"/>
      <c r="G180" s="573"/>
      <c r="H180" s="573"/>
    </row>
    <row r="181" spans="1:8" ht="15">
      <c r="A181" s="573"/>
      <c r="B181" s="573"/>
      <c r="C181" s="573"/>
      <c r="D181" s="573"/>
      <c r="E181" s="573"/>
      <c r="F181" s="573"/>
      <c r="G181" s="573"/>
      <c r="H181" s="573"/>
    </row>
    <row r="182" spans="1:8" ht="15">
      <c r="A182" s="573"/>
      <c r="B182" s="573"/>
      <c r="C182" s="573"/>
      <c r="D182" s="573"/>
      <c r="E182" s="573"/>
      <c r="F182" s="573"/>
      <c r="G182" s="573"/>
      <c r="H182" s="573"/>
    </row>
    <row r="183" spans="1:8" ht="15">
      <c r="A183" s="573"/>
      <c r="B183" s="573"/>
      <c r="C183" s="573"/>
      <c r="D183" s="573"/>
      <c r="E183" s="573"/>
      <c r="F183" s="573"/>
      <c r="G183" s="573"/>
      <c r="H183" s="573"/>
    </row>
    <row r="184" spans="1:8" ht="15">
      <c r="A184" s="573"/>
      <c r="B184" s="573"/>
      <c r="C184" s="573"/>
      <c r="D184" s="573"/>
      <c r="E184" s="573"/>
      <c r="F184" s="573"/>
      <c r="G184" s="573"/>
      <c r="H184" s="573"/>
    </row>
    <row r="185" spans="1:8" ht="15">
      <c r="A185" s="573"/>
      <c r="B185" s="573"/>
      <c r="C185" s="573"/>
      <c r="D185" s="573"/>
      <c r="E185" s="573"/>
      <c r="F185" s="573"/>
      <c r="G185" s="573"/>
      <c r="H185" s="573"/>
    </row>
    <row r="186" spans="1:8" ht="15">
      <c r="A186" s="573"/>
      <c r="B186" s="573"/>
      <c r="C186" s="573"/>
      <c r="D186" s="573"/>
      <c r="E186" s="573"/>
      <c r="F186" s="573"/>
      <c r="G186" s="573"/>
      <c r="H186" s="573"/>
    </row>
    <row r="187" spans="1:8" ht="15">
      <c r="A187" s="573"/>
      <c r="B187" s="573"/>
      <c r="C187" s="573"/>
      <c r="D187" s="573"/>
      <c r="E187" s="573"/>
      <c r="F187" s="573"/>
      <c r="G187" s="573"/>
      <c r="H187" s="573"/>
    </row>
    <row r="188" spans="1:8" ht="15">
      <c r="A188" s="573"/>
      <c r="B188" s="573"/>
      <c r="C188" s="573"/>
      <c r="D188" s="573"/>
      <c r="E188" s="573"/>
      <c r="F188" s="573"/>
      <c r="G188" s="573"/>
      <c r="H188" s="573"/>
    </row>
    <row r="189" spans="1:8" ht="15">
      <c r="A189" s="573"/>
      <c r="B189" s="573"/>
      <c r="C189" s="573"/>
      <c r="D189" s="573"/>
      <c r="E189" s="573"/>
      <c r="F189" s="573"/>
      <c r="G189" s="573"/>
      <c r="H189" s="573"/>
    </row>
    <row r="190" spans="1:8" ht="15">
      <c r="A190" s="573"/>
      <c r="B190" s="573"/>
      <c r="C190" s="573"/>
      <c r="D190" s="573"/>
      <c r="E190" s="573"/>
      <c r="F190" s="573"/>
      <c r="G190" s="573"/>
      <c r="H190" s="573"/>
    </row>
    <row r="191" spans="1:8" ht="15">
      <c r="A191" s="573"/>
      <c r="B191" s="573"/>
      <c r="C191" s="573"/>
      <c r="D191" s="573"/>
      <c r="E191" s="573"/>
      <c r="F191" s="573"/>
      <c r="G191" s="573"/>
      <c r="H191" s="573"/>
    </row>
    <row r="192" spans="1:8" ht="15">
      <c r="A192" s="573"/>
      <c r="B192" s="573"/>
      <c r="C192" s="573"/>
      <c r="D192" s="573"/>
      <c r="E192" s="573"/>
      <c r="F192" s="573"/>
      <c r="G192" s="573"/>
      <c r="H192" s="573"/>
    </row>
    <row r="193" spans="1:8" ht="15">
      <c r="A193" s="573"/>
      <c r="B193" s="573"/>
      <c r="C193" s="573"/>
      <c r="D193" s="573"/>
      <c r="E193" s="573"/>
      <c r="F193" s="573"/>
      <c r="G193" s="573"/>
      <c r="H193" s="573"/>
    </row>
    <row r="194" spans="1:8" ht="15">
      <c r="A194" s="573"/>
      <c r="B194" s="573"/>
      <c r="C194" s="573"/>
      <c r="D194" s="573"/>
      <c r="E194" s="573"/>
      <c r="F194" s="573"/>
      <c r="G194" s="573"/>
      <c r="H194" s="573"/>
    </row>
    <row r="195" spans="1:8" ht="15">
      <c r="A195" s="573"/>
      <c r="B195" s="573"/>
      <c r="C195" s="573"/>
      <c r="D195" s="573"/>
      <c r="E195" s="573"/>
      <c r="F195" s="573"/>
      <c r="G195" s="573"/>
      <c r="H195" s="573"/>
    </row>
    <row r="196" spans="1:8" ht="15">
      <c r="A196" s="573"/>
      <c r="B196" s="573"/>
      <c r="C196" s="573"/>
      <c r="D196" s="573"/>
      <c r="E196" s="573"/>
      <c r="F196" s="573"/>
      <c r="G196" s="573"/>
      <c r="H196" s="573"/>
    </row>
    <row r="197" spans="1:8" ht="15">
      <c r="A197" s="573"/>
      <c r="B197" s="573"/>
      <c r="C197" s="573"/>
      <c r="D197" s="573"/>
      <c r="E197" s="573"/>
      <c r="F197" s="573"/>
      <c r="G197" s="573"/>
      <c r="H197" s="573"/>
    </row>
    <row r="198" spans="1:8" ht="15">
      <c r="A198" s="573"/>
      <c r="B198" s="573"/>
      <c r="C198" s="573"/>
      <c r="D198" s="573"/>
      <c r="E198" s="573"/>
      <c r="F198" s="573"/>
      <c r="G198" s="573"/>
      <c r="H198" s="573"/>
    </row>
    <row r="199" spans="1:8" ht="15">
      <c r="A199" s="573"/>
      <c r="B199" s="573"/>
      <c r="C199" s="573"/>
      <c r="D199" s="573"/>
      <c r="E199" s="573"/>
      <c r="F199" s="573"/>
      <c r="G199" s="573"/>
      <c r="H199" s="573"/>
    </row>
    <row r="200" spans="1:8" ht="15.75">
      <c r="A200" s="575" t="s">
        <v>979</v>
      </c>
      <c r="B200" s="573"/>
      <c r="C200" s="573"/>
      <c r="D200" s="573"/>
      <c r="E200" s="573"/>
      <c r="F200" s="573"/>
      <c r="G200" s="573"/>
      <c r="H200" s="573"/>
    </row>
    <row r="201" spans="1:8" ht="15">
      <c r="A201" s="573"/>
      <c r="B201" s="573"/>
      <c r="C201" s="573"/>
      <c r="D201" s="573"/>
      <c r="E201" s="573"/>
      <c r="F201" s="573"/>
      <c r="G201" s="573"/>
      <c r="H201" s="573"/>
    </row>
    <row r="202" spans="1:8" ht="15">
      <c r="A202" s="574" t="s">
        <v>1140</v>
      </c>
      <c r="B202" s="573"/>
      <c r="C202" s="573"/>
      <c r="D202" s="573"/>
      <c r="E202" s="573"/>
      <c r="F202" s="573"/>
      <c r="G202" s="573"/>
      <c r="H202" s="573"/>
    </row>
    <row r="203" spans="1:8" ht="15">
      <c r="A203" s="574" t="s">
        <v>1141</v>
      </c>
      <c r="B203" s="573"/>
      <c r="C203" s="573"/>
      <c r="D203" s="573"/>
      <c r="E203" s="573"/>
      <c r="F203" s="573"/>
      <c r="G203" s="573"/>
      <c r="H203" s="573"/>
    </row>
    <row r="204" spans="1:8" ht="15">
      <c r="A204" s="574" t="s">
        <v>1142</v>
      </c>
      <c r="B204" s="573"/>
      <c r="C204" s="573"/>
      <c r="D204" s="573"/>
      <c r="E204" s="573"/>
      <c r="F204" s="573"/>
      <c r="G204" s="573"/>
      <c r="H204" s="573"/>
    </row>
    <row r="205" spans="1:8" ht="15">
      <c r="A205" s="574" t="s">
        <v>1143</v>
      </c>
      <c r="B205" s="573"/>
      <c r="C205" s="573"/>
      <c r="D205" s="573"/>
      <c r="E205" s="573"/>
      <c r="F205" s="573"/>
      <c r="G205" s="573"/>
      <c r="H205" s="573"/>
    </row>
    <row r="206" spans="1:8" ht="15">
      <c r="A206" s="574" t="s">
        <v>1144</v>
      </c>
      <c r="B206" s="573"/>
      <c r="C206" s="573"/>
      <c r="D206" s="573"/>
      <c r="E206" s="573"/>
      <c r="F206" s="573"/>
      <c r="G206" s="573"/>
      <c r="H206" s="573"/>
    </row>
    <row r="207" spans="1:8" ht="15">
      <c r="A207" s="573"/>
      <c r="B207" s="573"/>
      <c r="C207" s="573"/>
      <c r="D207" s="573"/>
      <c r="E207" s="573"/>
      <c r="F207" s="573"/>
      <c r="G207" s="573"/>
      <c r="H207" s="573"/>
    </row>
    <row r="208" spans="1:8" ht="15">
      <c r="A208" s="574" t="s">
        <v>1137</v>
      </c>
      <c r="B208" s="573"/>
      <c r="C208" s="573"/>
      <c r="D208" s="573"/>
      <c r="E208" s="573"/>
      <c r="F208" s="573"/>
      <c r="G208" s="573"/>
      <c r="H208" s="573"/>
    </row>
    <row r="209" spans="1:8" ht="15">
      <c r="A209" s="574" t="s">
        <v>1138</v>
      </c>
      <c r="B209" s="573"/>
      <c r="C209" s="573"/>
      <c r="D209" s="573"/>
      <c r="E209" s="573"/>
      <c r="F209" s="573"/>
      <c r="G209" s="573"/>
      <c r="H209" s="573"/>
    </row>
    <row r="210" spans="1:8" ht="15">
      <c r="A210" s="574" t="s">
        <v>1139</v>
      </c>
      <c r="B210" s="573"/>
      <c r="C210" s="573"/>
      <c r="D210" s="573"/>
      <c r="E210" s="573"/>
      <c r="F210" s="573"/>
      <c r="G210" s="573"/>
      <c r="H210" s="573"/>
    </row>
    <row r="211" spans="1:8" ht="15.75">
      <c r="A211" s="575" t="s">
        <v>980</v>
      </c>
      <c r="B211" s="573"/>
      <c r="C211" s="573"/>
      <c r="D211" s="573"/>
      <c r="E211" s="573"/>
      <c r="F211" s="573"/>
      <c r="G211" s="573"/>
      <c r="H211" s="573"/>
    </row>
    <row r="212" spans="1:8" ht="15">
      <c r="A212" s="573"/>
      <c r="B212" s="573"/>
      <c r="C212" s="573"/>
      <c r="D212" s="573"/>
      <c r="E212" s="573"/>
      <c r="F212" s="573"/>
      <c r="G212" s="573"/>
      <c r="H212" s="573"/>
    </row>
    <row r="213" spans="1:8" ht="15">
      <c r="A213" s="574" t="s">
        <v>1135</v>
      </c>
      <c r="B213" s="573"/>
      <c r="C213" s="573"/>
      <c r="D213" s="573"/>
      <c r="E213" s="573"/>
      <c r="F213" s="573"/>
      <c r="G213" s="573"/>
      <c r="H213" s="573"/>
    </row>
    <row r="214" spans="1:8" ht="15">
      <c r="A214" s="574" t="s">
        <v>1136</v>
      </c>
      <c r="B214" s="573"/>
      <c r="C214" s="573"/>
      <c r="D214" s="573"/>
      <c r="E214" s="573"/>
      <c r="F214" s="573"/>
      <c r="G214" s="573"/>
      <c r="H214" s="573"/>
    </row>
    <row r="215" spans="1:8" ht="15">
      <c r="A215" s="573"/>
      <c r="B215" s="573"/>
      <c r="C215" s="573"/>
      <c r="D215" s="573"/>
      <c r="E215" s="573"/>
      <c r="F215" s="573"/>
      <c r="G215" s="573"/>
      <c r="H215" s="573"/>
    </row>
    <row r="216" spans="1:8" ht="15">
      <c r="A216" s="574" t="s">
        <v>1128</v>
      </c>
      <c r="B216" s="573"/>
      <c r="C216" s="573"/>
      <c r="D216" s="573"/>
      <c r="E216" s="573"/>
      <c r="F216" s="573"/>
      <c r="G216" s="573"/>
      <c r="H216" s="573"/>
    </row>
    <row r="217" spans="1:8" ht="15">
      <c r="A217" s="574" t="s">
        <v>1129</v>
      </c>
      <c r="B217" s="573"/>
      <c r="C217" s="573"/>
      <c r="D217" s="573"/>
      <c r="E217" s="573"/>
      <c r="F217" s="573"/>
      <c r="G217" s="573"/>
      <c r="H217" s="573"/>
    </row>
    <row r="218" spans="1:8" ht="15">
      <c r="A218" s="574" t="s">
        <v>1130</v>
      </c>
      <c r="B218" s="573"/>
      <c r="C218" s="573"/>
      <c r="D218" s="573"/>
      <c r="E218" s="573"/>
      <c r="F218" s="573"/>
      <c r="G218" s="573"/>
      <c r="H218" s="573"/>
    </row>
    <row r="219" spans="1:8" ht="15">
      <c r="A219" s="574" t="s">
        <v>1131</v>
      </c>
      <c r="B219" s="573"/>
      <c r="C219" s="573"/>
      <c r="D219" s="573"/>
      <c r="E219" s="573"/>
      <c r="F219" s="573"/>
      <c r="G219" s="573"/>
      <c r="H219" s="573"/>
    </row>
    <row r="220" spans="1:8" ht="15">
      <c r="A220" s="574" t="s">
        <v>1132</v>
      </c>
      <c r="B220" s="573"/>
      <c r="C220" s="573"/>
      <c r="D220" s="573"/>
      <c r="E220" s="573"/>
      <c r="F220" s="573"/>
      <c r="G220" s="573"/>
      <c r="H220" s="573"/>
    </row>
    <row r="221" spans="1:8" ht="15">
      <c r="A221" s="574" t="s">
        <v>1133</v>
      </c>
      <c r="B221" s="573"/>
      <c r="C221" s="573"/>
      <c r="D221" s="573"/>
      <c r="E221" s="573"/>
      <c r="F221" s="573"/>
      <c r="G221" s="573"/>
      <c r="H221" s="573"/>
    </row>
    <row r="222" spans="1:8" ht="15">
      <c r="A222" s="574" t="s">
        <v>1134</v>
      </c>
      <c r="B222" s="573"/>
      <c r="C222" s="573"/>
      <c r="D222" s="573"/>
      <c r="E222" s="573"/>
      <c r="F222" s="573"/>
      <c r="G222" s="573"/>
      <c r="H222" s="573"/>
    </row>
    <row r="223" spans="1:8" ht="15">
      <c r="A223" s="573"/>
      <c r="B223" s="573"/>
      <c r="C223" s="573"/>
      <c r="D223" s="573"/>
      <c r="E223" s="573"/>
      <c r="F223" s="573"/>
      <c r="G223" s="573"/>
      <c r="H223" s="573"/>
    </row>
    <row r="224" spans="1:8" ht="15">
      <c r="A224" s="574" t="s">
        <v>1125</v>
      </c>
      <c r="B224" s="573"/>
      <c r="C224" s="573"/>
      <c r="D224" s="573"/>
      <c r="E224" s="573"/>
      <c r="F224" s="573"/>
      <c r="G224" s="573"/>
      <c r="H224" s="573"/>
    </row>
    <row r="225" spans="1:8" ht="15">
      <c r="A225" s="574" t="s">
        <v>1126</v>
      </c>
      <c r="B225" s="573"/>
      <c r="C225" s="573"/>
      <c r="D225" s="573"/>
      <c r="E225" s="573"/>
      <c r="F225" s="573"/>
      <c r="G225" s="573"/>
      <c r="H225" s="573"/>
    </row>
    <row r="226" spans="1:8" ht="15">
      <c r="A226" s="574" t="s">
        <v>1127</v>
      </c>
      <c r="B226" s="573"/>
      <c r="C226" s="573"/>
      <c r="D226" s="573"/>
      <c r="E226" s="573"/>
      <c r="F226" s="573"/>
      <c r="G226" s="573"/>
      <c r="H226" s="573"/>
    </row>
    <row r="227" spans="1:8" ht="15">
      <c r="A227" s="573"/>
      <c r="B227" s="573"/>
      <c r="C227" s="573"/>
      <c r="D227" s="573"/>
      <c r="E227" s="573"/>
      <c r="F227" s="573"/>
      <c r="G227" s="573"/>
      <c r="H227" s="573"/>
    </row>
    <row r="228" spans="1:8" ht="15">
      <c r="A228" s="574" t="s">
        <v>1120</v>
      </c>
      <c r="B228" s="573"/>
      <c r="C228" s="573"/>
      <c r="D228" s="573"/>
      <c r="E228" s="573"/>
      <c r="F228" s="573"/>
      <c r="G228" s="573"/>
      <c r="H228" s="573"/>
    </row>
    <row r="229" spans="1:8" ht="15">
      <c r="A229" s="574" t="s">
        <v>1121</v>
      </c>
      <c r="B229" s="573"/>
      <c r="C229" s="573"/>
      <c r="D229" s="573"/>
      <c r="E229" s="573"/>
      <c r="F229" s="573"/>
      <c r="G229" s="573"/>
      <c r="H229" s="573"/>
    </row>
    <row r="230" spans="1:8" ht="15">
      <c r="A230" s="574" t="s">
        <v>1122</v>
      </c>
      <c r="B230" s="573"/>
      <c r="C230" s="573"/>
      <c r="D230" s="573"/>
      <c r="E230" s="573"/>
      <c r="F230" s="573"/>
      <c r="G230" s="573"/>
      <c r="H230" s="573"/>
    </row>
    <row r="231" spans="1:8" ht="15">
      <c r="A231" s="574" t="s">
        <v>1123</v>
      </c>
      <c r="B231" s="573"/>
      <c r="C231" s="573"/>
      <c r="D231" s="573"/>
      <c r="E231" s="573"/>
      <c r="F231" s="573"/>
      <c r="G231" s="573"/>
      <c r="H231" s="573"/>
    </row>
    <row r="232" spans="1:8" ht="15">
      <c r="A232" s="574" t="s">
        <v>1124</v>
      </c>
      <c r="B232" s="573"/>
      <c r="C232" s="573"/>
      <c r="D232" s="573"/>
      <c r="E232" s="573"/>
      <c r="F232" s="573"/>
      <c r="G232" s="573"/>
      <c r="H232" s="573"/>
    </row>
    <row r="233" spans="1:8" ht="15">
      <c r="A233" s="573"/>
      <c r="B233" s="573"/>
      <c r="C233" s="573"/>
      <c r="D233" s="573"/>
      <c r="E233" s="573"/>
      <c r="F233" s="573"/>
      <c r="G233" s="573"/>
      <c r="H233" s="573"/>
    </row>
    <row r="234" spans="1:8" ht="15">
      <c r="A234" s="574" t="s">
        <v>1114</v>
      </c>
      <c r="B234" s="573"/>
      <c r="C234" s="573"/>
      <c r="D234" s="573"/>
      <c r="E234" s="573"/>
      <c r="F234" s="573"/>
      <c r="G234" s="573"/>
      <c r="H234" s="573"/>
    </row>
    <row r="235" spans="1:8" ht="15">
      <c r="A235" s="574" t="s">
        <v>1115</v>
      </c>
      <c r="B235" s="573"/>
      <c r="C235" s="573"/>
      <c r="D235" s="573"/>
      <c r="E235" s="573"/>
      <c r="F235" s="573"/>
      <c r="G235" s="573"/>
      <c r="H235" s="573"/>
    </row>
    <row r="236" spans="1:8" ht="15">
      <c r="A236" s="574" t="s">
        <v>1116</v>
      </c>
      <c r="B236" s="573"/>
      <c r="C236" s="573"/>
      <c r="D236" s="573"/>
      <c r="E236" s="573"/>
      <c r="F236" s="573"/>
      <c r="G236" s="573"/>
      <c r="H236" s="573"/>
    </row>
    <row r="237" spans="1:8" ht="15">
      <c r="A237" s="574" t="s">
        <v>1117</v>
      </c>
      <c r="B237" s="573"/>
      <c r="C237" s="573"/>
      <c r="D237" s="573"/>
      <c r="E237" s="573"/>
      <c r="F237" s="573"/>
      <c r="G237" s="573"/>
      <c r="H237" s="573"/>
    </row>
    <row r="238" spans="1:8" ht="15">
      <c r="A238" s="574" t="s">
        <v>1118</v>
      </c>
      <c r="B238" s="573"/>
      <c r="C238" s="573"/>
      <c r="D238" s="573"/>
      <c r="E238" s="573"/>
      <c r="F238" s="573"/>
      <c r="G238" s="573"/>
      <c r="H238" s="573"/>
    </row>
    <row r="239" spans="1:8" ht="15">
      <c r="A239" s="574" t="s">
        <v>1119</v>
      </c>
      <c r="B239" s="573"/>
      <c r="C239" s="573"/>
      <c r="D239" s="573"/>
      <c r="E239" s="573"/>
      <c r="F239" s="573"/>
      <c r="G239" s="573"/>
      <c r="H239" s="573"/>
    </row>
    <row r="240" spans="1:8" ht="15">
      <c r="A240" s="573"/>
      <c r="B240" s="573"/>
      <c r="C240" s="573"/>
      <c r="D240" s="573"/>
      <c r="E240" s="573"/>
      <c r="F240" s="573"/>
      <c r="G240" s="573"/>
      <c r="H240" s="573"/>
    </row>
    <row r="241" spans="1:8" ht="15">
      <c r="A241" s="574" t="s">
        <v>1104</v>
      </c>
      <c r="B241" s="573"/>
      <c r="C241" s="573"/>
      <c r="D241" s="573"/>
      <c r="E241" s="573"/>
      <c r="F241" s="573"/>
      <c r="G241" s="573"/>
      <c r="H241" s="573"/>
    </row>
    <row r="242" spans="1:8" ht="15">
      <c r="A242" s="574" t="s">
        <v>1105</v>
      </c>
      <c r="B242" s="573"/>
      <c r="C242" s="573"/>
      <c r="D242" s="573"/>
      <c r="E242" s="573"/>
      <c r="F242" s="573"/>
      <c r="G242" s="573"/>
      <c r="H242" s="573"/>
    </row>
    <row r="243" spans="1:8" ht="15">
      <c r="A243" s="574" t="s">
        <v>1106</v>
      </c>
      <c r="B243" s="573"/>
      <c r="C243" s="573"/>
      <c r="D243" s="573"/>
      <c r="E243" s="573"/>
      <c r="F243" s="573"/>
      <c r="G243" s="573"/>
      <c r="H243" s="573"/>
    </row>
    <row r="244" spans="1:8" ht="15">
      <c r="A244" s="574" t="s">
        <v>1107</v>
      </c>
      <c r="B244" s="573"/>
      <c r="C244" s="573"/>
      <c r="D244" s="573"/>
      <c r="E244" s="573"/>
      <c r="F244" s="573"/>
      <c r="G244" s="573"/>
      <c r="H244" s="573"/>
    </row>
    <row r="245" spans="1:8" ht="15">
      <c r="A245" s="574" t="s">
        <v>1108</v>
      </c>
      <c r="B245" s="573"/>
      <c r="C245" s="573"/>
      <c r="D245" s="573"/>
      <c r="E245" s="573"/>
      <c r="F245" s="573"/>
      <c r="G245" s="573"/>
      <c r="H245" s="573"/>
    </row>
    <row r="246" spans="1:8" ht="15">
      <c r="A246" s="574" t="s">
        <v>1109</v>
      </c>
      <c r="B246" s="573"/>
      <c r="C246" s="573"/>
      <c r="D246" s="573"/>
      <c r="E246" s="573"/>
      <c r="F246" s="573"/>
      <c r="G246" s="573"/>
      <c r="H246" s="573"/>
    </row>
    <row r="247" spans="1:8" ht="15">
      <c r="A247" s="574" t="s">
        <v>1110</v>
      </c>
      <c r="B247" s="573"/>
      <c r="C247" s="573"/>
      <c r="D247" s="573"/>
      <c r="E247" s="573"/>
      <c r="F247" s="573"/>
      <c r="G247" s="573"/>
      <c r="H247" s="573"/>
    </row>
    <row r="248" spans="1:8" ht="15">
      <c r="A248" s="574" t="s">
        <v>1111</v>
      </c>
      <c r="B248" s="573"/>
      <c r="C248" s="573"/>
      <c r="D248" s="573"/>
      <c r="E248" s="573"/>
      <c r="F248" s="573"/>
      <c r="G248" s="573"/>
      <c r="H248" s="573"/>
    </row>
    <row r="249" spans="1:8" ht="15">
      <c r="A249" s="574" t="s">
        <v>1112</v>
      </c>
      <c r="B249" s="573"/>
      <c r="C249" s="573"/>
      <c r="D249" s="573"/>
      <c r="E249" s="573"/>
      <c r="F249" s="573"/>
      <c r="G249" s="573"/>
      <c r="H249" s="573"/>
    </row>
    <row r="250" spans="1:8" ht="15">
      <c r="A250" s="574" t="s">
        <v>1113</v>
      </c>
      <c r="B250" s="573"/>
      <c r="C250" s="573"/>
      <c r="D250" s="573"/>
      <c r="E250" s="573"/>
      <c r="F250" s="573"/>
      <c r="G250" s="573"/>
      <c r="H250" s="573"/>
    </row>
    <row r="251" spans="1:8" ht="15">
      <c r="A251" s="573"/>
      <c r="B251" s="573"/>
      <c r="C251" s="573"/>
      <c r="D251" s="573"/>
      <c r="E251" s="573"/>
      <c r="F251" s="573"/>
      <c r="G251" s="573"/>
      <c r="H251" s="573"/>
    </row>
    <row r="252" spans="1:8" ht="15">
      <c r="A252" s="574" t="s">
        <v>1102</v>
      </c>
      <c r="B252" s="573"/>
      <c r="C252" s="573"/>
      <c r="D252" s="573"/>
      <c r="E252" s="573"/>
      <c r="F252" s="573"/>
      <c r="G252" s="573"/>
      <c r="H252" s="573"/>
    </row>
    <row r="253" spans="1:8" ht="15">
      <c r="A253" s="574" t="s">
        <v>1103</v>
      </c>
      <c r="B253" s="573"/>
      <c r="C253" s="573"/>
      <c r="D253" s="573"/>
      <c r="E253" s="573"/>
      <c r="F253" s="573"/>
      <c r="G253" s="573"/>
      <c r="H253" s="573"/>
    </row>
    <row r="254" spans="1:8" ht="15">
      <c r="A254" s="573"/>
      <c r="B254" s="573"/>
      <c r="C254" s="573"/>
      <c r="D254" s="573"/>
      <c r="E254" s="573"/>
      <c r="F254" s="573"/>
      <c r="G254" s="573"/>
      <c r="H254" s="573"/>
    </row>
    <row r="255" spans="1:8" ht="15">
      <c r="A255" s="574" t="s">
        <v>1086</v>
      </c>
      <c r="B255" s="573"/>
      <c r="C255" s="573"/>
      <c r="D255" s="573"/>
      <c r="E255" s="573"/>
      <c r="F255" s="573"/>
      <c r="G255" s="573"/>
      <c r="H255" s="573"/>
    </row>
    <row r="256" spans="1:8" ht="15">
      <c r="A256" s="574" t="s">
        <v>1087</v>
      </c>
      <c r="B256" s="573"/>
      <c r="C256" s="573"/>
      <c r="D256" s="573"/>
      <c r="E256" s="573"/>
      <c r="F256" s="573"/>
      <c r="G256" s="573"/>
      <c r="H256" s="573"/>
    </row>
    <row r="257" spans="1:8" ht="15">
      <c r="A257" s="574" t="s">
        <v>1088</v>
      </c>
      <c r="B257" s="573"/>
      <c r="C257" s="573"/>
      <c r="D257" s="573"/>
      <c r="E257" s="573"/>
      <c r="F257" s="573"/>
      <c r="G257" s="573"/>
      <c r="H257" s="573"/>
    </row>
    <row r="258" spans="1:8" ht="15">
      <c r="A258" s="574" t="s">
        <v>1089</v>
      </c>
      <c r="B258" s="573"/>
      <c r="C258" s="573"/>
      <c r="D258" s="573"/>
      <c r="E258" s="573"/>
      <c r="F258" s="573"/>
      <c r="G258" s="573"/>
      <c r="H258" s="573"/>
    </row>
    <row r="259" spans="1:8" ht="15">
      <c r="A259" s="574" t="s">
        <v>1090</v>
      </c>
      <c r="B259" s="573"/>
      <c r="C259" s="573"/>
      <c r="D259" s="573"/>
      <c r="E259" s="573"/>
      <c r="F259" s="573"/>
      <c r="G259" s="573"/>
      <c r="H259" s="573"/>
    </row>
    <row r="260" spans="1:8" ht="15">
      <c r="A260" s="574" t="s">
        <v>1091</v>
      </c>
      <c r="B260" s="573"/>
      <c r="C260" s="573"/>
      <c r="D260" s="573"/>
      <c r="E260" s="573"/>
      <c r="F260" s="573"/>
      <c r="G260" s="573"/>
      <c r="H260" s="573"/>
    </row>
    <row r="261" spans="1:8" ht="15">
      <c r="A261" s="574" t="s">
        <v>1092</v>
      </c>
      <c r="B261" s="573"/>
      <c r="C261" s="573"/>
      <c r="D261" s="573"/>
      <c r="E261" s="573"/>
      <c r="F261" s="573"/>
      <c r="G261" s="573"/>
      <c r="H261" s="573"/>
    </row>
    <row r="262" spans="1:8" ht="15">
      <c r="A262" s="574" t="s">
        <v>1093</v>
      </c>
      <c r="B262" s="573"/>
      <c r="C262" s="573"/>
      <c r="D262" s="573"/>
      <c r="E262" s="573"/>
      <c r="F262" s="573"/>
      <c r="G262" s="573"/>
      <c r="H262" s="573"/>
    </row>
    <row r="263" spans="1:8" ht="15">
      <c r="A263" s="574" t="s">
        <v>1094</v>
      </c>
      <c r="B263" s="573"/>
      <c r="C263" s="573"/>
      <c r="D263" s="573"/>
      <c r="E263" s="573"/>
      <c r="F263" s="573"/>
      <c r="G263" s="573"/>
      <c r="H263" s="573"/>
    </row>
    <row r="264" spans="1:8" ht="15">
      <c r="A264" s="574" t="s">
        <v>1095</v>
      </c>
      <c r="B264" s="573"/>
      <c r="C264" s="573"/>
      <c r="D264" s="573"/>
      <c r="E264" s="573"/>
      <c r="F264" s="573"/>
      <c r="G264" s="573"/>
      <c r="H264" s="573"/>
    </row>
    <row r="265" spans="1:8" ht="15">
      <c r="A265" s="574" t="s">
        <v>1096</v>
      </c>
      <c r="B265" s="573"/>
      <c r="C265" s="573"/>
      <c r="D265" s="573"/>
      <c r="E265" s="573"/>
      <c r="F265" s="573"/>
      <c r="G265" s="573"/>
      <c r="H265" s="573"/>
    </row>
    <row r="266" spans="1:8" ht="15">
      <c r="A266" s="574" t="s">
        <v>1097</v>
      </c>
      <c r="B266" s="573"/>
      <c r="C266" s="573"/>
      <c r="D266" s="573"/>
      <c r="E266" s="573"/>
      <c r="F266" s="573"/>
      <c r="G266" s="573"/>
      <c r="H266" s="573"/>
    </row>
    <row r="267" spans="1:8" ht="15">
      <c r="A267" s="574" t="s">
        <v>1098</v>
      </c>
      <c r="B267" s="573"/>
      <c r="C267" s="573"/>
      <c r="D267" s="573"/>
      <c r="E267" s="573"/>
      <c r="F267" s="573"/>
      <c r="G267" s="573"/>
      <c r="H267" s="573"/>
    </row>
    <row r="268" spans="1:8" ht="15">
      <c r="A268" s="574" t="s">
        <v>1099</v>
      </c>
      <c r="B268" s="573"/>
      <c r="C268" s="573"/>
      <c r="D268" s="573"/>
      <c r="E268" s="573"/>
      <c r="F268" s="573"/>
      <c r="G268" s="573"/>
      <c r="H268" s="573"/>
    </row>
    <row r="269" spans="1:8" ht="15">
      <c r="A269" s="574" t="s">
        <v>1100</v>
      </c>
      <c r="B269" s="573"/>
      <c r="C269" s="573"/>
      <c r="D269" s="573"/>
      <c r="E269" s="573"/>
      <c r="F269" s="573"/>
      <c r="G269" s="573"/>
      <c r="H269" s="573"/>
    </row>
    <row r="270" spans="1:8" ht="15">
      <c r="A270" s="574" t="s">
        <v>1101</v>
      </c>
      <c r="B270" s="573"/>
      <c r="C270" s="573"/>
      <c r="D270" s="573"/>
      <c r="E270" s="573"/>
      <c r="F270" s="573"/>
      <c r="G270" s="573"/>
      <c r="H270" s="573"/>
    </row>
    <row r="271" spans="1:8" ht="15">
      <c r="A271" s="573"/>
      <c r="B271" s="573"/>
      <c r="C271" s="573"/>
      <c r="D271" s="573"/>
      <c r="E271" s="573"/>
      <c r="F271" s="573"/>
      <c r="G271" s="573"/>
      <c r="H271" s="573"/>
    </row>
    <row r="272" spans="1:8" ht="15">
      <c r="A272" s="574" t="s">
        <v>1079</v>
      </c>
      <c r="B272" s="573"/>
      <c r="C272" s="573"/>
      <c r="D272" s="573"/>
      <c r="E272" s="573"/>
      <c r="F272" s="573"/>
      <c r="G272" s="573"/>
      <c r="H272" s="573"/>
    </row>
    <row r="273" spans="1:8" ht="15">
      <c r="A273" s="574" t="s">
        <v>1080</v>
      </c>
      <c r="B273" s="573"/>
      <c r="C273" s="573"/>
      <c r="D273" s="573"/>
      <c r="E273" s="573"/>
      <c r="F273" s="573"/>
      <c r="G273" s="573"/>
      <c r="H273" s="573"/>
    </row>
    <row r="274" spans="1:8" ht="15">
      <c r="A274" s="574" t="s">
        <v>1081</v>
      </c>
      <c r="B274" s="573"/>
      <c r="C274" s="573"/>
      <c r="D274" s="573"/>
      <c r="E274" s="573"/>
      <c r="F274" s="573"/>
      <c r="G274" s="573"/>
      <c r="H274" s="573"/>
    </row>
    <row r="275" spans="1:8" ht="15">
      <c r="A275" s="574" t="s">
        <v>1082</v>
      </c>
      <c r="B275" s="573"/>
      <c r="C275" s="573"/>
      <c r="D275" s="573"/>
      <c r="E275" s="573"/>
      <c r="F275" s="573"/>
      <c r="G275" s="573"/>
      <c r="H275" s="573"/>
    </row>
    <row r="276" spans="1:8" ht="15">
      <c r="A276" s="574" t="s">
        <v>1083</v>
      </c>
      <c r="B276" s="573"/>
      <c r="C276" s="573"/>
      <c r="D276" s="573"/>
      <c r="E276" s="573"/>
      <c r="F276" s="573"/>
      <c r="G276" s="573"/>
      <c r="H276" s="573"/>
    </row>
    <row r="277" spans="1:8" ht="15">
      <c r="A277" s="574" t="s">
        <v>1084</v>
      </c>
      <c r="B277" s="573"/>
      <c r="C277" s="573"/>
      <c r="D277" s="573"/>
      <c r="E277" s="573"/>
      <c r="F277" s="573"/>
      <c r="G277" s="573"/>
      <c r="H277" s="573"/>
    </row>
    <row r="278" spans="1:8" ht="15">
      <c r="A278" s="574" t="s">
        <v>1085</v>
      </c>
      <c r="B278" s="573"/>
      <c r="C278" s="573"/>
      <c r="D278" s="573"/>
      <c r="E278" s="573"/>
      <c r="F278" s="573"/>
      <c r="G278" s="573"/>
      <c r="H278" s="573"/>
    </row>
    <row r="279" spans="1:8" ht="15">
      <c r="A279" s="573"/>
      <c r="B279" s="573"/>
      <c r="C279" s="573"/>
      <c r="D279" s="573"/>
      <c r="E279" s="573"/>
      <c r="F279" s="573"/>
      <c r="G279" s="573"/>
      <c r="H279" s="573"/>
    </row>
    <row r="280" spans="1:8" ht="15">
      <c r="A280" s="574" t="s">
        <v>1070</v>
      </c>
      <c r="B280" s="573"/>
      <c r="C280" s="573"/>
      <c r="D280" s="573"/>
      <c r="E280" s="573"/>
      <c r="F280" s="573"/>
      <c r="G280" s="573"/>
      <c r="H280" s="573"/>
    </row>
    <row r="281" spans="1:8" ht="15">
      <c r="A281" s="574" t="s">
        <v>1071</v>
      </c>
      <c r="B281" s="573"/>
      <c r="C281" s="573"/>
      <c r="D281" s="573"/>
      <c r="E281" s="573"/>
      <c r="F281" s="573"/>
      <c r="G281" s="573"/>
      <c r="H281" s="573"/>
    </row>
    <row r="282" spans="1:8" ht="15">
      <c r="A282" s="574" t="s">
        <v>1072</v>
      </c>
      <c r="B282" s="573"/>
      <c r="C282" s="573"/>
      <c r="D282" s="573"/>
      <c r="E282" s="573"/>
      <c r="F282" s="573"/>
      <c r="G282" s="573"/>
      <c r="H282" s="573"/>
    </row>
    <row r="283" spans="1:8" ht="15">
      <c r="A283" s="574" t="s">
        <v>1073</v>
      </c>
      <c r="B283" s="573"/>
      <c r="C283" s="573"/>
      <c r="D283" s="573"/>
      <c r="E283" s="573"/>
      <c r="F283" s="573"/>
      <c r="G283" s="573"/>
      <c r="H283" s="573"/>
    </row>
    <row r="284" spans="1:8" ht="15">
      <c r="A284" s="574" t="s">
        <v>1074</v>
      </c>
      <c r="B284" s="573"/>
      <c r="C284" s="573"/>
      <c r="D284" s="573"/>
      <c r="E284" s="573"/>
      <c r="F284" s="573"/>
      <c r="G284" s="573"/>
      <c r="H284" s="573"/>
    </row>
    <row r="285" spans="1:8" ht="15">
      <c r="A285" s="574" t="s">
        <v>1075</v>
      </c>
      <c r="B285" s="573"/>
      <c r="C285" s="573"/>
      <c r="D285" s="573"/>
      <c r="E285" s="573"/>
      <c r="F285" s="573"/>
      <c r="G285" s="573"/>
      <c r="H285" s="573"/>
    </row>
    <row r="286" spans="1:8" ht="15">
      <c r="A286" s="574" t="s">
        <v>1076</v>
      </c>
      <c r="B286" s="573"/>
      <c r="C286" s="573"/>
      <c r="D286" s="573"/>
      <c r="E286" s="573"/>
      <c r="F286" s="573"/>
      <c r="G286" s="573"/>
      <c r="H286" s="573"/>
    </row>
    <row r="287" spans="1:8" ht="15">
      <c r="A287" s="574" t="s">
        <v>1077</v>
      </c>
      <c r="B287" s="573"/>
      <c r="C287" s="573"/>
      <c r="D287" s="573"/>
      <c r="E287" s="573"/>
      <c r="F287" s="573"/>
      <c r="G287" s="573"/>
      <c r="H287" s="573"/>
    </row>
    <row r="288" spans="1:8" ht="15">
      <c r="A288" s="574" t="s">
        <v>1078</v>
      </c>
      <c r="B288" s="573"/>
      <c r="C288" s="573"/>
      <c r="D288" s="573"/>
      <c r="E288" s="573"/>
      <c r="F288" s="573"/>
      <c r="G288" s="573"/>
      <c r="H288" s="573"/>
    </row>
    <row r="289" spans="1:8" ht="15">
      <c r="A289" s="573"/>
      <c r="B289" s="573"/>
      <c r="C289" s="573"/>
      <c r="D289" s="573"/>
      <c r="E289" s="573"/>
      <c r="F289" s="573"/>
      <c r="G289" s="573"/>
      <c r="H289" s="573"/>
    </row>
    <row r="290" spans="1:8" ht="15">
      <c r="A290" s="574" t="s">
        <v>1063</v>
      </c>
      <c r="B290" s="573"/>
      <c r="C290" s="573"/>
      <c r="D290" s="573"/>
      <c r="E290" s="573"/>
      <c r="F290" s="573"/>
      <c r="G290" s="573"/>
      <c r="H290" s="573"/>
    </row>
    <row r="291" spans="1:8" ht="15">
      <c r="A291" s="574" t="s">
        <v>1064</v>
      </c>
      <c r="B291" s="573"/>
      <c r="C291" s="573"/>
      <c r="D291" s="573"/>
      <c r="E291" s="573"/>
      <c r="F291" s="573"/>
      <c r="G291" s="573"/>
      <c r="H291" s="573"/>
    </row>
    <row r="292" spans="1:8" ht="15">
      <c r="A292" s="574" t="s">
        <v>1065</v>
      </c>
      <c r="B292" s="573"/>
      <c r="C292" s="573"/>
      <c r="D292" s="573"/>
      <c r="E292" s="573"/>
      <c r="F292" s="573"/>
      <c r="G292" s="573"/>
      <c r="H292" s="573"/>
    </row>
    <row r="293" spans="1:8" ht="15">
      <c r="A293" s="574" t="s">
        <v>1066</v>
      </c>
      <c r="B293" s="573"/>
      <c r="C293" s="573"/>
      <c r="D293" s="573"/>
      <c r="E293" s="573"/>
      <c r="F293" s="573"/>
      <c r="G293" s="573"/>
      <c r="H293" s="573"/>
    </row>
    <row r="294" spans="1:8" ht="15">
      <c r="A294" s="574" t="s">
        <v>1067</v>
      </c>
      <c r="B294" s="573"/>
      <c r="C294" s="573"/>
      <c r="D294" s="573"/>
      <c r="E294" s="573"/>
      <c r="F294" s="573"/>
      <c r="G294" s="573"/>
      <c r="H294" s="573"/>
    </row>
    <row r="295" spans="1:8" ht="15">
      <c r="A295" s="574" t="s">
        <v>1068</v>
      </c>
      <c r="B295" s="573"/>
      <c r="C295" s="573"/>
      <c r="D295" s="573"/>
      <c r="E295" s="573"/>
      <c r="F295" s="573"/>
      <c r="G295" s="573"/>
      <c r="H295" s="573"/>
    </row>
    <row r="296" spans="1:8" ht="15">
      <c r="A296" s="574" t="s">
        <v>1069</v>
      </c>
      <c r="B296" s="573"/>
      <c r="C296" s="573"/>
      <c r="D296" s="573"/>
      <c r="E296" s="573"/>
      <c r="F296" s="573"/>
      <c r="G296" s="573"/>
      <c r="H296" s="573"/>
    </row>
    <row r="297" spans="1:8" ht="15">
      <c r="A297" s="573"/>
      <c r="B297" s="573"/>
      <c r="C297" s="573"/>
      <c r="D297" s="573"/>
      <c r="E297" s="573"/>
      <c r="F297" s="573"/>
      <c r="G297" s="573"/>
      <c r="H297" s="573"/>
    </row>
    <row r="298" spans="1:8" ht="15">
      <c r="A298" s="574" t="s">
        <v>1060</v>
      </c>
      <c r="B298" s="573"/>
      <c r="C298" s="573"/>
      <c r="D298" s="573"/>
      <c r="E298" s="573"/>
      <c r="F298" s="573"/>
      <c r="G298" s="573"/>
      <c r="H298" s="573"/>
    </row>
    <row r="299" spans="1:8" ht="15">
      <c r="A299" s="574" t="s">
        <v>1061</v>
      </c>
      <c r="B299" s="573"/>
      <c r="C299" s="573"/>
      <c r="D299" s="573"/>
      <c r="E299" s="573"/>
      <c r="F299" s="573"/>
      <c r="G299" s="573"/>
      <c r="H299" s="573"/>
    </row>
    <row r="300" spans="1:8" ht="15">
      <c r="A300" s="574" t="s">
        <v>1062</v>
      </c>
      <c r="B300" s="573"/>
      <c r="C300" s="573"/>
      <c r="D300" s="573"/>
      <c r="E300" s="573"/>
      <c r="F300" s="573"/>
      <c r="G300" s="573"/>
      <c r="H300" s="573"/>
    </row>
    <row r="301" spans="1:8" ht="15">
      <c r="A301" s="573"/>
      <c r="B301" s="573"/>
      <c r="C301" s="573"/>
      <c r="D301" s="573"/>
      <c r="E301" s="573"/>
      <c r="F301" s="573"/>
      <c r="G301" s="573"/>
      <c r="H301" s="573"/>
    </row>
    <row r="302" spans="1:8" ht="15">
      <c r="A302" s="574" t="s">
        <v>1058</v>
      </c>
      <c r="B302" s="573"/>
      <c r="C302" s="573"/>
      <c r="D302" s="573"/>
      <c r="E302" s="573"/>
      <c r="F302" s="573"/>
      <c r="G302" s="573"/>
      <c r="H302" s="573"/>
    </row>
    <row r="303" spans="1:8" ht="15">
      <c r="A303" s="574" t="s">
        <v>1059</v>
      </c>
      <c r="B303" s="573"/>
      <c r="C303" s="573"/>
      <c r="D303" s="573"/>
      <c r="E303" s="573"/>
      <c r="F303" s="573"/>
      <c r="G303" s="573"/>
      <c r="H303" s="573"/>
    </row>
    <row r="304" spans="1:8" ht="15">
      <c r="A304" s="573"/>
      <c r="B304" s="573"/>
      <c r="C304" s="573"/>
      <c r="D304" s="573"/>
      <c r="E304" s="573"/>
      <c r="F304" s="573"/>
      <c r="G304" s="573"/>
      <c r="H304" s="573"/>
    </row>
    <row r="305" spans="1:8" ht="15">
      <c r="A305" s="574" t="s">
        <v>1045</v>
      </c>
      <c r="B305" s="573"/>
      <c r="C305" s="573"/>
      <c r="D305" s="573"/>
      <c r="E305" s="573"/>
      <c r="F305" s="573"/>
      <c r="G305" s="573"/>
      <c r="H305" s="573"/>
    </row>
    <row r="306" spans="1:8" ht="15">
      <c r="A306" s="574" t="s">
        <v>1046</v>
      </c>
      <c r="B306" s="573"/>
      <c r="C306" s="573"/>
      <c r="D306" s="573"/>
      <c r="E306" s="573"/>
      <c r="F306" s="573"/>
      <c r="G306" s="573"/>
      <c r="H306" s="573"/>
    </row>
    <row r="307" spans="1:8" ht="15">
      <c r="A307" s="574" t="s">
        <v>1047</v>
      </c>
      <c r="B307" s="573"/>
      <c r="C307" s="573"/>
      <c r="D307" s="573"/>
      <c r="E307" s="573"/>
      <c r="F307" s="573"/>
      <c r="G307" s="573"/>
      <c r="H307" s="573"/>
    </row>
    <row r="308" spans="1:8" ht="15">
      <c r="A308" s="574" t="s">
        <v>1048</v>
      </c>
      <c r="B308" s="573"/>
      <c r="C308" s="573"/>
      <c r="D308" s="573"/>
      <c r="E308" s="573"/>
      <c r="F308" s="573"/>
      <c r="G308" s="573"/>
      <c r="H308" s="573"/>
    </row>
    <row r="309" spans="1:8" ht="15">
      <c r="A309" s="574" t="s">
        <v>1049</v>
      </c>
      <c r="B309" s="573"/>
      <c r="C309" s="573"/>
      <c r="D309" s="573"/>
      <c r="E309" s="573"/>
      <c r="F309" s="573"/>
      <c r="G309" s="573"/>
      <c r="H309" s="573"/>
    </row>
    <row r="310" spans="1:8" ht="15">
      <c r="A310" s="574" t="s">
        <v>1050</v>
      </c>
      <c r="B310" s="573"/>
      <c r="C310" s="573"/>
      <c r="D310" s="573"/>
      <c r="E310" s="573"/>
      <c r="F310" s="573"/>
      <c r="G310" s="573"/>
      <c r="H310" s="573"/>
    </row>
    <row r="311" spans="1:8" ht="15">
      <c r="A311" s="574" t="s">
        <v>1051</v>
      </c>
      <c r="B311" s="573"/>
      <c r="C311" s="573"/>
      <c r="D311" s="573"/>
      <c r="E311" s="573"/>
      <c r="F311" s="573"/>
      <c r="G311" s="573"/>
      <c r="H311" s="573"/>
    </row>
    <row r="312" spans="1:8" ht="15">
      <c r="A312" s="574" t="s">
        <v>1052</v>
      </c>
      <c r="B312" s="573"/>
      <c r="C312" s="573"/>
      <c r="D312" s="573"/>
      <c r="E312" s="573"/>
      <c r="F312" s="573"/>
      <c r="G312" s="573"/>
      <c r="H312" s="573"/>
    </row>
    <row r="313" spans="1:8" ht="15">
      <c r="A313" s="574" t="s">
        <v>1053</v>
      </c>
      <c r="B313" s="573"/>
      <c r="C313" s="573"/>
      <c r="D313" s="573"/>
      <c r="E313" s="573"/>
      <c r="F313" s="573"/>
      <c r="G313" s="573"/>
      <c r="H313" s="573"/>
    </row>
    <row r="314" spans="1:8" ht="15">
      <c r="A314" s="574" t="s">
        <v>1054</v>
      </c>
      <c r="B314" s="573"/>
      <c r="C314" s="573"/>
      <c r="D314" s="573"/>
      <c r="E314" s="573"/>
      <c r="F314" s="573"/>
      <c r="G314" s="573"/>
      <c r="H314" s="573"/>
    </row>
    <row r="315" spans="1:8" ht="15">
      <c r="A315" s="574" t="s">
        <v>1055</v>
      </c>
      <c r="B315" s="573"/>
      <c r="C315" s="573"/>
      <c r="D315" s="573"/>
      <c r="E315" s="573"/>
      <c r="F315" s="573"/>
      <c r="G315" s="573"/>
      <c r="H315" s="573"/>
    </row>
    <row r="316" spans="1:8" ht="15">
      <c r="A316" s="574" t="s">
        <v>1056</v>
      </c>
      <c r="B316" s="573"/>
      <c r="C316" s="573"/>
      <c r="D316" s="573"/>
      <c r="E316" s="573"/>
      <c r="F316" s="573"/>
      <c r="G316" s="573"/>
      <c r="H316" s="573"/>
    </row>
    <row r="317" spans="1:8" ht="15">
      <c r="A317" s="574" t="s">
        <v>1057</v>
      </c>
      <c r="B317" s="573"/>
      <c r="C317" s="573"/>
      <c r="D317" s="573"/>
      <c r="E317" s="573"/>
      <c r="F317" s="573"/>
      <c r="G317" s="573"/>
      <c r="H317" s="573"/>
    </row>
    <row r="318" spans="1:8" ht="15">
      <c r="A318" s="573"/>
      <c r="B318" s="573"/>
      <c r="C318" s="573"/>
      <c r="D318" s="573"/>
      <c r="E318" s="573"/>
      <c r="F318" s="573"/>
      <c r="G318" s="573"/>
      <c r="H318" s="573"/>
    </row>
    <row r="319" spans="1:8" ht="15">
      <c r="A319" s="574" t="s">
        <v>1037</v>
      </c>
      <c r="B319" s="573"/>
      <c r="C319" s="573"/>
      <c r="D319" s="573"/>
      <c r="E319" s="573"/>
      <c r="F319" s="573"/>
      <c r="G319" s="573"/>
      <c r="H319" s="573"/>
    </row>
    <row r="320" spans="1:8" ht="15">
      <c r="A320" s="574" t="s">
        <v>1038</v>
      </c>
      <c r="B320" s="573"/>
      <c r="C320" s="573"/>
      <c r="D320" s="573"/>
      <c r="E320" s="573"/>
      <c r="F320" s="573"/>
      <c r="G320" s="573"/>
      <c r="H320" s="573"/>
    </row>
    <row r="321" spans="1:8" ht="15">
      <c r="A321" s="574" t="s">
        <v>1039</v>
      </c>
      <c r="B321" s="573"/>
      <c r="C321" s="573"/>
      <c r="D321" s="573"/>
      <c r="E321" s="573"/>
      <c r="F321" s="573"/>
      <c r="G321" s="573"/>
      <c r="H321" s="573"/>
    </row>
    <row r="322" spans="1:8" ht="15">
      <c r="A322" s="574" t="s">
        <v>1040</v>
      </c>
      <c r="B322" s="573"/>
      <c r="C322" s="573"/>
      <c r="D322" s="573"/>
      <c r="E322" s="573"/>
      <c r="F322" s="573"/>
      <c r="G322" s="573"/>
      <c r="H322" s="573"/>
    </row>
    <row r="323" spans="1:8" ht="15">
      <c r="A323" s="574" t="s">
        <v>1041</v>
      </c>
      <c r="B323" s="573"/>
      <c r="C323" s="573"/>
      <c r="D323" s="573"/>
      <c r="E323" s="573"/>
      <c r="F323" s="573"/>
      <c r="G323" s="573"/>
      <c r="H323" s="573"/>
    </row>
    <row r="324" spans="1:8" ht="15">
      <c r="A324" s="574" t="s">
        <v>1042</v>
      </c>
      <c r="B324" s="573"/>
      <c r="C324" s="573"/>
      <c r="D324" s="573"/>
      <c r="E324" s="573"/>
      <c r="F324" s="573"/>
      <c r="G324" s="573"/>
      <c r="H324" s="573"/>
    </row>
    <row r="325" spans="1:8" ht="15">
      <c r="A325" s="574" t="s">
        <v>1043</v>
      </c>
      <c r="B325" s="573"/>
      <c r="C325" s="573"/>
      <c r="D325" s="573"/>
      <c r="E325" s="573"/>
      <c r="F325" s="573"/>
      <c r="G325" s="573"/>
      <c r="H325" s="573"/>
    </row>
    <row r="326" spans="1:8" ht="15">
      <c r="A326" s="574" t="s">
        <v>1044</v>
      </c>
      <c r="B326" s="573"/>
      <c r="C326" s="573"/>
      <c r="D326" s="573"/>
      <c r="E326" s="573"/>
      <c r="F326" s="573"/>
      <c r="G326" s="573"/>
      <c r="H326" s="573"/>
    </row>
    <row r="327" spans="1:8" ht="15">
      <c r="A327" s="573"/>
      <c r="B327" s="573"/>
      <c r="C327" s="573"/>
      <c r="D327" s="573"/>
      <c r="E327" s="573"/>
      <c r="F327" s="573"/>
      <c r="G327" s="573"/>
      <c r="H327" s="573"/>
    </row>
    <row r="328" spans="1:8" ht="15">
      <c r="A328" s="574" t="s">
        <v>1002</v>
      </c>
      <c r="B328" s="573"/>
      <c r="C328" s="573"/>
      <c r="D328" s="573"/>
      <c r="E328" s="573"/>
      <c r="F328" s="573"/>
      <c r="G328" s="573"/>
      <c r="H328" s="573"/>
    </row>
    <row r="329" spans="1:8" ht="15">
      <c r="A329" s="574" t="s">
        <v>1003</v>
      </c>
      <c r="B329" s="573"/>
      <c r="C329" s="573"/>
      <c r="D329" s="573"/>
      <c r="E329" s="573"/>
      <c r="F329" s="573"/>
      <c r="G329" s="573"/>
      <c r="H329" s="573"/>
    </row>
    <row r="330" spans="1:8" ht="15">
      <c r="A330" s="574" t="s">
        <v>1004</v>
      </c>
      <c r="B330" s="573"/>
      <c r="C330" s="573"/>
      <c r="D330" s="573"/>
      <c r="E330" s="573"/>
      <c r="F330" s="573"/>
      <c r="G330" s="573"/>
      <c r="H330" s="573"/>
    </row>
    <row r="331" spans="1:8" ht="15">
      <c r="A331" s="574" t="s">
        <v>1005</v>
      </c>
      <c r="B331" s="573"/>
      <c r="C331" s="573"/>
      <c r="D331" s="573"/>
      <c r="E331" s="573"/>
      <c r="F331" s="573"/>
      <c r="G331" s="573"/>
      <c r="H331" s="573"/>
    </row>
    <row r="332" spans="1:8" ht="15">
      <c r="A332" s="574" t="s">
        <v>1006</v>
      </c>
      <c r="B332" s="573"/>
      <c r="C332" s="573"/>
      <c r="D332" s="573"/>
      <c r="E332" s="573"/>
      <c r="F332" s="573"/>
      <c r="G332" s="573"/>
      <c r="H332" s="573"/>
    </row>
    <row r="333" spans="1:8" ht="15">
      <c r="A333" s="574" t="s">
        <v>1007</v>
      </c>
      <c r="B333" s="573"/>
      <c r="C333" s="573"/>
      <c r="D333" s="573"/>
      <c r="E333" s="573"/>
      <c r="F333" s="573"/>
      <c r="G333" s="573"/>
      <c r="H333" s="573"/>
    </row>
    <row r="334" spans="1:8" ht="15">
      <c r="A334" s="574" t="s">
        <v>1008</v>
      </c>
      <c r="B334" s="573"/>
      <c r="C334" s="573"/>
      <c r="D334" s="573"/>
      <c r="E334" s="573"/>
      <c r="F334" s="573"/>
      <c r="G334" s="573"/>
      <c r="H334" s="573"/>
    </row>
    <row r="335" spans="1:8" ht="15">
      <c r="A335" s="574" t="s">
        <v>1009</v>
      </c>
      <c r="B335" s="573"/>
      <c r="C335" s="573"/>
      <c r="D335" s="573"/>
      <c r="E335" s="573"/>
      <c r="F335" s="573"/>
      <c r="G335" s="573"/>
      <c r="H335" s="573"/>
    </row>
    <row r="336" spans="1:8" ht="15">
      <c r="A336" s="574" t="s">
        <v>1010</v>
      </c>
      <c r="B336" s="573"/>
      <c r="C336" s="573"/>
      <c r="D336" s="573"/>
      <c r="E336" s="573"/>
      <c r="F336" s="573"/>
      <c r="G336" s="573"/>
      <c r="H336" s="573"/>
    </row>
    <row r="337" spans="1:8" ht="15">
      <c r="A337" s="574" t="s">
        <v>1011</v>
      </c>
      <c r="B337" s="573"/>
      <c r="C337" s="573"/>
      <c r="D337" s="573"/>
      <c r="E337" s="573"/>
      <c r="F337" s="573"/>
      <c r="G337" s="573"/>
      <c r="H337" s="573"/>
    </row>
    <row r="338" spans="1:8" ht="15">
      <c r="A338" s="574" t="s">
        <v>1012</v>
      </c>
      <c r="B338" s="573"/>
      <c r="C338" s="573"/>
      <c r="D338" s="573"/>
      <c r="E338" s="573"/>
      <c r="F338" s="573"/>
      <c r="G338" s="573"/>
      <c r="H338" s="573"/>
    </row>
    <row r="339" spans="1:8" ht="15">
      <c r="A339" s="574" t="s">
        <v>1013</v>
      </c>
      <c r="B339" s="573"/>
      <c r="C339" s="573"/>
      <c r="D339" s="573"/>
      <c r="E339" s="573"/>
      <c r="F339" s="573"/>
      <c r="G339" s="573"/>
      <c r="H339" s="573"/>
    </row>
    <row r="340" spans="1:8" ht="15">
      <c r="A340" s="574" t="s">
        <v>1014</v>
      </c>
      <c r="B340" s="573"/>
      <c r="C340" s="573"/>
      <c r="D340" s="573"/>
      <c r="E340" s="573"/>
      <c r="F340" s="573"/>
      <c r="G340" s="573"/>
      <c r="H340" s="573"/>
    </row>
    <row r="341" spans="1:8" ht="15">
      <c r="A341" s="574" t="s">
        <v>1015</v>
      </c>
      <c r="B341" s="573"/>
      <c r="C341" s="573"/>
      <c r="D341" s="573"/>
      <c r="E341" s="573"/>
      <c r="F341" s="573"/>
      <c r="G341" s="573"/>
      <c r="H341" s="573"/>
    </row>
    <row r="342" spans="1:8" ht="15">
      <c r="A342" s="574" t="s">
        <v>1016</v>
      </c>
      <c r="B342" s="573"/>
      <c r="C342" s="573"/>
      <c r="D342" s="573"/>
      <c r="E342" s="573"/>
      <c r="F342" s="573"/>
      <c r="G342" s="573"/>
      <c r="H342" s="573"/>
    </row>
    <row r="343" spans="1:8" ht="15">
      <c r="A343" s="574" t="s">
        <v>1017</v>
      </c>
      <c r="B343" s="573"/>
      <c r="C343" s="573"/>
      <c r="D343" s="573"/>
      <c r="E343" s="573"/>
      <c r="F343" s="573"/>
      <c r="G343" s="573"/>
      <c r="H343" s="573"/>
    </row>
    <row r="344" spans="1:8" ht="15">
      <c r="A344" s="574" t="s">
        <v>1018</v>
      </c>
      <c r="B344" s="573"/>
      <c r="C344" s="573"/>
      <c r="D344" s="573"/>
      <c r="E344" s="573"/>
      <c r="F344" s="573"/>
      <c r="G344" s="573"/>
      <c r="H344" s="573"/>
    </row>
    <row r="345" spans="1:8" ht="15">
      <c r="A345" s="574" t="s">
        <v>1019</v>
      </c>
      <c r="B345" s="573"/>
      <c r="C345" s="573"/>
      <c r="D345" s="573"/>
      <c r="E345" s="573"/>
      <c r="F345" s="573"/>
      <c r="G345" s="573"/>
      <c r="H345" s="573"/>
    </row>
    <row r="346" spans="1:8" ht="15">
      <c r="A346" s="574" t="s">
        <v>1020</v>
      </c>
      <c r="B346" s="573"/>
      <c r="C346" s="573"/>
      <c r="D346" s="573"/>
      <c r="E346" s="573"/>
      <c r="F346" s="573"/>
      <c r="G346" s="573"/>
      <c r="H346" s="573"/>
    </row>
    <row r="347" spans="1:8" ht="15">
      <c r="A347" s="574" t="s">
        <v>1021</v>
      </c>
      <c r="B347" s="573"/>
      <c r="C347" s="573"/>
      <c r="D347" s="573"/>
      <c r="E347" s="573"/>
      <c r="F347" s="573"/>
      <c r="G347" s="573"/>
      <c r="H347" s="573"/>
    </row>
    <row r="348" spans="1:8" ht="15">
      <c r="A348" s="574" t="s">
        <v>1022</v>
      </c>
      <c r="B348" s="573"/>
      <c r="C348" s="573"/>
      <c r="D348" s="573"/>
      <c r="E348" s="573"/>
      <c r="F348" s="573"/>
      <c r="G348" s="573"/>
      <c r="H348" s="573"/>
    </row>
    <row r="349" spans="1:8" ht="15">
      <c r="A349" s="574" t="s">
        <v>1023</v>
      </c>
      <c r="B349" s="573"/>
      <c r="C349" s="573"/>
      <c r="D349" s="573"/>
      <c r="E349" s="573"/>
      <c r="F349" s="573"/>
      <c r="G349" s="573"/>
      <c r="H349" s="573"/>
    </row>
    <row r="350" spans="1:8" ht="15">
      <c r="A350" s="574" t="s">
        <v>1024</v>
      </c>
      <c r="B350" s="573"/>
      <c r="C350" s="573"/>
      <c r="D350" s="573"/>
      <c r="E350" s="573"/>
      <c r="F350" s="573"/>
      <c r="G350" s="573"/>
      <c r="H350" s="573"/>
    </row>
    <row r="351" spans="1:8" ht="15">
      <c r="A351" s="574" t="s">
        <v>1025</v>
      </c>
      <c r="B351" s="573"/>
      <c r="C351" s="573"/>
      <c r="D351" s="573"/>
      <c r="E351" s="573"/>
      <c r="F351" s="573"/>
      <c r="G351" s="573"/>
      <c r="H351" s="573"/>
    </row>
    <row r="352" spans="1:8" ht="15">
      <c r="A352" s="574" t="s">
        <v>1026</v>
      </c>
      <c r="B352" s="573"/>
      <c r="C352" s="573"/>
      <c r="D352" s="573"/>
      <c r="E352" s="573"/>
      <c r="F352" s="573"/>
      <c r="G352" s="573"/>
      <c r="H352" s="573"/>
    </row>
    <row r="353" spans="1:8" ht="15">
      <c r="A353" s="574" t="s">
        <v>1027</v>
      </c>
      <c r="B353" s="573"/>
      <c r="C353" s="573"/>
      <c r="D353" s="573"/>
      <c r="E353" s="573"/>
      <c r="F353" s="573"/>
      <c r="G353" s="573"/>
      <c r="H353" s="573"/>
    </row>
    <row r="354" spans="1:8" ht="15">
      <c r="A354" s="574" t="s">
        <v>1028</v>
      </c>
      <c r="B354" s="573"/>
      <c r="C354" s="573"/>
      <c r="D354" s="573"/>
      <c r="E354" s="573"/>
      <c r="F354" s="573"/>
      <c r="G354" s="573"/>
      <c r="H354" s="573"/>
    </row>
    <row r="355" spans="1:8" ht="15">
      <c r="A355" s="574" t="s">
        <v>1029</v>
      </c>
      <c r="B355" s="573"/>
      <c r="C355" s="573"/>
      <c r="D355" s="573"/>
      <c r="E355" s="573"/>
      <c r="F355" s="573"/>
      <c r="G355" s="573"/>
      <c r="H355" s="573"/>
    </row>
    <row r="356" spans="1:8" ht="15">
      <c r="A356" s="574" t="s">
        <v>1030</v>
      </c>
      <c r="B356" s="573"/>
      <c r="C356" s="573"/>
      <c r="D356" s="573"/>
      <c r="E356" s="573"/>
      <c r="F356" s="573"/>
      <c r="G356" s="573"/>
      <c r="H356" s="573"/>
    </row>
    <row r="357" spans="1:8" ht="15">
      <c r="A357" s="574" t="s">
        <v>1031</v>
      </c>
      <c r="B357" s="573"/>
      <c r="C357" s="573"/>
      <c r="D357" s="573"/>
      <c r="E357" s="573"/>
      <c r="F357" s="573"/>
      <c r="G357" s="573"/>
      <c r="H357" s="573"/>
    </row>
    <row r="358" spans="1:8" ht="15">
      <c r="A358" s="574" t="s">
        <v>1032</v>
      </c>
      <c r="B358" s="573"/>
      <c r="C358" s="573"/>
      <c r="D358" s="573"/>
      <c r="E358" s="573"/>
      <c r="F358" s="573"/>
      <c r="G358" s="573"/>
      <c r="H358" s="573"/>
    </row>
    <row r="359" spans="1:8" ht="15">
      <c r="A359" s="574" t="s">
        <v>1033</v>
      </c>
      <c r="B359" s="573"/>
      <c r="C359" s="573"/>
      <c r="D359" s="573"/>
      <c r="E359" s="573"/>
      <c r="F359" s="573"/>
      <c r="G359" s="573"/>
      <c r="H359" s="573"/>
    </row>
    <row r="360" spans="1:8" ht="15">
      <c r="A360" s="574" t="s">
        <v>1034</v>
      </c>
      <c r="B360" s="573"/>
      <c r="C360" s="573"/>
      <c r="D360" s="573"/>
      <c r="E360" s="573"/>
      <c r="F360" s="573"/>
      <c r="G360" s="573"/>
      <c r="H360" s="573"/>
    </row>
    <row r="361" spans="1:8" ht="15">
      <c r="A361" s="574" t="s">
        <v>1035</v>
      </c>
      <c r="B361" s="573"/>
      <c r="C361" s="573"/>
      <c r="D361" s="573"/>
      <c r="E361" s="573"/>
      <c r="F361" s="573"/>
      <c r="G361" s="573"/>
      <c r="H361" s="573"/>
    </row>
    <row r="362" spans="1:8" ht="15">
      <c r="A362" s="574" t="s">
        <v>1036</v>
      </c>
      <c r="B362" s="573"/>
      <c r="C362" s="573"/>
      <c r="D362" s="573"/>
      <c r="E362" s="573"/>
      <c r="F362" s="573"/>
      <c r="G362" s="573"/>
      <c r="H362" s="573"/>
    </row>
    <row r="363" spans="1:8" ht="15">
      <c r="A363" s="573"/>
      <c r="B363" s="573"/>
      <c r="C363" s="573"/>
      <c r="D363" s="573"/>
      <c r="E363" s="573"/>
      <c r="F363" s="573"/>
      <c r="G363" s="573"/>
      <c r="H363" s="573"/>
    </row>
    <row r="364" spans="1:8" ht="15">
      <c r="A364" s="574" t="s">
        <v>994</v>
      </c>
      <c r="B364" s="573"/>
      <c r="C364" s="573"/>
      <c r="D364" s="573"/>
      <c r="E364" s="573"/>
      <c r="F364" s="573"/>
      <c r="G364" s="573"/>
      <c r="H364" s="573"/>
    </row>
    <row r="365" spans="1:8" ht="15">
      <c r="A365" s="574" t="s">
        <v>998</v>
      </c>
      <c r="B365" s="573"/>
      <c r="C365" s="573"/>
      <c r="D365" s="573"/>
      <c r="E365" s="573"/>
      <c r="F365" s="573"/>
      <c r="G365" s="573"/>
      <c r="H365" s="573"/>
    </row>
    <row r="366" spans="1:8" ht="15">
      <c r="A366" s="574" t="s">
        <v>999</v>
      </c>
      <c r="B366" s="573"/>
      <c r="C366" s="573"/>
      <c r="D366" s="573"/>
      <c r="E366" s="573"/>
      <c r="F366" s="573"/>
      <c r="G366" s="573"/>
      <c r="H366" s="573"/>
    </row>
    <row r="367" spans="1:8" ht="15">
      <c r="A367" s="574" t="s">
        <v>1000</v>
      </c>
      <c r="B367" s="573"/>
      <c r="C367" s="573"/>
      <c r="D367" s="573"/>
      <c r="E367" s="573"/>
      <c r="F367" s="573"/>
      <c r="G367" s="573"/>
      <c r="H367" s="573"/>
    </row>
    <row r="368" spans="1:8" ht="15">
      <c r="A368" s="574" t="s">
        <v>1001</v>
      </c>
      <c r="B368" s="573"/>
      <c r="C368" s="573"/>
      <c r="D368" s="573"/>
      <c r="E368" s="573"/>
      <c r="F368" s="573"/>
      <c r="G368" s="573"/>
      <c r="H368" s="573"/>
    </row>
    <row r="369" spans="1:8" ht="15">
      <c r="A369" s="573"/>
      <c r="B369" s="573"/>
      <c r="C369" s="573"/>
      <c r="D369" s="573"/>
      <c r="E369" s="573"/>
      <c r="F369" s="573"/>
      <c r="G369" s="573"/>
      <c r="H369" s="573"/>
    </row>
    <row r="370" spans="1:8" ht="15">
      <c r="A370" s="574" t="s">
        <v>994</v>
      </c>
      <c r="B370" s="573"/>
      <c r="C370" s="573"/>
      <c r="D370" s="573"/>
      <c r="E370" s="573"/>
      <c r="F370" s="573"/>
      <c r="G370" s="573"/>
      <c r="H370" s="573"/>
    </row>
    <row r="371" spans="1:8" ht="15">
      <c r="A371" s="574" t="s">
        <v>995</v>
      </c>
      <c r="B371" s="573"/>
      <c r="C371" s="573"/>
      <c r="D371" s="573"/>
      <c r="E371" s="573"/>
      <c r="F371" s="573"/>
      <c r="G371" s="573"/>
      <c r="H371" s="573"/>
    </row>
    <row r="372" spans="1:8" ht="15">
      <c r="A372" s="574" t="s">
        <v>996</v>
      </c>
      <c r="B372" s="573"/>
      <c r="C372" s="573"/>
      <c r="D372" s="573"/>
      <c r="E372" s="573"/>
      <c r="F372" s="573"/>
      <c r="G372" s="573"/>
      <c r="H372" s="573"/>
    </row>
    <row r="373" spans="1:8" ht="15">
      <c r="A373" s="574" t="s">
        <v>997</v>
      </c>
      <c r="B373" s="573"/>
      <c r="C373" s="573"/>
      <c r="D373" s="573"/>
      <c r="E373" s="573"/>
      <c r="F373" s="573"/>
      <c r="G373" s="573"/>
      <c r="H373" s="573"/>
    </row>
    <row r="374" spans="1:8" ht="15">
      <c r="A374" s="573"/>
      <c r="B374" s="573"/>
      <c r="C374" s="573"/>
      <c r="D374" s="573"/>
      <c r="E374" s="573"/>
      <c r="F374" s="573"/>
      <c r="G374" s="573"/>
      <c r="H374" s="573"/>
    </row>
    <row r="375" spans="1:8" ht="15">
      <c r="A375" s="574" t="s">
        <v>988</v>
      </c>
      <c r="B375" s="573"/>
      <c r="C375" s="573"/>
      <c r="D375" s="573"/>
      <c r="E375" s="573"/>
      <c r="F375" s="573"/>
      <c r="G375" s="573"/>
      <c r="H375" s="573"/>
    </row>
    <row r="376" spans="1:8" ht="15">
      <c r="A376" s="574" t="s">
        <v>989</v>
      </c>
      <c r="B376" s="573"/>
      <c r="C376" s="573"/>
      <c r="D376" s="573"/>
      <c r="E376" s="573"/>
      <c r="F376" s="573"/>
      <c r="G376" s="573"/>
      <c r="H376" s="573"/>
    </row>
    <row r="377" spans="1:8" ht="15">
      <c r="A377" s="574" t="s">
        <v>990</v>
      </c>
      <c r="B377" s="573"/>
      <c r="C377" s="573"/>
      <c r="D377" s="573"/>
      <c r="E377" s="573"/>
      <c r="F377" s="573"/>
      <c r="G377" s="573"/>
      <c r="H377" s="573"/>
    </row>
    <row r="378" spans="1:8" ht="15">
      <c r="A378" s="574" t="s">
        <v>991</v>
      </c>
      <c r="B378" s="573"/>
      <c r="C378" s="573"/>
      <c r="D378" s="573"/>
      <c r="E378" s="573"/>
      <c r="F378" s="573"/>
      <c r="G378" s="573"/>
      <c r="H378" s="573"/>
    </row>
    <row r="379" spans="1:8" ht="15">
      <c r="A379" s="574" t="s">
        <v>992</v>
      </c>
      <c r="B379" s="573"/>
      <c r="C379" s="573"/>
      <c r="D379" s="573"/>
      <c r="E379" s="573"/>
      <c r="F379" s="573"/>
      <c r="G379" s="573"/>
      <c r="H379" s="573"/>
    </row>
    <row r="380" spans="1:8" ht="15">
      <c r="A380" s="574" t="s">
        <v>993</v>
      </c>
      <c r="B380" s="573"/>
      <c r="C380" s="573"/>
      <c r="D380" s="573"/>
      <c r="E380" s="573"/>
      <c r="F380" s="573"/>
      <c r="G380" s="573"/>
      <c r="H380" s="573"/>
    </row>
    <row r="381" spans="1:8" ht="15">
      <c r="A381" s="573"/>
      <c r="B381" s="573"/>
      <c r="C381" s="573"/>
      <c r="D381" s="573"/>
      <c r="E381" s="573"/>
      <c r="F381" s="573"/>
      <c r="G381" s="573"/>
      <c r="H381" s="573"/>
    </row>
    <row r="382" spans="1:8" ht="15">
      <c r="A382" s="574" t="s">
        <v>983</v>
      </c>
      <c r="B382" s="573"/>
      <c r="C382" s="573"/>
      <c r="D382" s="573"/>
      <c r="E382" s="573"/>
      <c r="F382" s="573"/>
      <c r="G382" s="573"/>
      <c r="H382" s="573"/>
    </row>
    <row r="383" spans="1:8" ht="15">
      <c r="A383" s="574" t="s">
        <v>984</v>
      </c>
      <c r="B383" s="573"/>
      <c r="C383" s="573"/>
      <c r="D383" s="573"/>
      <c r="E383" s="573"/>
      <c r="F383" s="573"/>
      <c r="G383" s="573"/>
      <c r="H383" s="573"/>
    </row>
    <row r="384" spans="1:8" ht="15">
      <c r="A384" s="574" t="s">
        <v>985</v>
      </c>
      <c r="B384" s="573"/>
      <c r="C384" s="573"/>
      <c r="D384" s="573"/>
      <c r="E384" s="573"/>
      <c r="F384" s="573"/>
      <c r="G384" s="573"/>
      <c r="H384" s="573"/>
    </row>
    <row r="385" spans="1:8" ht="15">
      <c r="A385" s="574" t="s">
        <v>986</v>
      </c>
      <c r="B385" s="573"/>
      <c r="C385" s="573"/>
      <c r="D385" s="573"/>
      <c r="E385" s="573"/>
      <c r="F385" s="573"/>
      <c r="G385" s="573"/>
      <c r="H385" s="573"/>
    </row>
    <row r="386" spans="1:8" ht="15">
      <c r="A386" s="574" t="s">
        <v>987</v>
      </c>
      <c r="B386" s="573"/>
      <c r="C386" s="573"/>
      <c r="D386" s="573"/>
      <c r="E386" s="573"/>
      <c r="F386" s="573"/>
      <c r="G386" s="573"/>
      <c r="H386" s="573"/>
    </row>
    <row r="387" spans="1:8" ht="15">
      <c r="A387" s="573"/>
      <c r="B387" s="573"/>
      <c r="C387" s="573"/>
      <c r="D387" s="573"/>
      <c r="E387" s="573"/>
      <c r="F387" s="573"/>
      <c r="G387" s="573"/>
      <c r="H387" s="573"/>
    </row>
    <row r="388" spans="1:8" ht="15">
      <c r="A388" s="574" t="s">
        <v>981</v>
      </c>
      <c r="B388" s="573"/>
      <c r="C388" s="573"/>
      <c r="D388" s="573"/>
      <c r="E388" s="573"/>
      <c r="F388" s="573"/>
      <c r="G388" s="573"/>
      <c r="H388" s="573"/>
    </row>
    <row r="389" spans="1:8" ht="15">
      <c r="A389" s="574" t="s">
        <v>982</v>
      </c>
      <c r="B389" s="573"/>
      <c r="C389" s="573"/>
      <c r="D389" s="573"/>
      <c r="E389" s="573"/>
      <c r="F389" s="573"/>
      <c r="G389" s="573"/>
      <c r="H389" s="573"/>
    </row>
    <row r="391" spans="1:8">
      <c r="A391" s="569" t="s">
        <v>1237</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T37"/>
  <sheetViews>
    <sheetView zoomScaleNormal="100" workbookViewId="0">
      <selection activeCell="C28" sqref="C28"/>
    </sheetView>
  </sheetViews>
  <sheetFormatPr defaultRowHeight="12.75"/>
  <cols>
    <col min="1" max="1" width="2.7109375" style="116" customWidth="1"/>
    <col min="2" max="2" width="25.28515625" style="116" customWidth="1"/>
    <col min="3" max="3" width="9.42578125" style="116" customWidth="1"/>
    <col min="4" max="4" width="10.140625" style="116" bestFit="1" customWidth="1"/>
    <col min="5" max="20" width="7.7109375" style="116" customWidth="1"/>
    <col min="21" max="21" width="29" style="116" bestFit="1" customWidth="1"/>
    <col min="22" max="16384" width="9.140625" style="116"/>
  </cols>
  <sheetData>
    <row r="1" spans="2:20" s="115" customFormat="1"/>
    <row r="2" spans="2:20">
      <c r="D2" s="97"/>
      <c r="E2" s="554" t="s">
        <v>548</v>
      </c>
      <c r="F2" s="555"/>
      <c r="G2" s="555"/>
      <c r="H2" s="556"/>
      <c r="I2" s="97"/>
      <c r="J2" s="97"/>
      <c r="K2" s="97"/>
      <c r="L2" s="97"/>
      <c r="M2" s="97"/>
      <c r="N2" s="97"/>
      <c r="O2" s="97"/>
      <c r="P2" s="97"/>
      <c r="Q2" s="97"/>
      <c r="R2" s="97"/>
      <c r="S2" s="97"/>
    </row>
    <row r="3" spans="2:20">
      <c r="D3" s="97"/>
      <c r="E3" s="551" t="s">
        <v>227</v>
      </c>
      <c r="F3" s="552"/>
      <c r="G3" s="552"/>
      <c r="H3" s="552"/>
      <c r="I3" s="552"/>
      <c r="J3" s="553"/>
      <c r="K3" s="97"/>
      <c r="L3" s="97"/>
      <c r="M3" s="97"/>
      <c r="N3" s="97"/>
      <c r="O3" s="97"/>
      <c r="P3" s="117" t="s">
        <v>249</v>
      </c>
      <c r="Q3" s="97"/>
      <c r="R3" s="118" t="s">
        <v>87</v>
      </c>
      <c r="S3" s="97"/>
      <c r="T3" s="318" t="s">
        <v>596</v>
      </c>
    </row>
    <row r="4" spans="2:20" s="119" customFormat="1" ht="6.75" customHeight="1">
      <c r="D4" s="100"/>
      <c r="E4" s="114"/>
      <c r="F4" s="114"/>
      <c r="G4" s="114"/>
      <c r="H4" s="114"/>
      <c r="I4" s="114"/>
      <c r="J4" s="114"/>
      <c r="K4" s="100"/>
      <c r="L4" s="100"/>
      <c r="M4" s="100"/>
      <c r="N4" s="114"/>
      <c r="O4" s="114"/>
      <c r="P4" s="114"/>
      <c r="Q4" s="100"/>
      <c r="R4" s="114"/>
      <c r="S4" s="100"/>
    </row>
    <row r="5" spans="2:20" ht="13.5" thickBot="1">
      <c r="B5" s="316"/>
      <c r="C5" s="316"/>
      <c r="D5" s="317">
        <v>2014</v>
      </c>
      <c r="E5" s="317">
        <f>D5+1</f>
        <v>2015</v>
      </c>
      <c r="F5" s="317">
        <f t="shared" ref="F5:T5" si="0">E5+1</f>
        <v>2016</v>
      </c>
      <c r="G5" s="317">
        <f t="shared" si="0"/>
        <v>2017</v>
      </c>
      <c r="H5" s="317">
        <f t="shared" si="0"/>
        <v>2018</v>
      </c>
      <c r="I5" s="317">
        <f t="shared" si="0"/>
        <v>2019</v>
      </c>
      <c r="J5" s="317">
        <f t="shared" si="0"/>
        <v>2020</v>
      </c>
      <c r="K5" s="317">
        <f t="shared" si="0"/>
        <v>2021</v>
      </c>
      <c r="L5" s="317">
        <f t="shared" si="0"/>
        <v>2022</v>
      </c>
      <c r="M5" s="317">
        <f t="shared" si="0"/>
        <v>2023</v>
      </c>
      <c r="N5" s="317">
        <f t="shared" si="0"/>
        <v>2024</v>
      </c>
      <c r="O5" s="317">
        <f t="shared" si="0"/>
        <v>2025</v>
      </c>
      <c r="P5" s="317">
        <f t="shared" si="0"/>
        <v>2026</v>
      </c>
      <c r="Q5" s="317">
        <f t="shared" si="0"/>
        <v>2027</v>
      </c>
      <c r="R5" s="317">
        <v>2028</v>
      </c>
      <c r="S5" s="317">
        <f t="shared" si="0"/>
        <v>2029</v>
      </c>
      <c r="T5" s="317">
        <f t="shared" si="0"/>
        <v>2030</v>
      </c>
    </row>
    <row r="6" spans="2:20">
      <c r="B6" s="121" t="s">
        <v>598</v>
      </c>
      <c r="C6" s="121"/>
      <c r="D6" s="98">
        <f>CF!N55</f>
        <v>2750.74</v>
      </c>
      <c r="E6" s="98">
        <f>CF!O55</f>
        <v>3151.2999999999984</v>
      </c>
      <c r="F6" s="98">
        <f>CF!P55</f>
        <v>3918.8999999999996</v>
      </c>
      <c r="G6" s="98">
        <f>CF!R55</f>
        <v>3948.1694252920975</v>
      </c>
      <c r="H6" s="98">
        <f>CF!R55</f>
        <v>3948.1694252920975</v>
      </c>
      <c r="I6" s="98">
        <f>CF!S55</f>
        <v>5292.1459480612721</v>
      </c>
      <c r="J6" s="98">
        <f>CF!T55</f>
        <v>5887.662685142559</v>
      </c>
      <c r="K6" s="98">
        <f>CF!U55</f>
        <v>6193.7016415674061</v>
      </c>
      <c r="L6" s="98">
        <f>CF!V55</f>
        <v>6475.6312894546445</v>
      </c>
      <c r="M6" s="98">
        <f>CF!W55</f>
        <v>6628.0567386094317</v>
      </c>
      <c r="N6" s="98">
        <f>CF!X55</f>
        <v>6801.1169416637249</v>
      </c>
      <c r="O6" s="98">
        <f>CF!Y55</f>
        <v>6619.80018853404</v>
      </c>
      <c r="P6" s="98">
        <f>CF!Z55</f>
        <v>6024.8852175166685</v>
      </c>
      <c r="Q6" s="98">
        <f>CF!AA55</f>
        <v>5130.5463081443604</v>
      </c>
      <c r="R6" s="98">
        <f>CF!AB55</f>
        <v>4566.9390772593915</v>
      </c>
      <c r="S6" s="98">
        <f>CF!AC55</f>
        <v>4496.6511148225454</v>
      </c>
      <c r="T6" s="98">
        <f>S6*(1+C24)/(C22-C24)</f>
        <v>57332.30171398745</v>
      </c>
    </row>
    <row r="7" spans="2:20">
      <c r="B7" s="197" t="s">
        <v>599</v>
      </c>
      <c r="C7" s="122"/>
      <c r="D7" s="98"/>
      <c r="E7" s="99">
        <f t="shared" ref="E7:J7" si="1">E6/D6-1</f>
        <v>0.14561899706987891</v>
      </c>
      <c r="F7" s="99">
        <f t="shared" si="1"/>
        <v>0.24358201377209454</v>
      </c>
      <c r="G7" s="99">
        <f t="shared" si="1"/>
        <v>7.4687859583295602E-3</v>
      </c>
      <c r="H7" s="99">
        <f t="shared" si="1"/>
        <v>0</v>
      </c>
      <c r="I7" s="99">
        <f t="shared" si="1"/>
        <v>0.34040497709131201</v>
      </c>
      <c r="J7" s="352">
        <f t="shared" si="1"/>
        <v>0.11252840396426489</v>
      </c>
      <c r="K7" s="352">
        <f t="shared" ref="K7" si="2">K6/J6-1</f>
        <v>5.1979702776983494E-2</v>
      </c>
      <c r="L7" s="352">
        <f t="shared" ref="L7" si="3">L6/K6-1</f>
        <v>4.5518764739189477E-2</v>
      </c>
      <c r="M7" s="352">
        <f t="shared" ref="M7" si="4">M6/L6-1</f>
        <v>2.3538315006138122E-2</v>
      </c>
      <c r="N7" s="352">
        <f t="shared" ref="N7" si="5">N6/M6-1</f>
        <v>2.6110247675791731E-2</v>
      </c>
      <c r="O7" s="352">
        <f t="shared" ref="O7" si="6">O6/N6-1</f>
        <v>-2.6659849357821841E-2</v>
      </c>
      <c r="P7" s="352">
        <f t="shared" ref="P7" si="7">P6/O6-1</f>
        <v>-8.9869022338137317E-2</v>
      </c>
      <c r="Q7" s="352">
        <f>R6/P6-1</f>
        <v>-0.24198737197821862</v>
      </c>
      <c r="R7" s="352">
        <f>R6/R6-1</f>
        <v>0</v>
      </c>
      <c r="S7" s="352">
        <f t="shared" ref="S7" si="8">S6/R6-1</f>
        <v>-1.5390606541444307E-2</v>
      </c>
    </row>
    <row r="8" spans="2:20" ht="15" customHeight="1"/>
    <row r="9" spans="2:20">
      <c r="B9" s="116" t="s">
        <v>600</v>
      </c>
      <c r="D9" s="123"/>
      <c r="E9" s="123"/>
      <c r="F9" s="123">
        <f t="shared" ref="F9:T9" si="9">F6/(1+$C$22)^(F5-$C$25)</f>
        <v>4973.3141640637486</v>
      </c>
      <c r="G9" s="123">
        <f t="shared" si="9"/>
        <v>4554.9625300533362</v>
      </c>
      <c r="H9" s="123">
        <f t="shared" si="9"/>
        <v>4140.8750273212145</v>
      </c>
      <c r="I9" s="123">
        <f t="shared" si="9"/>
        <v>5045.8631783040701</v>
      </c>
      <c r="J9" s="123">
        <f t="shared" si="9"/>
        <v>5103.3328258006177</v>
      </c>
      <c r="K9" s="123">
        <f t="shared" si="9"/>
        <v>4880.5477720525068</v>
      </c>
      <c r="L9" s="123">
        <f t="shared" si="9"/>
        <v>4638.8220708063091</v>
      </c>
      <c r="M9" s="123">
        <f t="shared" si="9"/>
        <v>4316.3746599694305</v>
      </c>
      <c r="N9" s="123">
        <f t="shared" si="9"/>
        <v>4026.4329740024941</v>
      </c>
      <c r="O9" s="123">
        <f t="shared" si="9"/>
        <v>3562.8080704238369</v>
      </c>
      <c r="P9" s="123">
        <f t="shared" si="9"/>
        <v>2947.8381748694733</v>
      </c>
      <c r="Q9" s="123">
        <f>R6/(1+$C$22)^(R5-$C$25)</f>
        <v>1846.6930263766453</v>
      </c>
      <c r="R9" s="123">
        <f t="shared" si="9"/>
        <v>1846.6930263766453</v>
      </c>
      <c r="S9" s="123">
        <f t="shared" si="9"/>
        <v>1652.9739096407754</v>
      </c>
      <c r="T9" s="123">
        <f t="shared" si="9"/>
        <v>19159.470316290801</v>
      </c>
    </row>
    <row r="10" spans="2:20" ht="13.5" thickBot="1">
      <c r="D10" s="444"/>
      <c r="E10" s="444"/>
      <c r="F10" s="444"/>
      <c r="G10" s="444"/>
      <c r="H10" s="444"/>
      <c r="I10" s="444"/>
      <c r="J10" s="444"/>
      <c r="K10" s="444"/>
      <c r="L10" s="444"/>
      <c r="M10" s="444"/>
      <c r="N10" s="444"/>
      <c r="O10" s="444"/>
      <c r="P10" s="444"/>
      <c r="Q10" s="444"/>
      <c r="R10" s="444"/>
      <c r="S10" s="444"/>
      <c r="T10" s="444"/>
    </row>
    <row r="11" spans="2:20">
      <c r="B11" s="334" t="s">
        <v>595</v>
      </c>
      <c r="C11" s="335">
        <f>SUM(I9:S9)+H9*0.5</f>
        <v>41938.817202283419</v>
      </c>
      <c r="D11" s="123"/>
      <c r="E11" s="445"/>
      <c r="F11" s="445"/>
      <c r="G11" s="445"/>
      <c r="H11" s="445"/>
      <c r="I11" s="445"/>
      <c r="J11" s="445"/>
      <c r="K11" s="445"/>
      <c r="L11" s="445"/>
      <c r="M11" s="445"/>
      <c r="N11" s="445"/>
      <c r="O11" s="445"/>
      <c r="P11" s="445"/>
      <c r="Q11" s="445"/>
      <c r="R11" s="445"/>
      <c r="S11" s="445"/>
      <c r="T11" s="445"/>
    </row>
    <row r="12" spans="2:20">
      <c r="B12" s="336" t="s">
        <v>597</v>
      </c>
      <c r="C12" s="337">
        <f>T9</f>
        <v>19159.470316290801</v>
      </c>
      <c r="D12" s="127"/>
    </row>
    <row r="13" spans="2:20">
      <c r="B13" s="336" t="s">
        <v>629</v>
      </c>
      <c r="C13" s="337">
        <f>aducanumab!C33+'anti-LINGO'!C29</f>
        <v>15495.874119166585</v>
      </c>
      <c r="D13" s="127"/>
      <c r="E13" s="123">
        <f>(C11+C12+C15)/C17*C18</f>
        <v>295.4320087574763</v>
      </c>
    </row>
    <row r="14" spans="2:20">
      <c r="B14" s="326" t="s">
        <v>594</v>
      </c>
      <c r="C14" s="327">
        <f>SUM(C11:C13)</f>
        <v>76594.161637740806</v>
      </c>
      <c r="D14" s="127"/>
      <c r="E14" s="123">
        <f>C18-E13</f>
        <v>73.388606688903621</v>
      </c>
    </row>
    <row r="15" spans="2:20">
      <c r="B15" s="320" t="s">
        <v>549</v>
      </c>
      <c r="C15" s="319">
        <f>BS!R3+BS!R4+BS!R12-BS!R26</f>
        <v>1281.6570671644295</v>
      </c>
      <c r="E15" s="127"/>
    </row>
    <row r="16" spans="2:20" ht="5.25" customHeight="1" thickBot="1">
      <c r="B16" s="320"/>
      <c r="C16" s="319"/>
    </row>
    <row r="17" spans="2:8">
      <c r="B17" s="329" t="s">
        <v>928</v>
      </c>
      <c r="C17" s="330">
        <f>C14+C15</f>
        <v>77875.818704905236</v>
      </c>
    </row>
    <row r="18" spans="2:8" ht="13.5" thickBot="1">
      <c r="B18" s="331" t="s">
        <v>929</v>
      </c>
      <c r="C18" s="332">
        <f>C17/C20</f>
        <v>368.82061544637992</v>
      </c>
      <c r="E18" s="123"/>
      <c r="F18" s="123"/>
      <c r="G18" s="127"/>
    </row>
    <row r="19" spans="2:8" ht="6.75" customHeight="1">
      <c r="B19" s="320"/>
      <c r="C19" s="321"/>
    </row>
    <row r="20" spans="2:8">
      <c r="B20" s="320" t="s">
        <v>601</v>
      </c>
      <c r="C20" s="322">
        <f>IS!CD107</f>
        <v>211.14822611163672</v>
      </c>
    </row>
    <row r="21" spans="2:8" ht="6.75" customHeight="1" thickBot="1">
      <c r="B21" s="320"/>
      <c r="C21" s="322"/>
    </row>
    <row r="22" spans="2:8">
      <c r="B22" s="328" t="s">
        <v>546</v>
      </c>
      <c r="C22" s="333">
        <v>0.1</v>
      </c>
    </row>
    <row r="23" spans="2:8">
      <c r="B23" s="320" t="s">
        <v>544</v>
      </c>
      <c r="C23" s="323">
        <f>AVERAGE(K7:O7)</f>
        <v>2.4097436168056197E-2</v>
      </c>
    </row>
    <row r="24" spans="2:8">
      <c r="B24" s="320" t="s">
        <v>545</v>
      </c>
      <c r="C24" s="323">
        <v>0.02</v>
      </c>
    </row>
    <row r="25" spans="2:8" ht="13.5" thickBot="1">
      <c r="B25" s="324" t="s">
        <v>547</v>
      </c>
      <c r="C25" s="325">
        <v>2018.5</v>
      </c>
      <c r="E25" s="127"/>
      <c r="G25" s="127"/>
    </row>
    <row r="26" spans="2:8">
      <c r="C26" s="127"/>
    </row>
    <row r="28" spans="2:8">
      <c r="B28" s="116" t="s">
        <v>628</v>
      </c>
      <c r="C28" s="124">
        <v>2</v>
      </c>
      <c r="H28" s="124"/>
    </row>
    <row r="34" spans="2:10">
      <c r="B34" s="116" t="s">
        <v>565</v>
      </c>
      <c r="D34" s="128">
        <f>CF!N55-CF!N27</f>
        <v>3125.74</v>
      </c>
      <c r="E34" s="128">
        <f>CF!O55-CF!O27</f>
        <v>4001.2999999999984</v>
      </c>
      <c r="F34" s="128">
        <f>CF!P55-CF!P27</f>
        <v>5118.8999999999996</v>
      </c>
      <c r="G34" s="128">
        <f>CF!R55-CF!R27</f>
        <v>5448.169425292097</v>
      </c>
      <c r="H34" s="128">
        <f>CF!R55-CF!R27</f>
        <v>5448.169425292097</v>
      </c>
      <c r="I34" s="128">
        <f>CF!S55-CF!S27</f>
        <v>5592.1459480612721</v>
      </c>
      <c r="J34" s="128">
        <f>CF!T55-CF!T27</f>
        <v>5887.662685142559</v>
      </c>
    </row>
    <row r="35" spans="2:10">
      <c r="D35" s="128"/>
      <c r="E35" s="129">
        <f t="shared" ref="E35:J35" si="10">E34/D34-1</f>
        <v>0.28011286927255585</v>
      </c>
      <c r="F35" s="129">
        <f t="shared" si="10"/>
        <v>0.27930922450203721</v>
      </c>
      <c r="G35" s="129">
        <f t="shared" si="10"/>
        <v>6.4324254291370675E-2</v>
      </c>
      <c r="H35" s="129">
        <f t="shared" si="10"/>
        <v>0</v>
      </c>
      <c r="I35" s="129">
        <f t="shared" si="10"/>
        <v>2.6426586901059146E-2</v>
      </c>
      <c r="J35" s="129">
        <f t="shared" si="10"/>
        <v>5.2844961455939643E-2</v>
      </c>
    </row>
    <row r="36" spans="2:10">
      <c r="B36" s="116" t="s">
        <v>566</v>
      </c>
      <c r="D36" s="128">
        <f t="shared" ref="D36:J36" si="11">D34-D6</f>
        <v>375</v>
      </c>
      <c r="E36" s="128">
        <f t="shared" si="11"/>
        <v>850</v>
      </c>
      <c r="F36" s="128">
        <f t="shared" si="11"/>
        <v>1200</v>
      </c>
      <c r="G36" s="128">
        <f t="shared" si="11"/>
        <v>1499.9999999999995</v>
      </c>
      <c r="H36" s="128">
        <f t="shared" si="11"/>
        <v>1499.9999999999995</v>
      </c>
      <c r="I36" s="128">
        <f t="shared" si="11"/>
        <v>300</v>
      </c>
      <c r="J36" s="128">
        <f t="shared" si="11"/>
        <v>0</v>
      </c>
    </row>
    <row r="37" spans="2:10">
      <c r="B37" s="116" t="s">
        <v>86</v>
      </c>
      <c r="D37" s="128">
        <f>D34-D36</f>
        <v>2750.74</v>
      </c>
      <c r="E37" s="128">
        <f t="shared" ref="E37:J37" si="12">E34-E36</f>
        <v>3151.2999999999984</v>
      </c>
      <c r="F37" s="128">
        <f t="shared" si="12"/>
        <v>3918.8999999999996</v>
      </c>
      <c r="G37" s="128">
        <f t="shared" si="12"/>
        <v>3948.1694252920975</v>
      </c>
      <c r="H37" s="128">
        <f t="shared" si="12"/>
        <v>3948.1694252920975</v>
      </c>
      <c r="I37" s="128">
        <f t="shared" si="12"/>
        <v>5292.1459480612721</v>
      </c>
      <c r="J37" s="128">
        <f t="shared" si="12"/>
        <v>5887.662685142559</v>
      </c>
    </row>
  </sheetData>
  <mergeCells count="2">
    <mergeCell ref="E3:J3"/>
    <mergeCell ref="E2:H2"/>
  </mergeCells>
  <phoneticPr fontId="16" type="noConversion"/>
  <pageMargins left="0" right="0" top="0" bottom="0" header="0" footer="0"/>
  <pageSetup paperSize="5"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W158"/>
  <sheetViews>
    <sheetView showGridLines="0" zoomScaleNormal="100" workbookViewId="0">
      <pane xSplit="2" ySplit="2" topLeftCell="BO3" activePane="bottomRight" state="frozen"/>
      <selection pane="topRight" activeCell="C1" sqref="C1"/>
      <selection pane="bottomLeft" activeCell="A3" sqref="A3"/>
      <selection pane="bottomRight" activeCell="BZ1" sqref="BZ1:CD1"/>
    </sheetView>
  </sheetViews>
  <sheetFormatPr defaultRowHeight="15" outlineLevelRow="2" outlineLevelCol="2"/>
  <cols>
    <col min="1" max="1" width="2.140625" style="1" customWidth="1"/>
    <col min="2" max="2" width="62" style="1" bestFit="1" customWidth="1"/>
    <col min="3" max="6" width="8.7109375" style="1" hidden="1" customWidth="1" outlineLevel="1"/>
    <col min="7" max="7" width="8.7109375" style="1" hidden="1" customWidth="1"/>
    <col min="8" max="11" width="8.7109375" style="1" hidden="1" customWidth="1" outlineLevel="1"/>
    <col min="12" max="12" width="8.7109375" style="1" hidden="1" customWidth="1"/>
    <col min="13" max="16" width="8.7109375" style="1" hidden="1" customWidth="1" outlineLevel="1"/>
    <col min="17" max="17" width="8.7109375" style="1" hidden="1" customWidth="1"/>
    <col min="18" max="21" width="8.7109375" style="1" hidden="1" customWidth="1" outlineLevel="1"/>
    <col min="22" max="22" width="8.7109375" style="1" hidden="1" customWidth="1"/>
    <col min="23" max="26" width="8.7109375" style="1" hidden="1" customWidth="1" outlineLevel="1"/>
    <col min="27" max="27" width="8.7109375" style="1" hidden="1" customWidth="1"/>
    <col min="28" max="31" width="8.7109375" style="1" hidden="1" customWidth="1" outlineLevel="1"/>
    <col min="32" max="32" width="8.7109375" style="1" hidden="1" customWidth="1"/>
    <col min="33" max="36" width="8.7109375" style="1" hidden="1" customWidth="1" outlineLevel="2"/>
    <col min="37" max="37" width="8.7109375" style="1" hidden="1" customWidth="1" outlineLevel="1" collapsed="1"/>
    <col min="38" max="41" width="8.7109375" style="1" hidden="1" customWidth="1" outlineLevel="2"/>
    <col min="42" max="42" width="8.7109375" style="1" hidden="1" customWidth="1" outlineLevel="1" collapsed="1"/>
    <col min="43" max="46" width="8.7109375" style="1" hidden="1" customWidth="1" outlineLevel="2"/>
    <col min="47" max="47" width="8.7109375" style="1" hidden="1" customWidth="1" outlineLevel="1" collapsed="1"/>
    <col min="48" max="51" width="8.7109375" style="1" hidden="1" customWidth="1" outlineLevel="2"/>
    <col min="52" max="52" width="8.7109375" style="1" hidden="1" customWidth="1" outlineLevel="1" collapsed="1"/>
    <col min="53" max="56" width="8.7109375" style="1" hidden="1" customWidth="1" outlineLevel="2"/>
    <col min="57" max="57" width="8" style="1" hidden="1" customWidth="1" outlineLevel="1" collapsed="1"/>
    <col min="58" max="60" width="8" style="1" hidden="1" customWidth="1" outlineLevel="2"/>
    <col min="61" max="61" width="8.140625" style="1" hidden="1" customWidth="1" outlineLevel="2"/>
    <col min="62" max="62" width="8.140625" style="1" hidden="1" customWidth="1" outlineLevel="1" collapsed="1"/>
    <col min="63" max="66" width="8" style="1" hidden="1" customWidth="1" outlineLevel="1"/>
    <col min="67" max="67" width="8" style="1" bestFit="1" customWidth="1" collapsed="1"/>
    <col min="68" max="71" width="8" style="1" hidden="1" customWidth="1" outlineLevel="1"/>
    <col min="72" max="72" width="8.7109375" style="1" bestFit="1" customWidth="1" collapsed="1"/>
    <col min="73" max="76" width="8.7109375" style="1" hidden="1" customWidth="1" outlineLevel="1"/>
    <col min="77" max="77" width="8.7109375" style="1" customWidth="1" collapsed="1"/>
    <col min="78" max="81" width="8.7109375" style="1" customWidth="1" outlineLevel="1"/>
    <col min="82" max="82" width="8.7109375" style="1" customWidth="1"/>
    <col min="83" max="86" width="8.7109375" style="1" hidden="1" customWidth="1" outlineLevel="1"/>
    <col min="87" max="87" width="8.7109375" style="1" customWidth="1" collapsed="1"/>
    <col min="88" max="91" width="8.7109375" style="1" hidden="1" customWidth="1" outlineLevel="1"/>
    <col min="92" max="92" width="8.7109375" style="1" customWidth="1" collapsed="1"/>
    <col min="93" max="96" width="9.140625" style="1" hidden="1" customWidth="1" outlineLevel="1"/>
    <col min="97" max="97" width="9.140625" style="1" collapsed="1"/>
    <col min="98" max="101" width="9.140625" style="1" hidden="1" customWidth="1" outlineLevel="1"/>
    <col min="102" max="102" width="9.140625" style="1" collapsed="1"/>
    <col min="103" max="106" width="9.140625" style="1" hidden="1" customWidth="1" outlineLevel="1"/>
    <col min="107" max="107" width="9.140625" style="1" collapsed="1"/>
    <col min="108" max="111" width="9.140625" style="1" hidden="1" customWidth="1" outlineLevel="1"/>
    <col min="112" max="112" width="9.140625" style="1" collapsed="1"/>
    <col min="113" max="116" width="9.140625" style="1" hidden="1" customWidth="1" outlineLevel="1"/>
    <col min="117" max="117" width="9.140625" style="1" collapsed="1"/>
    <col min="118" max="121" width="9.140625" style="1" hidden="1" customWidth="1" outlineLevel="1"/>
    <col min="122" max="122" width="9.140625" style="1" collapsed="1"/>
    <col min="123" max="126" width="9.140625" style="1" hidden="1" customWidth="1" outlineLevel="1"/>
    <col min="127" max="127" width="9.140625" style="1" collapsed="1"/>
    <col min="128" max="131" width="9.140625" style="1" hidden="1" customWidth="1" outlineLevel="1"/>
    <col min="132" max="132" width="9.140625" style="1" collapsed="1"/>
    <col min="133" max="136" width="9.140625" style="1" hidden="1" customWidth="1" outlineLevel="1"/>
    <col min="137" max="137" width="9.140625" style="1" collapsed="1"/>
    <col min="138" max="141" width="9.140625" style="1" hidden="1" customWidth="1" outlineLevel="1"/>
    <col min="142" max="142" width="9.140625" style="1" collapsed="1"/>
    <col min="143" max="144" width="9.140625" style="1"/>
    <col min="145" max="145" width="37.28515625" customWidth="1"/>
    <col min="151" max="16384" width="9.140625" style="1"/>
  </cols>
  <sheetData>
    <row r="1" spans="2:153" s="7" customFormat="1" ht="15.75" thickBot="1">
      <c r="C1" s="559" t="s">
        <v>0</v>
      </c>
      <c r="D1" s="559"/>
      <c r="E1" s="559"/>
      <c r="F1" s="559"/>
      <c r="G1" s="559"/>
      <c r="H1" s="559" t="s">
        <v>1</v>
      </c>
      <c r="I1" s="559"/>
      <c r="J1" s="559"/>
      <c r="K1" s="559"/>
      <c r="L1" s="559"/>
      <c r="M1" s="559" t="s">
        <v>2</v>
      </c>
      <c r="N1" s="559"/>
      <c r="O1" s="559"/>
      <c r="P1" s="559"/>
      <c r="Q1" s="559"/>
      <c r="R1" s="559" t="s">
        <v>3</v>
      </c>
      <c r="S1" s="559"/>
      <c r="T1" s="559"/>
      <c r="U1" s="559"/>
      <c r="V1" s="559"/>
      <c r="W1" s="559" t="s">
        <v>4</v>
      </c>
      <c r="X1" s="559"/>
      <c r="Y1" s="559"/>
      <c r="Z1" s="559"/>
      <c r="AA1" s="559"/>
      <c r="AB1" s="559" t="s">
        <v>5</v>
      </c>
      <c r="AC1" s="559"/>
      <c r="AD1" s="559"/>
      <c r="AE1" s="559"/>
      <c r="AF1" s="559"/>
      <c r="AG1" s="559" t="s">
        <v>6</v>
      </c>
      <c r="AH1" s="559"/>
      <c r="AI1" s="559"/>
      <c r="AJ1" s="559"/>
      <c r="AK1" s="559"/>
      <c r="AL1" s="559" t="s">
        <v>7</v>
      </c>
      <c r="AM1" s="559"/>
      <c r="AN1" s="559"/>
      <c r="AO1" s="559"/>
      <c r="AP1" s="559"/>
      <c r="AQ1" s="559" t="s">
        <v>8</v>
      </c>
      <c r="AR1" s="559"/>
      <c r="AS1" s="559"/>
      <c r="AT1" s="559"/>
      <c r="AU1" s="559"/>
      <c r="AV1" s="559" t="s">
        <v>9</v>
      </c>
      <c r="AW1" s="559"/>
      <c r="AX1" s="559"/>
      <c r="AY1" s="559"/>
      <c r="AZ1" s="559"/>
      <c r="BA1" s="559" t="s">
        <v>557</v>
      </c>
      <c r="BB1" s="559"/>
      <c r="BC1" s="559"/>
      <c r="BD1" s="559"/>
      <c r="BE1" s="559"/>
      <c r="BF1" s="559" t="s">
        <v>717</v>
      </c>
      <c r="BG1" s="559"/>
      <c r="BH1" s="559"/>
      <c r="BI1" s="559"/>
      <c r="BJ1" s="559"/>
      <c r="BK1" s="559" t="s">
        <v>827</v>
      </c>
      <c r="BL1" s="559"/>
      <c r="BM1" s="559"/>
      <c r="BN1" s="559"/>
      <c r="BO1" s="559"/>
      <c r="BP1" s="559" t="s">
        <v>914</v>
      </c>
      <c r="BQ1" s="559"/>
      <c r="BR1" s="559"/>
      <c r="BS1" s="559"/>
      <c r="BT1" s="559"/>
      <c r="BU1" s="559" t="s">
        <v>931</v>
      </c>
      <c r="BV1" s="559"/>
      <c r="BW1" s="559"/>
      <c r="BX1" s="559"/>
      <c r="BY1" s="559"/>
      <c r="BZ1" s="559" t="s">
        <v>506</v>
      </c>
      <c r="CA1" s="559"/>
      <c r="CB1" s="559"/>
      <c r="CC1" s="559"/>
      <c r="CD1" s="559"/>
      <c r="CE1" s="559" t="s">
        <v>511</v>
      </c>
      <c r="CF1" s="559"/>
      <c r="CG1" s="559"/>
      <c r="CH1" s="559"/>
      <c r="CI1" s="559"/>
      <c r="CJ1" s="559" t="s">
        <v>516</v>
      </c>
      <c r="CK1" s="559"/>
      <c r="CL1" s="559"/>
      <c r="CM1" s="559"/>
      <c r="CN1" s="559"/>
      <c r="CO1" s="559" t="s">
        <v>654</v>
      </c>
      <c r="CP1" s="559"/>
      <c r="CQ1" s="559"/>
      <c r="CR1" s="559"/>
      <c r="CS1" s="559"/>
      <c r="CT1" s="559" t="s">
        <v>655</v>
      </c>
      <c r="CU1" s="559"/>
      <c r="CV1" s="559"/>
      <c r="CW1" s="559"/>
      <c r="CX1" s="559"/>
      <c r="CY1" s="559" t="s">
        <v>656</v>
      </c>
      <c r="CZ1" s="559"/>
      <c r="DA1" s="559"/>
      <c r="DB1" s="559"/>
      <c r="DC1" s="559"/>
      <c r="DD1" s="559" t="s">
        <v>657</v>
      </c>
      <c r="DE1" s="559"/>
      <c r="DF1" s="559"/>
      <c r="DG1" s="559"/>
      <c r="DH1" s="559"/>
      <c r="DI1" s="559" t="s">
        <v>658</v>
      </c>
      <c r="DJ1" s="559"/>
      <c r="DK1" s="559"/>
      <c r="DL1" s="559"/>
      <c r="DM1" s="559"/>
      <c r="DN1" s="559" t="s">
        <v>659</v>
      </c>
      <c r="DO1" s="559"/>
      <c r="DP1" s="559"/>
      <c r="DQ1" s="559"/>
      <c r="DR1" s="559"/>
      <c r="DS1" s="559" t="s">
        <v>660</v>
      </c>
      <c r="DT1" s="559"/>
      <c r="DU1" s="559"/>
      <c r="DV1" s="559"/>
      <c r="DW1" s="559"/>
      <c r="DX1" s="559" t="s">
        <v>661</v>
      </c>
      <c r="DY1" s="559"/>
      <c r="DZ1" s="559"/>
      <c r="EA1" s="559"/>
      <c r="EB1" s="559"/>
      <c r="EC1" s="559" t="s">
        <v>662</v>
      </c>
      <c r="ED1" s="559"/>
      <c r="EE1" s="559"/>
      <c r="EF1" s="559"/>
      <c r="EG1" s="559"/>
      <c r="EH1" s="559" t="s">
        <v>663</v>
      </c>
      <c r="EI1" s="559"/>
      <c r="EJ1" s="559"/>
      <c r="EK1" s="559"/>
      <c r="EL1" s="559"/>
      <c r="EO1"/>
      <c r="EP1"/>
      <c r="EQ1"/>
      <c r="ER1"/>
      <c r="ES1"/>
      <c r="ET1"/>
      <c r="EW1" s="526" t="s">
        <v>568</v>
      </c>
    </row>
    <row r="2" spans="2:153">
      <c r="B2" s="130" t="s">
        <v>151</v>
      </c>
      <c r="C2" s="131" t="s">
        <v>14</v>
      </c>
      <c r="D2" s="131" t="s">
        <v>15</v>
      </c>
      <c r="E2" s="131" t="s">
        <v>16</v>
      </c>
      <c r="F2" s="131" t="s">
        <v>17</v>
      </c>
      <c r="G2" s="132"/>
      <c r="H2" s="131" t="s">
        <v>18</v>
      </c>
      <c r="I2" s="131" t="s">
        <v>19</v>
      </c>
      <c r="J2" s="131" t="s">
        <v>20</v>
      </c>
      <c r="K2" s="131" t="s">
        <v>21</v>
      </c>
      <c r="L2" s="132"/>
      <c r="M2" s="131" t="s">
        <v>22</v>
      </c>
      <c r="N2" s="131" t="s">
        <v>23</v>
      </c>
      <c r="O2" s="131" t="s">
        <v>24</v>
      </c>
      <c r="P2" s="131" t="s">
        <v>25</v>
      </c>
      <c r="Q2" s="132"/>
      <c r="R2" s="131" t="s">
        <v>26</v>
      </c>
      <c r="S2" s="131" t="s">
        <v>27</v>
      </c>
      <c r="T2" s="131" t="s">
        <v>28</v>
      </c>
      <c r="U2" s="131" t="s">
        <v>29</v>
      </c>
      <c r="V2" s="132"/>
      <c r="W2" s="131" t="s">
        <v>30</v>
      </c>
      <c r="X2" s="131" t="s">
        <v>31</v>
      </c>
      <c r="Y2" s="131" t="s">
        <v>32</v>
      </c>
      <c r="Z2" s="131" t="s">
        <v>33</v>
      </c>
      <c r="AA2" s="132"/>
      <c r="AB2" s="131" t="s">
        <v>34</v>
      </c>
      <c r="AC2" s="131" t="s">
        <v>35</v>
      </c>
      <c r="AD2" s="131" t="s">
        <v>36</v>
      </c>
      <c r="AE2" s="131" t="s">
        <v>37</v>
      </c>
      <c r="AF2" s="132"/>
      <c r="AG2" s="131" t="s">
        <v>38</v>
      </c>
      <c r="AH2" s="131" t="s">
        <v>39</v>
      </c>
      <c r="AI2" s="131" t="s">
        <v>40</v>
      </c>
      <c r="AJ2" s="131" t="s">
        <v>41</v>
      </c>
      <c r="AK2" s="132"/>
      <c r="AL2" s="131" t="s">
        <v>42</v>
      </c>
      <c r="AM2" s="131" t="s">
        <v>43</v>
      </c>
      <c r="AN2" s="131" t="s">
        <v>44</v>
      </c>
      <c r="AO2" s="131" t="s">
        <v>45</v>
      </c>
      <c r="AP2" s="132"/>
      <c r="AQ2" s="131" t="s">
        <v>46</v>
      </c>
      <c r="AR2" s="131" t="s">
        <v>47</v>
      </c>
      <c r="AS2" s="131" t="s">
        <v>48</v>
      </c>
      <c r="AT2" s="131" t="s">
        <v>49</v>
      </c>
      <c r="AU2" s="132"/>
      <c r="AV2" s="131" t="s">
        <v>50</v>
      </c>
      <c r="AW2" s="131" t="s">
        <v>51</v>
      </c>
      <c r="AX2" s="131" t="s">
        <v>52</v>
      </c>
      <c r="AY2" s="131" t="s">
        <v>53</v>
      </c>
      <c r="AZ2" s="132"/>
      <c r="BA2" s="250" t="s">
        <v>54</v>
      </c>
      <c r="BB2" s="250" t="s">
        <v>55</v>
      </c>
      <c r="BC2" s="250" t="s">
        <v>56</v>
      </c>
      <c r="BD2" s="250" t="s">
        <v>556</v>
      </c>
      <c r="BE2" s="132"/>
      <c r="BF2" s="250" t="s">
        <v>647</v>
      </c>
      <c r="BG2" s="250" t="s">
        <v>649</v>
      </c>
      <c r="BH2" s="250" t="s">
        <v>653</v>
      </c>
      <c r="BI2" s="250" t="s">
        <v>716</v>
      </c>
      <c r="BJ2" s="132"/>
      <c r="BK2" s="250" t="s">
        <v>720</v>
      </c>
      <c r="BL2" s="250" t="s">
        <v>721</v>
      </c>
      <c r="BM2" s="250" t="s">
        <v>821</v>
      </c>
      <c r="BN2" s="250" t="s">
        <v>824</v>
      </c>
      <c r="BO2" s="132"/>
      <c r="BP2" s="250" t="s">
        <v>830</v>
      </c>
      <c r="BQ2" s="250" t="s">
        <v>831</v>
      </c>
      <c r="BR2" s="250" t="s">
        <v>835</v>
      </c>
      <c r="BS2" s="250" t="s">
        <v>913</v>
      </c>
      <c r="BT2" s="508"/>
      <c r="BU2" s="250" t="s">
        <v>915</v>
      </c>
      <c r="BV2" s="250" t="s">
        <v>917</v>
      </c>
      <c r="BW2" s="250" t="s">
        <v>926</v>
      </c>
      <c r="BX2" s="250" t="s">
        <v>930</v>
      </c>
      <c r="BY2" s="132"/>
      <c r="BZ2" s="250" t="s">
        <v>938</v>
      </c>
      <c r="CA2" s="250" t="s">
        <v>508</v>
      </c>
      <c r="CB2" s="250" t="s">
        <v>509</v>
      </c>
      <c r="CC2" s="250" t="s">
        <v>510</v>
      </c>
      <c r="CD2" s="132"/>
      <c r="CE2" s="250" t="s">
        <v>512</v>
      </c>
      <c r="CF2" s="250" t="s">
        <v>513</v>
      </c>
      <c r="CG2" s="250" t="s">
        <v>514</v>
      </c>
      <c r="CH2" s="250" t="s">
        <v>515</v>
      </c>
      <c r="CI2" s="132"/>
      <c r="CJ2" s="250" t="s">
        <v>517</v>
      </c>
      <c r="CK2" s="250" t="s">
        <v>518</v>
      </c>
      <c r="CL2" s="250" t="s">
        <v>519</v>
      </c>
      <c r="CM2" s="250" t="s">
        <v>520</v>
      </c>
      <c r="CN2" s="132"/>
      <c r="CO2" s="250" t="s">
        <v>664</v>
      </c>
      <c r="CP2" s="250" t="s">
        <v>665</v>
      </c>
      <c r="CQ2" s="250" t="s">
        <v>666</v>
      </c>
      <c r="CR2" s="250" t="s">
        <v>667</v>
      </c>
      <c r="CS2" s="132"/>
      <c r="CT2" s="250" t="s">
        <v>668</v>
      </c>
      <c r="CU2" s="250" t="s">
        <v>669</v>
      </c>
      <c r="CV2" s="250" t="s">
        <v>670</v>
      </c>
      <c r="CW2" s="250" t="s">
        <v>671</v>
      </c>
      <c r="CX2" s="132"/>
      <c r="CY2" s="250" t="s">
        <v>672</v>
      </c>
      <c r="CZ2" s="250" t="s">
        <v>673</v>
      </c>
      <c r="DA2" s="250" t="s">
        <v>674</v>
      </c>
      <c r="DB2" s="250" t="s">
        <v>675</v>
      </c>
      <c r="DC2" s="132"/>
      <c r="DD2" s="250" t="s">
        <v>676</v>
      </c>
      <c r="DE2" s="250" t="s">
        <v>677</v>
      </c>
      <c r="DF2" s="250" t="s">
        <v>678</v>
      </c>
      <c r="DG2" s="250" t="s">
        <v>679</v>
      </c>
      <c r="DH2" s="132"/>
      <c r="DI2" s="250" t="s">
        <v>680</v>
      </c>
      <c r="DJ2" s="250" t="s">
        <v>681</v>
      </c>
      <c r="DK2" s="250" t="s">
        <v>682</v>
      </c>
      <c r="DL2" s="250" t="s">
        <v>683</v>
      </c>
      <c r="DM2" s="132"/>
      <c r="DN2" s="250" t="s">
        <v>684</v>
      </c>
      <c r="DO2" s="250" t="s">
        <v>685</v>
      </c>
      <c r="DP2" s="250" t="s">
        <v>686</v>
      </c>
      <c r="DQ2" s="250" t="s">
        <v>687</v>
      </c>
      <c r="DR2" s="132"/>
      <c r="DS2" s="250" t="s">
        <v>688</v>
      </c>
      <c r="DT2" s="250" t="s">
        <v>689</v>
      </c>
      <c r="DU2" s="250" t="s">
        <v>690</v>
      </c>
      <c r="DV2" s="250" t="s">
        <v>691</v>
      </c>
      <c r="DW2" s="132"/>
      <c r="DX2" s="250" t="s">
        <v>692</v>
      </c>
      <c r="DY2" s="250" t="s">
        <v>693</v>
      </c>
      <c r="DZ2" s="250" t="s">
        <v>694</v>
      </c>
      <c r="EA2" s="250" t="s">
        <v>695</v>
      </c>
      <c r="EB2" s="132"/>
      <c r="EC2" s="250" t="s">
        <v>696</v>
      </c>
      <c r="ED2" s="250" t="s">
        <v>697</v>
      </c>
      <c r="EE2" s="250" t="s">
        <v>698</v>
      </c>
      <c r="EF2" s="250" t="s">
        <v>699</v>
      </c>
      <c r="EG2" s="132"/>
      <c r="EH2" s="250" t="s">
        <v>700</v>
      </c>
      <c r="EI2" s="250" t="s">
        <v>701</v>
      </c>
      <c r="EJ2" s="250" t="s">
        <v>702</v>
      </c>
      <c r="EK2" s="250" t="s">
        <v>703</v>
      </c>
      <c r="EL2" s="132"/>
      <c r="EW2" s="525" t="str">
        <f>_xll.TR($EW$1,"TR.NetIncome.currency","Null=-")</f>
        <v>USD</v>
      </c>
    </row>
    <row r="3" spans="2:153">
      <c r="B3" s="9" t="s">
        <v>189</v>
      </c>
      <c r="C3" s="133">
        <f>REVS!C47</f>
        <v>283.84000000000003</v>
      </c>
      <c r="D3" s="133">
        <f>REVS!D47</f>
        <v>298.12900000000002</v>
      </c>
      <c r="E3" s="133">
        <f>REVS!E47</f>
        <v>314.53600000000006</v>
      </c>
      <c r="F3" s="133">
        <f>REVS!F47</f>
        <v>331.76400000000001</v>
      </c>
      <c r="G3" s="18">
        <f>REVS!G47</f>
        <v>1228.4930000000002</v>
      </c>
      <c r="H3" s="133">
        <f>REVS!H47</f>
        <v>372.53700000000003</v>
      </c>
      <c r="I3" s="133">
        <f>REVS!I47</f>
        <v>363.18599999999998</v>
      </c>
      <c r="J3" s="133">
        <f>REVS!J47</f>
        <v>359.69199999999995</v>
      </c>
      <c r="K3" s="133">
        <f>REVS!K47</f>
        <v>390.92899999999986</v>
      </c>
      <c r="L3" s="18">
        <f>REVS!L47</f>
        <v>1486.3440000000001</v>
      </c>
      <c r="M3" s="133">
        <f>REVS!M47</f>
        <v>397.58400000000006</v>
      </c>
      <c r="N3" s="133">
        <f>REVS!N47</f>
        <v>398.822</v>
      </c>
      <c r="O3" s="133">
        <f>REVS!O47</f>
        <v>391.36599999999999</v>
      </c>
      <c r="P3" s="133">
        <f>REVS!P47</f>
        <v>429.23199999999997</v>
      </c>
      <c r="Q3" s="18">
        <f>REVS!Q47</f>
        <v>1617.0040000000001</v>
      </c>
      <c r="R3" s="133">
        <f>REVS!R47</f>
        <v>406.51900000000001</v>
      </c>
      <c r="S3" s="133">
        <f>REVS!S47</f>
        <v>436.08099999999996</v>
      </c>
      <c r="T3" s="133">
        <f>REVS!T47</f>
        <v>475.096</v>
      </c>
      <c r="U3" s="133">
        <f>REVS!U47</f>
        <v>463.61700000000008</v>
      </c>
      <c r="V3" s="18">
        <f>REVS!V47</f>
        <v>1781.3129999999999</v>
      </c>
      <c r="W3" s="133">
        <f>REVS!W47</f>
        <v>484.38800000000003</v>
      </c>
      <c r="X3" s="133">
        <f>REVS!X47</f>
        <v>518.625</v>
      </c>
      <c r="Y3" s="133">
        <f>REVS!Y47</f>
        <v>529.58100000000002</v>
      </c>
      <c r="Z3" s="133">
        <f>REVS!Z47</f>
        <v>604.22700000000009</v>
      </c>
      <c r="AA3" s="18">
        <f>REVS!AA47</f>
        <v>2136.8209999999999</v>
      </c>
      <c r="AB3" s="133">
        <f>REVS!AB47</f>
        <v>665.07</v>
      </c>
      <c r="AC3" s="133">
        <f>REVS!AC47</f>
        <v>684.4860000000001</v>
      </c>
      <c r="AD3" s="133">
        <f>REVS!AD47</f>
        <v>758.26</v>
      </c>
      <c r="AE3" s="133">
        <f>REVS!AE47</f>
        <v>731.8349999999997</v>
      </c>
      <c r="AF3" s="18">
        <f>REVS!AF47</f>
        <v>2839.6509999999998</v>
      </c>
      <c r="AG3" s="133">
        <f>REVS!AG47</f>
        <v>733.40900000000011</v>
      </c>
      <c r="AH3" s="133">
        <f>REVS!AH47</f>
        <v>790.96999999999991</v>
      </c>
      <c r="AI3" s="133">
        <f>REVS!AI47</f>
        <v>801.68900000000008</v>
      </c>
      <c r="AJ3" s="133">
        <f>REVS!AJ47</f>
        <v>826.87299999999982</v>
      </c>
      <c r="AK3" s="18">
        <f>REVS!AK47</f>
        <v>3152.9409999999998</v>
      </c>
      <c r="AL3" s="133">
        <f>REVS!AL47</f>
        <v>824.22</v>
      </c>
      <c r="AM3" s="133">
        <f>REVS!AM47</f>
        <v>859.23500000000013</v>
      </c>
      <c r="AN3" s="133">
        <f>REVS!AN47</f>
        <v>876.85000000000014</v>
      </c>
      <c r="AO3" s="133">
        <f>REVS!AO47</f>
        <v>909.75100000000009</v>
      </c>
      <c r="AP3" s="18">
        <f>REVS!AP47</f>
        <v>3470.056</v>
      </c>
      <c r="AQ3" s="133">
        <f>REVS!AQ47</f>
        <v>907.10199999999998</v>
      </c>
      <c r="AR3" s="133">
        <f>REVS!AR47</f>
        <v>956.70299999999997</v>
      </c>
      <c r="AS3" s="133">
        <f>REVS!AS47</f>
        <v>975.75699999999995</v>
      </c>
      <c r="AT3" s="133">
        <f>REVS!AT47</f>
        <v>996.55500000000006</v>
      </c>
      <c r="AU3" s="101">
        <f>REVS!AU47</f>
        <v>3822.5479999999998</v>
      </c>
      <c r="AV3" s="134">
        <f>REVS!AV47</f>
        <v>975.48799999999994</v>
      </c>
      <c r="AW3" s="134">
        <f>REVS!AW47</f>
        <v>1076.8000000000002</v>
      </c>
      <c r="AX3" s="134">
        <f>REVS!AX47</f>
        <v>1039.1099999999999</v>
      </c>
      <c r="AY3" s="134">
        <f>REVS!AY47</f>
        <v>1074.6760000000002</v>
      </c>
      <c r="AZ3" s="101">
        <f>REVS!AZ47</f>
        <v>4166.0739999999996</v>
      </c>
      <c r="BA3" s="251">
        <f>REVS!BA47</f>
        <v>1095.779</v>
      </c>
      <c r="BB3" s="251">
        <f>REVS!BB47</f>
        <v>1385.9180000000001</v>
      </c>
      <c r="BC3" s="251">
        <f>REVS!BC47</f>
        <v>1453.5540000000001</v>
      </c>
      <c r="BD3" s="252">
        <v>1607.08</v>
      </c>
      <c r="BE3" s="101">
        <f>REVS!BE47</f>
        <v>5542.2510000000002</v>
      </c>
      <c r="BF3" s="251">
        <f>REVS!BF47</f>
        <v>1742.7650000000001</v>
      </c>
      <c r="BG3" s="251">
        <f>REVS!BG47</f>
        <v>2056.2919999999999</v>
      </c>
      <c r="BH3" s="251">
        <f>REVS!BH47</f>
        <v>2117.366</v>
      </c>
      <c r="BI3" s="251">
        <f>REVS!BI47</f>
        <v>2286.9809999999998</v>
      </c>
      <c r="BJ3" s="101">
        <f>REVS!BJ47</f>
        <v>8203.4039999999986</v>
      </c>
      <c r="BK3" s="251">
        <f>REVS!BK47</f>
        <v>2172.2219999999998</v>
      </c>
      <c r="BL3" s="251">
        <f>REVS!BL47</f>
        <v>2198.8999999999996</v>
      </c>
      <c r="BM3" s="251">
        <f>REVS!BM47</f>
        <v>2392</v>
      </c>
      <c r="BN3" s="251">
        <f>REVS!BN47</f>
        <v>2425.2779999999998</v>
      </c>
      <c r="BO3" s="101">
        <f>REVS!BO47</f>
        <v>9188.3999999999978</v>
      </c>
      <c r="BP3" s="251">
        <f>REVS!BP47</f>
        <v>2309.4</v>
      </c>
      <c r="BQ3" s="251">
        <f>REVS!BQ47</f>
        <v>2466</v>
      </c>
      <c r="BR3" s="251">
        <f>REVS!BR47</f>
        <v>2539.6</v>
      </c>
      <c r="BS3" s="251">
        <f>REVS!BS47</f>
        <v>2502.9</v>
      </c>
      <c r="BT3" s="101">
        <f>REVS!BT47</f>
        <v>9817.9</v>
      </c>
      <c r="BU3" s="251">
        <f>REVS!BU47</f>
        <v>2380.1000000000004</v>
      </c>
      <c r="BV3" s="251">
        <f>REVS!BV47</f>
        <v>2639.7</v>
      </c>
      <c r="BW3" s="251">
        <f>REVS!BW47</f>
        <v>2622.5</v>
      </c>
      <c r="BX3" s="251">
        <f>REVS!BX47</f>
        <v>2712.3999999999996</v>
      </c>
      <c r="BY3" s="101">
        <f>REVS!BY47</f>
        <v>10354.700000000003</v>
      </c>
      <c r="BZ3" s="251">
        <f>REVS!BZ47</f>
        <v>2523.5000000000005</v>
      </c>
      <c r="CA3" s="251">
        <f>REVS!CA47</f>
        <v>2693.8553360948135</v>
      </c>
      <c r="CB3" s="251">
        <f>REVS!CB47</f>
        <v>2673.6639670647455</v>
      </c>
      <c r="CC3" s="251">
        <f>REVS!CC47</f>
        <v>2939.8635620144969</v>
      </c>
      <c r="CD3" s="101">
        <f>REVS!CD47</f>
        <v>10826.771237457038</v>
      </c>
      <c r="CE3" s="251"/>
      <c r="CF3" s="251"/>
      <c r="CG3" s="251"/>
      <c r="CH3" s="251"/>
      <c r="CI3" s="101">
        <f>REVS!CI47</f>
        <v>11191.198682852308</v>
      </c>
      <c r="CJ3" s="251"/>
      <c r="CK3" s="251"/>
      <c r="CL3" s="251"/>
      <c r="CM3" s="251"/>
      <c r="CN3" s="101">
        <f>REVS!CN47</f>
        <v>11650.939085910975</v>
      </c>
      <c r="CO3" s="251"/>
      <c r="CP3" s="251"/>
      <c r="CQ3" s="251"/>
      <c r="CR3" s="251"/>
      <c r="CS3" s="101">
        <f>REVS!CS47</f>
        <v>11997.565137679288</v>
      </c>
      <c r="CT3" s="251"/>
      <c r="CU3" s="251"/>
      <c r="CV3" s="251"/>
      <c r="CW3" s="251"/>
      <c r="CX3" s="101">
        <f>REVS!CX47</f>
        <v>12295.209798126209</v>
      </c>
      <c r="CY3" s="251"/>
      <c r="CZ3" s="251"/>
      <c r="DA3" s="251"/>
      <c r="DB3" s="251"/>
      <c r="DC3" s="101">
        <f>REVS!DC47</f>
        <v>12588.887905898069</v>
      </c>
      <c r="DD3" s="251"/>
      <c r="DE3" s="251"/>
      <c r="DF3" s="251"/>
      <c r="DG3" s="251"/>
      <c r="DH3" s="101">
        <f>REVS!DH47</f>
        <v>12912.023270211081</v>
      </c>
      <c r="DI3" s="251"/>
      <c r="DJ3" s="251"/>
      <c r="DK3" s="251"/>
      <c r="DL3" s="251"/>
      <c r="DM3" s="101">
        <f>REVS!DM47</f>
        <v>12409.588732238997</v>
      </c>
      <c r="DN3" s="251"/>
      <c r="DO3" s="251"/>
      <c r="DP3" s="251"/>
      <c r="DQ3" s="251"/>
      <c r="DR3" s="101">
        <f>REVS!DR47</f>
        <v>11448.943155099809</v>
      </c>
      <c r="DS3" s="251"/>
      <c r="DT3" s="251"/>
      <c r="DU3" s="251"/>
      <c r="DV3" s="251"/>
      <c r="DW3" s="101">
        <f>REVS!DW47</f>
        <v>9826.7218202640943</v>
      </c>
      <c r="DX3" s="251"/>
      <c r="DY3" s="251"/>
      <c r="DZ3" s="251"/>
      <c r="EA3" s="251"/>
      <c r="EB3" s="101">
        <f>REVS!EB47</f>
        <v>9472.6649059079973</v>
      </c>
      <c r="EC3" s="251"/>
      <c r="ED3" s="251"/>
      <c r="EE3" s="251"/>
      <c r="EF3" s="251"/>
      <c r="EG3" s="101">
        <f>REVS!EG47</f>
        <v>9266.8717963675044</v>
      </c>
      <c r="EH3" s="251"/>
      <c r="EI3" s="251"/>
      <c r="EJ3" s="251"/>
      <c r="EK3" s="251"/>
      <c r="EL3" s="101">
        <f>REVS!EL47</f>
        <v>9342.5360282229667</v>
      </c>
    </row>
    <row r="4" spans="2:153">
      <c r="B4" s="9" t="s">
        <v>898</v>
      </c>
      <c r="C4" s="133">
        <f>REVS!C49</f>
        <v>110.9</v>
      </c>
      <c r="D4" s="133">
        <f>REVS!D49</f>
        <v>118.4</v>
      </c>
      <c r="E4" s="133">
        <f>REVS!E49</f>
        <v>134</v>
      </c>
      <c r="F4" s="133">
        <f>REVS!F49</f>
        <v>129.69999999999999</v>
      </c>
      <c r="G4" s="18">
        <f>REVS!G49</f>
        <v>493</v>
      </c>
      <c r="H4" s="133">
        <f>REVS!H49</f>
        <v>133.95500000000001</v>
      </c>
      <c r="I4" s="133">
        <f>REVS!I49</f>
        <v>151.15700000000001</v>
      </c>
      <c r="J4" s="133">
        <f>REVS!J49</f>
        <v>159.50700000000001</v>
      </c>
      <c r="K4" s="133">
        <f>REVS!K49</f>
        <v>171.12400000000002</v>
      </c>
      <c r="L4" s="18">
        <f>REVS!L49</f>
        <v>615.74300000000005</v>
      </c>
      <c r="M4" s="133">
        <f>REVS!M49</f>
        <v>160.453</v>
      </c>
      <c r="N4" s="133">
        <f>REVS!N49</f>
        <v>184.934</v>
      </c>
      <c r="O4" s="133">
        <f>REVS!O49</f>
        <v>181.59700000000001</v>
      </c>
      <c r="P4" s="133">
        <f>REVS!P49</f>
        <v>181.89699999999993</v>
      </c>
      <c r="Q4" s="18">
        <f>REVS!Q49</f>
        <v>708.88099999999997</v>
      </c>
      <c r="R4" s="133">
        <f>REVS!R49</f>
        <v>183.38</v>
      </c>
      <c r="S4" s="133">
        <f>REVS!S49</f>
        <v>206.095</v>
      </c>
      <c r="T4" s="133">
        <f>REVS!T49</f>
        <v>203.82</v>
      </c>
      <c r="U4" s="133">
        <f>REVS!U49</f>
        <v>217.56899999999996</v>
      </c>
      <c r="V4" s="18">
        <f>REVS!V49</f>
        <v>810.86400000000003</v>
      </c>
      <c r="W4" s="133">
        <f>REVS!W49</f>
        <v>207.16399999999999</v>
      </c>
      <c r="X4" s="133">
        <f>REVS!X49</f>
        <v>230.59</v>
      </c>
      <c r="Y4" s="133">
        <f>REVS!Y49</f>
        <v>234.637</v>
      </c>
      <c r="Z4" s="133">
        <f>REVS!Z49</f>
        <v>253.70699999999988</v>
      </c>
      <c r="AA4" s="18">
        <f>REVS!AA49</f>
        <v>926.09799999999996</v>
      </c>
      <c r="AB4" s="133">
        <f>REVS!AB49</f>
        <v>247.22300000000001</v>
      </c>
      <c r="AC4" s="133">
        <f>REVS!AC49</f>
        <v>278.822</v>
      </c>
      <c r="AD4" s="133">
        <f>REVS!AD49</f>
        <v>298.97899999999998</v>
      </c>
      <c r="AE4" s="133">
        <f>REVS!AE49</f>
        <v>303.21399999999994</v>
      </c>
      <c r="AF4" s="18">
        <f>REVS!AF49</f>
        <v>1128.2380000000001</v>
      </c>
      <c r="AG4" s="133">
        <f>REVS!AG49</f>
        <v>278.81799999999998</v>
      </c>
      <c r="AH4" s="133">
        <f>REVS!AH49</f>
        <v>275.57</v>
      </c>
      <c r="AI4" s="133">
        <f>REVS!AI49</f>
        <v>283.91899999999998</v>
      </c>
      <c r="AJ4" s="133">
        <f>REVS!AJ49</f>
        <v>256.55600000000015</v>
      </c>
      <c r="AK4" s="18">
        <f>REVS!AK49</f>
        <v>1094.8630000000001</v>
      </c>
      <c r="AL4" s="133">
        <f>REVS!AL49</f>
        <v>254.928</v>
      </c>
      <c r="AM4" s="133">
        <f>REVS!AM49</f>
        <v>306.37099999999998</v>
      </c>
      <c r="AN4" s="133">
        <f>REVS!AN49</f>
        <v>257.98099999999999</v>
      </c>
      <c r="AO4" s="133">
        <f>REVS!AO49</f>
        <v>257.96399999999994</v>
      </c>
      <c r="AP4" s="18">
        <f>REVS!AP49</f>
        <v>1077.2439999999999</v>
      </c>
      <c r="AQ4" s="133">
        <f>REVS!AQ49</f>
        <v>256.12400000000002</v>
      </c>
      <c r="AR4" s="133">
        <f>REVS!AR49</f>
        <v>216.458</v>
      </c>
      <c r="AS4" s="133">
        <f>REVS!AS49</f>
        <v>266.471</v>
      </c>
      <c r="AT4" s="133">
        <f>REVS!AT49</f>
        <v>257.5</v>
      </c>
      <c r="AU4" s="101">
        <f>REVS!AU49</f>
        <v>996.553</v>
      </c>
      <c r="AV4" s="134">
        <f>REVS!AV49</f>
        <v>284.55200000000002</v>
      </c>
      <c r="AW4" s="134">
        <f>REVS!AW49</f>
        <v>284.63</v>
      </c>
      <c r="AX4" s="134">
        <f>REVS!AX49</f>
        <v>287.79199999999997</v>
      </c>
      <c r="AY4" s="134">
        <f>REVS!AY49</f>
        <v>280.94799999999998</v>
      </c>
      <c r="AZ4" s="101">
        <f>REVS!AZ49</f>
        <v>1137.922</v>
      </c>
      <c r="BA4" s="251">
        <f>REVS!BA49</f>
        <v>264.60599999999999</v>
      </c>
      <c r="BB4" s="251">
        <f>REVS!BB49</f>
        <v>288.78500000000003</v>
      </c>
      <c r="BC4" s="251">
        <f>REVS!BC49</f>
        <v>303.20999999999998</v>
      </c>
      <c r="BD4" s="252">
        <v>269.416</v>
      </c>
      <c r="BE4" s="101">
        <f>REVS!BE49</f>
        <v>1126.0170000000001</v>
      </c>
      <c r="BF4" s="251">
        <f>REVS!BF49</f>
        <v>296.88499999999999</v>
      </c>
      <c r="BG4" s="251">
        <f>REVS!BG49</f>
        <v>303.29599999999999</v>
      </c>
      <c r="BH4" s="251">
        <f>REVS!BH49</f>
        <v>290.678</v>
      </c>
      <c r="BI4" s="251">
        <f>REVS!BI49</f>
        <v>304.52999999999997</v>
      </c>
      <c r="BJ4" s="101">
        <f>REVS!BJ49</f>
        <v>1195.3890000000001</v>
      </c>
      <c r="BK4" s="251">
        <f>REVS!BK49</f>
        <v>330.61099999999999</v>
      </c>
      <c r="BL4" s="251">
        <f>REVS!BL49</f>
        <v>337.5</v>
      </c>
      <c r="BM4" s="251">
        <f>REVS!BM49</f>
        <v>337.2</v>
      </c>
      <c r="BN4" s="251">
        <f>REVS!BN49</f>
        <v>333.9</v>
      </c>
      <c r="BO4" s="101">
        <f>REVS!BO49</f>
        <v>1339.2109999999998</v>
      </c>
      <c r="BP4" s="251">
        <f>REVS!BP49</f>
        <v>329.5</v>
      </c>
      <c r="BQ4" s="251">
        <f>REVS!BQ49</f>
        <v>349.2</v>
      </c>
      <c r="BR4" s="251">
        <f>REVS!BR49</f>
        <v>317.60000000000002</v>
      </c>
      <c r="BS4" s="251">
        <f>REVS!BS49</f>
        <v>318.2</v>
      </c>
      <c r="BT4" s="101">
        <f>REVS!BT49</f>
        <v>1314.5</v>
      </c>
      <c r="BU4" s="251">
        <f>REVS!BU49</f>
        <v>340.6</v>
      </c>
      <c r="BV4" s="251">
        <f>REVS!BV49</f>
        <v>397.1</v>
      </c>
      <c r="BW4" s="251">
        <f>REVS!BW49</f>
        <v>406.5</v>
      </c>
      <c r="BX4" s="251">
        <f>REVS!BX49</f>
        <v>415</v>
      </c>
      <c r="BY4" s="101">
        <f>REVS!BY49</f>
        <v>1559.2</v>
      </c>
      <c r="BZ4" s="251">
        <f>REVS!BZ49</f>
        <v>443.2</v>
      </c>
      <c r="CA4" s="251">
        <f>REVS!CA49</f>
        <v>400.49360084236167</v>
      </c>
      <c r="CB4" s="251">
        <f>REVS!CB49</f>
        <v>397.89369281709082</v>
      </c>
      <c r="CC4" s="251">
        <f>REVS!CC49</f>
        <v>399.92111608445066</v>
      </c>
      <c r="CD4" s="101">
        <f>REVS!CD49</f>
        <v>1642.308409743903</v>
      </c>
      <c r="CE4" s="251"/>
      <c r="CF4" s="251"/>
      <c r="CG4" s="251"/>
      <c r="CH4" s="251"/>
      <c r="CI4" s="101">
        <f>REVS!CI49</f>
        <v>1809.1344139551006</v>
      </c>
      <c r="CJ4" s="251"/>
      <c r="CK4" s="251"/>
      <c r="CL4" s="251"/>
      <c r="CM4" s="251"/>
      <c r="CN4" s="101">
        <f>REVS!CN49</f>
        <v>2001.3534093839967</v>
      </c>
      <c r="CO4" s="251"/>
      <c r="CP4" s="251"/>
      <c r="CQ4" s="251"/>
      <c r="CR4" s="251"/>
      <c r="CS4" s="101">
        <f>REVS!CS49</f>
        <v>2156.708292300842</v>
      </c>
      <c r="CT4" s="251"/>
      <c r="CU4" s="251"/>
      <c r="CV4" s="251"/>
      <c r="CW4" s="251"/>
      <c r="CX4" s="101">
        <f>REVS!CX49</f>
        <v>2184.3132502969675</v>
      </c>
      <c r="CY4" s="251"/>
      <c r="CZ4" s="251"/>
      <c r="DA4" s="251"/>
      <c r="DB4" s="251"/>
      <c r="DC4" s="101">
        <f>REVS!DC49</f>
        <v>2220.5012419364994</v>
      </c>
      <c r="DD4" s="251"/>
      <c r="DE4" s="251"/>
      <c r="DF4" s="251"/>
      <c r="DG4" s="251"/>
      <c r="DH4" s="101">
        <f>REVS!DH49</f>
        <v>2233.5565654918219</v>
      </c>
      <c r="DI4" s="251"/>
      <c r="DJ4" s="251"/>
      <c r="DK4" s="251"/>
      <c r="DL4" s="251"/>
      <c r="DM4" s="101">
        <f>REVS!DM49</f>
        <v>2217.7449231368478</v>
      </c>
      <c r="DN4" s="251"/>
      <c r="DO4" s="251"/>
      <c r="DP4" s="251"/>
      <c r="DQ4" s="251"/>
      <c r="DR4" s="101">
        <f>REVS!DR49</f>
        <v>2244.3593981062581</v>
      </c>
      <c r="DS4" s="251"/>
      <c r="DT4" s="251"/>
      <c r="DU4" s="251"/>
      <c r="DV4" s="251"/>
      <c r="DW4" s="101">
        <f>REVS!DW49</f>
        <v>2295.082517724964</v>
      </c>
      <c r="DX4" s="251"/>
      <c r="DY4" s="251"/>
      <c r="DZ4" s="251"/>
      <c r="EA4" s="251"/>
      <c r="EB4" s="101">
        <f>REVS!EB49</f>
        <v>2337.3688089315001</v>
      </c>
      <c r="EC4" s="251"/>
      <c r="ED4" s="251"/>
      <c r="EE4" s="251"/>
      <c r="EF4" s="251"/>
      <c r="EG4" s="101">
        <f>REVS!EG49</f>
        <v>2378.9127696117348</v>
      </c>
      <c r="EH4" s="251"/>
      <c r="EI4" s="251"/>
      <c r="EJ4" s="251"/>
      <c r="EK4" s="251"/>
      <c r="EL4" s="101">
        <f>REVS!EL49</f>
        <v>2419.6773807284826</v>
      </c>
    </row>
    <row r="5" spans="2:153">
      <c r="B5" s="9" t="s">
        <v>190</v>
      </c>
      <c r="C5" s="133">
        <f>REVS!C51</f>
        <v>41.4</v>
      </c>
      <c r="D5" s="133">
        <f>REVS!D51</f>
        <v>30.5</v>
      </c>
      <c r="E5" s="133">
        <f>REVS!E51</f>
        <v>28.6</v>
      </c>
      <c r="F5" s="133">
        <f>REVS!F51</f>
        <v>26.700000000000003</v>
      </c>
      <c r="G5" s="18">
        <f>REVS!G51</f>
        <v>127.2</v>
      </c>
      <c r="H5" s="133">
        <f>REVS!H51</f>
        <v>25.213000000000001</v>
      </c>
      <c r="I5" s="133">
        <f>REVS!I51</f>
        <v>24.297000000000001</v>
      </c>
      <c r="J5" s="133">
        <f>REVS!J51</f>
        <v>23.86</v>
      </c>
      <c r="K5" s="133">
        <f>REVS!K51</f>
        <v>25.574999999999989</v>
      </c>
      <c r="L5" s="18">
        <f>REVS!L51</f>
        <v>98.944999999999993</v>
      </c>
      <c r="M5" s="133">
        <f>REVS!M51</f>
        <v>26.748999999999999</v>
      </c>
      <c r="N5" s="133">
        <f>REVS!N51</f>
        <v>21.734000000000002</v>
      </c>
      <c r="O5" s="133">
        <f>REVS!O51</f>
        <v>23.117000000000001</v>
      </c>
      <c r="P5" s="133">
        <f>REVS!P51</f>
        <v>21.592999999999989</v>
      </c>
      <c r="Q5" s="18">
        <f>REVS!Q51</f>
        <v>93.192999999999998</v>
      </c>
      <c r="R5" s="133">
        <f>REVS!R51</f>
        <v>20.561</v>
      </c>
      <c r="S5" s="133">
        <f>REVS!S51</f>
        <v>18.286000000000001</v>
      </c>
      <c r="T5" s="133">
        <f>REVS!T51</f>
        <v>21.867000000000001</v>
      </c>
      <c r="U5" s="133">
        <f>REVS!U51</f>
        <v>25.516999999999996</v>
      </c>
      <c r="V5" s="18">
        <f>REVS!V51</f>
        <v>86.230999999999995</v>
      </c>
      <c r="W5" s="133">
        <f>REVS!W51</f>
        <v>22.986999999999998</v>
      </c>
      <c r="X5" s="133">
        <f>REVS!X51</f>
        <v>22.648</v>
      </c>
      <c r="Y5" s="133">
        <f>REVS!Y51</f>
        <v>23.536999999999999</v>
      </c>
      <c r="Z5" s="133">
        <f>REVS!Z51</f>
        <v>32.969000000000008</v>
      </c>
      <c r="AA5" s="18">
        <f>REVS!AA51</f>
        <v>102.14100000000001</v>
      </c>
      <c r="AB5" s="133">
        <f>REVS!AB51</f>
        <v>23.981000000000002</v>
      </c>
      <c r="AC5" s="133">
        <f>REVS!AC51</f>
        <v>28.114999999999998</v>
      </c>
      <c r="AD5" s="133">
        <f>REVS!AD51</f>
        <v>35.161999999999999</v>
      </c>
      <c r="AE5" s="133">
        <f>REVS!AE51</f>
        <v>28.965999999999994</v>
      </c>
      <c r="AF5" s="18">
        <f>REVS!AF51</f>
        <v>116.224</v>
      </c>
      <c r="AG5" s="133">
        <f>REVS!AG51</f>
        <v>24.082999999999998</v>
      </c>
      <c r="AH5" s="133">
        <f>REVS!AH51</f>
        <v>25.009</v>
      </c>
      <c r="AI5" s="133">
        <f>REVS!AI51</f>
        <v>34.537999999999997</v>
      </c>
      <c r="AJ5" s="133">
        <f>REVS!AJ51</f>
        <v>40.808000000000007</v>
      </c>
      <c r="AK5" s="18">
        <f>REVS!AK51</f>
        <v>124.438</v>
      </c>
      <c r="AL5" s="133">
        <f>REVS!AL51</f>
        <v>26.023</v>
      </c>
      <c r="AM5" s="133">
        <f>REVS!AM51</f>
        <v>30.097999999999999</v>
      </c>
      <c r="AN5" s="133">
        <f>REVS!AN51</f>
        <v>35.951999999999998</v>
      </c>
      <c r="AO5" s="133">
        <f>REVS!AO51</f>
        <v>45.328000000000017</v>
      </c>
      <c r="AP5" s="18">
        <f>REVS!AP51</f>
        <v>137.40100000000001</v>
      </c>
      <c r="AQ5" s="133">
        <f>REVS!AQ51</f>
        <v>25.577999999999999</v>
      </c>
      <c r="AR5" s="133">
        <f>REVS!AR51</f>
        <v>28.649000000000001</v>
      </c>
      <c r="AS5" s="133">
        <f>REVS!AS51</f>
        <v>51.585000000000001</v>
      </c>
      <c r="AT5" s="133">
        <f>REVS!AT51</f>
        <v>52.686</v>
      </c>
      <c r="AU5" s="101">
        <f>REVS!AU51</f>
        <v>158.49800000000002</v>
      </c>
      <c r="AV5" s="134">
        <f>REVS!AV51</f>
        <v>28.8</v>
      </c>
      <c r="AW5" s="134">
        <f>REVS!AW51</f>
        <v>37.084000000000003</v>
      </c>
      <c r="AX5" s="134">
        <f>REVS!AX51</f>
        <v>78.343999999999994</v>
      </c>
      <c r="AY5" s="134">
        <f>REVS!AY51</f>
        <v>71.242999999999995</v>
      </c>
      <c r="AZ5" s="101">
        <f>REVS!AZ51</f>
        <v>215.471</v>
      </c>
      <c r="BA5" s="251">
        <f>REVS!BA51</f>
        <v>32.82</v>
      </c>
      <c r="BB5" s="251">
        <f>REVS!BB51</f>
        <v>38.110999999999997</v>
      </c>
      <c r="BC5" s="251">
        <f>REVS!BC51</f>
        <v>54.143999999999998</v>
      </c>
      <c r="BD5" s="252">
        <v>60.613</v>
      </c>
      <c r="BE5" s="101">
        <f>REVS!BE51</f>
        <v>186.07499999999999</v>
      </c>
      <c r="BF5" s="251">
        <f>REVS!BF51</f>
        <v>37.856000000000002</v>
      </c>
      <c r="BG5" s="251">
        <f>REVS!BG51</f>
        <v>40.344000000000001</v>
      </c>
      <c r="BH5" s="251">
        <f>REVS!BH51</f>
        <v>67.147999999999996</v>
      </c>
      <c r="BI5" s="251">
        <f>REVS!BI51</f>
        <v>31.350999999999999</v>
      </c>
      <c r="BJ5" s="101">
        <f>REVS!BJ51</f>
        <v>176.69900000000001</v>
      </c>
      <c r="BK5" s="251">
        <f>REVS!BK51</f>
        <v>18.899999999999999</v>
      </c>
      <c r="BL5" s="251">
        <f>REVS!BL51</f>
        <v>17.2</v>
      </c>
      <c r="BM5" s="251">
        <f>REVS!BM51</f>
        <v>15.3</v>
      </c>
      <c r="BN5" s="251">
        <f>REVS!BN51</f>
        <v>10</v>
      </c>
      <c r="BO5" s="101">
        <f>REVS!BO51</f>
        <v>61.399999999999991</v>
      </c>
      <c r="BP5" s="251">
        <f>REVS!BP51</f>
        <v>11.5</v>
      </c>
      <c r="BQ5" s="251">
        <f>REVS!BQ51</f>
        <v>19.600000000000001</v>
      </c>
      <c r="BR5" s="251">
        <f>REVS!BR51</f>
        <v>-0.9</v>
      </c>
      <c r="BS5" s="251">
        <f>REVS!BS51</f>
        <v>9.0999999999999961</v>
      </c>
      <c r="BT5" s="101">
        <f>REVS!BT51</f>
        <v>39.299999999999997</v>
      </c>
      <c r="BU5" s="251">
        <f>REVS!BU51</f>
        <v>6.2999999999999972</v>
      </c>
      <c r="BV5" s="251">
        <f>REVS!BV51</f>
        <v>9</v>
      </c>
      <c r="BW5" s="251">
        <f>REVS!BW51</f>
        <v>6.1999999999999957</v>
      </c>
      <c r="BX5" s="251">
        <f>REVS!BX51</f>
        <v>15.000000000000028</v>
      </c>
      <c r="BY5" s="101">
        <f>REVS!BY51</f>
        <v>36.500000000000021</v>
      </c>
      <c r="BZ5" s="251">
        <f>REVS!BZ51</f>
        <v>13.200000000000017</v>
      </c>
      <c r="CA5" s="251">
        <f>REVS!CA51</f>
        <v>15</v>
      </c>
      <c r="CB5" s="251">
        <f>REVS!CB51</f>
        <v>15</v>
      </c>
      <c r="CC5" s="251">
        <f>REVS!CC51</f>
        <v>16.799999999999983</v>
      </c>
      <c r="CD5" s="101">
        <f>REVS!CD51</f>
        <v>60</v>
      </c>
      <c r="CE5" s="251"/>
      <c r="CF5" s="251"/>
      <c r="CG5" s="251"/>
      <c r="CH5" s="251"/>
      <c r="CI5" s="101">
        <f>REVS!CI51</f>
        <v>60</v>
      </c>
      <c r="CJ5" s="251"/>
      <c r="CK5" s="251"/>
      <c r="CL5" s="251"/>
      <c r="CM5" s="251"/>
      <c r="CN5" s="101">
        <f>REVS!CN51</f>
        <v>60</v>
      </c>
      <c r="CO5" s="251"/>
      <c r="CP5" s="251"/>
      <c r="CQ5" s="251"/>
      <c r="CR5" s="251"/>
      <c r="CS5" s="101">
        <f>REVS!CS51</f>
        <v>60</v>
      </c>
      <c r="CT5" s="251"/>
      <c r="CU5" s="251"/>
      <c r="CV5" s="251"/>
      <c r="CW5" s="251"/>
      <c r="CX5" s="101">
        <f>REVS!CX51</f>
        <v>60</v>
      </c>
      <c r="CY5" s="251"/>
      <c r="CZ5" s="251"/>
      <c r="DA5" s="251"/>
      <c r="DB5" s="251"/>
      <c r="DC5" s="101">
        <f>REVS!DC51</f>
        <v>60</v>
      </c>
      <c r="DD5" s="251"/>
      <c r="DE5" s="251"/>
      <c r="DF5" s="251"/>
      <c r="DG5" s="251"/>
      <c r="DH5" s="101">
        <f>REVS!DH51</f>
        <v>60</v>
      </c>
      <c r="DI5" s="251"/>
      <c r="DJ5" s="251"/>
      <c r="DK5" s="251"/>
      <c r="DL5" s="251"/>
      <c r="DM5" s="101">
        <f>REVS!DM51</f>
        <v>60</v>
      </c>
      <c r="DN5" s="251"/>
      <c r="DO5" s="251"/>
      <c r="DP5" s="251"/>
      <c r="DQ5" s="251"/>
      <c r="DR5" s="101">
        <f>REVS!DR51</f>
        <v>60</v>
      </c>
      <c r="DS5" s="251"/>
      <c r="DT5" s="251"/>
      <c r="DU5" s="251"/>
      <c r="DV5" s="251"/>
      <c r="DW5" s="101">
        <f>REVS!DW51</f>
        <v>60</v>
      </c>
      <c r="DX5" s="251"/>
      <c r="DY5" s="251"/>
      <c r="DZ5" s="251"/>
      <c r="EA5" s="251"/>
      <c r="EB5" s="101">
        <f>REVS!EB51</f>
        <v>60</v>
      </c>
      <c r="EC5" s="251"/>
      <c r="ED5" s="251"/>
      <c r="EE5" s="251"/>
      <c r="EF5" s="251"/>
      <c r="EG5" s="101">
        <f>REVS!EG51</f>
        <v>60</v>
      </c>
      <c r="EH5" s="251"/>
      <c r="EI5" s="251"/>
      <c r="EJ5" s="251"/>
      <c r="EK5" s="251"/>
      <c r="EL5" s="101">
        <f>REVS!EL51</f>
        <v>60</v>
      </c>
    </row>
    <row r="6" spans="2:153">
      <c r="B6" s="9" t="s">
        <v>191</v>
      </c>
      <c r="C6" s="133">
        <f>REVS!C54</f>
        <v>0.65999999999999659</v>
      </c>
      <c r="D6" s="133">
        <f>REVS!D54</f>
        <v>0.17099999999996385</v>
      </c>
      <c r="E6" s="133">
        <f>REVS!E54</f>
        <v>6.3999999999907686E-2</v>
      </c>
      <c r="F6" s="133">
        <f>REVS!F54</f>
        <v>2.9360000000000355</v>
      </c>
      <c r="G6" s="18">
        <f>REVS!G54</f>
        <v>3.7069999999998799</v>
      </c>
      <c r="H6" s="133">
        <f>REVS!H54</f>
        <v>10.037000000000001</v>
      </c>
      <c r="I6" s="133">
        <f>REVS!I54</f>
        <v>0.123</v>
      </c>
      <c r="J6" s="133">
        <f>REVS!J54</f>
        <v>0.217</v>
      </c>
      <c r="K6" s="133">
        <f>REVS!K54</f>
        <v>0.15299999999999869</v>
      </c>
      <c r="L6" s="18">
        <f>REVS!L54</f>
        <v>10.53</v>
      </c>
      <c r="M6" s="133">
        <f>REVS!M54</f>
        <v>3.016</v>
      </c>
      <c r="N6" s="133">
        <f>REVS!N54</f>
        <v>0.14399999999999999</v>
      </c>
      <c r="O6" s="133">
        <f>REVS!O54</f>
        <v>0.13100000000000001</v>
      </c>
      <c r="P6" s="133">
        <f>REVS!P54</f>
        <v>0.13099999999999978</v>
      </c>
      <c r="Q6" s="18">
        <f>REVS!Q54</f>
        <v>3.4220000000000002</v>
      </c>
      <c r="R6" s="133">
        <f>REVS!R54</f>
        <v>0.71499999999999997</v>
      </c>
      <c r="S6" s="133">
        <f>REVS!S54</f>
        <v>-0.42099999999999999</v>
      </c>
      <c r="T6" s="133">
        <f>REVS!T54</f>
        <v>2.7090000000000001</v>
      </c>
      <c r="U6" s="133">
        <f>REVS!U54</f>
        <v>1.6379999999999999</v>
      </c>
      <c r="V6" s="18">
        <f>REVS!V54</f>
        <v>4.641</v>
      </c>
      <c r="W6" s="133">
        <f>REVS!W54</f>
        <v>1.371</v>
      </c>
      <c r="X6" s="133">
        <f>REVS!X54</f>
        <v>1.3129999999999999</v>
      </c>
      <c r="Y6" s="133">
        <f>REVS!Y54</f>
        <v>1.476</v>
      </c>
      <c r="Z6" s="133">
        <f>REVS!Z54</f>
        <v>2.3970000000000002</v>
      </c>
      <c r="AA6" s="18">
        <f>REVS!AA54</f>
        <v>6.5570000000000004</v>
      </c>
      <c r="AB6" s="133">
        <f>REVS!AB54</f>
        <v>5.9119999999999999</v>
      </c>
      <c r="AC6" s="133">
        <f>REVS!AC54</f>
        <v>2.0209999999999999</v>
      </c>
      <c r="AD6" s="133">
        <f>REVS!AD54</f>
        <v>0.56299999999999994</v>
      </c>
      <c r="AE6" s="133">
        <f>REVS!AE54</f>
        <v>4.8979999999999997</v>
      </c>
      <c r="AF6" s="18">
        <f>REVS!AF54</f>
        <v>13.394</v>
      </c>
      <c r="AG6" s="133">
        <f>REVS!AG54</f>
        <v>0.17399999999999999</v>
      </c>
      <c r="AH6" s="133">
        <f>REVS!AH54</f>
        <v>1.74</v>
      </c>
      <c r="AI6" s="133">
        <f>REVS!AI54</f>
        <v>0.372</v>
      </c>
      <c r="AJ6" s="133">
        <f>REVS!AJ54</f>
        <v>2.82</v>
      </c>
      <c r="AK6" s="18">
        <f>REVS!AK54</f>
        <v>5.1059999999999999</v>
      </c>
      <c r="AL6" s="133">
        <f>REVS!AL54</f>
        <v>3.6890000000000001</v>
      </c>
      <c r="AM6" s="133">
        <f>REVS!AM54</f>
        <v>16.998000000000001</v>
      </c>
      <c r="AN6" s="133">
        <f>REVS!AN54</f>
        <v>5.0060000000000002</v>
      </c>
      <c r="AO6" s="133">
        <f>REVS!AO54</f>
        <v>6.0289999999999999</v>
      </c>
      <c r="AP6" s="18">
        <f>REVS!AP54</f>
        <v>31.722000000000001</v>
      </c>
      <c r="AQ6" s="133">
        <f>REVS!AQ54</f>
        <v>14.538</v>
      </c>
      <c r="AR6" s="133">
        <f>REVS!AR54</f>
        <v>6.8369999999999997</v>
      </c>
      <c r="AS6" s="133">
        <f>REVS!AS54</f>
        <v>16.120999999999999</v>
      </c>
      <c r="AT6" s="133">
        <f>REVS!AT54</f>
        <v>19.925999999999998</v>
      </c>
      <c r="AU6" s="101">
        <f>REVS!AU54</f>
        <v>57.421999999999997</v>
      </c>
      <c r="AV6" s="134">
        <f>REVS!AV54</f>
        <v>3.1739999999999999</v>
      </c>
      <c r="AW6" s="134">
        <f>REVS!AW54</f>
        <v>22.437000000000001</v>
      </c>
      <c r="AX6" s="134">
        <f>REVS!AX54</f>
        <v>12.026999999999999</v>
      </c>
      <c r="AY6" s="134">
        <f>REVS!AY54</f>
        <v>6.1470000000000002</v>
      </c>
      <c r="AZ6" s="101">
        <f>REVS!AZ54</f>
        <v>43.784999999999997</v>
      </c>
      <c r="BA6" s="251">
        <f>REVS!BA54</f>
        <v>21.890999999999998</v>
      </c>
      <c r="BB6" s="251">
        <f>REVS!BB54</f>
        <v>10.659000000000001</v>
      </c>
      <c r="BC6" s="251">
        <f>REVS!BC54</f>
        <v>16.872</v>
      </c>
      <c r="BD6" s="252">
        <v>28.741</v>
      </c>
      <c r="BE6" s="101">
        <f>REVS!BE54</f>
        <v>78.421999999999997</v>
      </c>
      <c r="BF6" s="251">
        <f>REVS!BF54</f>
        <v>52.244999999999997</v>
      </c>
      <c r="BG6" s="251">
        <f>REVS!BG54</f>
        <v>21.52</v>
      </c>
      <c r="BH6" s="251">
        <f>REVS!BH54</f>
        <v>36.253999999999998</v>
      </c>
      <c r="BI6" s="251">
        <f>REVS!BI54</f>
        <v>17.812999999999999</v>
      </c>
      <c r="BJ6" s="101">
        <f>REVS!BJ54</f>
        <v>127.83200000000001</v>
      </c>
      <c r="BK6" s="251">
        <f>REVS!BK54</f>
        <v>33.1</v>
      </c>
      <c r="BL6" s="251">
        <f>REVS!BL54</f>
        <v>38.4</v>
      </c>
      <c r="BM6" s="251">
        <f>REVS!BM54</f>
        <v>33.700000000000003</v>
      </c>
      <c r="BN6" s="251">
        <f>REVS!BN54</f>
        <v>69.5</v>
      </c>
      <c r="BO6" s="101">
        <f>REVS!BO54</f>
        <v>174.7</v>
      </c>
      <c r="BP6" s="251">
        <f>REVS!BP54</f>
        <v>76.400000000000006</v>
      </c>
      <c r="BQ6" s="251">
        <f>REVS!BQ54</f>
        <v>59.4</v>
      </c>
      <c r="BR6" s="251">
        <f>REVS!BR54</f>
        <v>99.5</v>
      </c>
      <c r="BS6" s="251">
        <f>REVS!BS54</f>
        <v>41.800000000000011</v>
      </c>
      <c r="BT6" s="101">
        <f>REVS!BT54</f>
        <v>277.10000000000002</v>
      </c>
      <c r="BU6" s="251">
        <f>REVS!BU54</f>
        <v>83.7</v>
      </c>
      <c r="BV6" s="251">
        <f>REVS!BV54</f>
        <v>32.6</v>
      </c>
      <c r="BW6" s="251">
        <f>REVS!BW54</f>
        <v>42.6</v>
      </c>
      <c r="BX6" s="251">
        <f>REVS!BX54</f>
        <v>164.59999999999997</v>
      </c>
      <c r="BY6" s="101">
        <f>REVS!BY54</f>
        <v>323.5</v>
      </c>
      <c r="BZ6" s="251">
        <f>REVS!BZ54</f>
        <v>151.19999999999999</v>
      </c>
      <c r="CA6" s="251">
        <f>REVS!CA54</f>
        <v>50</v>
      </c>
      <c r="CB6" s="251">
        <f>REVS!CB54</f>
        <v>75</v>
      </c>
      <c r="CC6" s="251">
        <f>REVS!CC54</f>
        <v>63.475000000000023</v>
      </c>
      <c r="CD6" s="101">
        <f>REVS!CD54</f>
        <v>339.67500000000001</v>
      </c>
      <c r="CE6" s="251"/>
      <c r="CF6" s="251"/>
      <c r="CG6" s="251"/>
      <c r="CH6" s="251"/>
      <c r="CI6" s="101">
        <f>REVS!CI54</f>
        <v>356.65875000000005</v>
      </c>
      <c r="CJ6" s="251"/>
      <c r="CK6" s="251"/>
      <c r="CL6" s="251"/>
      <c r="CM6" s="251"/>
      <c r="CN6" s="101">
        <f>REVS!CN54</f>
        <v>374.49168750000007</v>
      </c>
      <c r="CO6" s="251"/>
      <c r="CP6" s="251"/>
      <c r="CQ6" s="251"/>
      <c r="CR6" s="251"/>
      <c r="CS6" s="101">
        <f>REVS!CS54</f>
        <v>393.21627187500007</v>
      </c>
      <c r="CT6" s="251"/>
      <c r="CU6" s="251"/>
      <c r="CV6" s="251"/>
      <c r="CW6" s="251"/>
      <c r="CX6" s="101">
        <f>REVS!CX54</f>
        <v>412.87708546875012</v>
      </c>
      <c r="CY6" s="251"/>
      <c r="CZ6" s="251"/>
      <c r="DA6" s="251"/>
      <c r="DB6" s="251"/>
      <c r="DC6" s="101">
        <f>REVS!DC54</f>
        <v>433.52093974218764</v>
      </c>
      <c r="DD6" s="251"/>
      <c r="DE6" s="251"/>
      <c r="DF6" s="251"/>
      <c r="DG6" s="251"/>
      <c r="DH6" s="101">
        <f>REVS!DH54</f>
        <v>455.19698672929701</v>
      </c>
      <c r="DI6" s="251"/>
      <c r="DJ6" s="251"/>
      <c r="DK6" s="251"/>
      <c r="DL6" s="251"/>
      <c r="DM6" s="101">
        <f>REVS!DM54</f>
        <v>477.95683606576188</v>
      </c>
      <c r="DN6" s="251"/>
      <c r="DO6" s="251"/>
      <c r="DP6" s="251"/>
      <c r="DQ6" s="251"/>
      <c r="DR6" s="101">
        <f>REVS!DR54</f>
        <v>501.85467786904997</v>
      </c>
      <c r="DS6" s="251"/>
      <c r="DT6" s="251"/>
      <c r="DU6" s="251"/>
      <c r="DV6" s="251"/>
      <c r="DW6" s="101">
        <f>REVS!DW54</f>
        <v>526.9474117625025</v>
      </c>
      <c r="DX6" s="251"/>
      <c r="DY6" s="251"/>
      <c r="DZ6" s="251"/>
      <c r="EA6" s="251"/>
      <c r="EB6" s="101">
        <f>REVS!EB54</f>
        <v>553.29478235062766</v>
      </c>
      <c r="EC6" s="251"/>
      <c r="ED6" s="251"/>
      <c r="EE6" s="251"/>
      <c r="EF6" s="251"/>
      <c r="EG6" s="101">
        <f>REVS!EG54</f>
        <v>580.9595214681591</v>
      </c>
      <c r="EH6" s="251"/>
      <c r="EI6" s="251"/>
      <c r="EJ6" s="251"/>
      <c r="EK6" s="251"/>
      <c r="EL6" s="101">
        <f>REVS!EL54</f>
        <v>610.00749754156709</v>
      </c>
    </row>
    <row r="7" spans="2:153" s="35" customFormat="1" ht="15.75" thickBot="1">
      <c r="B7" s="39" t="s">
        <v>152</v>
      </c>
      <c r="C7" s="135">
        <f t="shared" ref="C7:AH7" si="0">SUM(C3:C6)</f>
        <v>436.79999999999995</v>
      </c>
      <c r="D7" s="135">
        <f t="shared" si="0"/>
        <v>447.19999999999993</v>
      </c>
      <c r="E7" s="135">
        <f t="shared" si="0"/>
        <v>477.2</v>
      </c>
      <c r="F7" s="135">
        <f t="shared" si="0"/>
        <v>491.1</v>
      </c>
      <c r="G7" s="44">
        <f t="shared" si="0"/>
        <v>1852.4</v>
      </c>
      <c r="H7" s="135">
        <f t="shared" si="0"/>
        <v>541.74200000000008</v>
      </c>
      <c r="I7" s="135">
        <f t="shared" si="0"/>
        <v>538.76300000000003</v>
      </c>
      <c r="J7" s="135">
        <f t="shared" si="0"/>
        <v>543.27599999999995</v>
      </c>
      <c r="K7" s="135">
        <f t="shared" si="0"/>
        <v>587.78099999999995</v>
      </c>
      <c r="L7" s="44">
        <f t="shared" si="0"/>
        <v>2211.5620000000004</v>
      </c>
      <c r="M7" s="135">
        <f t="shared" si="0"/>
        <v>587.80200000000002</v>
      </c>
      <c r="N7" s="135">
        <f t="shared" si="0"/>
        <v>605.63400000000001</v>
      </c>
      <c r="O7" s="135">
        <f t="shared" si="0"/>
        <v>596.2109999999999</v>
      </c>
      <c r="P7" s="135">
        <f t="shared" si="0"/>
        <v>632.85299999999984</v>
      </c>
      <c r="Q7" s="44">
        <f t="shared" si="0"/>
        <v>2422.5000000000005</v>
      </c>
      <c r="R7" s="135">
        <f t="shared" si="0"/>
        <v>611.17500000000007</v>
      </c>
      <c r="S7" s="135">
        <f t="shared" si="0"/>
        <v>660.04099999999994</v>
      </c>
      <c r="T7" s="135">
        <f t="shared" si="0"/>
        <v>703.49199999999985</v>
      </c>
      <c r="U7" s="135">
        <f t="shared" si="0"/>
        <v>708.34100000000001</v>
      </c>
      <c r="V7" s="44">
        <f t="shared" si="0"/>
        <v>2683.0489999999995</v>
      </c>
      <c r="W7" s="135">
        <f t="shared" si="0"/>
        <v>715.91</v>
      </c>
      <c r="X7" s="135">
        <f t="shared" si="0"/>
        <v>773.17600000000004</v>
      </c>
      <c r="Y7" s="135">
        <f t="shared" si="0"/>
        <v>789.23100000000011</v>
      </c>
      <c r="Z7" s="135">
        <f t="shared" si="0"/>
        <v>893.30000000000007</v>
      </c>
      <c r="AA7" s="44">
        <f t="shared" si="0"/>
        <v>3171.6169999999997</v>
      </c>
      <c r="AB7" s="135">
        <f t="shared" si="0"/>
        <v>942.18600000000015</v>
      </c>
      <c r="AC7" s="135">
        <f t="shared" si="0"/>
        <v>993.44400000000007</v>
      </c>
      <c r="AD7" s="135">
        <f t="shared" si="0"/>
        <v>1092.9640000000002</v>
      </c>
      <c r="AE7" s="135">
        <f t="shared" si="0"/>
        <v>1068.9129999999993</v>
      </c>
      <c r="AF7" s="44">
        <f t="shared" si="0"/>
        <v>4097.5070000000005</v>
      </c>
      <c r="AG7" s="135">
        <f t="shared" si="0"/>
        <v>1036.4840000000002</v>
      </c>
      <c r="AH7" s="135">
        <f t="shared" si="0"/>
        <v>1093.289</v>
      </c>
      <c r="AI7" s="135">
        <f t="shared" ref="AI7:BS7" si="1">SUM(AI3:AI6)</f>
        <v>1120.5180000000003</v>
      </c>
      <c r="AJ7" s="135">
        <f t="shared" si="1"/>
        <v>1127.057</v>
      </c>
      <c r="AK7" s="44">
        <f t="shared" si="1"/>
        <v>4377.348</v>
      </c>
      <c r="AL7" s="135">
        <f t="shared" si="1"/>
        <v>1108.8600000000001</v>
      </c>
      <c r="AM7" s="135">
        <f t="shared" si="1"/>
        <v>1212.7020000000002</v>
      </c>
      <c r="AN7" s="135">
        <f t="shared" si="1"/>
        <v>1175.7890000000002</v>
      </c>
      <c r="AO7" s="135">
        <f t="shared" si="1"/>
        <v>1219.0720000000001</v>
      </c>
      <c r="AP7" s="44">
        <f t="shared" si="1"/>
        <v>4716.4229999999998</v>
      </c>
      <c r="AQ7" s="135">
        <f t="shared" si="1"/>
        <v>1203.3420000000001</v>
      </c>
      <c r="AR7" s="135">
        <f t="shared" si="1"/>
        <v>1208.6469999999999</v>
      </c>
      <c r="AS7" s="135">
        <f t="shared" si="1"/>
        <v>1309.9340000000002</v>
      </c>
      <c r="AT7" s="135">
        <f t="shared" si="1"/>
        <v>1326.6669999999999</v>
      </c>
      <c r="AU7" s="102">
        <f t="shared" si="1"/>
        <v>5035.0209999999988</v>
      </c>
      <c r="AV7" s="136">
        <f t="shared" si="1"/>
        <v>1292.0139999999999</v>
      </c>
      <c r="AW7" s="136">
        <f t="shared" si="1"/>
        <v>1420.9510000000002</v>
      </c>
      <c r="AX7" s="136">
        <f t="shared" si="1"/>
        <v>1417.2729999999999</v>
      </c>
      <c r="AY7" s="136">
        <f t="shared" si="1"/>
        <v>1433.0140000000001</v>
      </c>
      <c r="AZ7" s="102">
        <f t="shared" si="1"/>
        <v>5563.2519999999986</v>
      </c>
      <c r="BA7" s="253">
        <f t="shared" si="1"/>
        <v>1415.096</v>
      </c>
      <c r="BB7" s="253">
        <f t="shared" si="1"/>
        <v>1723.4730000000004</v>
      </c>
      <c r="BC7" s="253">
        <f t="shared" si="1"/>
        <v>1827.7800000000002</v>
      </c>
      <c r="BD7" s="253">
        <f t="shared" si="1"/>
        <v>1965.85</v>
      </c>
      <c r="BE7" s="102">
        <f t="shared" si="1"/>
        <v>6932.7649999999994</v>
      </c>
      <c r="BF7" s="253">
        <f t="shared" si="1"/>
        <v>2129.7510000000002</v>
      </c>
      <c r="BG7" s="253">
        <f t="shared" si="1"/>
        <v>2421.4519999999998</v>
      </c>
      <c r="BH7" s="253">
        <f t="shared" si="1"/>
        <v>2511.4459999999999</v>
      </c>
      <c r="BI7" s="253">
        <f t="shared" si="1"/>
        <v>2640.6749999999997</v>
      </c>
      <c r="BJ7" s="102">
        <f t="shared" si="1"/>
        <v>9703.3239999999987</v>
      </c>
      <c r="BK7" s="253">
        <f t="shared" si="1"/>
        <v>2554.8329999999996</v>
      </c>
      <c r="BL7" s="253">
        <f t="shared" si="1"/>
        <v>2591.9999999999995</v>
      </c>
      <c r="BM7" s="253">
        <f t="shared" si="1"/>
        <v>2778.2</v>
      </c>
      <c r="BN7" s="253">
        <f t="shared" si="1"/>
        <v>2838.6779999999999</v>
      </c>
      <c r="BO7" s="102">
        <f t="shared" ref="BO7" si="2">SUM(BO3:BO6)</f>
        <v>10763.710999999998</v>
      </c>
      <c r="BP7" s="253">
        <f t="shared" si="1"/>
        <v>2726.8</v>
      </c>
      <c r="BQ7" s="253">
        <f t="shared" si="1"/>
        <v>2894.2</v>
      </c>
      <c r="BR7" s="253">
        <f t="shared" si="1"/>
        <v>2955.7999999999997</v>
      </c>
      <c r="BS7" s="253">
        <f t="shared" si="1"/>
        <v>2872</v>
      </c>
      <c r="BT7" s="102">
        <f>SUM(BT3:BT6)</f>
        <v>11448.8</v>
      </c>
      <c r="BU7" s="253">
        <f>SUM(BU3:BU6)</f>
        <v>2810.7000000000003</v>
      </c>
      <c r="BV7" s="253">
        <f t="shared" ref="BV7:CC7" si="3">SUM(BV3:BV6)</f>
        <v>3078.3999999999996</v>
      </c>
      <c r="BW7" s="253">
        <f t="shared" si="3"/>
        <v>3077.7999999999997</v>
      </c>
      <c r="BX7" s="253">
        <f t="shared" si="3"/>
        <v>3306.9999999999995</v>
      </c>
      <c r="BY7" s="102">
        <f>SUM(BY3:BY6)</f>
        <v>12273.900000000003</v>
      </c>
      <c r="BZ7" s="253">
        <f t="shared" si="3"/>
        <v>3131.1</v>
      </c>
      <c r="CA7" s="253">
        <f t="shared" si="3"/>
        <v>3159.348936937175</v>
      </c>
      <c r="CB7" s="253">
        <f t="shared" si="3"/>
        <v>3161.5576598818361</v>
      </c>
      <c r="CC7" s="253">
        <f t="shared" si="3"/>
        <v>3420.0596780989476</v>
      </c>
      <c r="CD7" s="102">
        <f>SUM(CD3:CD6)</f>
        <v>12868.75464720094</v>
      </c>
      <c r="CE7" s="253"/>
      <c r="CF7" s="253"/>
      <c r="CG7" s="253"/>
      <c r="CH7" s="253"/>
      <c r="CI7" s="102">
        <f>SUM(CI3:CI6)</f>
        <v>13416.991846807408</v>
      </c>
      <c r="CJ7" s="253"/>
      <c r="CK7" s="253"/>
      <c r="CL7" s="253"/>
      <c r="CM7" s="253"/>
      <c r="CN7" s="102">
        <f>SUM(CN3:CN6)</f>
        <v>14086.784182794972</v>
      </c>
      <c r="CO7" s="253"/>
      <c r="CP7" s="253"/>
      <c r="CQ7" s="253"/>
      <c r="CR7" s="253"/>
      <c r="CS7" s="102">
        <f>SUM(CS3:CS6)</f>
        <v>14607.489701855131</v>
      </c>
      <c r="CT7" s="253"/>
      <c r="CU7" s="253"/>
      <c r="CV7" s="253"/>
      <c r="CW7" s="253"/>
      <c r="CX7" s="102">
        <f>SUM(CX3:CX6)</f>
        <v>14952.400133891926</v>
      </c>
      <c r="CY7" s="253"/>
      <c r="CZ7" s="253"/>
      <c r="DA7" s="253"/>
      <c r="DB7" s="253"/>
      <c r="DC7" s="102">
        <f>SUM(DC3:DC6)</f>
        <v>15302.910087576756</v>
      </c>
      <c r="DD7" s="253"/>
      <c r="DE7" s="253"/>
      <c r="DF7" s="253"/>
      <c r="DG7" s="253"/>
      <c r="DH7" s="102">
        <f>SUM(DH3:DH6)</f>
        <v>15660.776822432199</v>
      </c>
      <c r="DI7" s="253"/>
      <c r="DJ7" s="253"/>
      <c r="DK7" s="253"/>
      <c r="DL7" s="253"/>
      <c r="DM7" s="102">
        <f>SUM(DM3:DM6)</f>
        <v>15165.290491441607</v>
      </c>
      <c r="DN7" s="253"/>
      <c r="DO7" s="253"/>
      <c r="DP7" s="253"/>
      <c r="DQ7" s="253"/>
      <c r="DR7" s="102">
        <f>SUM(DR3:DR6)</f>
        <v>14255.157231075118</v>
      </c>
      <c r="DS7" s="253"/>
      <c r="DT7" s="253"/>
      <c r="DU7" s="253"/>
      <c r="DV7" s="253"/>
      <c r="DW7" s="102">
        <f>SUM(DW3:DW6)</f>
        <v>12708.751749751562</v>
      </c>
      <c r="DX7" s="253"/>
      <c r="DY7" s="253"/>
      <c r="DZ7" s="253"/>
      <c r="EA7" s="253"/>
      <c r="EB7" s="102">
        <f>SUM(EB3:EB6)</f>
        <v>12423.328497190125</v>
      </c>
      <c r="EC7" s="253"/>
      <c r="ED7" s="253"/>
      <c r="EE7" s="253"/>
      <c r="EF7" s="253"/>
      <c r="EG7" s="102">
        <f>SUM(EG3:EG6)</f>
        <v>12286.7440874474</v>
      </c>
      <c r="EH7" s="253"/>
      <c r="EI7" s="253"/>
      <c r="EJ7" s="253"/>
      <c r="EK7" s="253"/>
      <c r="EL7" s="102">
        <f>SUM(EL3:EL6)</f>
        <v>12432.220906493016</v>
      </c>
      <c r="EO7"/>
      <c r="EP7"/>
      <c r="EQ7"/>
      <c r="ER7"/>
      <c r="ES7"/>
      <c r="ET7"/>
    </row>
    <row r="8" spans="2:153" s="35" customFormat="1" ht="15.75" thickBot="1">
      <c r="C8" s="137"/>
      <c r="D8" s="137"/>
      <c r="E8" s="137"/>
      <c r="F8" s="137"/>
      <c r="G8" s="16"/>
      <c r="H8" s="137"/>
      <c r="I8" s="137"/>
      <c r="J8" s="137"/>
      <c r="K8" s="137"/>
      <c r="L8" s="16"/>
      <c r="M8" s="137"/>
      <c r="N8" s="137"/>
      <c r="O8" s="137"/>
      <c r="P8" s="137"/>
      <c r="Q8" s="16"/>
      <c r="R8" s="137"/>
      <c r="S8" s="137"/>
      <c r="T8" s="137"/>
      <c r="U8" s="137"/>
      <c r="V8" s="16"/>
      <c r="W8" s="137"/>
      <c r="X8" s="137"/>
      <c r="Y8" s="137"/>
      <c r="Z8" s="137"/>
      <c r="AA8" s="16"/>
      <c r="AB8" s="137"/>
      <c r="AC8" s="137"/>
      <c r="AD8" s="137"/>
      <c r="AE8" s="137"/>
      <c r="AF8" s="16"/>
      <c r="AG8" s="137"/>
      <c r="AH8" s="137"/>
      <c r="AI8" s="137"/>
      <c r="AJ8" s="137"/>
      <c r="AK8" s="16"/>
      <c r="AL8" s="137"/>
      <c r="AM8" s="137"/>
      <c r="AN8" s="137"/>
      <c r="AO8" s="137"/>
      <c r="AP8" s="16"/>
      <c r="AQ8" s="137"/>
      <c r="AR8" s="137"/>
      <c r="AS8" s="137"/>
      <c r="AT8" s="137"/>
      <c r="AU8" s="105"/>
      <c r="AV8" s="138"/>
      <c r="AW8" s="138"/>
      <c r="AX8" s="138"/>
      <c r="AY8" s="138"/>
      <c r="AZ8" s="105"/>
      <c r="BA8" s="254"/>
      <c r="BB8" s="254"/>
      <c r="BC8" s="254"/>
      <c r="BD8" s="254"/>
      <c r="BE8" s="105"/>
      <c r="BF8" s="254"/>
      <c r="BG8" s="254"/>
      <c r="BH8" s="254"/>
      <c r="BI8" s="254"/>
      <c r="BJ8" s="405"/>
      <c r="BK8" s="254"/>
      <c r="BL8" s="254"/>
      <c r="BM8" s="254"/>
      <c r="BN8" s="254"/>
      <c r="BO8" s="405"/>
      <c r="BP8" s="254"/>
      <c r="BQ8" s="254"/>
      <c r="BR8" s="254"/>
      <c r="BS8" s="254"/>
      <c r="BT8" s="405"/>
      <c r="BU8" s="254"/>
      <c r="BV8" s="254"/>
      <c r="BW8" s="254"/>
      <c r="BX8" s="254"/>
      <c r="BY8" s="405"/>
      <c r="BZ8" s="254"/>
      <c r="CA8" s="254"/>
      <c r="CB8" s="139" t="s">
        <v>558</v>
      </c>
      <c r="CC8" s="140"/>
      <c r="CD8" s="141" t="s">
        <v>932</v>
      </c>
      <c r="CE8" s="254"/>
      <c r="CF8" s="254"/>
      <c r="CG8" s="254"/>
      <c r="CH8" s="254"/>
      <c r="CI8" s="105"/>
      <c r="CJ8" s="254"/>
      <c r="CK8" s="254"/>
      <c r="CL8" s="254"/>
      <c r="CM8" s="254"/>
      <c r="CN8" s="105"/>
      <c r="CO8" s="254"/>
      <c r="CP8" s="254"/>
      <c r="CQ8" s="254"/>
      <c r="CR8" s="254"/>
      <c r="CS8" s="105"/>
      <c r="CT8" s="254"/>
      <c r="CU8" s="254"/>
      <c r="CV8" s="254"/>
      <c r="CW8" s="254"/>
      <c r="CX8" s="105"/>
      <c r="CY8" s="254"/>
      <c r="CZ8" s="254"/>
      <c r="DA8" s="254"/>
      <c r="DB8" s="254"/>
      <c r="DC8" s="105"/>
      <c r="DD8" s="254"/>
      <c r="DE8" s="254"/>
      <c r="DF8" s="254"/>
      <c r="DG8" s="254"/>
      <c r="DH8" s="105"/>
      <c r="DI8" s="254"/>
      <c r="DJ8" s="254"/>
      <c r="DK8" s="254"/>
      <c r="DL8" s="254"/>
      <c r="DM8" s="105"/>
      <c r="DN8" s="254"/>
      <c r="DO8" s="254"/>
      <c r="DP8" s="254"/>
      <c r="DQ8" s="254"/>
      <c r="DR8" s="105"/>
      <c r="DS8" s="254"/>
      <c r="DT8" s="254"/>
      <c r="DU8" s="254"/>
      <c r="DV8" s="254"/>
      <c r="DW8" s="105"/>
      <c r="DX8" s="254"/>
      <c r="DY8" s="254"/>
      <c r="DZ8" s="254"/>
      <c r="EA8" s="254"/>
      <c r="EB8" s="105"/>
      <c r="EC8" s="254"/>
      <c r="ED8" s="254"/>
      <c r="EE8" s="254"/>
      <c r="EF8" s="254"/>
      <c r="EG8" s="105"/>
      <c r="EH8" s="254"/>
      <c r="EI8" s="254"/>
      <c r="EJ8" s="254"/>
      <c r="EK8" s="254"/>
      <c r="EL8" s="105"/>
      <c r="EO8"/>
      <c r="EP8"/>
      <c r="EQ8"/>
      <c r="ER8"/>
      <c r="ES8"/>
      <c r="ET8"/>
    </row>
    <row r="9" spans="2:153">
      <c r="B9" s="142" t="s">
        <v>161</v>
      </c>
      <c r="C9" s="143"/>
      <c r="D9" s="143"/>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381"/>
      <c r="BG9" s="381"/>
      <c r="BH9" s="381"/>
      <c r="BI9" s="381"/>
      <c r="BJ9" s="381"/>
      <c r="BK9" s="381"/>
      <c r="BL9" s="381"/>
      <c r="BM9" s="381"/>
      <c r="BN9" s="381"/>
      <c r="BO9" s="381"/>
      <c r="BP9" s="381"/>
      <c r="BQ9" s="381"/>
      <c r="BR9" s="381"/>
      <c r="BS9" s="381"/>
      <c r="BT9" s="381"/>
      <c r="BU9" s="381"/>
      <c r="BV9" s="381"/>
      <c r="BW9" s="381"/>
      <c r="BX9" s="381"/>
      <c r="BY9" s="381"/>
      <c r="BZ9" s="381">
        <f>_xll.TR($EW$1,"TR.RevenueMean","Period=#1 Curn=#2 Scale=6 Null=-",,LEFT(BZ2,1)&amp;"CQ20"&amp;MID(BZ2,3,2),$EW$2)</f>
        <v>3156.0576299999998</v>
      </c>
      <c r="CA9" s="381">
        <f>_xll.TR($EW$1,"TR.RevenueMean","Period=#1 Curn=#2 Scale=6 Null=-",,LEFT(CA2,1)&amp;"CQ20"&amp;MID(CA2,3,2),$EW$2)</f>
        <v>3250.7325799999999</v>
      </c>
      <c r="CB9" s="381">
        <f>_xll.TR($EW$1,"TR.RevenueMean","Period=#1 Curn=#2 Scale=6 Null=-",,LEFT(CB2,1)&amp;"CQ20"&amp;MID(CB2,3,2),$EW$2)</f>
        <v>3260.4561199999998</v>
      </c>
      <c r="CC9" s="381">
        <f>_xll.TR($EW$1,"TR.RevenueMean","Period=#1 Curn=#2 Scale=6 Null=-",,LEFT(CC2,1)&amp;"CQ20"&amp;MID(CC2,3,2),$EW$2)</f>
        <v>3297.1152699999998</v>
      </c>
      <c r="CD9" s="381">
        <f>_xll.TR($EW$1,"Avail(TR.RevenueMean(Methodology=WeightedAnnual),TR.RevenueMean(Methodology=InterimSum))","Period=#1 Curn=#2 Scale=6 Null=-",,"CY"&amp;LEFT(BZ1,4),$EW$2)</f>
        <v>12931.78117</v>
      </c>
      <c r="CE9" s="387"/>
      <c r="CF9" s="387"/>
      <c r="CG9" s="387"/>
      <c r="CH9" s="387"/>
      <c r="CI9" s="381">
        <f>_xll.TR($EW$1,"Avail(TR.RevenueMean(Methodology=WeightedAnnual),TR.RevenueMean(Methodology=InterimSum))","Period=#1 Curn=#2 Scale=6 Null=-",,"CY"&amp;LEFT(CE1,4),$EW$2)</f>
        <v>13335.70686</v>
      </c>
      <c r="CJ9" s="387"/>
      <c r="CK9" s="387"/>
      <c r="CL9" s="387"/>
      <c r="CM9" s="387"/>
      <c r="CN9" s="381">
        <f>_xll.TR($EW$1,"Avail(TR.RevenueMean(Methodology=WeightedAnnual),TR.RevenueMean(Methodology=InterimSum))","Period=#1 Curn=#2 Scale=6 Null=-",,"CY"&amp;LEFT(CJ1,4),$EW$2)</f>
        <v>13800.62254</v>
      </c>
      <c r="CO9" s="387"/>
      <c r="CP9" s="387"/>
      <c r="CQ9" s="387"/>
      <c r="CR9" s="387"/>
      <c r="CS9" s="387"/>
      <c r="CT9" s="387"/>
      <c r="CU9" s="387"/>
      <c r="CV9" s="387"/>
      <c r="CW9" s="387"/>
      <c r="CX9" s="387"/>
      <c r="CY9" s="387"/>
      <c r="CZ9" s="387"/>
      <c r="DA9" s="387"/>
      <c r="DB9" s="387"/>
      <c r="DC9" s="387"/>
      <c r="DD9" s="387"/>
      <c r="DE9" s="387"/>
      <c r="DF9" s="387"/>
      <c r="DG9" s="387"/>
      <c r="DH9" s="387"/>
      <c r="DI9" s="387"/>
      <c r="DJ9" s="387"/>
      <c r="DK9" s="387"/>
      <c r="DL9" s="387"/>
      <c r="DM9" s="387"/>
      <c r="DN9" s="387"/>
      <c r="DO9" s="387"/>
      <c r="DP9" s="387"/>
      <c r="DQ9" s="387"/>
      <c r="DR9" s="387"/>
      <c r="DS9" s="387"/>
      <c r="DT9" s="387"/>
      <c r="DU9" s="387"/>
      <c r="DV9" s="387"/>
      <c r="DW9" s="387"/>
      <c r="DX9" s="387"/>
      <c r="DY9" s="387"/>
      <c r="DZ9" s="387"/>
      <c r="EA9" s="387"/>
      <c r="EB9" s="387"/>
      <c r="EC9" s="387"/>
      <c r="ED9" s="387"/>
      <c r="EE9" s="387"/>
      <c r="EF9" s="387"/>
      <c r="EG9" s="387"/>
      <c r="EH9" s="387"/>
      <c r="EI9" s="387"/>
      <c r="EJ9" s="387"/>
      <c r="EK9" s="387"/>
      <c r="EL9" s="387"/>
    </row>
    <row r="10" spans="2:153">
      <c r="B10" s="4"/>
      <c r="C10" s="145"/>
      <c r="D10" s="145"/>
      <c r="E10" s="145"/>
      <c r="F10" s="145"/>
      <c r="G10" s="17"/>
      <c r="H10" s="145"/>
      <c r="I10" s="145"/>
      <c r="J10" s="145"/>
      <c r="K10" s="145"/>
      <c r="L10" s="17"/>
      <c r="M10" s="145"/>
      <c r="N10" s="145"/>
      <c r="O10" s="145"/>
      <c r="P10" s="145"/>
      <c r="Q10" s="17"/>
      <c r="R10" s="145"/>
      <c r="S10" s="145"/>
      <c r="T10" s="145"/>
      <c r="U10" s="145"/>
      <c r="V10" s="17"/>
      <c r="W10" s="145"/>
      <c r="X10" s="145"/>
      <c r="Y10" s="145"/>
      <c r="Z10" s="145"/>
      <c r="AA10" s="17"/>
      <c r="AB10" s="145"/>
      <c r="AC10" s="145"/>
      <c r="AD10" s="145"/>
      <c r="AE10" s="145"/>
      <c r="AF10" s="17"/>
      <c r="AG10" s="145"/>
      <c r="AH10" s="145"/>
      <c r="AI10" s="145"/>
      <c r="AJ10" s="145"/>
      <c r="AK10" s="17"/>
      <c r="AL10" s="145"/>
      <c r="AM10" s="145"/>
      <c r="AN10" s="145"/>
      <c r="AO10" s="145"/>
      <c r="AP10" s="17"/>
      <c r="AQ10" s="145"/>
      <c r="AR10" s="145"/>
      <c r="AS10" s="145"/>
      <c r="AT10" s="145"/>
      <c r="AU10" s="64"/>
      <c r="AV10" s="146"/>
      <c r="AW10" s="146"/>
      <c r="AX10" s="146"/>
      <c r="AY10" s="146"/>
      <c r="AZ10" s="64"/>
      <c r="BA10" s="255"/>
      <c r="BB10" s="255"/>
      <c r="BC10" s="255"/>
      <c r="BD10" s="255"/>
      <c r="BE10" s="64"/>
      <c r="BF10" s="255"/>
      <c r="BG10" s="255"/>
      <c r="BH10" s="255"/>
      <c r="BI10" s="255"/>
      <c r="BJ10" s="64"/>
      <c r="BK10" s="255"/>
      <c r="BL10" s="255"/>
      <c r="BM10" s="255"/>
      <c r="BN10" s="255"/>
      <c r="BO10" s="64"/>
      <c r="BP10" s="255"/>
      <c r="BQ10" s="255"/>
      <c r="BR10" s="255"/>
      <c r="BS10" s="255"/>
      <c r="BT10" s="64"/>
      <c r="BU10" s="255"/>
      <c r="BV10" s="255"/>
      <c r="BW10" s="255"/>
      <c r="BX10" s="255"/>
      <c r="BY10" s="21"/>
      <c r="BZ10" s="255"/>
      <c r="CA10" s="255"/>
      <c r="CB10" s="255"/>
      <c r="CC10" s="255"/>
      <c r="CD10" s="21"/>
      <c r="CE10" s="255"/>
      <c r="CF10" s="255"/>
      <c r="CG10" s="255"/>
      <c r="CH10" s="255"/>
      <c r="CI10" s="64"/>
      <c r="CJ10" s="255"/>
      <c r="CK10" s="255"/>
      <c r="CL10" s="255"/>
      <c r="CM10" s="255"/>
      <c r="CN10" s="64"/>
      <c r="CO10" s="255"/>
      <c r="CP10" s="255"/>
      <c r="CQ10" s="255"/>
      <c r="CR10" s="255"/>
      <c r="CS10" s="64"/>
      <c r="CT10" s="255"/>
      <c r="CU10" s="255"/>
      <c r="CV10" s="255"/>
      <c r="CW10" s="255"/>
      <c r="CX10" s="64"/>
      <c r="CY10" s="255"/>
      <c r="CZ10" s="255"/>
      <c r="DA10" s="255"/>
      <c r="DB10" s="255"/>
      <c r="DC10" s="64"/>
      <c r="DD10" s="255"/>
      <c r="DE10" s="255"/>
      <c r="DF10" s="255"/>
      <c r="DG10" s="255"/>
      <c r="DH10" s="64"/>
      <c r="DI10" s="255"/>
      <c r="DJ10" s="255"/>
      <c r="DK10" s="255"/>
      <c r="DL10" s="255"/>
      <c r="DM10" s="64"/>
      <c r="DN10" s="255"/>
      <c r="DO10" s="255"/>
      <c r="DP10" s="255"/>
      <c r="DQ10" s="255"/>
      <c r="DR10" s="64"/>
      <c r="DS10" s="255"/>
      <c r="DT10" s="255"/>
      <c r="DU10" s="255"/>
      <c r="DV10" s="255"/>
      <c r="DW10" s="64"/>
      <c r="DX10" s="255"/>
      <c r="DY10" s="255"/>
      <c r="DZ10" s="255"/>
      <c r="EA10" s="255"/>
      <c r="EB10" s="64"/>
      <c r="EC10" s="255"/>
      <c r="ED10" s="255"/>
      <c r="EE10" s="255"/>
      <c r="EF10" s="255"/>
      <c r="EG10" s="64"/>
      <c r="EH10" s="255"/>
      <c r="EI10" s="255"/>
      <c r="EJ10" s="255"/>
      <c r="EK10" s="255"/>
      <c r="EL10" s="64"/>
    </row>
    <row r="11" spans="2:153" s="3" customFormat="1">
      <c r="B11" s="3" t="s">
        <v>153</v>
      </c>
      <c r="C11" s="145">
        <v>47.2</v>
      </c>
      <c r="D11" s="145">
        <v>49.4</v>
      </c>
      <c r="E11" s="145">
        <v>54.9</v>
      </c>
      <c r="F11" s="145">
        <f>+G11-SUM(C11:E11)</f>
        <v>79</v>
      </c>
      <c r="G11" s="17">
        <v>230.5</v>
      </c>
      <c r="H11" s="145">
        <f>253.478+1.289-194.3</f>
        <v>60.466999999999985</v>
      </c>
      <c r="I11" s="145">
        <f>150.463+1.266-93.4</f>
        <v>58.328999999999979</v>
      </c>
      <c r="J11" s="145">
        <f>63.11+1.35-3.3</f>
        <v>61.16</v>
      </c>
      <c r="K11" s="145">
        <f>+L11-SUM(H11:J11)</f>
        <v>78.863</v>
      </c>
      <c r="L11" s="17">
        <f>548.702+5.617-295.5</f>
        <v>258.81899999999996</v>
      </c>
      <c r="M11" s="145">
        <f>98.481+1.128-9.3</f>
        <v>90.308999999999997</v>
      </c>
      <c r="N11" s="145">
        <f>70.244+0.849-9</f>
        <v>62.093000000000004</v>
      </c>
      <c r="O11" s="145">
        <f>88.358+1.203-11.3</f>
        <v>78.26100000000001</v>
      </c>
      <c r="P11" s="145">
        <f>+Q11-SUM(M11:O11)</f>
        <v>72.350999999999999</v>
      </c>
      <c r="Q11" s="17">
        <f>373.614-34.2-36.4</f>
        <v>303.01400000000001</v>
      </c>
      <c r="R11" s="145">
        <f>67.494-4</f>
        <v>63.494</v>
      </c>
      <c r="S11" s="145">
        <f>77.993-0.9-0.1</f>
        <v>76.992999999999995</v>
      </c>
      <c r="T11" s="145">
        <f>66.792-2.9</f>
        <v>63.892000000000003</v>
      </c>
      <c r="U11" s="145">
        <f>+V11-SUM(R11:T11)</f>
        <v>62.103999999999957</v>
      </c>
      <c r="V11" s="17">
        <f>274.383-7.8-0.1</f>
        <v>266.48299999999995</v>
      </c>
      <c r="W11" s="145">
        <f>81.95-3</f>
        <v>78.95</v>
      </c>
      <c r="X11" s="145">
        <f>84.063-0.1</f>
        <v>83.963000000000008</v>
      </c>
      <c r="Y11" s="145">
        <v>81.613</v>
      </c>
      <c r="Z11" s="145">
        <f>+AA11-SUM(W11:Y11)</f>
        <v>90.565999999999974</v>
      </c>
      <c r="AA11" s="17">
        <f>335.192-0.1</f>
        <v>335.09199999999998</v>
      </c>
      <c r="AB11" s="145">
        <v>100.934</v>
      </c>
      <c r="AC11" s="145">
        <v>92.400999999999996</v>
      </c>
      <c r="AD11" s="145">
        <v>107.49299999999999</v>
      </c>
      <c r="AE11" s="145">
        <f>+AF11-SUM(AB11:AD11)</f>
        <v>101.161</v>
      </c>
      <c r="AF11" s="17">
        <v>401.98899999999998</v>
      </c>
      <c r="AG11" s="145">
        <v>98.197000000000003</v>
      </c>
      <c r="AH11" s="145">
        <v>90.721000000000004</v>
      </c>
      <c r="AI11" s="145">
        <v>93.486000000000004</v>
      </c>
      <c r="AJ11" s="145">
        <f>+AK11-SUM(AG11:AI11)</f>
        <v>99.699999999999989</v>
      </c>
      <c r="AK11" s="17">
        <v>382.10399999999998</v>
      </c>
      <c r="AL11" s="145">
        <v>97.055000000000007</v>
      </c>
      <c r="AM11" s="145">
        <v>106.985</v>
      </c>
      <c r="AN11" s="145">
        <v>95.918000000000006</v>
      </c>
      <c r="AO11" s="145">
        <f>+AP11-SUM(AL11:AN11)</f>
        <v>100.30399999999997</v>
      </c>
      <c r="AP11" s="17">
        <v>400.262</v>
      </c>
      <c r="AQ11" s="145">
        <v>103.113</v>
      </c>
      <c r="AR11" s="145">
        <v>100.503</v>
      </c>
      <c r="AS11" s="145">
        <v>123.527</v>
      </c>
      <c r="AT11" s="145">
        <v>139.63800000000001</v>
      </c>
      <c r="AU11" s="64">
        <f>SUM(AQ11:AT11)</f>
        <v>466.78099999999995</v>
      </c>
      <c r="AV11" s="146">
        <v>133.197</v>
      </c>
      <c r="AW11" s="146">
        <v>139.11199999999999</v>
      </c>
      <c r="AX11" s="146">
        <v>139.358</v>
      </c>
      <c r="AY11" s="146">
        <v>133.828</v>
      </c>
      <c r="AZ11" s="64">
        <f>SUM(AV11:AY11)</f>
        <v>545.495</v>
      </c>
      <c r="BA11" s="255">
        <v>133.749</v>
      </c>
      <c r="BB11" s="255">
        <v>230.72800000000001</v>
      </c>
      <c r="BC11" s="255">
        <v>234.696</v>
      </c>
      <c r="BD11" s="256">
        <v>258.553</v>
      </c>
      <c r="BE11" s="64">
        <f>SUM(BA11:BD11)</f>
        <v>857.726</v>
      </c>
      <c r="BF11" s="256">
        <v>279.245</v>
      </c>
      <c r="BG11" s="256">
        <v>291.887</v>
      </c>
      <c r="BH11" s="256">
        <v>302.63900000000001</v>
      </c>
      <c r="BI11" s="256">
        <v>297.26499999999999</v>
      </c>
      <c r="BJ11" s="64">
        <f>SUM(BF11:BI11)</f>
        <v>1171.0360000000001</v>
      </c>
      <c r="BK11" s="256">
        <v>312.43099999999998</v>
      </c>
      <c r="BL11" s="256">
        <v>286.12</v>
      </c>
      <c r="BM11" s="256">
        <v>310.02800000000002</v>
      </c>
      <c r="BN11" s="256">
        <v>331.8</v>
      </c>
      <c r="BO11" s="64">
        <f>SUM(BK11:BN11)</f>
        <v>1240.3789999999999</v>
      </c>
      <c r="BP11" s="256">
        <v>313</v>
      </c>
      <c r="BQ11" s="256">
        <v>370.3</v>
      </c>
      <c r="BR11" s="256">
        <v>416.9</v>
      </c>
      <c r="BS11" s="256">
        <v>378.5</v>
      </c>
      <c r="BT11" s="64">
        <f>SUM(BP11:BS11)</f>
        <v>1478.6999999999998</v>
      </c>
      <c r="BU11" s="256">
        <v>384.6</v>
      </c>
      <c r="BV11" s="256">
        <v>366.2</v>
      </c>
      <c r="BW11" s="256">
        <v>370</v>
      </c>
      <c r="BX11" s="256">
        <v>509.2</v>
      </c>
      <c r="BY11" s="64">
        <f>REVS!BY122</f>
        <v>1630</v>
      </c>
      <c r="BZ11" s="256">
        <v>446</v>
      </c>
      <c r="CA11" s="255">
        <f>REVS!CA122</f>
        <v>419.73573762542492</v>
      </c>
      <c r="CB11" s="255">
        <f>REVS!CB122</f>
        <v>419.18116052823967</v>
      </c>
      <c r="CC11" s="255">
        <f>REVS!CC122</f>
        <v>463.6437620443628</v>
      </c>
      <c r="CD11" s="64">
        <f>REVS!CD122</f>
        <v>1694.1772671017693</v>
      </c>
      <c r="CE11" s="255"/>
      <c r="CF11" s="255"/>
      <c r="CG11" s="255"/>
      <c r="CH11" s="255"/>
      <c r="CI11" s="64">
        <f>REVS!CI122</f>
        <v>1749.1601024441284</v>
      </c>
      <c r="CJ11" s="255"/>
      <c r="CK11" s="255"/>
      <c r="CL11" s="255"/>
      <c r="CM11" s="255"/>
      <c r="CN11" s="64">
        <f>REVS!CN122</f>
        <v>1882.6653595089203</v>
      </c>
      <c r="CO11" s="255"/>
      <c r="CP11" s="255"/>
      <c r="CQ11" s="255"/>
      <c r="CR11" s="255"/>
      <c r="CS11" s="64">
        <f>REVS!CS122</f>
        <v>1961.391974267651</v>
      </c>
      <c r="CT11" s="255"/>
      <c r="CU11" s="255"/>
      <c r="CV11" s="255"/>
      <c r="CW11" s="255"/>
      <c r="CX11" s="64">
        <f>REVS!CX122</f>
        <v>2041.4237258945493</v>
      </c>
      <c r="CY11" s="255"/>
      <c r="CZ11" s="255"/>
      <c r="DA11" s="255"/>
      <c r="DB11" s="255"/>
      <c r="DC11" s="64">
        <f>REVS!DC122</f>
        <v>2120.6289170946993</v>
      </c>
      <c r="DD11" s="255"/>
      <c r="DE11" s="255"/>
      <c r="DF11" s="255"/>
      <c r="DG11" s="255"/>
      <c r="DH11" s="64">
        <f>REVS!DH122</f>
        <v>2203.1292956199482</v>
      </c>
      <c r="DI11" s="255"/>
      <c r="DJ11" s="255"/>
      <c r="DK11" s="255"/>
      <c r="DL11" s="255"/>
      <c r="DM11" s="64">
        <f>REVS!DM122</f>
        <v>2220.6563358469375</v>
      </c>
      <c r="DN11" s="255"/>
      <c r="DO11" s="255"/>
      <c r="DP11" s="255"/>
      <c r="DQ11" s="255"/>
      <c r="DR11" s="64">
        <f>REVS!DR122</f>
        <v>2202.0440995670069</v>
      </c>
      <c r="DS11" s="255"/>
      <c r="DT11" s="255"/>
      <c r="DU11" s="255"/>
      <c r="DV11" s="255"/>
      <c r="DW11" s="64">
        <f>REVS!DW122</f>
        <v>2097.795350264129</v>
      </c>
      <c r="DX11" s="255"/>
      <c r="DY11" s="255"/>
      <c r="DZ11" s="255"/>
      <c r="EA11" s="255"/>
      <c r="EB11" s="64">
        <f>REVS!EB122</f>
        <v>2131.9575703616556</v>
      </c>
      <c r="EC11" s="255"/>
      <c r="ED11" s="255"/>
      <c r="EE11" s="255"/>
      <c r="EF11" s="255"/>
      <c r="EG11" s="64">
        <f>REVS!EG122</f>
        <v>2138.6822171501854</v>
      </c>
      <c r="EH11" s="255"/>
      <c r="EI11" s="255"/>
      <c r="EJ11" s="255"/>
      <c r="EK11" s="255"/>
      <c r="EL11" s="64">
        <f>REVS!EL122</f>
        <v>2171.0209192955972</v>
      </c>
      <c r="EO11"/>
      <c r="EP11"/>
      <c r="EQ11"/>
      <c r="ER11"/>
      <c r="ES11"/>
      <c r="ET11"/>
    </row>
    <row r="12" spans="2:153">
      <c r="B12" s="1" t="s">
        <v>114</v>
      </c>
      <c r="C12" s="145">
        <f t="shared" ref="C12:AH12" si="4">C7-C11</f>
        <v>389.59999999999997</v>
      </c>
      <c r="D12" s="145">
        <f t="shared" si="4"/>
        <v>397.79999999999995</v>
      </c>
      <c r="E12" s="145">
        <f t="shared" si="4"/>
        <v>422.3</v>
      </c>
      <c r="F12" s="145">
        <f t="shared" si="4"/>
        <v>412.1</v>
      </c>
      <c r="G12" s="17">
        <f t="shared" si="4"/>
        <v>1621.9</v>
      </c>
      <c r="H12" s="145">
        <f t="shared" si="4"/>
        <v>481.27500000000009</v>
      </c>
      <c r="I12" s="145">
        <f t="shared" si="4"/>
        <v>480.43400000000008</v>
      </c>
      <c r="J12" s="145">
        <f t="shared" si="4"/>
        <v>482.11599999999999</v>
      </c>
      <c r="K12" s="145">
        <f t="shared" si="4"/>
        <v>508.91799999999995</v>
      </c>
      <c r="L12" s="17">
        <f t="shared" si="4"/>
        <v>1952.7430000000004</v>
      </c>
      <c r="M12" s="145">
        <f t="shared" si="4"/>
        <v>497.49300000000005</v>
      </c>
      <c r="N12" s="145">
        <f t="shared" si="4"/>
        <v>543.54100000000005</v>
      </c>
      <c r="O12" s="145">
        <f t="shared" si="4"/>
        <v>517.94999999999993</v>
      </c>
      <c r="P12" s="145">
        <f t="shared" si="4"/>
        <v>560.50199999999984</v>
      </c>
      <c r="Q12" s="17">
        <f t="shared" si="4"/>
        <v>2119.4860000000003</v>
      </c>
      <c r="R12" s="145">
        <f t="shared" si="4"/>
        <v>547.68100000000004</v>
      </c>
      <c r="S12" s="145">
        <f t="shared" si="4"/>
        <v>583.048</v>
      </c>
      <c r="T12" s="145">
        <f t="shared" si="4"/>
        <v>639.5999999999998</v>
      </c>
      <c r="U12" s="145">
        <f t="shared" si="4"/>
        <v>646.23700000000008</v>
      </c>
      <c r="V12" s="17">
        <f t="shared" si="4"/>
        <v>2416.5659999999998</v>
      </c>
      <c r="W12" s="145">
        <f t="shared" si="4"/>
        <v>636.95999999999992</v>
      </c>
      <c r="X12" s="145">
        <f t="shared" si="4"/>
        <v>689.21300000000008</v>
      </c>
      <c r="Y12" s="145">
        <f t="shared" si="4"/>
        <v>707.61800000000017</v>
      </c>
      <c r="Z12" s="145">
        <f t="shared" si="4"/>
        <v>802.73400000000015</v>
      </c>
      <c r="AA12" s="17">
        <f t="shared" si="4"/>
        <v>2836.5249999999996</v>
      </c>
      <c r="AB12" s="145">
        <f t="shared" si="4"/>
        <v>841.25200000000018</v>
      </c>
      <c r="AC12" s="145">
        <f t="shared" si="4"/>
        <v>901.04300000000012</v>
      </c>
      <c r="AD12" s="145">
        <f t="shared" si="4"/>
        <v>985.47100000000023</v>
      </c>
      <c r="AE12" s="145">
        <f t="shared" si="4"/>
        <v>967.75199999999927</v>
      </c>
      <c r="AF12" s="17">
        <f t="shared" si="4"/>
        <v>3695.5180000000005</v>
      </c>
      <c r="AG12" s="145">
        <f t="shared" si="4"/>
        <v>938.28700000000015</v>
      </c>
      <c r="AH12" s="145">
        <f t="shared" si="4"/>
        <v>1002.568</v>
      </c>
      <c r="AI12" s="145">
        <f t="shared" ref="AI12:BE12" si="5">AI7-AI11</f>
        <v>1027.0320000000002</v>
      </c>
      <c r="AJ12" s="145">
        <f t="shared" si="5"/>
        <v>1027.357</v>
      </c>
      <c r="AK12" s="17">
        <f t="shared" si="5"/>
        <v>3995.2440000000001</v>
      </c>
      <c r="AL12" s="145">
        <f t="shared" si="5"/>
        <v>1011.8050000000001</v>
      </c>
      <c r="AM12" s="145">
        <f t="shared" si="5"/>
        <v>1105.7170000000003</v>
      </c>
      <c r="AN12" s="145">
        <f t="shared" si="5"/>
        <v>1079.8710000000001</v>
      </c>
      <c r="AO12" s="145">
        <f t="shared" si="5"/>
        <v>1118.768</v>
      </c>
      <c r="AP12" s="17">
        <f t="shared" si="5"/>
        <v>4316.1610000000001</v>
      </c>
      <c r="AQ12" s="145">
        <f t="shared" si="5"/>
        <v>1100.229</v>
      </c>
      <c r="AR12" s="145">
        <f t="shared" si="5"/>
        <v>1108.144</v>
      </c>
      <c r="AS12" s="145">
        <f t="shared" si="5"/>
        <v>1186.4070000000002</v>
      </c>
      <c r="AT12" s="145">
        <f t="shared" si="5"/>
        <v>1187.029</v>
      </c>
      <c r="AU12" s="64">
        <f t="shared" si="5"/>
        <v>4568.2399999999989</v>
      </c>
      <c r="AV12" s="146">
        <f t="shared" si="5"/>
        <v>1158.817</v>
      </c>
      <c r="AW12" s="146">
        <f t="shared" si="5"/>
        <v>1281.8390000000002</v>
      </c>
      <c r="AX12" s="146">
        <f t="shared" si="5"/>
        <v>1277.915</v>
      </c>
      <c r="AY12" s="146">
        <f t="shared" si="5"/>
        <v>1299.1860000000001</v>
      </c>
      <c r="AZ12" s="64">
        <f t="shared" si="5"/>
        <v>5017.7569999999987</v>
      </c>
      <c r="BA12" s="255">
        <f t="shared" si="5"/>
        <v>1281.347</v>
      </c>
      <c r="BB12" s="255">
        <f t="shared" si="5"/>
        <v>1492.7450000000003</v>
      </c>
      <c r="BC12" s="255">
        <f t="shared" si="5"/>
        <v>1593.0840000000003</v>
      </c>
      <c r="BD12" s="255">
        <f t="shared" si="5"/>
        <v>1707.297</v>
      </c>
      <c r="BE12" s="64">
        <f t="shared" si="5"/>
        <v>6075.0389999999998</v>
      </c>
      <c r="BF12" s="255">
        <f t="shared" ref="BF12:CC12" si="6">BF7-BF11</f>
        <v>1850.5060000000003</v>
      </c>
      <c r="BG12" s="255">
        <f t="shared" si="6"/>
        <v>2129.5649999999996</v>
      </c>
      <c r="BH12" s="255">
        <f t="shared" si="6"/>
        <v>2208.8069999999998</v>
      </c>
      <c r="BI12" s="255">
        <f>BI7-BI11</f>
        <v>2343.41</v>
      </c>
      <c r="BJ12" s="64">
        <f>BJ7-BJ11</f>
        <v>8532.2879999999986</v>
      </c>
      <c r="BK12" s="255">
        <f t="shared" si="6"/>
        <v>2242.4019999999996</v>
      </c>
      <c r="BL12" s="255">
        <f t="shared" si="6"/>
        <v>2305.8799999999997</v>
      </c>
      <c r="BM12" s="255">
        <f t="shared" si="6"/>
        <v>2468.1719999999996</v>
      </c>
      <c r="BN12" s="255">
        <f t="shared" si="6"/>
        <v>2506.8779999999997</v>
      </c>
      <c r="BO12" s="64">
        <f t="shared" ref="BO12:CN12" si="7">BO7-BO11</f>
        <v>9523.3319999999985</v>
      </c>
      <c r="BP12" s="256">
        <f t="shared" si="6"/>
        <v>2413.8000000000002</v>
      </c>
      <c r="BQ12" s="256">
        <f t="shared" si="6"/>
        <v>2523.8999999999996</v>
      </c>
      <c r="BR12" s="255">
        <f t="shared" si="6"/>
        <v>2538.8999999999996</v>
      </c>
      <c r="BS12" s="255">
        <f t="shared" si="6"/>
        <v>2493.5</v>
      </c>
      <c r="BT12" s="64">
        <f t="shared" si="7"/>
        <v>9970.0999999999985</v>
      </c>
      <c r="BU12" s="255">
        <f t="shared" si="6"/>
        <v>2426.1000000000004</v>
      </c>
      <c r="BV12" s="255">
        <f t="shared" si="6"/>
        <v>2712.2</v>
      </c>
      <c r="BW12" s="255">
        <f t="shared" si="6"/>
        <v>2707.7999999999997</v>
      </c>
      <c r="BX12" s="255">
        <f t="shared" si="6"/>
        <v>2797.7999999999997</v>
      </c>
      <c r="BY12" s="64">
        <f t="shared" si="7"/>
        <v>10643.900000000003</v>
      </c>
      <c r="BZ12" s="255">
        <f t="shared" si="6"/>
        <v>2685.1</v>
      </c>
      <c r="CA12" s="255">
        <f t="shared" si="6"/>
        <v>2739.6131993117501</v>
      </c>
      <c r="CB12" s="255">
        <f t="shared" si="6"/>
        <v>2742.3764993535965</v>
      </c>
      <c r="CC12" s="255">
        <f t="shared" si="6"/>
        <v>2956.4159160545851</v>
      </c>
      <c r="CD12" s="64">
        <f t="shared" si="7"/>
        <v>11174.57738009917</v>
      </c>
      <c r="CE12" s="255"/>
      <c r="CF12" s="255"/>
      <c r="CG12" s="255"/>
      <c r="CH12" s="255"/>
      <c r="CI12" s="64">
        <f t="shared" si="7"/>
        <v>11667.83174436328</v>
      </c>
      <c r="CJ12" s="255"/>
      <c r="CK12" s="255"/>
      <c r="CL12" s="255"/>
      <c r="CM12" s="255"/>
      <c r="CN12" s="64">
        <f t="shared" si="7"/>
        <v>12204.118823286051</v>
      </c>
      <c r="CO12" s="255"/>
      <c r="CP12" s="255"/>
      <c r="CQ12" s="255"/>
      <c r="CR12" s="255"/>
      <c r="CS12" s="64">
        <f t="shared" ref="CS12" si="8">CS7-CS11</f>
        <v>12646.097727587479</v>
      </c>
      <c r="CT12" s="255"/>
      <c r="CU12" s="255"/>
      <c r="CV12" s="255"/>
      <c r="CW12" s="255"/>
      <c r="CX12" s="64">
        <f t="shared" ref="CX12" si="9">CX7-CX11</f>
        <v>12910.976407997377</v>
      </c>
      <c r="CY12" s="255"/>
      <c r="CZ12" s="255"/>
      <c r="DA12" s="255"/>
      <c r="DB12" s="255"/>
      <c r="DC12" s="64">
        <f t="shared" ref="DC12" si="10">DC7-DC11</f>
        <v>13182.281170482056</v>
      </c>
      <c r="DD12" s="255"/>
      <c r="DE12" s="255"/>
      <c r="DF12" s="255"/>
      <c r="DG12" s="255"/>
      <c r="DH12" s="64">
        <f t="shared" ref="DH12" si="11">DH7-DH11</f>
        <v>13457.64752681225</v>
      </c>
      <c r="DI12" s="255"/>
      <c r="DJ12" s="255"/>
      <c r="DK12" s="255"/>
      <c r="DL12" s="255"/>
      <c r="DM12" s="64">
        <f t="shared" ref="DM12" si="12">DM7-DM11</f>
        <v>12944.634155594669</v>
      </c>
      <c r="DN12" s="255"/>
      <c r="DO12" s="255"/>
      <c r="DP12" s="255"/>
      <c r="DQ12" s="255"/>
      <c r="DR12" s="64">
        <f t="shared" ref="DR12" si="13">DR7-DR11</f>
        <v>12053.113131508111</v>
      </c>
      <c r="DS12" s="255"/>
      <c r="DT12" s="255"/>
      <c r="DU12" s="255"/>
      <c r="DV12" s="255"/>
      <c r="DW12" s="64">
        <f t="shared" ref="DW12" si="14">DW7-DW11</f>
        <v>10610.956399487433</v>
      </c>
      <c r="DX12" s="255"/>
      <c r="DY12" s="255"/>
      <c r="DZ12" s="255"/>
      <c r="EA12" s="255"/>
      <c r="EB12" s="64">
        <f t="shared" ref="EB12" si="15">EB7-EB11</f>
        <v>10291.370926828469</v>
      </c>
      <c r="EC12" s="255"/>
      <c r="ED12" s="255"/>
      <c r="EE12" s="255"/>
      <c r="EF12" s="255"/>
      <c r="EG12" s="64">
        <f t="shared" ref="EG12" si="16">EG7-EG11</f>
        <v>10148.061870297213</v>
      </c>
      <c r="EH12" s="255"/>
      <c r="EI12" s="255"/>
      <c r="EJ12" s="255"/>
      <c r="EK12" s="255"/>
      <c r="EL12" s="64">
        <f t="shared" ref="EL12" si="17">EL7-EL11</f>
        <v>10261.199987197419</v>
      </c>
    </row>
    <row r="13" spans="2:153">
      <c r="B13" s="11"/>
      <c r="C13" s="147"/>
      <c r="D13" s="147"/>
      <c r="E13" s="147"/>
      <c r="F13" s="147"/>
      <c r="G13" s="19"/>
      <c r="H13" s="147"/>
      <c r="I13" s="147"/>
      <c r="J13" s="147"/>
      <c r="K13" s="147"/>
      <c r="L13" s="19"/>
      <c r="M13" s="147"/>
      <c r="N13" s="147"/>
      <c r="O13" s="147"/>
      <c r="P13" s="147"/>
      <c r="Q13" s="19"/>
      <c r="R13" s="147"/>
      <c r="S13" s="147"/>
      <c r="T13" s="147"/>
      <c r="U13" s="147"/>
      <c r="V13" s="19"/>
      <c r="W13" s="147"/>
      <c r="X13" s="147"/>
      <c r="Y13" s="147"/>
      <c r="Z13" s="147"/>
      <c r="AA13" s="19"/>
      <c r="AB13" s="147"/>
      <c r="AC13" s="147"/>
      <c r="AD13" s="147"/>
      <c r="AE13" s="147"/>
      <c r="AF13" s="19"/>
      <c r="AG13" s="147"/>
      <c r="AH13" s="147"/>
      <c r="AI13" s="147"/>
      <c r="AJ13" s="147"/>
      <c r="AK13" s="19"/>
      <c r="AL13" s="147"/>
      <c r="AM13" s="147"/>
      <c r="AN13" s="147"/>
      <c r="AO13" s="147"/>
      <c r="AP13" s="19"/>
      <c r="AQ13" s="147"/>
      <c r="AR13" s="147"/>
      <c r="AS13" s="147"/>
      <c r="AT13" s="147"/>
      <c r="AU13" s="103"/>
      <c r="AV13" s="144"/>
      <c r="AW13" s="144"/>
      <c r="AX13" s="144"/>
      <c r="AY13" s="144"/>
      <c r="AZ13" s="103"/>
      <c r="BA13" s="257"/>
      <c r="BB13" s="257"/>
      <c r="BC13" s="257"/>
      <c r="BD13" s="257"/>
      <c r="BE13" s="103"/>
      <c r="BF13" s="257"/>
      <c r="BG13" s="257"/>
      <c r="BH13" s="257"/>
      <c r="BI13" s="257"/>
      <c r="BJ13" s="103"/>
      <c r="BK13" s="257"/>
      <c r="BL13" s="257"/>
      <c r="BM13" s="257"/>
      <c r="BN13" s="257"/>
      <c r="BO13" s="103"/>
      <c r="BP13" s="258"/>
      <c r="BQ13" s="257"/>
      <c r="BR13" s="257"/>
      <c r="BS13" s="257"/>
      <c r="BT13" s="103"/>
      <c r="BU13" s="257"/>
      <c r="BV13" s="257"/>
      <c r="BW13" s="257"/>
      <c r="BX13" s="257"/>
      <c r="BY13" s="103"/>
      <c r="BZ13" s="257"/>
      <c r="CA13" s="257"/>
      <c r="CB13" s="257"/>
      <c r="CC13" s="257"/>
      <c r="CD13" s="103"/>
      <c r="CE13" s="257"/>
      <c r="CF13" s="257"/>
      <c r="CG13" s="257"/>
      <c r="CH13" s="257"/>
      <c r="CI13" s="103"/>
      <c r="CJ13" s="257"/>
      <c r="CK13" s="257"/>
      <c r="CL13" s="257"/>
      <c r="CM13" s="257"/>
      <c r="CN13" s="103"/>
      <c r="CO13" s="257"/>
      <c r="CP13" s="257"/>
      <c r="CQ13" s="257"/>
      <c r="CR13" s="257"/>
      <c r="CS13" s="103"/>
      <c r="CT13" s="257"/>
      <c r="CU13" s="257"/>
      <c r="CV13" s="257"/>
      <c r="CW13" s="257"/>
      <c r="CX13" s="103"/>
      <c r="CY13" s="257"/>
      <c r="CZ13" s="257"/>
      <c r="DA13" s="257"/>
      <c r="DB13" s="257"/>
      <c r="DC13" s="103"/>
      <c r="DD13" s="257"/>
      <c r="DE13" s="257"/>
      <c r="DF13" s="257"/>
      <c r="DG13" s="257"/>
      <c r="DH13" s="103"/>
      <c r="DI13" s="257"/>
      <c r="DJ13" s="257"/>
      <c r="DK13" s="257"/>
      <c r="DL13" s="257"/>
      <c r="DM13" s="103"/>
      <c r="DN13" s="257"/>
      <c r="DO13" s="257"/>
      <c r="DP13" s="257"/>
      <c r="DQ13" s="257"/>
      <c r="DR13" s="103"/>
      <c r="DS13" s="257"/>
      <c r="DT13" s="257"/>
      <c r="DU13" s="257"/>
      <c r="DV13" s="257"/>
      <c r="DW13" s="103"/>
      <c r="DX13" s="257"/>
      <c r="DY13" s="257"/>
      <c r="DZ13" s="257"/>
      <c r="EA13" s="257"/>
      <c r="EB13" s="103"/>
      <c r="EC13" s="257"/>
      <c r="ED13" s="257"/>
      <c r="EE13" s="257"/>
      <c r="EF13" s="257"/>
      <c r="EG13" s="103"/>
      <c r="EH13" s="257"/>
      <c r="EI13" s="257"/>
      <c r="EJ13" s="257"/>
      <c r="EK13" s="257"/>
      <c r="EL13" s="103"/>
      <c r="EM13" s="103"/>
    </row>
    <row r="14" spans="2:153" s="3" customFormat="1">
      <c r="B14" s="58" t="s">
        <v>155</v>
      </c>
      <c r="C14" s="145">
        <v>110</v>
      </c>
      <c r="D14" s="145">
        <v>137.4</v>
      </c>
      <c r="E14" s="145">
        <v>127.2</v>
      </c>
      <c r="F14" s="145">
        <f>+G14-SUM(C14:E14)</f>
        <v>159.79999999999995</v>
      </c>
      <c r="G14" s="17">
        <v>534.4</v>
      </c>
      <c r="H14" s="145">
        <f>158.92-2.2</f>
        <v>156.72</v>
      </c>
      <c r="I14" s="145">
        <f>169.782-0.7</f>
        <v>169.08200000000002</v>
      </c>
      <c r="J14" s="145">
        <f>168.307-0.1</f>
        <v>168.20699999999999</v>
      </c>
      <c r="K14" s="145">
        <f>+L14-SUM(H14:J14)</f>
        <v>188.76299999999992</v>
      </c>
      <c r="L14" s="17">
        <f>685.872-3.1</f>
        <v>682.77199999999993</v>
      </c>
      <c r="M14" s="145">
        <v>172.477</v>
      </c>
      <c r="N14" s="145">
        <f>179.843-1.9</f>
        <v>177.94299999999998</v>
      </c>
      <c r="O14" s="145">
        <f>227.039-0.2-19.6</f>
        <v>207.239</v>
      </c>
      <c r="P14" s="145">
        <f>+Q14-SUM(M14:O14)</f>
        <v>167.81200000000013</v>
      </c>
      <c r="Q14" s="17">
        <f>747.671-1.9-20.3</f>
        <v>725.47100000000012</v>
      </c>
      <c r="R14" s="145">
        <f>145.892-4.8</f>
        <v>141.09199999999998</v>
      </c>
      <c r="S14" s="145">
        <f>161.985-0.3-6.4</f>
        <v>155.285</v>
      </c>
      <c r="T14" s="145">
        <f>211.033-5.2</f>
        <v>205.833</v>
      </c>
      <c r="U14" s="145">
        <f>+V14-SUM(R14:T14)</f>
        <v>196.58000000000015</v>
      </c>
      <c r="V14" s="17">
        <f>718.39-0.3-19.3</f>
        <v>698.79000000000008</v>
      </c>
      <c r="W14" s="145">
        <v>191.44900000000001</v>
      </c>
      <c r="X14" s="145">
        <f>218.149-0.4-2.9</f>
        <v>214.84899999999999</v>
      </c>
      <c r="Y14" s="145">
        <f>286.274-0.8-3.5</f>
        <v>281.97399999999999</v>
      </c>
      <c r="Z14" s="145">
        <f>+AA14-SUM(W14:Y14)</f>
        <v>222.79200000000003</v>
      </c>
      <c r="AA14" s="17">
        <f>925.164-1.2-12.9</f>
        <v>911.06399999999996</v>
      </c>
      <c r="AB14" s="145">
        <f>258.232-2.7-0.8</f>
        <v>254.73200000000003</v>
      </c>
      <c r="AC14" s="145">
        <f>252.259-1.4-1.5</f>
        <v>249.35899999999998</v>
      </c>
      <c r="AD14" s="145">
        <f>268.8-0.1-2.4-1.7</f>
        <v>264.60000000000002</v>
      </c>
      <c r="AE14" s="145">
        <f>+AF14-SUM(AB14:AD14)</f>
        <v>288.46699999999987</v>
      </c>
      <c r="AF14" s="17">
        <f>1072.058-1.2-8.5-5.2</f>
        <v>1057.1579999999999</v>
      </c>
      <c r="AG14" s="145">
        <f>279.478-1-2.2-1.6</f>
        <v>274.678</v>
      </c>
      <c r="AH14" s="145">
        <f>416.453-0.7-1.4-2.2</f>
        <v>412.15300000000002</v>
      </c>
      <c r="AI14" s="145">
        <f>304.055-0.7-2.6-2.2</f>
        <v>298.55500000000001</v>
      </c>
      <c r="AJ14" s="145">
        <f>+AK14-SUM(AG14:AI14)</f>
        <v>278.48199999999997</v>
      </c>
      <c r="AK14" s="17">
        <f>1283.068-3-8.3-7.9</f>
        <v>1263.8679999999999</v>
      </c>
      <c r="AL14" s="145">
        <f>307.03-0.6-1.6</f>
        <v>304.82999999999993</v>
      </c>
      <c r="AM14" s="145">
        <f>331.675-0.6-0.8-1.9</f>
        <v>328.375</v>
      </c>
      <c r="AN14" s="145">
        <f>319.054-1.1</f>
        <v>317.95399999999995</v>
      </c>
      <c r="AO14" s="145">
        <f>+AP14-SUM(AL14:AN14)</f>
        <v>284.54500000000007</v>
      </c>
      <c r="AP14" s="17">
        <f>1248.604-1.2-6.5-5.2</f>
        <v>1235.704</v>
      </c>
      <c r="AQ14" s="145">
        <f>293.633-1.2</f>
        <v>292.43299999999999</v>
      </c>
      <c r="AR14" s="145">
        <f>285.644-0.5</f>
        <v>285.14400000000001</v>
      </c>
      <c r="AS14" s="145">
        <f>301.391-1.8</f>
        <v>299.59100000000001</v>
      </c>
      <c r="AT14" s="145">
        <f>338.933-1.3</f>
        <v>337.63299999999998</v>
      </c>
      <c r="AU14" s="64">
        <f>SUM(AQ14:AT14)</f>
        <v>1214.8009999999999</v>
      </c>
      <c r="AV14" s="146">
        <f>355.962-1-1.3</f>
        <v>353.66199999999998</v>
      </c>
      <c r="AW14" s="146">
        <f>329.559-0.5</f>
        <v>329.05900000000003</v>
      </c>
      <c r="AX14" s="146">
        <f>304.217-7.5-1</f>
        <v>295.71699999999998</v>
      </c>
      <c r="AY14" s="146">
        <f>345.18-0.8</f>
        <v>344.38</v>
      </c>
      <c r="AZ14" s="64">
        <f>SUM(AV14:AY14)</f>
        <v>1322.818</v>
      </c>
      <c r="BA14" s="255">
        <f>284.34+BA63</f>
        <v>282.73999999999995</v>
      </c>
      <c r="BB14" s="255">
        <f>327.463+BB63</f>
        <v>326.66300000000001</v>
      </c>
      <c r="BC14" s="255">
        <f>410.017+BC63</f>
        <v>408.81700000000001</v>
      </c>
      <c r="BD14" s="255">
        <f>422.233+BD63</f>
        <v>421.43299999999999</v>
      </c>
      <c r="BE14" s="64">
        <f>SUM(BA14:BD14)</f>
        <v>1439.653</v>
      </c>
      <c r="BF14" s="256">
        <f>528.884+BF63</f>
        <v>526.58400000000006</v>
      </c>
      <c r="BG14" s="256">
        <f>447.273+BG63</f>
        <v>446.07300000000004</v>
      </c>
      <c r="BH14" s="256">
        <f>417.174+BH63</f>
        <v>415.97399999999999</v>
      </c>
      <c r="BI14" s="256">
        <f>500.091+BI63</f>
        <v>499.09100000000001</v>
      </c>
      <c r="BJ14" s="64">
        <f>SUM(BF14:BI14)</f>
        <v>1887.7220000000002</v>
      </c>
      <c r="BK14" s="256">
        <f>460.549+BK63</f>
        <v>460.54899999999998</v>
      </c>
      <c r="BL14" s="256">
        <v>490.72800000000001</v>
      </c>
      <c r="BM14" s="256">
        <v>519.86300000000006</v>
      </c>
      <c r="BN14" s="256">
        <f>541.7+BN63</f>
        <v>541.70000000000005</v>
      </c>
      <c r="BO14" s="64">
        <f>SUM(BK14:BN14)</f>
        <v>2012.8400000000001</v>
      </c>
      <c r="BP14" s="256">
        <v>437.3</v>
      </c>
      <c r="BQ14" s="256">
        <v>473.1</v>
      </c>
      <c r="BR14" s="255">
        <f>529</f>
        <v>529</v>
      </c>
      <c r="BS14" s="255">
        <f>533.9</f>
        <v>533.9</v>
      </c>
      <c r="BT14" s="64">
        <f>SUM(BP14:BS14)</f>
        <v>1973.3000000000002</v>
      </c>
      <c r="BU14" s="256">
        <v>423.4</v>
      </c>
      <c r="BV14" s="256">
        <v>796.2</v>
      </c>
      <c r="BW14" s="256">
        <v>446.4</v>
      </c>
      <c r="BX14" s="256">
        <v>587.6</v>
      </c>
      <c r="BY14" s="64">
        <f>SUM(BU14:BX14)</f>
        <v>2253.6</v>
      </c>
      <c r="BZ14" s="256">
        <v>496.7</v>
      </c>
      <c r="CA14" s="255">
        <f>CA7*CA114+375</f>
        <v>880.49582990994804</v>
      </c>
      <c r="CB14" s="255">
        <f t="shared" ref="CB14" si="18">CB7*CB114</f>
        <v>515.33389856073927</v>
      </c>
      <c r="CC14" s="255">
        <f>CD14-SUM(BZ14:CB14)</f>
        <v>632.47027152931264</v>
      </c>
      <c r="CD14" s="64">
        <f>375+2150</f>
        <v>2525</v>
      </c>
      <c r="CE14" s="255"/>
      <c r="CF14" s="255"/>
      <c r="CG14" s="255"/>
      <c r="CH14" s="255"/>
      <c r="CI14" s="64">
        <f>2150*1.05</f>
        <v>2257.5</v>
      </c>
      <c r="CJ14" s="255"/>
      <c r="CK14" s="255"/>
      <c r="CL14" s="255"/>
      <c r="CM14" s="255"/>
      <c r="CN14" s="64">
        <f>CI14*1.05</f>
        <v>2370.375</v>
      </c>
      <c r="CO14" s="255"/>
      <c r="CP14" s="255"/>
      <c r="CQ14" s="255"/>
      <c r="CR14" s="255"/>
      <c r="CS14" s="64">
        <f>CN14*1.025</f>
        <v>2429.6343749999996</v>
      </c>
      <c r="CT14" s="255"/>
      <c r="CU14" s="255"/>
      <c r="CV14" s="255"/>
      <c r="CW14" s="255"/>
      <c r="CX14" s="64">
        <f>CS14*1.025</f>
        <v>2490.3752343749993</v>
      </c>
      <c r="CY14" s="255"/>
      <c r="CZ14" s="255"/>
      <c r="DA14" s="255"/>
      <c r="DB14" s="255"/>
      <c r="DC14" s="64">
        <f>CX14*1.025</f>
        <v>2552.634615234374</v>
      </c>
      <c r="DD14" s="255"/>
      <c r="DE14" s="255"/>
      <c r="DF14" s="255"/>
      <c r="DG14" s="255"/>
      <c r="DH14" s="64">
        <f>DC14*1.025</f>
        <v>2616.4504806152331</v>
      </c>
      <c r="DI14" s="255"/>
      <c r="DJ14" s="255"/>
      <c r="DK14" s="255"/>
      <c r="DL14" s="255"/>
      <c r="DM14" s="64">
        <f>DH14*1.025</f>
        <v>2681.8617426306137</v>
      </c>
      <c r="DN14" s="255"/>
      <c r="DO14" s="255"/>
      <c r="DP14" s="255"/>
      <c r="DQ14" s="255"/>
      <c r="DR14" s="64">
        <f>DM14</f>
        <v>2681.8617426306137</v>
      </c>
      <c r="DS14" s="255"/>
      <c r="DT14" s="255"/>
      <c r="DU14" s="255"/>
      <c r="DV14" s="255"/>
      <c r="DW14" s="64">
        <f>DR14</f>
        <v>2681.8617426306137</v>
      </c>
      <c r="DX14" s="255"/>
      <c r="DY14" s="255"/>
      <c r="DZ14" s="255"/>
      <c r="EA14" s="255"/>
      <c r="EB14" s="64">
        <f>DW14</f>
        <v>2681.8617426306137</v>
      </c>
      <c r="EC14" s="255"/>
      <c r="ED14" s="255"/>
      <c r="EE14" s="255"/>
      <c r="EF14" s="255"/>
      <c r="EG14" s="64">
        <f>EB14</f>
        <v>2681.8617426306137</v>
      </c>
      <c r="EH14" s="255"/>
      <c r="EI14" s="255"/>
      <c r="EJ14" s="255"/>
      <c r="EK14" s="255"/>
      <c r="EL14" s="64">
        <f>EG14</f>
        <v>2681.8617426306137</v>
      </c>
      <c r="EO14"/>
      <c r="EP14"/>
      <c r="EQ14"/>
      <c r="ER14"/>
      <c r="ES14"/>
      <c r="ET14"/>
    </row>
    <row r="15" spans="2:153" s="3" customFormat="1" hidden="1" outlineLevel="1">
      <c r="B15" s="94" t="s">
        <v>538</v>
      </c>
      <c r="C15" s="145"/>
      <c r="D15" s="145"/>
      <c r="E15" s="145"/>
      <c r="F15" s="145"/>
      <c r="G15" s="17"/>
      <c r="H15" s="145"/>
      <c r="I15" s="145"/>
      <c r="J15" s="145"/>
      <c r="K15" s="145"/>
      <c r="L15" s="17"/>
      <c r="M15" s="145"/>
      <c r="N15" s="145"/>
      <c r="O15" s="145"/>
      <c r="P15" s="145"/>
      <c r="Q15" s="17"/>
      <c r="R15" s="145"/>
      <c r="S15" s="145"/>
      <c r="T15" s="145"/>
      <c r="U15" s="145"/>
      <c r="V15" s="17"/>
      <c r="W15" s="145"/>
      <c r="X15" s="145"/>
      <c r="Y15" s="145"/>
      <c r="Z15" s="145"/>
      <c r="AA15" s="17"/>
      <c r="AB15" s="145"/>
      <c r="AC15" s="145"/>
      <c r="AD15" s="145"/>
      <c r="AE15" s="145"/>
      <c r="AF15" s="17"/>
      <c r="AG15" s="145"/>
      <c r="AH15" s="145"/>
      <c r="AI15" s="145"/>
      <c r="AJ15" s="145"/>
      <c r="AK15" s="17"/>
      <c r="AL15" s="145"/>
      <c r="AM15" s="145"/>
      <c r="AN15" s="145"/>
      <c r="AO15" s="145"/>
      <c r="AP15" s="17"/>
      <c r="AQ15" s="145"/>
      <c r="AR15" s="145"/>
      <c r="AS15" s="145"/>
      <c r="AT15" s="145"/>
      <c r="AU15" s="64">
        <f>111*AU14/1219.6</f>
        <v>110.56322646769434</v>
      </c>
      <c r="AV15" s="146">
        <v>30.7</v>
      </c>
      <c r="AW15" s="146">
        <v>32</v>
      </c>
      <c r="AX15" s="146">
        <f>35.8*AX14/304.217</f>
        <v>34.799727168435687</v>
      </c>
      <c r="AY15" s="146">
        <f t="shared" ref="AY15:AY20" si="19">AZ15-SUM(AV15:AX15)</f>
        <v>29.539951908648717</v>
      </c>
      <c r="AZ15" s="64">
        <f>128.2*AZ14/1334.9</f>
        <v>127.03967907708441</v>
      </c>
      <c r="BA15" s="255">
        <v>43.7</v>
      </c>
      <c r="BB15" s="255">
        <v>60.3</v>
      </c>
      <c r="BC15" s="255">
        <f>65.3*BC14/410.017</f>
        <v>65.108885973020634</v>
      </c>
      <c r="BD15" s="255">
        <f>252.1-SUM(BA15:BC15)</f>
        <v>82.991114026979375</v>
      </c>
      <c r="BE15" s="64"/>
      <c r="BF15" s="256">
        <v>78.5</v>
      </c>
      <c r="BG15" s="255"/>
      <c r="BH15" s="255"/>
      <c r="BI15" s="255"/>
      <c r="BJ15" s="64"/>
      <c r="BK15" s="255">
        <v>92.9</v>
      </c>
      <c r="BL15" s="255">
        <v>98.2</v>
      </c>
      <c r="BM15" s="256"/>
      <c r="BN15" s="255"/>
      <c r="BO15" s="64"/>
      <c r="BP15" s="255">
        <v>76.3</v>
      </c>
      <c r="BQ15" s="255">
        <v>79.900000000000006</v>
      </c>
      <c r="BR15" s="255"/>
      <c r="BS15" s="255"/>
      <c r="BT15" s="64"/>
      <c r="BU15" s="256"/>
      <c r="BV15" s="256"/>
      <c r="BW15" s="255"/>
      <c r="BX15" s="255"/>
      <c r="BY15" s="64"/>
      <c r="BZ15" s="255"/>
      <c r="CA15" s="255"/>
      <c r="CB15" s="255"/>
      <c r="CC15" s="255"/>
      <c r="CD15" s="64"/>
      <c r="CE15" s="255"/>
      <c r="CF15" s="255"/>
      <c r="CG15" s="255"/>
      <c r="CH15" s="255"/>
      <c r="CI15" s="64"/>
      <c r="CJ15" s="255"/>
      <c r="CK15" s="255"/>
      <c r="CL15" s="255"/>
      <c r="CM15" s="255"/>
      <c r="CN15" s="64"/>
      <c r="CO15" s="255"/>
      <c r="CP15" s="255"/>
      <c r="CQ15" s="255"/>
      <c r="CR15" s="255"/>
      <c r="CS15" s="64"/>
      <c r="CT15" s="255"/>
      <c r="CU15" s="255"/>
      <c r="CV15" s="255"/>
      <c r="CW15" s="255"/>
      <c r="CX15" s="64"/>
      <c r="CY15" s="255"/>
      <c r="CZ15" s="255"/>
      <c r="DA15" s="255"/>
      <c r="DB15" s="255"/>
      <c r="DC15" s="64"/>
      <c r="DD15" s="255"/>
      <c r="DE15" s="255"/>
      <c r="DF15" s="255"/>
      <c r="DG15" s="255"/>
      <c r="DH15" s="64"/>
      <c r="DI15" s="255"/>
      <c r="DJ15" s="255"/>
      <c r="DK15" s="255"/>
      <c r="DL15" s="255"/>
      <c r="DM15" s="64"/>
      <c r="DN15" s="255"/>
      <c r="DO15" s="255"/>
      <c r="DP15" s="255"/>
      <c r="DQ15" s="255"/>
      <c r="DR15" s="64"/>
      <c r="DS15" s="255"/>
      <c r="DT15" s="255"/>
      <c r="DU15" s="255"/>
      <c r="DV15" s="255"/>
      <c r="DW15" s="64"/>
      <c r="DX15" s="255"/>
      <c r="DY15" s="255"/>
      <c r="DZ15" s="255"/>
      <c r="EA15" s="255"/>
      <c r="EB15" s="64"/>
      <c r="EC15" s="255"/>
      <c r="ED15" s="255"/>
      <c r="EE15" s="255"/>
      <c r="EF15" s="255"/>
      <c r="EG15" s="64"/>
      <c r="EH15" s="255"/>
      <c r="EI15" s="255"/>
      <c r="EJ15" s="255"/>
      <c r="EK15" s="255"/>
      <c r="EL15" s="64"/>
      <c r="EO15"/>
      <c r="EP15"/>
      <c r="EQ15"/>
      <c r="ER15"/>
      <c r="ES15"/>
      <c r="ET15"/>
    </row>
    <row r="16" spans="2:153" s="3" customFormat="1" hidden="1" outlineLevel="1">
      <c r="B16" s="94" t="s">
        <v>539</v>
      </c>
      <c r="C16" s="145"/>
      <c r="D16" s="145"/>
      <c r="E16" s="145"/>
      <c r="F16" s="145"/>
      <c r="G16" s="17"/>
      <c r="H16" s="145"/>
      <c r="I16" s="145"/>
      <c r="J16" s="145"/>
      <c r="K16" s="145"/>
      <c r="L16" s="17"/>
      <c r="M16" s="145"/>
      <c r="N16" s="145"/>
      <c r="O16" s="145"/>
      <c r="P16" s="145"/>
      <c r="Q16" s="17"/>
      <c r="R16" s="145"/>
      <c r="S16" s="145"/>
      <c r="T16" s="145"/>
      <c r="U16" s="145"/>
      <c r="V16" s="17"/>
      <c r="W16" s="145"/>
      <c r="X16" s="145"/>
      <c r="Y16" s="145"/>
      <c r="Z16" s="145"/>
      <c r="AA16" s="17"/>
      <c r="AB16" s="145"/>
      <c r="AC16" s="145"/>
      <c r="AD16" s="145"/>
      <c r="AE16" s="145"/>
      <c r="AF16" s="17"/>
      <c r="AG16" s="145"/>
      <c r="AH16" s="145"/>
      <c r="AI16" s="145"/>
      <c r="AJ16" s="145"/>
      <c r="AK16" s="17"/>
      <c r="AL16" s="145"/>
      <c r="AM16" s="145"/>
      <c r="AN16" s="145"/>
      <c r="AO16" s="145"/>
      <c r="AP16" s="17"/>
      <c r="AQ16" s="145"/>
      <c r="AR16" s="145"/>
      <c r="AS16" s="145"/>
      <c r="AT16" s="145"/>
      <c r="AU16" s="64">
        <f>428.1*AU14/1219.6</f>
        <v>426.41547072810761</v>
      </c>
      <c r="AV16" s="146">
        <v>126.5</v>
      </c>
      <c r="AW16" s="146">
        <v>118.8</v>
      </c>
      <c r="AX16" s="146">
        <f>100.6*AX14/304.217</f>
        <v>97.789177462140501</v>
      </c>
      <c r="AY16" s="146">
        <f t="shared" si="19"/>
        <v>119.68406847388457</v>
      </c>
      <c r="AZ16" s="64">
        <f>467*AZ14/1334.9</f>
        <v>462.77324593602509</v>
      </c>
      <c r="BA16" s="255">
        <v>71.7</v>
      </c>
      <c r="BB16" s="255">
        <v>71.900000000000006</v>
      </c>
      <c r="BC16" s="255">
        <f>73*BC14/410.017</f>
        <v>72.786350322059818</v>
      </c>
      <c r="BD16" s="255">
        <f>272.8-SUM(BA16:BC16)</f>
        <v>56.413649677940157</v>
      </c>
      <c r="BE16" s="64"/>
      <c r="BF16" s="256">
        <v>49.4</v>
      </c>
      <c r="BG16" s="255"/>
      <c r="BH16" s="255"/>
      <c r="BI16" s="255"/>
      <c r="BJ16" s="64"/>
      <c r="BK16" s="255">
        <v>19.399999999999999</v>
      </c>
      <c r="BL16" s="255">
        <v>38.9</v>
      </c>
      <c r="BM16" s="256"/>
      <c r="BN16" s="255"/>
      <c r="BO16" s="64"/>
      <c r="BP16" s="255">
        <v>76.099999999999994</v>
      </c>
      <c r="BQ16" s="255">
        <v>84</v>
      </c>
      <c r="BR16" s="255"/>
      <c r="BS16" s="255"/>
      <c r="BT16" s="64"/>
      <c r="BU16" s="256"/>
      <c r="BV16" s="256"/>
      <c r="BW16" s="255"/>
      <c r="BX16" s="255"/>
      <c r="BY16" s="64"/>
      <c r="BZ16" s="255"/>
      <c r="CA16" s="255"/>
      <c r="CB16" s="255"/>
      <c r="CC16" s="255"/>
      <c r="CD16" s="64"/>
      <c r="CE16" s="255"/>
      <c r="CF16" s="255"/>
      <c r="CG16" s="255"/>
      <c r="CH16" s="255"/>
      <c r="CI16" s="64"/>
      <c r="CJ16" s="255"/>
      <c r="CK16" s="255"/>
      <c r="CL16" s="255"/>
      <c r="CM16" s="255"/>
      <c r="CN16" s="64"/>
      <c r="CO16" s="255"/>
      <c r="CP16" s="255"/>
      <c r="CQ16" s="255"/>
      <c r="CR16" s="255"/>
      <c r="CS16" s="64"/>
      <c r="CT16" s="255"/>
      <c r="CU16" s="255"/>
      <c r="CV16" s="255"/>
      <c r="CW16" s="255"/>
      <c r="CX16" s="64"/>
      <c r="CY16" s="255"/>
      <c r="CZ16" s="255"/>
      <c r="DA16" s="255"/>
      <c r="DB16" s="255"/>
      <c r="DC16" s="64"/>
      <c r="DD16" s="255"/>
      <c r="DE16" s="255"/>
      <c r="DF16" s="255"/>
      <c r="DG16" s="255"/>
      <c r="DH16" s="64"/>
      <c r="DI16" s="255"/>
      <c r="DJ16" s="255"/>
      <c r="DK16" s="255"/>
      <c r="DL16" s="255"/>
      <c r="DM16" s="64"/>
      <c r="DN16" s="255"/>
      <c r="DO16" s="255"/>
      <c r="DP16" s="255"/>
      <c r="DQ16" s="255"/>
      <c r="DR16" s="64"/>
      <c r="DS16" s="255"/>
      <c r="DT16" s="255"/>
      <c r="DU16" s="255"/>
      <c r="DV16" s="255"/>
      <c r="DW16" s="64"/>
      <c r="DX16" s="255"/>
      <c r="DY16" s="255"/>
      <c r="DZ16" s="255"/>
      <c r="EA16" s="255"/>
      <c r="EB16" s="64"/>
      <c r="EC16" s="255"/>
      <c r="ED16" s="255"/>
      <c r="EE16" s="255"/>
      <c r="EF16" s="255"/>
      <c r="EG16" s="64"/>
      <c r="EH16" s="255"/>
      <c r="EI16" s="255"/>
      <c r="EJ16" s="255"/>
      <c r="EK16" s="255"/>
      <c r="EL16" s="64"/>
      <c r="EO16"/>
      <c r="EP16"/>
      <c r="EQ16"/>
      <c r="ER16"/>
      <c r="ES16"/>
      <c r="ET16"/>
    </row>
    <row r="17" spans="2:150" s="3" customFormat="1" hidden="1" outlineLevel="1">
      <c r="B17" s="94" t="s">
        <v>540</v>
      </c>
      <c r="C17" s="145"/>
      <c r="D17" s="145"/>
      <c r="E17" s="145"/>
      <c r="F17" s="145"/>
      <c r="G17" s="17"/>
      <c r="H17" s="145"/>
      <c r="I17" s="145"/>
      <c r="J17" s="145"/>
      <c r="K17" s="145"/>
      <c r="L17" s="17"/>
      <c r="M17" s="145"/>
      <c r="N17" s="145"/>
      <c r="O17" s="145"/>
      <c r="P17" s="145"/>
      <c r="Q17" s="17"/>
      <c r="R17" s="145"/>
      <c r="S17" s="145"/>
      <c r="T17" s="145"/>
      <c r="U17" s="145"/>
      <c r="V17" s="17"/>
      <c r="W17" s="145"/>
      <c r="X17" s="145"/>
      <c r="Y17" s="145"/>
      <c r="Z17" s="145"/>
      <c r="AA17" s="17"/>
      <c r="AB17" s="145"/>
      <c r="AC17" s="145"/>
      <c r="AD17" s="145"/>
      <c r="AE17" s="145"/>
      <c r="AF17" s="17"/>
      <c r="AG17" s="145"/>
      <c r="AH17" s="145"/>
      <c r="AI17" s="145"/>
      <c r="AJ17" s="145"/>
      <c r="AK17" s="17"/>
      <c r="AL17" s="145"/>
      <c r="AM17" s="145"/>
      <c r="AN17" s="145"/>
      <c r="AO17" s="145"/>
      <c r="AP17" s="17"/>
      <c r="AQ17" s="145"/>
      <c r="AR17" s="145"/>
      <c r="AS17" s="145"/>
      <c r="AT17" s="145"/>
      <c r="AU17" s="64">
        <f>72.5*AU14/1219.6</f>
        <v>72.214719990160702</v>
      </c>
      <c r="AV17" s="146">
        <v>19.899999999999999</v>
      </c>
      <c r="AW17" s="146">
        <v>22.5</v>
      </c>
      <c r="AX17" s="146">
        <f>22.8*AX14/304.217</f>
        <v>22.162954732970217</v>
      </c>
      <c r="AY17" s="146">
        <f t="shared" si="19"/>
        <v>25.316131790364864</v>
      </c>
      <c r="AZ17" s="64">
        <f>90.7*AZ14/1334.9</f>
        <v>89.879086523335076</v>
      </c>
      <c r="BA17" s="255">
        <v>25.6</v>
      </c>
      <c r="BB17" s="255">
        <v>24.9</v>
      </c>
      <c r="BC17" s="255">
        <f>33*BC14/410.017</f>
        <v>32.903418638739367</v>
      </c>
      <c r="BD17" s="255">
        <f>130.8-SUM(BA17:BC17)</f>
        <v>47.396581361260644</v>
      </c>
      <c r="BE17" s="64"/>
      <c r="BF17" s="256">
        <v>50.3</v>
      </c>
      <c r="BG17" s="255"/>
      <c r="BH17" s="255"/>
      <c r="BI17" s="255"/>
      <c r="BJ17" s="64"/>
      <c r="BK17" s="255">
        <v>66.7</v>
      </c>
      <c r="BL17" s="255">
        <v>88.4</v>
      </c>
      <c r="BM17" s="256"/>
      <c r="BN17" s="255"/>
      <c r="BO17" s="64"/>
      <c r="BP17" s="255">
        <v>49.6</v>
      </c>
      <c r="BQ17" s="255">
        <v>51.4</v>
      </c>
      <c r="BR17" s="255"/>
      <c r="BS17" s="255"/>
      <c r="BT17" s="64"/>
      <c r="BU17" s="256"/>
      <c r="BV17" s="256"/>
      <c r="BW17" s="255"/>
      <c r="BX17" s="255"/>
      <c r="BY17" s="64"/>
      <c r="BZ17" s="255"/>
      <c r="CA17" s="255"/>
      <c r="CB17" s="255"/>
      <c r="CC17" s="255"/>
      <c r="CD17" s="64"/>
      <c r="CE17" s="255"/>
      <c r="CF17" s="255"/>
      <c r="CG17" s="255"/>
      <c r="CH17" s="255"/>
      <c r="CI17" s="64"/>
      <c r="CJ17" s="255"/>
      <c r="CK17" s="255"/>
      <c r="CL17" s="255"/>
      <c r="CM17" s="255"/>
      <c r="CN17" s="64"/>
      <c r="CO17" s="255"/>
      <c r="CP17" s="255"/>
      <c r="CQ17" s="255"/>
      <c r="CR17" s="255"/>
      <c r="CS17" s="64"/>
      <c r="CT17" s="255"/>
      <c r="CU17" s="255"/>
      <c r="CV17" s="255"/>
      <c r="CW17" s="255"/>
      <c r="CX17" s="64"/>
      <c r="CY17" s="255"/>
      <c r="CZ17" s="255"/>
      <c r="DA17" s="255"/>
      <c r="DB17" s="255"/>
      <c r="DC17" s="64"/>
      <c r="DD17" s="255"/>
      <c r="DE17" s="255"/>
      <c r="DF17" s="255"/>
      <c r="DG17" s="255"/>
      <c r="DH17" s="64"/>
      <c r="DI17" s="255"/>
      <c r="DJ17" s="255"/>
      <c r="DK17" s="255"/>
      <c r="DL17" s="255"/>
      <c r="DM17" s="64"/>
      <c r="DN17" s="255"/>
      <c r="DO17" s="255"/>
      <c r="DP17" s="255"/>
      <c r="DQ17" s="255"/>
      <c r="DR17" s="64"/>
      <c r="DS17" s="255"/>
      <c r="DT17" s="255"/>
      <c r="DU17" s="255"/>
      <c r="DV17" s="255"/>
      <c r="DW17" s="64"/>
      <c r="DX17" s="255"/>
      <c r="DY17" s="255"/>
      <c r="DZ17" s="255"/>
      <c r="EA17" s="255"/>
      <c r="EB17" s="64"/>
      <c r="EC17" s="255"/>
      <c r="ED17" s="255"/>
      <c r="EE17" s="255"/>
      <c r="EF17" s="255"/>
      <c r="EG17" s="64"/>
      <c r="EH17" s="255"/>
      <c r="EI17" s="255"/>
      <c r="EJ17" s="255"/>
      <c r="EK17" s="255"/>
      <c r="EL17" s="64"/>
      <c r="EO17"/>
      <c r="EP17"/>
      <c r="EQ17"/>
      <c r="ER17"/>
      <c r="ES17"/>
      <c r="ET17"/>
    </row>
    <row r="18" spans="2:150" s="3" customFormat="1" hidden="1" outlineLevel="1">
      <c r="B18" s="94" t="s">
        <v>541</v>
      </c>
      <c r="C18" s="145"/>
      <c r="D18" s="145"/>
      <c r="E18" s="145"/>
      <c r="F18" s="145"/>
      <c r="G18" s="17"/>
      <c r="H18" s="145"/>
      <c r="I18" s="145"/>
      <c r="J18" s="145"/>
      <c r="K18" s="145"/>
      <c r="L18" s="17"/>
      <c r="M18" s="145"/>
      <c r="N18" s="145"/>
      <c r="O18" s="145"/>
      <c r="P18" s="145"/>
      <c r="Q18" s="17"/>
      <c r="R18" s="145"/>
      <c r="S18" s="145"/>
      <c r="T18" s="145"/>
      <c r="U18" s="145"/>
      <c r="V18" s="17"/>
      <c r="W18" s="145"/>
      <c r="X18" s="145"/>
      <c r="Y18" s="145"/>
      <c r="Z18" s="145"/>
      <c r="AA18" s="17"/>
      <c r="AB18" s="145"/>
      <c r="AC18" s="145"/>
      <c r="AD18" s="145"/>
      <c r="AE18" s="145"/>
      <c r="AF18" s="17"/>
      <c r="AG18" s="145"/>
      <c r="AH18" s="145"/>
      <c r="AI18" s="145"/>
      <c r="AJ18" s="145"/>
      <c r="AK18" s="17"/>
      <c r="AL18" s="145"/>
      <c r="AM18" s="145"/>
      <c r="AN18" s="145"/>
      <c r="AO18" s="145"/>
      <c r="AP18" s="17"/>
      <c r="AQ18" s="145"/>
      <c r="AR18" s="145"/>
      <c r="AS18" s="145"/>
      <c r="AT18" s="145"/>
      <c r="AU18" s="64">
        <f>97.3*AU14/1219.6</f>
        <v>96.917134552312234</v>
      </c>
      <c r="AV18" s="146">
        <v>23.9</v>
      </c>
      <c r="AW18" s="146">
        <v>24.7</v>
      </c>
      <c r="AX18" s="146">
        <f>24.7*AX14/304.217</f>
        <v>24.009867627384402</v>
      </c>
      <c r="AY18" s="146">
        <f t="shared" si="19"/>
        <v>21.133920521540588</v>
      </c>
      <c r="AZ18" s="64">
        <f>94.6*AZ14/1334.9</f>
        <v>93.743788148924992</v>
      </c>
      <c r="BA18" s="255">
        <v>23.4</v>
      </c>
      <c r="BB18" s="255">
        <v>26.9</v>
      </c>
      <c r="BC18" s="255">
        <f>22*BC14/410.017</f>
        <v>21.935612425826246</v>
      </c>
      <c r="BD18" s="255">
        <f>97.6-SUM(BA18:BC18)</f>
        <v>25.364387574173747</v>
      </c>
      <c r="BE18" s="64"/>
      <c r="BF18" s="256">
        <v>30.2</v>
      </c>
      <c r="BG18" s="255"/>
      <c r="BH18" s="255"/>
      <c r="BI18" s="255"/>
      <c r="BJ18" s="64"/>
      <c r="BK18" s="255">
        <v>51.9</v>
      </c>
      <c r="BL18" s="255">
        <v>52.3</v>
      </c>
      <c r="BM18" s="256"/>
      <c r="BN18" s="255"/>
      <c r="BO18" s="64"/>
      <c r="BP18" s="255">
        <v>52.9</v>
      </c>
      <c r="BQ18" s="255">
        <v>58.8</v>
      </c>
      <c r="BR18" s="255"/>
      <c r="BS18" s="255"/>
      <c r="BT18" s="64"/>
      <c r="BU18" s="256"/>
      <c r="BV18" s="256"/>
      <c r="BW18" s="255"/>
      <c r="BX18" s="255"/>
      <c r="BY18" s="64"/>
      <c r="BZ18" s="255"/>
      <c r="CA18" s="255"/>
      <c r="CB18" s="255"/>
      <c r="CC18" s="255"/>
      <c r="CD18" s="64"/>
      <c r="CE18" s="255"/>
      <c r="CF18" s="255"/>
      <c r="CG18" s="255"/>
      <c r="CH18" s="255"/>
      <c r="CI18" s="64"/>
      <c r="CJ18" s="255"/>
      <c r="CK18" s="255"/>
      <c r="CL18" s="255"/>
      <c r="CM18" s="255"/>
      <c r="CN18" s="64"/>
      <c r="CO18" s="255"/>
      <c r="CP18" s="255"/>
      <c r="CQ18" s="255"/>
      <c r="CR18" s="255"/>
      <c r="CS18" s="64"/>
      <c r="CT18" s="255"/>
      <c r="CU18" s="255"/>
      <c r="CV18" s="255"/>
      <c r="CW18" s="255"/>
      <c r="CX18" s="64"/>
      <c r="CY18" s="255"/>
      <c r="CZ18" s="255"/>
      <c r="DA18" s="255"/>
      <c r="DB18" s="255"/>
      <c r="DC18" s="64"/>
      <c r="DD18" s="255"/>
      <c r="DE18" s="255"/>
      <c r="DF18" s="255"/>
      <c r="DG18" s="255"/>
      <c r="DH18" s="64"/>
      <c r="DI18" s="255"/>
      <c r="DJ18" s="255"/>
      <c r="DK18" s="255"/>
      <c r="DL18" s="255"/>
      <c r="DM18" s="64"/>
      <c r="DN18" s="255"/>
      <c r="DO18" s="255"/>
      <c r="DP18" s="255"/>
      <c r="DQ18" s="255"/>
      <c r="DR18" s="64"/>
      <c r="DS18" s="255"/>
      <c r="DT18" s="255"/>
      <c r="DU18" s="255"/>
      <c r="DV18" s="255"/>
      <c r="DW18" s="64"/>
      <c r="DX18" s="255"/>
      <c r="DY18" s="255"/>
      <c r="DZ18" s="255"/>
      <c r="EA18" s="255"/>
      <c r="EB18" s="64"/>
      <c r="EC18" s="255"/>
      <c r="ED18" s="255"/>
      <c r="EE18" s="255"/>
      <c r="EF18" s="255"/>
      <c r="EG18" s="64"/>
      <c r="EH18" s="255"/>
      <c r="EI18" s="255"/>
      <c r="EJ18" s="255"/>
      <c r="EK18" s="255"/>
      <c r="EL18" s="64"/>
      <c r="EO18"/>
      <c r="EP18"/>
      <c r="EQ18"/>
      <c r="ER18"/>
      <c r="ES18"/>
      <c r="ET18"/>
    </row>
    <row r="19" spans="2:150" s="3" customFormat="1" hidden="1" outlineLevel="1">
      <c r="B19" s="94" t="s">
        <v>542</v>
      </c>
      <c r="C19" s="145"/>
      <c r="D19" s="145"/>
      <c r="E19" s="145"/>
      <c r="F19" s="145"/>
      <c r="G19" s="17"/>
      <c r="H19" s="145"/>
      <c r="I19" s="145"/>
      <c r="J19" s="145"/>
      <c r="K19" s="145"/>
      <c r="L19" s="17"/>
      <c r="M19" s="145"/>
      <c r="N19" s="145"/>
      <c r="O19" s="145"/>
      <c r="P19" s="145"/>
      <c r="Q19" s="17"/>
      <c r="R19" s="145"/>
      <c r="S19" s="145"/>
      <c r="T19" s="145"/>
      <c r="U19" s="145"/>
      <c r="V19" s="17"/>
      <c r="W19" s="145"/>
      <c r="X19" s="145"/>
      <c r="Y19" s="145"/>
      <c r="Z19" s="145"/>
      <c r="AA19" s="17"/>
      <c r="AB19" s="145"/>
      <c r="AC19" s="145"/>
      <c r="AD19" s="145"/>
      <c r="AE19" s="145"/>
      <c r="AF19" s="17"/>
      <c r="AG19" s="145"/>
      <c r="AH19" s="145"/>
      <c r="AI19" s="145"/>
      <c r="AJ19" s="145"/>
      <c r="AK19" s="17"/>
      <c r="AL19" s="145"/>
      <c r="AM19" s="145"/>
      <c r="AN19" s="145"/>
      <c r="AO19" s="145"/>
      <c r="AP19" s="17"/>
      <c r="AQ19" s="145"/>
      <c r="AR19" s="145"/>
      <c r="AS19" s="145"/>
      <c r="AT19" s="145"/>
      <c r="AU19" s="64">
        <f>465.6*AU14/1219.6</f>
        <v>463.76791210232869</v>
      </c>
      <c r="AV19" s="146">
        <v>125.6</v>
      </c>
      <c r="AW19" s="146">
        <v>118</v>
      </c>
      <c r="AX19" s="146">
        <f>120.2*AX14/304.217</f>
        <v>116.84154205715001</v>
      </c>
      <c r="AY19" s="146">
        <f t="shared" si="19"/>
        <v>114.22309349607497</v>
      </c>
      <c r="AZ19" s="64">
        <f>479*AZ14/1334.9</f>
        <v>474.66463555322497</v>
      </c>
      <c r="BA19" s="255">
        <v>119.4</v>
      </c>
      <c r="BB19" s="255">
        <v>138</v>
      </c>
      <c r="BC19" s="255">
        <f>136.6*BC14/410.017</f>
        <v>136.20021169853933</v>
      </c>
      <c r="BD19" s="255">
        <f>552.7-SUM(BA19:BC19)</f>
        <v>159.09978830146076</v>
      </c>
      <c r="BE19" s="64"/>
      <c r="BF19" s="256">
        <v>182.7</v>
      </c>
      <c r="BG19" s="255"/>
      <c r="BH19" s="255"/>
      <c r="BI19" s="255"/>
      <c r="BJ19" s="64"/>
      <c r="BK19" s="255">
        <v>208.5</v>
      </c>
      <c r="BL19" s="255">
        <v>192.1</v>
      </c>
      <c r="BM19" s="256"/>
      <c r="BN19" s="255"/>
      <c r="BO19" s="64"/>
      <c r="BP19" s="255">
        <v>179.4</v>
      </c>
      <c r="BQ19" s="255">
        <v>175.1</v>
      </c>
      <c r="BR19" s="255"/>
      <c r="BS19" s="255"/>
      <c r="BT19" s="64"/>
      <c r="BU19" s="256"/>
      <c r="BV19" s="256"/>
      <c r="BW19" s="255"/>
      <c r="BX19" s="255"/>
      <c r="BY19" s="64"/>
      <c r="BZ19" s="255"/>
      <c r="CA19" s="255"/>
      <c r="CB19" s="255"/>
      <c r="CC19" s="255"/>
      <c r="CD19" s="64"/>
      <c r="CE19" s="255"/>
      <c r="CF19" s="255"/>
      <c r="CG19" s="255"/>
      <c r="CH19" s="255"/>
      <c r="CI19" s="64"/>
      <c r="CJ19" s="255"/>
      <c r="CK19" s="255"/>
      <c r="CL19" s="255"/>
      <c r="CM19" s="255"/>
      <c r="CN19" s="64"/>
      <c r="CO19" s="255"/>
      <c r="CP19" s="255"/>
      <c r="CQ19" s="255"/>
      <c r="CR19" s="255"/>
      <c r="CS19" s="64"/>
      <c r="CT19" s="255"/>
      <c r="CU19" s="255"/>
      <c r="CV19" s="255"/>
      <c r="CW19" s="255"/>
      <c r="CX19" s="64"/>
      <c r="CY19" s="255"/>
      <c r="CZ19" s="255"/>
      <c r="DA19" s="255"/>
      <c r="DB19" s="255"/>
      <c r="DC19" s="64"/>
      <c r="DD19" s="255"/>
      <c r="DE19" s="255"/>
      <c r="DF19" s="255"/>
      <c r="DG19" s="255"/>
      <c r="DH19" s="64"/>
      <c r="DI19" s="255"/>
      <c r="DJ19" s="255"/>
      <c r="DK19" s="255"/>
      <c r="DL19" s="255"/>
      <c r="DM19" s="64"/>
      <c r="DN19" s="255"/>
      <c r="DO19" s="255"/>
      <c r="DP19" s="255"/>
      <c r="DQ19" s="255"/>
      <c r="DR19" s="64"/>
      <c r="DS19" s="255"/>
      <c r="DT19" s="255"/>
      <c r="DU19" s="255"/>
      <c r="DV19" s="255"/>
      <c r="DW19" s="64"/>
      <c r="DX19" s="255"/>
      <c r="DY19" s="255"/>
      <c r="DZ19" s="255"/>
      <c r="EA19" s="255"/>
      <c r="EB19" s="64"/>
      <c r="EC19" s="255"/>
      <c r="ED19" s="255"/>
      <c r="EE19" s="255"/>
      <c r="EF19" s="255"/>
      <c r="EG19" s="64"/>
      <c r="EH19" s="255"/>
      <c r="EI19" s="255"/>
      <c r="EJ19" s="255"/>
      <c r="EK19" s="255"/>
      <c r="EL19" s="64"/>
      <c r="EO19"/>
      <c r="EP19"/>
      <c r="EQ19"/>
      <c r="ER19"/>
      <c r="ES19"/>
      <c r="ET19"/>
    </row>
    <row r="20" spans="2:150" s="3" customFormat="1" hidden="1" outlineLevel="1">
      <c r="B20" s="94" t="s">
        <v>543</v>
      </c>
      <c r="C20" s="145"/>
      <c r="D20" s="145"/>
      <c r="E20" s="145"/>
      <c r="F20" s="145"/>
      <c r="G20" s="17"/>
      <c r="H20" s="145"/>
      <c r="I20" s="145"/>
      <c r="J20" s="145"/>
      <c r="K20" s="145"/>
      <c r="L20" s="17"/>
      <c r="M20" s="145"/>
      <c r="N20" s="145"/>
      <c r="O20" s="145"/>
      <c r="P20" s="145"/>
      <c r="Q20" s="17"/>
      <c r="R20" s="145"/>
      <c r="S20" s="145"/>
      <c r="T20" s="145"/>
      <c r="U20" s="145"/>
      <c r="V20" s="17"/>
      <c r="W20" s="145"/>
      <c r="X20" s="145"/>
      <c r="Y20" s="145"/>
      <c r="Z20" s="145"/>
      <c r="AA20" s="17"/>
      <c r="AB20" s="145"/>
      <c r="AC20" s="145"/>
      <c r="AD20" s="145"/>
      <c r="AE20" s="145"/>
      <c r="AF20" s="17"/>
      <c r="AG20" s="145"/>
      <c r="AH20" s="145"/>
      <c r="AI20" s="145"/>
      <c r="AJ20" s="145"/>
      <c r="AK20" s="17"/>
      <c r="AL20" s="145"/>
      <c r="AM20" s="145"/>
      <c r="AN20" s="145"/>
      <c r="AO20" s="145"/>
      <c r="AP20" s="17"/>
      <c r="AQ20" s="145"/>
      <c r="AR20" s="145"/>
      <c r="AS20" s="145"/>
      <c r="AT20" s="145"/>
      <c r="AU20" s="64">
        <f>45.1*AU14/1219.6</f>
        <v>44.922536159396529</v>
      </c>
      <c r="AV20" s="146">
        <v>29.4</v>
      </c>
      <c r="AW20" s="146">
        <v>13.6</v>
      </c>
      <c r="AX20" s="146">
        <f>0.1*AX14/304.217</f>
        <v>9.7205941811272872E-2</v>
      </c>
      <c r="AY20" s="146">
        <f t="shared" si="19"/>
        <v>31.620358819594081</v>
      </c>
      <c r="AZ20" s="64">
        <f>75.4*AZ14/1334.9</f>
        <v>74.717564761405356</v>
      </c>
      <c r="BA20" s="255">
        <v>0.5</v>
      </c>
      <c r="BB20" s="255">
        <v>5.5</v>
      </c>
      <c r="BC20" s="255">
        <f>80.1*BC14/410.017</f>
        <v>79.8655706958492</v>
      </c>
      <c r="BD20" s="255">
        <f>138.1-SUM(BA20:BC20)</f>
        <v>52.234429304150794</v>
      </c>
      <c r="BE20" s="64"/>
      <c r="BF20" s="256">
        <v>137.80000000000001</v>
      </c>
      <c r="BG20" s="255"/>
      <c r="BH20" s="255"/>
      <c r="BI20" s="255"/>
      <c r="BJ20" s="64"/>
      <c r="BK20" s="255">
        <f>BK14-BK15-BK16-BK17-BK18-BK19</f>
        <v>21.149000000000029</v>
      </c>
      <c r="BL20" s="255">
        <f>BL14-BL15-BL16-BL17-BL18-BL19</f>
        <v>20.82800000000006</v>
      </c>
      <c r="BM20" s="256"/>
      <c r="BN20" s="255"/>
      <c r="BO20" s="64"/>
      <c r="BP20" s="255">
        <f>BP14-BP15-BP16-BP17-BP18-BP19</f>
        <v>2.9999999999999716</v>
      </c>
      <c r="BQ20" s="255">
        <f>BQ14-BQ15-BQ16-BQ17-BQ18-BQ19</f>
        <v>23.900000000000063</v>
      </c>
      <c r="BR20" s="255"/>
      <c r="BS20" s="255"/>
      <c r="BT20" s="64"/>
      <c r="BU20" s="256"/>
      <c r="BV20" s="256"/>
      <c r="BW20" s="255"/>
      <c r="BX20" s="255"/>
      <c r="BY20" s="64"/>
      <c r="BZ20" s="255"/>
      <c r="CA20" s="255"/>
      <c r="CB20" s="255"/>
      <c r="CC20" s="255"/>
      <c r="CD20" s="64"/>
      <c r="CE20" s="255"/>
      <c r="CF20" s="255"/>
      <c r="CG20" s="255"/>
      <c r="CH20" s="255"/>
      <c r="CI20" s="64"/>
      <c r="CJ20" s="255"/>
      <c r="CK20" s="255"/>
      <c r="CL20" s="255"/>
      <c r="CM20" s="255"/>
      <c r="CN20" s="64"/>
      <c r="CO20" s="255"/>
      <c r="CP20" s="255"/>
      <c r="CQ20" s="255"/>
      <c r="CR20" s="255"/>
      <c r="CS20" s="64"/>
      <c r="CT20" s="255"/>
      <c r="CU20" s="255"/>
      <c r="CV20" s="255"/>
      <c r="CW20" s="255"/>
      <c r="CX20" s="64"/>
      <c r="CY20" s="255"/>
      <c r="CZ20" s="255"/>
      <c r="DA20" s="255"/>
      <c r="DB20" s="255"/>
      <c r="DC20" s="64"/>
      <c r="DD20" s="255"/>
      <c r="DE20" s="255"/>
      <c r="DF20" s="255"/>
      <c r="DG20" s="255"/>
      <c r="DH20" s="64"/>
      <c r="DI20" s="255"/>
      <c r="DJ20" s="255"/>
      <c r="DK20" s="255"/>
      <c r="DL20" s="255"/>
      <c r="DM20" s="64"/>
      <c r="DN20" s="255"/>
      <c r="DO20" s="255"/>
      <c r="DP20" s="255"/>
      <c r="DQ20" s="255"/>
      <c r="DR20" s="64"/>
      <c r="DS20" s="255"/>
      <c r="DT20" s="255"/>
      <c r="DU20" s="255"/>
      <c r="DV20" s="255"/>
      <c r="DW20" s="64"/>
      <c r="DX20" s="255"/>
      <c r="DY20" s="255"/>
      <c r="DZ20" s="255"/>
      <c r="EA20" s="255"/>
      <c r="EB20" s="64"/>
      <c r="EC20" s="255"/>
      <c r="ED20" s="255"/>
      <c r="EE20" s="255"/>
      <c r="EF20" s="255"/>
      <c r="EG20" s="64"/>
      <c r="EH20" s="255"/>
      <c r="EI20" s="255"/>
      <c r="EJ20" s="255"/>
      <c r="EK20" s="255"/>
      <c r="EL20" s="64"/>
      <c r="EO20"/>
      <c r="EP20"/>
      <c r="EQ20"/>
      <c r="ER20"/>
      <c r="ES20"/>
      <c r="ET20"/>
    </row>
    <row r="21" spans="2:150" s="3" customFormat="1" collapsed="1">
      <c r="B21" s="58" t="s">
        <v>154</v>
      </c>
      <c r="C21" s="145">
        <v>122.6</v>
      </c>
      <c r="D21" s="145">
        <v>125.4</v>
      </c>
      <c r="E21" s="145">
        <v>123.3</v>
      </c>
      <c r="F21" s="145">
        <f>+G21-SUM(C21:E21)</f>
        <v>136.80000000000001</v>
      </c>
      <c r="G21" s="17">
        <v>508.1</v>
      </c>
      <c r="H21" s="145">
        <f>131.06-4.4</f>
        <v>126.66</v>
      </c>
      <c r="I21" s="145">
        <f>139.414-0.6</f>
        <v>138.81399999999999</v>
      </c>
      <c r="J21" s="145">
        <f>132.622-1.7</f>
        <v>130.92200000000003</v>
      </c>
      <c r="K21" s="145">
        <f>+L21-SUM(H21:J21)</f>
        <v>174.58200000000005</v>
      </c>
      <c r="L21" s="17">
        <f>580.278-9.3</f>
        <v>570.97800000000007</v>
      </c>
      <c r="M21" s="145">
        <f>158.472-0.5+(6.293-0)</f>
        <v>164.26500000000001</v>
      </c>
      <c r="N21" s="145">
        <v>155.75399999999999</v>
      </c>
      <c r="O21" s="145">
        <f>161.41-0.3-7.6</f>
        <v>153.51</v>
      </c>
      <c r="P21" s="145">
        <f>+Q21-SUM(M21:O21)</f>
        <v>158.2410000000001</v>
      </c>
      <c r="Q21" s="17">
        <f>644.758-19.3+(118.112-111.8)</f>
        <v>631.7700000000001</v>
      </c>
      <c r="R21" s="145">
        <f>154.391-0.7-8.3</f>
        <v>145.39099999999999</v>
      </c>
      <c r="S21" s="145">
        <f>170.289-0.1-0.9-8.3</f>
        <v>160.98899999999998</v>
      </c>
      <c r="T21" s="145">
        <f>173.442-7.7</f>
        <v>165.74200000000002</v>
      </c>
      <c r="U21" s="145">
        <f>+V21-SUM(R21:T21)</f>
        <v>181.94499999999999</v>
      </c>
      <c r="V21" s="17">
        <f>685.067-0.1-2-28.9</f>
        <v>654.06700000000001</v>
      </c>
      <c r="W21" s="145">
        <f>188.061-0.1-6.1</f>
        <v>181.86100000000002</v>
      </c>
      <c r="X21" s="145">
        <f>203.668-0.5-5.3</f>
        <v>197.86799999999999</v>
      </c>
      <c r="Y21" s="145">
        <f>190.644-5.9</f>
        <v>184.744</v>
      </c>
      <c r="Z21" s="145">
        <f>+AA21-SUM(W21:Y21)</f>
        <v>188.42999999999984</v>
      </c>
      <c r="AA21" s="17">
        <f>776.103-0.6-22.6</f>
        <v>752.90299999999991</v>
      </c>
      <c r="AB21" s="145">
        <f>215.829-3.1</f>
        <v>212.72900000000001</v>
      </c>
      <c r="AC21" s="145">
        <f>245.689-3.8</f>
        <v>241.88899999999998</v>
      </c>
      <c r="AD21" s="145">
        <f>232.824-2.9-5.3</f>
        <v>224.624</v>
      </c>
      <c r="AE21" s="145">
        <f>+AF21-SUM(AB21:AD21)</f>
        <v>224.56299999999999</v>
      </c>
      <c r="AF21" s="17">
        <f>925.305-3.8-17.7</f>
        <v>903.80499999999995</v>
      </c>
      <c r="AG21" s="145">
        <f>221.83-0.1-4.5</f>
        <v>217.23000000000002</v>
      </c>
      <c r="AH21" s="145">
        <f>220.829-0.2-5</f>
        <v>215.62900000000002</v>
      </c>
      <c r="AI21" s="145">
        <f>226.755-0.1-5.8</f>
        <v>220.85499999999999</v>
      </c>
      <c r="AJ21" s="145">
        <f>+AK21-SUM(AG21:AI21)</f>
        <v>236.51999999999998</v>
      </c>
      <c r="AK21" s="17">
        <f>911.034-0.4-20.4</f>
        <v>890.23400000000004</v>
      </c>
      <c r="AL21" s="145">
        <f>248.664-4.3-10.8</f>
        <v>233.56399999999996</v>
      </c>
      <c r="AM21" s="145">
        <f>262.322-1.5-8.8</f>
        <v>252.02199999999999</v>
      </c>
      <c r="AN21" s="145">
        <f>244.16-2.4-3.5</f>
        <v>238.26</v>
      </c>
      <c r="AO21" s="145">
        <f>+AP21-SUM(AL21:AN21)</f>
        <v>275.19399999999996</v>
      </c>
      <c r="AP21" s="17">
        <f>1031.54-5.7-26.8</f>
        <v>999.04</v>
      </c>
      <c r="AQ21" s="145">
        <f>244.516-1.4</f>
        <v>243.11599999999999</v>
      </c>
      <c r="AR21" s="145">
        <f>266.301-1.2</f>
        <v>265.101</v>
      </c>
      <c r="AS21" s="145">
        <f>261.398-2.9</f>
        <v>258.49800000000005</v>
      </c>
      <c r="AT21" s="145">
        <f>283.916-2</f>
        <v>281.916</v>
      </c>
      <c r="AU21" s="64">
        <f>SUM(AQ21:AT21)</f>
        <v>1048.6310000000001</v>
      </c>
      <c r="AV21" s="146">
        <f>300.089-0.4+45.961-43.3</f>
        <v>302.35000000000002</v>
      </c>
      <c r="AW21" s="146">
        <f>301.767-0.9+(52.282-51)</f>
        <v>302.149</v>
      </c>
      <c r="AX21" s="146">
        <f>299.631-1.4+(53.013-50.9)</f>
        <v>300.34399999999999</v>
      </c>
      <c r="AY21" s="146">
        <f>375.977-1.3+50.948-49.1</f>
        <v>376.52499999999992</v>
      </c>
      <c r="AZ21" s="64">
        <f>SUM(AV21:AY21)</f>
        <v>1281.3679999999999</v>
      </c>
      <c r="BA21" s="255">
        <f>352.598+BA64</f>
        <v>350.69800000000004</v>
      </c>
      <c r="BB21" s="255">
        <f>431.012+BB64</f>
        <v>430.012</v>
      </c>
      <c r="BC21" s="255">
        <f>405.584+BC64</f>
        <v>404.28399999999999</v>
      </c>
      <c r="BD21" s="256">
        <f>522.857+BD64+BD65</f>
        <v>494.55699999999996</v>
      </c>
      <c r="BE21" s="64">
        <f>SUM(BA21:BD21)</f>
        <v>1679.5510000000002</v>
      </c>
      <c r="BF21" s="256">
        <f>511.674+BF64+BF65</f>
        <v>509.07399999999996</v>
      </c>
      <c r="BG21" s="256">
        <f>576.622+BG64+BG65</f>
        <v>540.12199999999996</v>
      </c>
      <c r="BH21" s="256">
        <f>570.436+BH64+BH65</f>
        <v>569.03600000000006</v>
      </c>
      <c r="BI21" s="256">
        <f>573.61+BI64+BI65</f>
        <v>572.51</v>
      </c>
      <c r="BJ21" s="64">
        <f>SUM(BF21:BI21)</f>
        <v>2190.7420000000002</v>
      </c>
      <c r="BK21" s="256">
        <f>560.361+BK64+BK65</f>
        <v>560.36099999999999</v>
      </c>
      <c r="BL21" s="256">
        <v>491.89499999999998</v>
      </c>
      <c r="BM21" s="256">
        <v>477.827</v>
      </c>
      <c r="BN21" s="256">
        <f>583+BN64+BN65</f>
        <v>583</v>
      </c>
      <c r="BO21" s="64">
        <f>SUM(BK21:BN21)</f>
        <v>2113.0829999999996</v>
      </c>
      <c r="BP21" s="256">
        <v>497.3</v>
      </c>
      <c r="BQ21" s="256">
        <v>492.4</v>
      </c>
      <c r="BR21" s="255">
        <v>462.7</v>
      </c>
      <c r="BS21" s="255">
        <v>495.5</v>
      </c>
      <c r="BT21" s="64">
        <f>SUM(BP21:BS21)</f>
        <v>1947.9</v>
      </c>
      <c r="BU21" s="256">
        <v>499.1</v>
      </c>
      <c r="BV21" s="256">
        <v>430.2</v>
      </c>
      <c r="BW21" s="256">
        <v>433.8</v>
      </c>
      <c r="BX21" s="256">
        <v>554</v>
      </c>
      <c r="BY21" s="64">
        <f>SUM(BU21:BX21)</f>
        <v>1917.1</v>
      </c>
      <c r="BZ21" s="256">
        <v>501.3</v>
      </c>
      <c r="CA21" s="255">
        <f t="shared" ref="CA21:CB21" si="20">CA7*CA112</f>
        <v>473.90234054057623</v>
      </c>
      <c r="CB21" s="255">
        <f t="shared" si="20"/>
        <v>458.42586068286619</v>
      </c>
      <c r="CC21" s="255">
        <f>CD21-SUM(BZ21:CB21)</f>
        <v>516.37179877655763</v>
      </c>
      <c r="CD21" s="64">
        <v>1950</v>
      </c>
      <c r="CE21" s="255"/>
      <c r="CF21" s="255"/>
      <c r="CG21" s="255"/>
      <c r="CH21" s="255"/>
      <c r="CI21" s="64">
        <f>CD21*1.05</f>
        <v>2047.5</v>
      </c>
      <c r="CJ21" s="255"/>
      <c r="CK21" s="255"/>
      <c r="CL21" s="255"/>
      <c r="CM21" s="255"/>
      <c r="CN21" s="64">
        <f>CI21*1.05</f>
        <v>2149.875</v>
      </c>
      <c r="CO21" s="255"/>
      <c r="CP21" s="255"/>
      <c r="CQ21" s="255"/>
      <c r="CR21" s="255"/>
      <c r="CS21" s="64">
        <f>CN21*1.025</f>
        <v>2203.6218749999998</v>
      </c>
      <c r="CT21" s="255"/>
      <c r="CU21" s="255"/>
      <c r="CV21" s="255"/>
      <c r="CW21" s="255"/>
      <c r="CX21" s="64">
        <f>CS21*1.025</f>
        <v>2258.7124218749996</v>
      </c>
      <c r="CY21" s="255"/>
      <c r="CZ21" s="255"/>
      <c r="DA21" s="255"/>
      <c r="DB21" s="255"/>
      <c r="DC21" s="64">
        <f>CX21*1.025</f>
        <v>2315.1802324218743</v>
      </c>
      <c r="DD21" s="255"/>
      <c r="DE21" s="255"/>
      <c r="DF21" s="255"/>
      <c r="DG21" s="255"/>
      <c r="DH21" s="64">
        <f>DC21*1.025</f>
        <v>2373.0597382324208</v>
      </c>
      <c r="DI21" s="255"/>
      <c r="DJ21" s="255"/>
      <c r="DK21" s="255"/>
      <c r="DL21" s="255"/>
      <c r="DM21" s="64">
        <f>DH21*1.025</f>
        <v>2432.386231688231</v>
      </c>
      <c r="DN21" s="255"/>
      <c r="DO21" s="255"/>
      <c r="DP21" s="255"/>
      <c r="DQ21" s="255"/>
      <c r="DR21" s="64">
        <f>DM21*1.025</f>
        <v>2493.1958874804363</v>
      </c>
      <c r="DS21" s="255"/>
      <c r="DT21" s="255"/>
      <c r="DU21" s="255"/>
      <c r="DV21" s="255"/>
      <c r="DW21" s="64">
        <f>DR21*1.025</f>
        <v>2555.5257846674472</v>
      </c>
      <c r="DX21" s="255"/>
      <c r="DY21" s="255"/>
      <c r="DZ21" s="255"/>
      <c r="EA21" s="255"/>
      <c r="EB21" s="64">
        <f>DW21</f>
        <v>2555.5257846674472</v>
      </c>
      <c r="EC21" s="255"/>
      <c r="ED21" s="255"/>
      <c r="EE21" s="255"/>
      <c r="EF21" s="255"/>
      <c r="EG21" s="64">
        <f>EB21</f>
        <v>2555.5257846674472</v>
      </c>
      <c r="EH21" s="255"/>
      <c r="EI21" s="255"/>
      <c r="EJ21" s="255"/>
      <c r="EK21" s="255"/>
      <c r="EL21" s="64">
        <f>EG21</f>
        <v>2555.5257846674472</v>
      </c>
      <c r="EO21"/>
      <c r="EP21"/>
      <c r="EQ21"/>
      <c r="ER21"/>
      <c r="ES21"/>
      <c r="ET21"/>
    </row>
    <row r="22" spans="2:150">
      <c r="B22" s="60" t="s">
        <v>122</v>
      </c>
      <c r="C22" s="147"/>
      <c r="D22" s="147"/>
      <c r="E22" s="147"/>
      <c r="F22" s="147"/>
      <c r="G22" s="19"/>
      <c r="H22" s="147"/>
      <c r="I22" s="147"/>
      <c r="J22" s="147"/>
      <c r="K22" s="147"/>
      <c r="L22" s="19"/>
      <c r="M22" s="147"/>
      <c r="N22" s="147"/>
      <c r="O22" s="147"/>
      <c r="P22" s="147"/>
      <c r="Q22" s="19"/>
      <c r="R22" s="147"/>
      <c r="S22" s="147"/>
      <c r="T22" s="147"/>
      <c r="U22" s="147"/>
      <c r="V22" s="19"/>
      <c r="W22" s="147"/>
      <c r="X22" s="147"/>
      <c r="Y22" s="147"/>
      <c r="Z22" s="147"/>
      <c r="AA22" s="19"/>
      <c r="AB22" s="147"/>
      <c r="AC22" s="147"/>
      <c r="AD22" s="147"/>
      <c r="AE22" s="147"/>
      <c r="AF22" s="19"/>
      <c r="AG22" s="147"/>
      <c r="AH22" s="147"/>
      <c r="AI22" s="147"/>
      <c r="AJ22" s="147"/>
      <c r="AK22" s="19"/>
      <c r="AL22" s="147"/>
      <c r="AM22" s="147"/>
      <c r="AN22" s="147"/>
      <c r="AO22" s="147"/>
      <c r="AP22" s="19"/>
      <c r="AQ22" s="147"/>
      <c r="AR22" s="147"/>
      <c r="AS22" s="147"/>
      <c r="AT22" s="147"/>
      <c r="AU22" s="103"/>
      <c r="AV22" s="144"/>
      <c r="AW22" s="144"/>
      <c r="AX22" s="144"/>
      <c r="AY22" s="144"/>
      <c r="AZ22" s="103"/>
      <c r="BA22" s="257">
        <f>51.301+BA59</f>
        <v>2.7010000000000005</v>
      </c>
      <c r="BB22" s="257">
        <f>82.225+BB59</f>
        <v>2.7249999999999943</v>
      </c>
      <c r="BC22" s="257">
        <f>99.998+BC59</f>
        <v>2.8980000000000103</v>
      </c>
      <c r="BD22" s="258">
        <f>109.424+BD59</f>
        <v>3.9240000000000066</v>
      </c>
      <c r="BE22" s="64">
        <f>SUM(BA22:BD22)</f>
        <v>12.248000000000012</v>
      </c>
      <c r="BF22" s="258">
        <f>143.258+BF59</f>
        <v>3.4579999999999984</v>
      </c>
      <c r="BG22" s="258">
        <f>116.826+BG59</f>
        <v>3.8259999999999934</v>
      </c>
      <c r="BH22" s="258">
        <f>122.431+BH59</f>
        <v>3.7309999999999945</v>
      </c>
      <c r="BI22" s="258">
        <f>107.246+BI59</f>
        <v>5.8459999999999894</v>
      </c>
      <c r="BJ22" s="64">
        <f>SUM(BF22:BI22)</f>
        <v>16.860999999999976</v>
      </c>
      <c r="BK22" s="258">
        <f>95.903+BK59</f>
        <v>3.4030000000000058</v>
      </c>
      <c r="BL22" s="258">
        <f>92.004+BL59</f>
        <v>5.2040000000000077</v>
      </c>
      <c r="BM22" s="258">
        <f>98.065+BM59</f>
        <v>4.0649999999999977</v>
      </c>
      <c r="BN22" s="258">
        <f>96.6+BN59</f>
        <v>4.5999999999999943</v>
      </c>
      <c r="BO22" s="64">
        <f>SUM(BK22:BN22)</f>
        <v>17.272000000000006</v>
      </c>
      <c r="BP22" s="258">
        <f>88.8+BP59</f>
        <v>3.0999999999999943</v>
      </c>
      <c r="BQ22" s="258">
        <f>92.9+BQ59</f>
        <v>3.3000000000000114</v>
      </c>
      <c r="BR22" s="258">
        <f>99.7+BR59</f>
        <v>3</v>
      </c>
      <c r="BS22" s="258">
        <f>104.2+BS59</f>
        <v>2.6000000000000085</v>
      </c>
      <c r="BT22" s="64">
        <f>SUM(BP22:BS22)</f>
        <v>12.000000000000014</v>
      </c>
      <c r="BU22" s="258">
        <f>448.5+BU59</f>
        <v>0</v>
      </c>
      <c r="BV22" s="258">
        <f>117.5+BV59</f>
        <v>0</v>
      </c>
      <c r="BW22" s="258">
        <f>108.9+BW59</f>
        <v>0</v>
      </c>
      <c r="BX22" s="258">
        <f>139.8+BX59</f>
        <v>0</v>
      </c>
      <c r="BY22" s="64">
        <f>SUM(BU22:BX22)</f>
        <v>0</v>
      </c>
      <c r="BZ22" s="258">
        <f>103.9-BZ59</f>
        <v>0</v>
      </c>
      <c r="CA22" s="257"/>
      <c r="CB22" s="257"/>
      <c r="CC22" s="257"/>
      <c r="CD22" s="64">
        <f>BY22</f>
        <v>0</v>
      </c>
      <c r="CE22" s="257"/>
      <c r="CF22" s="257"/>
      <c r="CG22" s="257"/>
      <c r="CH22" s="257"/>
      <c r="CI22" s="64">
        <f>CD22</f>
        <v>0</v>
      </c>
      <c r="CJ22" s="257"/>
      <c r="CK22" s="257"/>
      <c r="CL22" s="257"/>
      <c r="CM22" s="257"/>
      <c r="CN22" s="64">
        <f>CI22</f>
        <v>0</v>
      </c>
      <c r="CO22" s="257"/>
      <c r="CP22" s="257"/>
      <c r="CQ22" s="257"/>
      <c r="CR22" s="257"/>
      <c r="CS22" s="64">
        <f>CN22</f>
        <v>0</v>
      </c>
      <c r="CT22" s="257"/>
      <c r="CU22" s="257"/>
      <c r="CV22" s="257"/>
      <c r="CW22" s="257"/>
      <c r="CX22" s="64">
        <f>CS22</f>
        <v>0</v>
      </c>
      <c r="CY22" s="257"/>
      <c r="CZ22" s="257"/>
      <c r="DA22" s="257"/>
      <c r="DB22" s="257"/>
      <c r="DC22" s="64">
        <f>CX22</f>
        <v>0</v>
      </c>
      <c r="DD22" s="257"/>
      <c r="DE22" s="257"/>
      <c r="DF22" s="257"/>
      <c r="DG22" s="257"/>
      <c r="DH22" s="64">
        <f>DC22</f>
        <v>0</v>
      </c>
      <c r="DI22" s="257"/>
      <c r="DJ22" s="257"/>
      <c r="DK22" s="257"/>
      <c r="DL22" s="257"/>
      <c r="DM22" s="64">
        <f>DH22</f>
        <v>0</v>
      </c>
      <c r="DN22" s="257"/>
      <c r="DO22" s="257"/>
      <c r="DP22" s="257"/>
      <c r="DQ22" s="257"/>
      <c r="DR22" s="64">
        <f>DM22</f>
        <v>0</v>
      </c>
      <c r="DS22" s="257"/>
      <c r="DT22" s="257"/>
      <c r="DU22" s="257"/>
      <c r="DV22" s="257"/>
      <c r="DW22" s="64">
        <f>DR22</f>
        <v>0</v>
      </c>
      <c r="DX22" s="257"/>
      <c r="DY22" s="257"/>
      <c r="DZ22" s="257"/>
      <c r="EA22" s="257"/>
      <c r="EB22" s="64">
        <f>DW22</f>
        <v>0</v>
      </c>
      <c r="EC22" s="257"/>
      <c r="ED22" s="257"/>
      <c r="EE22" s="257"/>
      <c r="EF22" s="257"/>
      <c r="EG22" s="64">
        <f>EB22</f>
        <v>0</v>
      </c>
      <c r="EH22" s="257"/>
      <c r="EI22" s="257"/>
      <c r="EJ22" s="257"/>
      <c r="EK22" s="257"/>
      <c r="EL22" s="64">
        <f>EG22</f>
        <v>0</v>
      </c>
    </row>
    <row r="23" spans="2:150">
      <c r="B23" s="60" t="s">
        <v>918</v>
      </c>
      <c r="C23" s="147"/>
      <c r="D23" s="147"/>
      <c r="E23" s="147"/>
      <c r="F23" s="147"/>
      <c r="G23" s="19"/>
      <c r="H23" s="147"/>
      <c r="I23" s="147"/>
      <c r="J23" s="147"/>
      <c r="K23" s="147"/>
      <c r="L23" s="19"/>
      <c r="M23" s="147"/>
      <c r="N23" s="147"/>
      <c r="O23" s="147"/>
      <c r="P23" s="147"/>
      <c r="Q23" s="19"/>
      <c r="R23" s="147"/>
      <c r="S23" s="147"/>
      <c r="T23" s="147"/>
      <c r="U23" s="147"/>
      <c r="V23" s="19"/>
      <c r="W23" s="147"/>
      <c r="X23" s="147"/>
      <c r="Y23" s="147"/>
      <c r="Z23" s="147"/>
      <c r="AA23" s="19"/>
      <c r="AB23" s="147"/>
      <c r="AC23" s="147"/>
      <c r="AD23" s="147"/>
      <c r="AE23" s="147"/>
      <c r="AF23" s="19"/>
      <c r="AG23" s="147"/>
      <c r="AH23" s="147"/>
      <c r="AI23" s="147"/>
      <c r="AJ23" s="147"/>
      <c r="AK23" s="19"/>
      <c r="AL23" s="147"/>
      <c r="AM23" s="147"/>
      <c r="AN23" s="147"/>
      <c r="AO23" s="147"/>
      <c r="AP23" s="19"/>
      <c r="AQ23" s="147"/>
      <c r="AR23" s="147"/>
      <c r="AS23" s="147"/>
      <c r="AT23" s="147"/>
      <c r="AU23" s="103"/>
      <c r="AV23" s="144"/>
      <c r="AW23" s="144"/>
      <c r="AX23" s="144"/>
      <c r="AY23" s="144"/>
      <c r="AZ23" s="103"/>
      <c r="BA23" s="257"/>
      <c r="BB23" s="257"/>
      <c r="BC23" s="257"/>
      <c r="BD23" s="258"/>
      <c r="BE23" s="64"/>
      <c r="BF23" s="258"/>
      <c r="BG23" s="258"/>
      <c r="BH23" s="258"/>
      <c r="BI23" s="258"/>
      <c r="BJ23" s="64"/>
      <c r="BK23" s="258"/>
      <c r="BL23" s="258"/>
      <c r="BM23" s="258"/>
      <c r="BN23" s="258"/>
      <c r="BO23" s="64"/>
      <c r="BP23" s="258"/>
      <c r="BQ23" s="258"/>
      <c r="BR23" s="258"/>
      <c r="BS23" s="258"/>
      <c r="BT23" s="64"/>
      <c r="BU23" s="258"/>
      <c r="BV23" s="258">
        <f>120+BV60</f>
        <v>0</v>
      </c>
      <c r="BW23" s="257"/>
      <c r="BX23" s="532"/>
      <c r="BY23" s="64">
        <f>SUM(BU23:BX23)</f>
        <v>0</v>
      </c>
      <c r="BZ23" s="258">
        <f>10-BZ60</f>
        <v>0</v>
      </c>
      <c r="CA23" s="257"/>
      <c r="CB23" s="257"/>
      <c r="CC23" s="257"/>
      <c r="CD23" s="64"/>
      <c r="CE23" s="257"/>
      <c r="CF23" s="257"/>
      <c r="CG23" s="257"/>
      <c r="CH23" s="257"/>
      <c r="CI23" s="64"/>
      <c r="CJ23" s="257"/>
      <c r="CK23" s="257"/>
      <c r="CL23" s="257"/>
      <c r="CM23" s="257"/>
      <c r="CN23" s="64"/>
      <c r="CO23" s="257"/>
      <c r="CP23" s="257"/>
      <c r="CQ23" s="257"/>
      <c r="CR23" s="257"/>
      <c r="CS23" s="64"/>
      <c r="CT23" s="257"/>
      <c r="CU23" s="257"/>
      <c r="CV23" s="257"/>
      <c r="CW23" s="257"/>
      <c r="CX23" s="64"/>
      <c r="CY23" s="257"/>
      <c r="CZ23" s="257"/>
      <c r="DA23" s="257"/>
      <c r="DB23" s="257"/>
      <c r="DC23" s="64"/>
      <c r="DD23" s="257"/>
      <c r="DE23" s="257"/>
      <c r="DF23" s="257"/>
      <c r="DG23" s="257"/>
      <c r="DH23" s="64"/>
      <c r="DI23" s="257"/>
      <c r="DJ23" s="257"/>
      <c r="DK23" s="257"/>
      <c r="DL23" s="257"/>
      <c r="DM23" s="64"/>
      <c r="DN23" s="257"/>
      <c r="DO23" s="257"/>
      <c r="DP23" s="257"/>
      <c r="DQ23" s="257"/>
      <c r="DR23" s="64"/>
      <c r="DS23" s="257"/>
      <c r="DT23" s="257"/>
      <c r="DU23" s="257"/>
      <c r="DV23" s="257"/>
      <c r="DW23" s="64"/>
      <c r="DX23" s="257"/>
      <c r="DY23" s="257"/>
      <c r="DZ23" s="257"/>
      <c r="EA23" s="257"/>
      <c r="EB23" s="64"/>
      <c r="EC23" s="257"/>
      <c r="ED23" s="257"/>
      <c r="EE23" s="257"/>
      <c r="EF23" s="257"/>
      <c r="EG23" s="64"/>
      <c r="EH23" s="257"/>
      <c r="EI23" s="257"/>
      <c r="EJ23" s="257"/>
      <c r="EK23" s="257"/>
      <c r="EL23" s="64"/>
    </row>
    <row r="24" spans="2:150">
      <c r="B24" s="60" t="s">
        <v>826</v>
      </c>
      <c r="C24" s="147"/>
      <c r="D24" s="147"/>
      <c r="E24" s="147"/>
      <c r="F24" s="147"/>
      <c r="G24" s="19"/>
      <c r="H24" s="147"/>
      <c r="I24" s="147"/>
      <c r="J24" s="147"/>
      <c r="K24" s="147"/>
      <c r="L24" s="19"/>
      <c r="M24" s="147"/>
      <c r="N24" s="147"/>
      <c r="O24" s="147"/>
      <c r="P24" s="147"/>
      <c r="Q24" s="19"/>
      <c r="R24" s="147"/>
      <c r="S24" s="147"/>
      <c r="T24" s="147"/>
      <c r="U24" s="147"/>
      <c r="V24" s="19"/>
      <c r="W24" s="147"/>
      <c r="X24" s="147"/>
      <c r="Y24" s="147"/>
      <c r="Z24" s="147"/>
      <c r="AA24" s="19"/>
      <c r="AB24" s="147"/>
      <c r="AC24" s="147"/>
      <c r="AD24" s="147"/>
      <c r="AE24" s="147"/>
      <c r="AF24" s="19"/>
      <c r="AG24" s="147"/>
      <c r="AH24" s="147"/>
      <c r="AI24" s="147"/>
      <c r="AJ24" s="147"/>
      <c r="AK24" s="19"/>
      <c r="AL24" s="147"/>
      <c r="AM24" s="147"/>
      <c r="AN24" s="147"/>
      <c r="AO24" s="147"/>
      <c r="AP24" s="19"/>
      <c r="AQ24" s="147"/>
      <c r="AR24" s="147"/>
      <c r="AS24" s="147"/>
      <c r="AT24" s="147"/>
      <c r="AU24" s="103"/>
      <c r="AV24" s="144"/>
      <c r="AW24" s="144"/>
      <c r="AX24" s="144"/>
      <c r="AY24" s="144"/>
      <c r="AZ24" s="103"/>
      <c r="BA24" s="257"/>
      <c r="BB24" s="257"/>
      <c r="BC24" s="257"/>
      <c r="BD24" s="258"/>
      <c r="BE24" s="64"/>
      <c r="BF24" s="258"/>
      <c r="BG24" s="258"/>
      <c r="BH24" s="258"/>
      <c r="BI24" s="258"/>
      <c r="BJ24" s="64"/>
      <c r="BK24" s="258"/>
      <c r="BL24" s="258"/>
      <c r="BM24" s="258"/>
      <c r="BN24" s="258">
        <f>93.4+BN62</f>
        <v>0</v>
      </c>
      <c r="BO24" s="64">
        <f>SUM(BK24:BN24)</f>
        <v>0</v>
      </c>
      <c r="BP24" s="258">
        <f>9.7+BP62</f>
        <v>0</v>
      </c>
      <c r="BQ24" s="258">
        <f>BQ62</f>
        <v>-19.5</v>
      </c>
      <c r="BR24" s="258">
        <f>11.6+BR62</f>
        <v>-22.999999999999993</v>
      </c>
      <c r="BS24" s="258">
        <f>11.8+BS62</f>
        <v>-26.000000000000004</v>
      </c>
      <c r="BT24" s="64">
        <f>SUM(BP24:BS24)</f>
        <v>-68.5</v>
      </c>
      <c r="BU24" s="257">
        <f>0+BU62</f>
        <v>-19.2</v>
      </c>
      <c r="BV24" s="257"/>
      <c r="BW24" s="257"/>
      <c r="BX24" s="258">
        <f>0.9+BX62</f>
        <v>0</v>
      </c>
      <c r="BY24" s="64">
        <f>SUM(BU24:BX24)</f>
        <v>-19.2</v>
      </c>
      <c r="BZ24" s="258">
        <f>1.6-BZ62-BZ65</f>
        <v>-10.199999999999999</v>
      </c>
      <c r="CA24" s="257"/>
      <c r="CB24" s="257"/>
      <c r="CC24" s="257"/>
      <c r="CD24" s="64"/>
      <c r="CE24" s="257"/>
      <c r="CF24" s="257"/>
      <c r="CG24" s="257"/>
      <c r="CH24" s="257"/>
      <c r="CI24" s="64"/>
      <c r="CJ24" s="257"/>
      <c r="CK24" s="257"/>
      <c r="CL24" s="257"/>
      <c r="CM24" s="257"/>
      <c r="CN24" s="64"/>
      <c r="CO24" s="257"/>
      <c r="CP24" s="257"/>
      <c r="CQ24" s="257"/>
      <c r="CR24" s="257"/>
      <c r="CS24" s="64"/>
      <c r="CT24" s="257"/>
      <c r="CU24" s="257"/>
      <c r="CV24" s="257"/>
      <c r="CW24" s="257"/>
      <c r="CX24" s="64"/>
      <c r="CY24" s="257"/>
      <c r="CZ24" s="257"/>
      <c r="DA24" s="257"/>
      <c r="DB24" s="257"/>
      <c r="DC24" s="64"/>
      <c r="DD24" s="257"/>
      <c r="DE24" s="257"/>
      <c r="DF24" s="257"/>
      <c r="DG24" s="257"/>
      <c r="DH24" s="64"/>
      <c r="DI24" s="257"/>
      <c r="DJ24" s="257"/>
      <c r="DK24" s="257"/>
      <c r="DL24" s="257"/>
      <c r="DM24" s="64"/>
      <c r="DN24" s="257"/>
      <c r="DO24" s="257"/>
      <c r="DP24" s="257"/>
      <c r="DQ24" s="257"/>
      <c r="DR24" s="64"/>
      <c r="DS24" s="257"/>
      <c r="DT24" s="257"/>
      <c r="DU24" s="257"/>
      <c r="DV24" s="257"/>
      <c r="DW24" s="64"/>
      <c r="DX24" s="257"/>
      <c r="DY24" s="257"/>
      <c r="DZ24" s="257"/>
      <c r="EA24" s="257"/>
      <c r="EB24" s="64"/>
      <c r="EC24" s="257"/>
      <c r="ED24" s="257"/>
      <c r="EE24" s="257"/>
      <c r="EF24" s="257"/>
      <c r="EG24" s="64"/>
      <c r="EH24" s="257"/>
      <c r="EI24" s="257"/>
      <c r="EJ24" s="257"/>
      <c r="EK24" s="257"/>
      <c r="EL24" s="64"/>
    </row>
    <row r="25" spans="2:150" s="57" customFormat="1" ht="11.25" customHeight="1">
      <c r="B25" s="60" t="s">
        <v>194</v>
      </c>
      <c r="C25" s="148"/>
      <c r="D25" s="148"/>
      <c r="E25" s="148"/>
      <c r="F25" s="148"/>
      <c r="H25" s="148"/>
      <c r="I25" s="148"/>
      <c r="J25" s="148"/>
      <c r="K25" s="148"/>
      <c r="M25" s="148"/>
      <c r="N25" s="148"/>
      <c r="O25" s="148"/>
      <c r="P25" s="148"/>
      <c r="R25" s="148"/>
      <c r="S25" s="148"/>
      <c r="T25" s="145">
        <v>-5.2889999999999997</v>
      </c>
      <c r="U25" s="145">
        <f>+V25-SUM(R25:T25)</f>
        <v>-4.3930000000000007</v>
      </c>
      <c r="V25" s="17">
        <v>-9.6820000000000004</v>
      </c>
      <c r="W25" s="145">
        <v>-5.5670000000000002</v>
      </c>
      <c r="X25" s="145">
        <v>-0.105</v>
      </c>
      <c r="Y25" s="145">
        <v>5.8419999999999996</v>
      </c>
      <c r="Z25" s="145">
        <f>+AA25-SUM(W25:Y25)</f>
        <v>13.909000000000002</v>
      </c>
      <c r="AA25" s="17">
        <v>14.079000000000001</v>
      </c>
      <c r="AB25" s="145">
        <v>21.405999999999999</v>
      </c>
      <c r="AC25" s="145">
        <v>33.429000000000002</v>
      </c>
      <c r="AD25" s="145">
        <v>43.533000000000001</v>
      </c>
      <c r="AE25" s="145">
        <f>+AF25-SUM(AB25:AD25)</f>
        <v>37.673000000000002</v>
      </c>
      <c r="AF25" s="17">
        <v>136.041</v>
      </c>
      <c r="AG25" s="145">
        <v>42.773000000000003</v>
      </c>
      <c r="AH25" s="145">
        <v>49.137999999999998</v>
      </c>
      <c r="AI25" s="145">
        <v>60.697000000000003</v>
      </c>
      <c r="AJ25" s="145">
        <f>+AK25-SUM(AG25:AI25)</f>
        <v>63.295999999999992</v>
      </c>
      <c r="AK25" s="17">
        <v>215.904</v>
      </c>
      <c r="AL25" s="145">
        <v>63.557000000000002</v>
      </c>
      <c r="AM25" s="145">
        <v>62.692</v>
      </c>
      <c r="AN25" s="145">
        <v>63.991</v>
      </c>
      <c r="AO25" s="145">
        <f>+AP25-SUM(AL25:AN25)</f>
        <v>67.831000000000017</v>
      </c>
      <c r="AP25" s="17">
        <v>258.07100000000003</v>
      </c>
      <c r="AQ25" s="145">
        <v>74.793999999999997</v>
      </c>
      <c r="AR25" s="145">
        <v>88.05</v>
      </c>
      <c r="AS25" s="145">
        <v>81.474999999999994</v>
      </c>
      <c r="AT25" s="145">
        <v>73.453000000000003</v>
      </c>
      <c r="AU25" s="64">
        <f>SUM(AQ25:AT25)</f>
        <v>317.77199999999999</v>
      </c>
      <c r="AV25" s="146">
        <v>85.894000000000005</v>
      </c>
      <c r="AW25" s="146">
        <v>78.510999999999996</v>
      </c>
      <c r="AX25" s="146">
        <v>75.545000000000002</v>
      </c>
      <c r="AY25" s="146">
        <v>77.944000000000003</v>
      </c>
      <c r="AZ25" s="64">
        <f>SUM(AV25:AY25)</f>
        <v>317.89400000000001</v>
      </c>
      <c r="BA25" s="255">
        <v>85.356999999999999</v>
      </c>
      <c r="BB25" s="255"/>
      <c r="BC25" s="257"/>
      <c r="BD25" s="255"/>
      <c r="BE25" s="64">
        <f>SUM(BA25:BD25)</f>
        <v>85.356999999999999</v>
      </c>
      <c r="BF25" s="257"/>
      <c r="BG25" s="257"/>
      <c r="BH25" s="257"/>
      <c r="BI25" s="257"/>
      <c r="BJ25" s="64"/>
      <c r="BK25" s="257"/>
      <c r="BL25" s="257"/>
      <c r="BM25" s="257"/>
      <c r="BN25" s="257"/>
      <c r="BO25" s="64"/>
      <c r="BP25" s="257"/>
      <c r="BQ25" s="258">
        <f>-5.6</f>
        <v>-5.6</v>
      </c>
      <c r="BR25" s="258">
        <v>4.7</v>
      </c>
      <c r="BS25" s="258">
        <v>11.1</v>
      </c>
      <c r="BT25" s="64">
        <f t="shared" ref="BT25:BT30" si="21">SUM(BP25:BS25)</f>
        <v>10.199999999999999</v>
      </c>
      <c r="BU25" s="258">
        <v>20.8</v>
      </c>
      <c r="BV25" s="258">
        <v>26.5</v>
      </c>
      <c r="BW25" s="258">
        <v>35.200000000000003</v>
      </c>
      <c r="BX25" s="258">
        <v>29.8</v>
      </c>
      <c r="BY25" s="64">
        <f>SUM(BU25:BX25)</f>
        <v>112.3</v>
      </c>
      <c r="BZ25" s="258">
        <v>42.5</v>
      </c>
      <c r="CA25" s="255">
        <f>CD25/4</f>
        <v>41.022500000000001</v>
      </c>
      <c r="CB25" s="255">
        <f>CD25/4</f>
        <v>41.022500000000001</v>
      </c>
      <c r="CC25" s="255">
        <f>CD25-SUM(BZ25:CB25)</f>
        <v>39.544999999999987</v>
      </c>
      <c r="CD25" s="64">
        <f>CHOOSE(DCF!$C$28,IS!CD26,IS!CD27,IS!CD28)</f>
        <v>164.09</v>
      </c>
      <c r="CE25" s="257"/>
      <c r="CF25" s="257"/>
      <c r="CG25" s="257"/>
      <c r="CH25" s="257"/>
      <c r="CI25" s="64">
        <f>CHOOSE(DCF!$C$28,IS!CI26,IS!CI27,IS!CI28)</f>
        <v>204.786</v>
      </c>
      <c r="CJ25" s="257"/>
      <c r="CK25" s="257"/>
      <c r="CL25" s="257"/>
      <c r="CM25" s="257"/>
      <c r="CN25" s="64">
        <f>CHOOSE(DCF!$C$28,IS!CN26,IS!CN27,IS!CN28)</f>
        <v>249.70680000000002</v>
      </c>
      <c r="CO25" s="257"/>
      <c r="CP25" s="257"/>
      <c r="CQ25" s="257"/>
      <c r="CR25" s="257"/>
      <c r="CS25" s="64">
        <f>CHOOSE(DCF!$C$28,IS!CS26,IS!CS27,IS!CS28)</f>
        <v>301.81247999999999</v>
      </c>
      <c r="CT25" s="257"/>
      <c r="CU25" s="257"/>
      <c r="CV25" s="257"/>
      <c r="CW25" s="257"/>
      <c r="CX25" s="64">
        <f>CHOOSE(DCF!$C$28,IS!CX26,IS!CX27,IS!CX28)</f>
        <v>352.50754499999999</v>
      </c>
      <c r="CY25" s="257"/>
      <c r="CZ25" s="257"/>
      <c r="DA25" s="257"/>
      <c r="DB25" s="257"/>
      <c r="DC25" s="64">
        <f>CHOOSE(DCF!$C$28,IS!DC26,IS!DC27,IS!DC28)</f>
        <v>391.23978075000002</v>
      </c>
      <c r="DD25" s="257"/>
      <c r="DE25" s="257"/>
      <c r="DF25" s="257"/>
      <c r="DG25" s="257"/>
      <c r="DH25" s="64">
        <f>CHOOSE(DCF!$C$28,IS!DH26,IS!DH27,IS!DH28)</f>
        <v>434.36746226250006</v>
      </c>
      <c r="DI25" s="257"/>
      <c r="DJ25" s="257"/>
      <c r="DK25" s="257"/>
      <c r="DL25" s="257"/>
      <c r="DM25" s="64">
        <f>CHOOSE(DCF!$C$28,IS!DM26,IS!DM27,IS!DM28)</f>
        <v>477.80420848875008</v>
      </c>
      <c r="DN25" s="257"/>
      <c r="DO25" s="257"/>
      <c r="DP25" s="257"/>
      <c r="DQ25" s="257"/>
      <c r="DR25" s="64">
        <f>CHOOSE(DCF!$C$28,IS!DR26,IS!DR27,IS!DR28)</f>
        <v>506.75910376162511</v>
      </c>
      <c r="DS25" s="257"/>
      <c r="DT25" s="257"/>
      <c r="DU25" s="257"/>
      <c r="DV25" s="257"/>
      <c r="DW25" s="64">
        <f>CHOOSE(DCF!$C$28,IS!DW26,IS!DW27,IS!DW28)</f>
        <v>537.66821228298761</v>
      </c>
      <c r="DX25" s="257"/>
      <c r="DY25" s="257"/>
      <c r="DZ25" s="257"/>
      <c r="EA25" s="257"/>
      <c r="EB25" s="64">
        <f>CHOOSE(DCF!$C$28,IS!EB26,IS!EB27,IS!EB28)</f>
        <v>570.67989156374642</v>
      </c>
      <c r="EC25" s="257"/>
      <c r="ED25" s="257"/>
      <c r="EE25" s="257"/>
      <c r="EF25" s="257"/>
      <c r="EG25" s="64">
        <f>CHOOSE(DCF!$C$28,IS!EG26,IS!EG27,IS!EG28)</f>
        <v>599.2138861419337</v>
      </c>
      <c r="EH25" s="257"/>
      <c r="EI25" s="257"/>
      <c r="EJ25" s="257"/>
      <c r="EK25" s="257"/>
      <c r="EL25" s="64">
        <f>CHOOSE(DCF!$C$28,IS!EL26,IS!EL27,IS!EL28)</f>
        <v>629.17458044903037</v>
      </c>
      <c r="EO25"/>
      <c r="EP25"/>
      <c r="EQ25"/>
      <c r="ER25"/>
      <c r="ES25"/>
      <c r="ET25"/>
    </row>
    <row r="26" spans="2:150" s="57" customFormat="1" ht="11.25" hidden="1" customHeight="1" outlineLevel="1">
      <c r="B26" s="523" t="s">
        <v>923</v>
      </c>
      <c r="C26" s="524"/>
      <c r="D26" s="524"/>
      <c r="E26" s="524"/>
      <c r="F26" s="524"/>
      <c r="G26" s="524"/>
      <c r="H26" s="524"/>
      <c r="I26" s="524"/>
      <c r="J26" s="524"/>
      <c r="K26" s="524"/>
      <c r="L26" s="524"/>
      <c r="M26" s="524"/>
      <c r="N26" s="524"/>
      <c r="O26" s="524"/>
      <c r="P26" s="524"/>
      <c r="Q26" s="524"/>
      <c r="R26" s="524"/>
      <c r="S26" s="524"/>
      <c r="T26" s="524"/>
      <c r="U26" s="524"/>
      <c r="V26" s="524"/>
      <c r="W26" s="524"/>
      <c r="X26" s="524"/>
      <c r="Y26" s="524"/>
      <c r="Z26" s="524"/>
      <c r="AA26" s="524"/>
      <c r="AB26" s="524"/>
      <c r="AC26" s="524"/>
      <c r="AD26" s="524"/>
      <c r="AE26" s="524"/>
      <c r="AF26" s="524"/>
      <c r="AG26" s="524"/>
      <c r="AH26" s="524"/>
      <c r="AI26" s="524"/>
      <c r="AJ26" s="524"/>
      <c r="AK26" s="524"/>
      <c r="AL26" s="524"/>
      <c r="AM26" s="524"/>
      <c r="AN26" s="524"/>
      <c r="AO26" s="524"/>
      <c r="AP26" s="524"/>
      <c r="AQ26" s="524"/>
      <c r="AR26" s="524"/>
      <c r="AS26" s="524"/>
      <c r="AT26" s="524"/>
      <c r="AU26" s="524"/>
      <c r="AV26" s="524"/>
      <c r="AW26" s="524"/>
      <c r="AX26" s="524"/>
      <c r="AY26" s="524"/>
      <c r="AZ26" s="524"/>
      <c r="BA26" s="524"/>
      <c r="BB26" s="524"/>
      <c r="BC26" s="524"/>
      <c r="BD26" s="524"/>
      <c r="BE26" s="524"/>
      <c r="BF26" s="524"/>
      <c r="BG26" s="524"/>
      <c r="BH26" s="524"/>
      <c r="BI26" s="524"/>
      <c r="BJ26" s="524"/>
      <c r="BK26" s="524"/>
      <c r="BL26" s="524"/>
      <c r="BM26" s="524"/>
      <c r="BN26" s="524"/>
      <c r="BO26" s="524"/>
      <c r="BP26" s="524"/>
      <c r="BQ26" s="524"/>
      <c r="BR26" s="524"/>
      <c r="BS26" s="524"/>
      <c r="BT26" s="524"/>
      <c r="BU26" s="524"/>
      <c r="BV26" s="524"/>
      <c r="BW26" s="524"/>
      <c r="BX26" s="524"/>
      <c r="BY26" s="524"/>
      <c r="BZ26" s="524"/>
      <c r="CA26" s="524"/>
      <c r="CB26" s="524"/>
      <c r="CC26" s="524"/>
      <c r="CD26" s="524">
        <v>196.90799999999999</v>
      </c>
      <c r="CE26" s="524"/>
      <c r="CF26" s="524"/>
      <c r="CG26" s="524"/>
      <c r="CH26" s="524"/>
      <c r="CI26" s="524">
        <v>245.7432</v>
      </c>
      <c r="CJ26" s="524"/>
      <c r="CK26" s="524"/>
      <c r="CL26" s="524"/>
      <c r="CM26" s="524"/>
      <c r="CN26" s="524">
        <v>299.64816000000002</v>
      </c>
      <c r="CO26" s="524"/>
      <c r="CP26" s="524"/>
      <c r="CQ26" s="524"/>
      <c r="CR26" s="524"/>
      <c r="CS26" s="524">
        <v>362.17497599999996</v>
      </c>
      <c r="CT26" s="524"/>
      <c r="CU26" s="524"/>
      <c r="CV26" s="524"/>
      <c r="CW26" s="524"/>
      <c r="CX26" s="524">
        <v>423.00905399999999</v>
      </c>
      <c r="CY26" s="524"/>
      <c r="CZ26" s="524"/>
      <c r="DA26" s="524"/>
      <c r="DB26" s="524"/>
      <c r="DC26" s="524">
        <v>469.48773690000002</v>
      </c>
      <c r="DD26" s="524"/>
      <c r="DE26" s="524"/>
      <c r="DF26" s="524"/>
      <c r="DG26" s="524"/>
      <c r="DH26" s="524">
        <v>521.24095471500004</v>
      </c>
      <c r="DI26" s="524"/>
      <c r="DJ26" s="524"/>
      <c r="DK26" s="524"/>
      <c r="DL26" s="524"/>
      <c r="DM26" s="524">
        <v>573.36505018650007</v>
      </c>
      <c r="DN26" s="524"/>
      <c r="DO26" s="524"/>
      <c r="DP26" s="524"/>
      <c r="DQ26" s="524"/>
      <c r="DR26" s="524">
        <v>608.11092451395007</v>
      </c>
      <c r="DS26" s="524"/>
      <c r="DT26" s="524"/>
      <c r="DU26" s="524"/>
      <c r="DV26" s="524"/>
      <c r="DW26" s="524">
        <v>645.20185473958509</v>
      </c>
      <c r="DX26" s="524"/>
      <c r="DY26" s="524"/>
      <c r="DZ26" s="524"/>
      <c r="EA26" s="524"/>
      <c r="EB26" s="524">
        <v>684.81586987649564</v>
      </c>
      <c r="EC26" s="524"/>
      <c r="ED26" s="524"/>
      <c r="EE26" s="524"/>
      <c r="EF26" s="524"/>
      <c r="EG26" s="524">
        <v>719.05666337032039</v>
      </c>
      <c r="EH26" s="524"/>
      <c r="EI26" s="524"/>
      <c r="EJ26" s="524"/>
      <c r="EK26" s="524"/>
      <c r="EL26" s="524">
        <v>755.0094965388364</v>
      </c>
      <c r="EO26"/>
      <c r="EP26"/>
      <c r="EQ26"/>
      <c r="ER26"/>
      <c r="ES26"/>
      <c r="ET26"/>
    </row>
    <row r="27" spans="2:150" s="57" customFormat="1" ht="11.25" hidden="1" customHeight="1" outlineLevel="1">
      <c r="B27" s="523" t="s">
        <v>924</v>
      </c>
      <c r="C27" s="524"/>
      <c r="D27" s="524"/>
      <c r="E27" s="524"/>
      <c r="F27" s="524"/>
      <c r="G27" s="524"/>
      <c r="H27" s="524"/>
      <c r="I27" s="524"/>
      <c r="J27" s="524"/>
      <c r="K27" s="524"/>
      <c r="L27" s="524"/>
      <c r="M27" s="524"/>
      <c r="N27" s="524"/>
      <c r="O27" s="524"/>
      <c r="P27" s="524"/>
      <c r="Q27" s="524"/>
      <c r="R27" s="524"/>
      <c r="S27" s="524"/>
      <c r="T27" s="524"/>
      <c r="U27" s="524"/>
      <c r="V27" s="524"/>
      <c r="W27" s="524"/>
      <c r="X27" s="524"/>
      <c r="Y27" s="524"/>
      <c r="Z27" s="524"/>
      <c r="AA27" s="524"/>
      <c r="AB27" s="524"/>
      <c r="AC27" s="524"/>
      <c r="AD27" s="524"/>
      <c r="AE27" s="524"/>
      <c r="AF27" s="524"/>
      <c r="AG27" s="524"/>
      <c r="AH27" s="524"/>
      <c r="AI27" s="524"/>
      <c r="AJ27" s="524"/>
      <c r="AK27" s="524"/>
      <c r="AL27" s="524"/>
      <c r="AM27" s="524"/>
      <c r="AN27" s="524"/>
      <c r="AO27" s="524"/>
      <c r="AP27" s="524"/>
      <c r="AQ27" s="524"/>
      <c r="AR27" s="524"/>
      <c r="AS27" s="524"/>
      <c r="AT27" s="524"/>
      <c r="AU27" s="524"/>
      <c r="AV27" s="524"/>
      <c r="AW27" s="524"/>
      <c r="AX27" s="524"/>
      <c r="AY27" s="524"/>
      <c r="AZ27" s="524"/>
      <c r="BA27" s="524"/>
      <c r="BB27" s="524"/>
      <c r="BC27" s="524"/>
      <c r="BD27" s="524"/>
      <c r="BE27" s="524"/>
      <c r="BF27" s="524"/>
      <c r="BG27" s="524"/>
      <c r="BH27" s="524"/>
      <c r="BI27" s="524"/>
      <c r="BJ27" s="524"/>
      <c r="BK27" s="524"/>
      <c r="BL27" s="524"/>
      <c r="BM27" s="524"/>
      <c r="BN27" s="524"/>
      <c r="BO27" s="524"/>
      <c r="BP27" s="524"/>
      <c r="BQ27" s="524"/>
      <c r="BR27" s="524"/>
      <c r="BS27" s="524"/>
      <c r="BT27" s="524"/>
      <c r="BU27" s="524"/>
      <c r="BV27" s="524"/>
      <c r="BW27" s="524"/>
      <c r="BX27" s="524"/>
      <c r="BY27" s="524"/>
      <c r="BZ27" s="524"/>
      <c r="CA27" s="524"/>
      <c r="CB27" s="524"/>
      <c r="CC27" s="524"/>
      <c r="CD27" s="524">
        <v>164.09</v>
      </c>
      <c r="CE27" s="524"/>
      <c r="CF27" s="524"/>
      <c r="CG27" s="524"/>
      <c r="CH27" s="524"/>
      <c r="CI27" s="524">
        <v>204.786</v>
      </c>
      <c r="CJ27" s="524"/>
      <c r="CK27" s="524"/>
      <c r="CL27" s="524"/>
      <c r="CM27" s="524"/>
      <c r="CN27" s="524">
        <v>249.70680000000002</v>
      </c>
      <c r="CO27" s="524"/>
      <c r="CP27" s="524"/>
      <c r="CQ27" s="524"/>
      <c r="CR27" s="524"/>
      <c r="CS27" s="524">
        <v>301.81247999999999</v>
      </c>
      <c r="CT27" s="524"/>
      <c r="CU27" s="524"/>
      <c r="CV27" s="524"/>
      <c r="CW27" s="524"/>
      <c r="CX27" s="524">
        <v>352.50754499999999</v>
      </c>
      <c r="CY27" s="524"/>
      <c r="CZ27" s="524"/>
      <c r="DA27" s="524"/>
      <c r="DB27" s="524"/>
      <c r="DC27" s="524">
        <v>391.23978075000002</v>
      </c>
      <c r="DD27" s="524"/>
      <c r="DE27" s="524"/>
      <c r="DF27" s="524"/>
      <c r="DG27" s="524"/>
      <c r="DH27" s="524">
        <v>434.36746226250006</v>
      </c>
      <c r="DI27" s="524"/>
      <c r="DJ27" s="524"/>
      <c r="DK27" s="524"/>
      <c r="DL27" s="524"/>
      <c r="DM27" s="524">
        <v>477.80420848875008</v>
      </c>
      <c r="DN27" s="524"/>
      <c r="DO27" s="524"/>
      <c r="DP27" s="524"/>
      <c r="DQ27" s="524"/>
      <c r="DR27" s="524">
        <v>506.75910376162511</v>
      </c>
      <c r="DS27" s="524"/>
      <c r="DT27" s="524"/>
      <c r="DU27" s="524"/>
      <c r="DV27" s="524"/>
      <c r="DW27" s="524">
        <v>537.66821228298761</v>
      </c>
      <c r="DX27" s="524"/>
      <c r="DY27" s="524"/>
      <c r="DZ27" s="524"/>
      <c r="EA27" s="524"/>
      <c r="EB27" s="524">
        <v>570.67989156374642</v>
      </c>
      <c r="EC27" s="524"/>
      <c r="ED27" s="524"/>
      <c r="EE27" s="524"/>
      <c r="EF27" s="524"/>
      <c r="EG27" s="524">
        <v>599.2138861419337</v>
      </c>
      <c r="EH27" s="524"/>
      <c r="EI27" s="524"/>
      <c r="EJ27" s="524"/>
      <c r="EK27" s="524"/>
      <c r="EL27" s="524">
        <v>629.17458044903037</v>
      </c>
      <c r="EO27"/>
      <c r="EP27"/>
      <c r="EQ27"/>
      <c r="ER27"/>
      <c r="ES27"/>
      <c r="ET27"/>
    </row>
    <row r="28" spans="2:150" s="57" customFormat="1" ht="11.25" hidden="1" customHeight="1" outlineLevel="1">
      <c r="B28" s="523" t="s">
        <v>925</v>
      </c>
      <c r="C28" s="524"/>
      <c r="D28" s="524"/>
      <c r="E28" s="524"/>
      <c r="F28" s="524"/>
      <c r="G28" s="524"/>
      <c r="H28" s="524"/>
      <c r="I28" s="524"/>
      <c r="J28" s="524"/>
      <c r="K28" s="524"/>
      <c r="L28" s="524"/>
      <c r="M28" s="524"/>
      <c r="N28" s="524"/>
      <c r="O28" s="524"/>
      <c r="P28" s="524"/>
      <c r="Q28" s="524"/>
      <c r="R28" s="524"/>
      <c r="S28" s="524"/>
      <c r="T28" s="524"/>
      <c r="U28" s="524"/>
      <c r="V28" s="524"/>
      <c r="W28" s="524"/>
      <c r="X28" s="524"/>
      <c r="Y28" s="524"/>
      <c r="Z28" s="524"/>
      <c r="AA28" s="524"/>
      <c r="AB28" s="524"/>
      <c r="AC28" s="524"/>
      <c r="AD28" s="524"/>
      <c r="AE28" s="524"/>
      <c r="AF28" s="524"/>
      <c r="AG28" s="524"/>
      <c r="AH28" s="524"/>
      <c r="AI28" s="524"/>
      <c r="AJ28" s="524"/>
      <c r="AK28" s="524"/>
      <c r="AL28" s="524"/>
      <c r="AM28" s="524"/>
      <c r="AN28" s="524"/>
      <c r="AO28" s="524"/>
      <c r="AP28" s="524"/>
      <c r="AQ28" s="524"/>
      <c r="AR28" s="524"/>
      <c r="AS28" s="524"/>
      <c r="AT28" s="524"/>
      <c r="AU28" s="524"/>
      <c r="AV28" s="524"/>
      <c r="AW28" s="524"/>
      <c r="AX28" s="524"/>
      <c r="AY28" s="524"/>
      <c r="AZ28" s="524"/>
      <c r="BA28" s="524"/>
      <c r="BB28" s="524"/>
      <c r="BC28" s="524"/>
      <c r="BD28" s="524"/>
      <c r="BE28" s="524"/>
      <c r="BF28" s="524"/>
      <c r="BG28" s="524"/>
      <c r="BH28" s="524"/>
      <c r="BI28" s="524"/>
      <c r="BJ28" s="524"/>
      <c r="BK28" s="524"/>
      <c r="BL28" s="524"/>
      <c r="BM28" s="524"/>
      <c r="BN28" s="524"/>
      <c r="BO28" s="524"/>
      <c r="BP28" s="524"/>
      <c r="BQ28" s="524"/>
      <c r="BR28" s="524"/>
      <c r="BS28" s="524"/>
      <c r="BT28" s="524"/>
      <c r="BU28" s="524"/>
      <c r="BV28" s="524"/>
      <c r="BW28" s="524"/>
      <c r="BX28" s="524"/>
      <c r="BY28" s="524"/>
      <c r="BZ28" s="524"/>
      <c r="CA28" s="524"/>
      <c r="CB28" s="524"/>
      <c r="CC28" s="524"/>
      <c r="CD28" s="524">
        <f>CD27*0.8</f>
        <v>131.27200000000002</v>
      </c>
      <c r="CE28" s="524">
        <f t="shared" ref="CE28:EL28" si="22">CE27*0.8</f>
        <v>0</v>
      </c>
      <c r="CF28" s="524">
        <f t="shared" si="22"/>
        <v>0</v>
      </c>
      <c r="CG28" s="524">
        <f t="shared" si="22"/>
        <v>0</v>
      </c>
      <c r="CH28" s="524">
        <f t="shared" si="22"/>
        <v>0</v>
      </c>
      <c r="CI28" s="524">
        <f t="shared" si="22"/>
        <v>163.8288</v>
      </c>
      <c r="CJ28" s="524">
        <f t="shared" si="22"/>
        <v>0</v>
      </c>
      <c r="CK28" s="524">
        <f t="shared" si="22"/>
        <v>0</v>
      </c>
      <c r="CL28" s="524">
        <f t="shared" si="22"/>
        <v>0</v>
      </c>
      <c r="CM28" s="524">
        <f t="shared" si="22"/>
        <v>0</v>
      </c>
      <c r="CN28" s="524">
        <f t="shared" si="22"/>
        <v>199.76544000000001</v>
      </c>
      <c r="CO28" s="524">
        <f t="shared" si="22"/>
        <v>0</v>
      </c>
      <c r="CP28" s="524">
        <f t="shared" si="22"/>
        <v>0</v>
      </c>
      <c r="CQ28" s="524">
        <f t="shared" si="22"/>
        <v>0</v>
      </c>
      <c r="CR28" s="524">
        <f t="shared" si="22"/>
        <v>0</v>
      </c>
      <c r="CS28" s="524">
        <f t="shared" si="22"/>
        <v>241.449984</v>
      </c>
      <c r="CT28" s="524">
        <f t="shared" si="22"/>
        <v>0</v>
      </c>
      <c r="CU28" s="524">
        <f t="shared" si="22"/>
        <v>0</v>
      </c>
      <c r="CV28" s="524">
        <f t="shared" si="22"/>
        <v>0</v>
      </c>
      <c r="CW28" s="524">
        <f t="shared" si="22"/>
        <v>0</v>
      </c>
      <c r="CX28" s="524">
        <f t="shared" si="22"/>
        <v>282.00603599999999</v>
      </c>
      <c r="CY28" s="524">
        <f t="shared" si="22"/>
        <v>0</v>
      </c>
      <c r="CZ28" s="524">
        <f t="shared" si="22"/>
        <v>0</v>
      </c>
      <c r="DA28" s="524">
        <f t="shared" si="22"/>
        <v>0</v>
      </c>
      <c r="DB28" s="524">
        <f t="shared" si="22"/>
        <v>0</v>
      </c>
      <c r="DC28" s="524">
        <f t="shared" si="22"/>
        <v>312.99182460000003</v>
      </c>
      <c r="DD28" s="524">
        <f t="shared" si="22"/>
        <v>0</v>
      </c>
      <c r="DE28" s="524">
        <f t="shared" si="22"/>
        <v>0</v>
      </c>
      <c r="DF28" s="524">
        <f t="shared" si="22"/>
        <v>0</v>
      </c>
      <c r="DG28" s="524">
        <f t="shared" si="22"/>
        <v>0</v>
      </c>
      <c r="DH28" s="524">
        <f t="shared" si="22"/>
        <v>347.49396981000007</v>
      </c>
      <c r="DI28" s="524">
        <f t="shared" si="22"/>
        <v>0</v>
      </c>
      <c r="DJ28" s="524">
        <f t="shared" si="22"/>
        <v>0</v>
      </c>
      <c r="DK28" s="524">
        <f t="shared" si="22"/>
        <v>0</v>
      </c>
      <c r="DL28" s="524">
        <f t="shared" si="22"/>
        <v>0</v>
      </c>
      <c r="DM28" s="524">
        <f t="shared" si="22"/>
        <v>382.24336679100008</v>
      </c>
      <c r="DN28" s="524">
        <f t="shared" si="22"/>
        <v>0</v>
      </c>
      <c r="DO28" s="524">
        <f t="shared" si="22"/>
        <v>0</v>
      </c>
      <c r="DP28" s="524">
        <f t="shared" si="22"/>
        <v>0</v>
      </c>
      <c r="DQ28" s="524">
        <f t="shared" si="22"/>
        <v>0</v>
      </c>
      <c r="DR28" s="524">
        <f t="shared" si="22"/>
        <v>405.4072830093001</v>
      </c>
      <c r="DS28" s="524">
        <f t="shared" si="22"/>
        <v>0</v>
      </c>
      <c r="DT28" s="524">
        <f t="shared" si="22"/>
        <v>0</v>
      </c>
      <c r="DU28" s="524">
        <f t="shared" si="22"/>
        <v>0</v>
      </c>
      <c r="DV28" s="524">
        <f t="shared" si="22"/>
        <v>0</v>
      </c>
      <c r="DW28" s="524">
        <f t="shared" si="22"/>
        <v>430.13456982639013</v>
      </c>
      <c r="DX28" s="524">
        <f t="shared" si="22"/>
        <v>0</v>
      </c>
      <c r="DY28" s="524">
        <f t="shared" si="22"/>
        <v>0</v>
      </c>
      <c r="DZ28" s="524">
        <f t="shared" si="22"/>
        <v>0</v>
      </c>
      <c r="EA28" s="524">
        <f t="shared" si="22"/>
        <v>0</v>
      </c>
      <c r="EB28" s="524">
        <f t="shared" si="22"/>
        <v>456.54391325099715</v>
      </c>
      <c r="EC28" s="524">
        <f t="shared" si="22"/>
        <v>0</v>
      </c>
      <c r="ED28" s="524">
        <f t="shared" si="22"/>
        <v>0</v>
      </c>
      <c r="EE28" s="524">
        <f t="shared" si="22"/>
        <v>0</v>
      </c>
      <c r="EF28" s="524">
        <f t="shared" si="22"/>
        <v>0</v>
      </c>
      <c r="EG28" s="524">
        <f t="shared" si="22"/>
        <v>479.371108913547</v>
      </c>
      <c r="EH28" s="524">
        <f t="shared" si="22"/>
        <v>0</v>
      </c>
      <c r="EI28" s="524">
        <f t="shared" si="22"/>
        <v>0</v>
      </c>
      <c r="EJ28" s="524">
        <f t="shared" si="22"/>
        <v>0</v>
      </c>
      <c r="EK28" s="524">
        <f t="shared" si="22"/>
        <v>0</v>
      </c>
      <c r="EL28" s="524">
        <f t="shared" si="22"/>
        <v>503.33966435922434</v>
      </c>
      <c r="EO28"/>
      <c r="EP28"/>
      <c r="EQ28"/>
      <c r="ER28"/>
      <c r="ES28"/>
      <c r="ET28"/>
    </row>
    <row r="29" spans="2:150" s="57" customFormat="1" ht="11.25" customHeight="1" collapsed="1">
      <c r="B29" s="60" t="s">
        <v>910</v>
      </c>
      <c r="C29" s="148"/>
      <c r="D29" s="148"/>
      <c r="E29" s="148"/>
      <c r="F29" s="148"/>
      <c r="H29" s="148"/>
      <c r="I29" s="148"/>
      <c r="J29" s="148"/>
      <c r="K29" s="148"/>
      <c r="M29" s="148"/>
      <c r="N29" s="148"/>
      <c r="O29" s="148"/>
      <c r="P29" s="148"/>
      <c r="R29" s="148"/>
      <c r="S29" s="148"/>
      <c r="T29" s="145"/>
      <c r="U29" s="145"/>
      <c r="V29" s="17"/>
      <c r="W29" s="145"/>
      <c r="X29" s="145"/>
      <c r="Y29" s="145"/>
      <c r="Z29" s="145"/>
      <c r="AA29" s="17"/>
      <c r="AB29" s="145"/>
      <c r="AC29" s="145"/>
      <c r="AD29" s="145"/>
      <c r="AE29" s="145"/>
      <c r="AF29" s="17"/>
      <c r="AG29" s="145"/>
      <c r="AH29" s="145"/>
      <c r="AI29" s="145"/>
      <c r="AJ29" s="145"/>
      <c r="AK29" s="17"/>
      <c r="AL29" s="145"/>
      <c r="AM29" s="145"/>
      <c r="AN29" s="145"/>
      <c r="AO29" s="145"/>
      <c r="AP29" s="17"/>
      <c r="AQ29" s="145"/>
      <c r="AR29" s="145"/>
      <c r="AS29" s="145"/>
      <c r="AT29" s="145"/>
      <c r="AU29" s="64"/>
      <c r="AV29" s="146"/>
      <c r="AW29" s="146"/>
      <c r="AX29" s="146"/>
      <c r="AY29" s="146"/>
      <c r="AZ29" s="64"/>
      <c r="BA29" s="255"/>
      <c r="BB29" s="255"/>
      <c r="BC29" s="257"/>
      <c r="BD29" s="255"/>
      <c r="BE29" s="64"/>
      <c r="BF29" s="257"/>
      <c r="BG29" s="257"/>
      <c r="BH29" s="257"/>
      <c r="BI29" s="257"/>
      <c r="BJ29" s="64"/>
      <c r="BK29" s="257"/>
      <c r="BL29" s="257"/>
      <c r="BM29" s="257"/>
      <c r="BN29" s="257"/>
      <c r="BO29" s="64"/>
      <c r="BP29" s="257"/>
      <c r="BQ29" s="258"/>
      <c r="BR29" s="258"/>
      <c r="BS29" s="257">
        <f>454.8+BS58</f>
        <v>0</v>
      </c>
      <c r="BT29" s="64">
        <f t="shared" si="21"/>
        <v>0</v>
      </c>
      <c r="BU29" s="257"/>
      <c r="BV29" s="257"/>
      <c r="BW29" s="257"/>
      <c r="BX29" s="257"/>
      <c r="BY29" s="64"/>
      <c r="BZ29" s="257"/>
      <c r="CA29" s="257"/>
      <c r="CB29" s="257"/>
      <c r="CC29" s="257"/>
      <c r="CD29" s="103"/>
      <c r="CE29" s="257"/>
      <c r="CF29" s="257"/>
      <c r="CG29" s="257"/>
      <c r="CH29" s="257"/>
      <c r="CI29" s="103"/>
      <c r="CJ29" s="257"/>
      <c r="CK29" s="257"/>
      <c r="CL29" s="257"/>
      <c r="CM29" s="257"/>
      <c r="CN29" s="103"/>
      <c r="CO29" s="257"/>
      <c r="CP29" s="257"/>
      <c r="CQ29" s="257"/>
      <c r="CR29" s="257"/>
      <c r="CS29" s="103"/>
      <c r="CT29" s="257"/>
      <c r="CU29" s="257"/>
      <c r="CV29" s="257"/>
      <c r="CW29" s="257"/>
      <c r="CX29" s="103"/>
      <c r="CY29" s="257"/>
      <c r="CZ29" s="257"/>
      <c r="DA29" s="257"/>
      <c r="DB29" s="257"/>
      <c r="DC29" s="103"/>
      <c r="DD29" s="257"/>
      <c r="DE29" s="257"/>
      <c r="DF29" s="257"/>
      <c r="DG29" s="257"/>
      <c r="DH29" s="103"/>
      <c r="DI29" s="257"/>
      <c r="DJ29" s="257"/>
      <c r="DK29" s="257"/>
      <c r="DL29" s="257"/>
      <c r="DM29" s="103"/>
      <c r="DN29" s="257"/>
      <c r="DO29" s="257"/>
      <c r="DP29" s="257"/>
      <c r="DQ29" s="257"/>
      <c r="DR29" s="103"/>
      <c r="DS29" s="257"/>
      <c r="DT29" s="257"/>
      <c r="DU29" s="257"/>
      <c r="DV29" s="257"/>
      <c r="DW29" s="103"/>
      <c r="DX29" s="257"/>
      <c r="DY29" s="257"/>
      <c r="DZ29" s="257"/>
      <c r="EA29" s="257"/>
      <c r="EB29" s="103"/>
      <c r="EC29" s="257"/>
      <c r="ED29" s="257"/>
      <c r="EE29" s="257"/>
      <c r="EF29" s="257"/>
      <c r="EG29" s="103"/>
      <c r="EH29" s="257"/>
      <c r="EI29" s="257"/>
      <c r="EJ29" s="257"/>
      <c r="EK29" s="257"/>
      <c r="EL29" s="103"/>
      <c r="EO29"/>
      <c r="EP29"/>
      <c r="EQ29"/>
      <c r="ER29"/>
      <c r="ES29"/>
      <c r="ET29"/>
    </row>
    <row r="30" spans="2:150" s="57" customFormat="1" ht="11.25" customHeight="1">
      <c r="B30" s="60" t="s">
        <v>916</v>
      </c>
      <c r="C30" s="148"/>
      <c r="D30" s="148"/>
      <c r="E30" s="148"/>
      <c r="F30" s="148"/>
      <c r="H30" s="148"/>
      <c r="I30" s="148"/>
      <c r="J30" s="148"/>
      <c r="K30" s="148"/>
      <c r="M30" s="148"/>
      <c r="N30" s="148"/>
      <c r="O30" s="148"/>
      <c r="P30" s="148"/>
      <c r="R30" s="148"/>
      <c r="S30" s="148"/>
      <c r="T30" s="148"/>
      <c r="U30" s="148"/>
      <c r="W30" s="148"/>
      <c r="X30" s="148"/>
      <c r="Y30" s="148"/>
      <c r="Z30" s="148"/>
      <c r="AB30" s="148"/>
      <c r="AC30" s="148"/>
      <c r="AD30" s="148"/>
      <c r="AE30" s="148"/>
      <c r="AG30" s="148"/>
      <c r="AH30" s="148"/>
      <c r="AI30" s="148"/>
      <c r="AJ30" s="148"/>
      <c r="AL30" s="148"/>
      <c r="AM30" s="148"/>
      <c r="AN30" s="148"/>
      <c r="AO30" s="148"/>
      <c r="AQ30" s="148"/>
      <c r="AR30" s="148"/>
      <c r="AS30" s="148"/>
      <c r="AT30" s="148"/>
      <c r="AU30" s="104"/>
      <c r="AV30" s="149"/>
      <c r="AW30" s="149"/>
      <c r="AX30" s="149"/>
      <c r="AY30" s="149"/>
      <c r="AZ30" s="104"/>
      <c r="BA30" s="257">
        <f>5.051</f>
        <v>5.0510000000000002</v>
      </c>
      <c r="BB30" s="257">
        <v>5.319</v>
      </c>
      <c r="BC30" s="257">
        <f>6.949-0.097</f>
        <v>6.8519999999999994</v>
      </c>
      <c r="BD30" s="258">
        <v>7.5789999999999997</v>
      </c>
      <c r="BE30" s="64">
        <f>SUM(BA30:BD30)</f>
        <v>24.801000000000002</v>
      </c>
      <c r="BF30" s="258">
        <f>3.859-0.799+BF61</f>
        <v>3.8600000000000003</v>
      </c>
      <c r="BG30" s="258">
        <f>4.019+BG61+3.9</f>
        <v>3.919</v>
      </c>
      <c r="BH30" s="258">
        <f>-49.433+BH61+4.379</f>
        <v>4.3459999999999983</v>
      </c>
      <c r="BI30" s="258">
        <f>7.32+BI61+4.62</f>
        <v>4.6400000000000006</v>
      </c>
      <c r="BJ30" s="64">
        <f>SUM(BF30:BI30)</f>
        <v>16.765000000000001</v>
      </c>
      <c r="BK30" s="258">
        <f>7.844+BK61</f>
        <v>4.4000000000000483E-2</v>
      </c>
      <c r="BL30" s="258">
        <f>-2.201+BL61</f>
        <v>-9.9999999999988987E-4</v>
      </c>
      <c r="BM30" s="258">
        <f>0.244+BM61</f>
        <v>4.3999999999999984E-2</v>
      </c>
      <c r="BN30" s="258">
        <f>24.6+BN61</f>
        <v>0</v>
      </c>
      <c r="BO30" s="293">
        <f>SUM(BK30:BN30)</f>
        <v>8.7000000000000577E-2</v>
      </c>
      <c r="BP30" s="257">
        <f>2.3+BP61</f>
        <v>0</v>
      </c>
      <c r="BQ30" s="257">
        <f>10.6+BQ61</f>
        <v>0</v>
      </c>
      <c r="BR30" s="257">
        <f>5.9+BR61</f>
        <v>0</v>
      </c>
      <c r="BS30" s="257">
        <f>-4+BS61</f>
        <v>0</v>
      </c>
      <c r="BT30" s="64">
        <f t="shared" si="21"/>
        <v>0</v>
      </c>
      <c r="BU30" s="257">
        <f>10+BU61</f>
        <v>0</v>
      </c>
      <c r="BV30" s="258">
        <f>21.2+BV61</f>
        <v>0</v>
      </c>
      <c r="BW30" s="257">
        <f>30+BW61</f>
        <v>0</v>
      </c>
      <c r="BX30" s="258">
        <f>1.5+BX61</f>
        <v>0</v>
      </c>
      <c r="BY30" s="64">
        <f>SUM(BU30:BX30)</f>
        <v>0</v>
      </c>
      <c r="BZ30" s="258">
        <f>-5.6-BZ61</f>
        <v>0</v>
      </c>
      <c r="CA30" s="257"/>
      <c r="CB30" s="257"/>
      <c r="CC30" s="257"/>
      <c r="CD30" s="64"/>
      <c r="CE30" s="257"/>
      <c r="CF30" s="257"/>
      <c r="CG30" s="257"/>
      <c r="CH30" s="257"/>
      <c r="CI30" s="64"/>
      <c r="CJ30" s="257"/>
      <c r="CK30" s="257"/>
      <c r="CL30" s="257"/>
      <c r="CM30" s="257"/>
      <c r="CN30" s="64"/>
      <c r="CO30" s="257"/>
      <c r="CP30" s="257"/>
      <c r="CQ30" s="257"/>
      <c r="CR30" s="257"/>
      <c r="CS30" s="64"/>
      <c r="CT30" s="257"/>
      <c r="CU30" s="257"/>
      <c r="CV30" s="257"/>
      <c r="CW30" s="257"/>
      <c r="CX30" s="64"/>
      <c r="CY30" s="257"/>
      <c r="CZ30" s="257"/>
      <c r="DA30" s="257"/>
      <c r="DB30" s="257"/>
      <c r="DC30" s="64"/>
      <c r="DD30" s="257"/>
      <c r="DE30" s="257"/>
      <c r="DF30" s="257"/>
      <c r="DG30" s="257"/>
      <c r="DH30" s="64"/>
      <c r="DI30" s="257"/>
      <c r="DJ30" s="257"/>
      <c r="DK30" s="257"/>
      <c r="DL30" s="257"/>
      <c r="DM30" s="64"/>
      <c r="DN30" s="257"/>
      <c r="DO30" s="257"/>
      <c r="DP30" s="257"/>
      <c r="DQ30" s="257"/>
      <c r="DR30" s="64"/>
      <c r="DS30" s="257"/>
      <c r="DT30" s="257"/>
      <c r="DU30" s="257"/>
      <c r="DV30" s="257"/>
      <c r="DW30" s="64"/>
      <c r="DX30" s="257"/>
      <c r="DY30" s="257"/>
      <c r="DZ30" s="257"/>
      <c r="EA30" s="257"/>
      <c r="EB30" s="64"/>
      <c r="EC30" s="257"/>
      <c r="ED30" s="257"/>
      <c r="EE30" s="257"/>
      <c r="EF30" s="257"/>
      <c r="EG30" s="64"/>
      <c r="EH30" s="257"/>
      <c r="EI30" s="257"/>
      <c r="EJ30" s="257"/>
      <c r="EK30" s="257"/>
      <c r="EL30" s="64"/>
      <c r="EO30"/>
      <c r="EP30"/>
      <c r="EQ30"/>
      <c r="ER30"/>
      <c r="ES30"/>
      <c r="ET30"/>
    </row>
    <row r="31" spans="2:150" s="57" customFormat="1" ht="11.25" customHeight="1">
      <c r="B31" s="60"/>
      <c r="C31" s="148"/>
      <c r="D31" s="148"/>
      <c r="E31" s="148"/>
      <c r="F31" s="148"/>
      <c r="H31" s="148"/>
      <c r="I31" s="148"/>
      <c r="J31" s="148"/>
      <c r="K31" s="148"/>
      <c r="M31" s="148"/>
      <c r="N31" s="148"/>
      <c r="O31" s="148"/>
      <c r="P31" s="148"/>
      <c r="R31" s="148"/>
      <c r="S31" s="148"/>
      <c r="T31" s="148"/>
      <c r="U31" s="148"/>
      <c r="W31" s="148"/>
      <c r="X31" s="148"/>
      <c r="Y31" s="148"/>
      <c r="Z31" s="148"/>
      <c r="AB31" s="148"/>
      <c r="AC31" s="148"/>
      <c r="AD31" s="148"/>
      <c r="AE31" s="148"/>
      <c r="AG31" s="148"/>
      <c r="AH31" s="148"/>
      <c r="AI31" s="148"/>
      <c r="AJ31" s="148"/>
      <c r="AL31" s="148"/>
      <c r="AM31" s="148"/>
      <c r="AN31" s="148"/>
      <c r="AO31" s="148"/>
      <c r="AQ31" s="148"/>
      <c r="AR31" s="148"/>
      <c r="AS31" s="148"/>
      <c r="AT31" s="148"/>
      <c r="AU31" s="104"/>
      <c r="AV31" s="149"/>
      <c r="AW31" s="149"/>
      <c r="AX31" s="149"/>
      <c r="AY31" s="149"/>
      <c r="AZ31" s="104"/>
      <c r="BA31" s="257"/>
      <c r="BB31" s="257"/>
      <c r="BC31" s="257"/>
      <c r="BD31" s="258"/>
      <c r="BE31" s="64"/>
      <c r="BF31" s="258"/>
      <c r="BG31" s="258"/>
      <c r="BH31" s="258"/>
      <c r="BI31" s="258"/>
      <c r="BJ31" s="64"/>
      <c r="BK31" s="258"/>
      <c r="BL31" s="258"/>
      <c r="BM31" s="258"/>
      <c r="BN31" s="258"/>
      <c r="BO31" s="293"/>
      <c r="BP31" s="257"/>
      <c r="BQ31" s="257"/>
      <c r="BR31" s="257"/>
      <c r="BS31" s="257"/>
      <c r="BT31" s="64"/>
      <c r="BU31" s="257"/>
      <c r="BV31" s="257"/>
      <c r="BW31" s="257"/>
      <c r="BX31" s="257"/>
      <c r="BY31" s="64"/>
      <c r="BZ31" s="257"/>
      <c r="CA31" s="257"/>
      <c r="CB31" s="257"/>
      <c r="CC31" s="257"/>
      <c r="CD31" s="64"/>
      <c r="CE31" s="257"/>
      <c r="CF31" s="257"/>
      <c r="CG31" s="257"/>
      <c r="CH31" s="257"/>
      <c r="CI31" s="64"/>
      <c r="CJ31" s="257"/>
      <c r="CK31" s="257"/>
      <c r="CL31" s="257"/>
      <c r="CM31" s="257"/>
      <c r="CN31" s="64"/>
      <c r="CO31" s="257"/>
      <c r="CP31" s="257"/>
      <c r="CQ31" s="257"/>
      <c r="CR31" s="257"/>
      <c r="CS31" s="64"/>
      <c r="CT31" s="257"/>
      <c r="CU31" s="257"/>
      <c r="CV31" s="257"/>
      <c r="CW31" s="257"/>
      <c r="CX31" s="64"/>
      <c r="CY31" s="257"/>
      <c r="CZ31" s="257"/>
      <c r="DA31" s="257"/>
      <c r="DB31" s="257"/>
      <c r="DC31" s="64"/>
      <c r="DD31" s="257"/>
      <c r="DE31" s="257"/>
      <c r="DF31" s="257"/>
      <c r="DG31" s="257"/>
      <c r="DH31" s="64"/>
      <c r="DI31" s="257"/>
      <c r="DJ31" s="257"/>
      <c r="DK31" s="257"/>
      <c r="DL31" s="257"/>
      <c r="DM31" s="64"/>
      <c r="DN31" s="257"/>
      <c r="DO31" s="257"/>
      <c r="DP31" s="257"/>
      <c r="DQ31" s="257"/>
      <c r="DR31" s="64"/>
      <c r="DS31" s="257"/>
      <c r="DT31" s="257"/>
      <c r="DU31" s="257"/>
      <c r="DV31" s="257"/>
      <c r="DW31" s="64"/>
      <c r="DX31" s="257"/>
      <c r="DY31" s="257"/>
      <c r="DZ31" s="257"/>
      <c r="EA31" s="257"/>
      <c r="EB31" s="64"/>
      <c r="EC31" s="257"/>
      <c r="ED31" s="257"/>
      <c r="EE31" s="257"/>
      <c r="EF31" s="257"/>
      <c r="EG31" s="64"/>
      <c r="EH31" s="257"/>
      <c r="EI31" s="257"/>
      <c r="EJ31" s="257"/>
      <c r="EK31" s="257"/>
      <c r="EL31" s="64"/>
      <c r="EO31"/>
      <c r="EP31"/>
      <c r="EQ31"/>
      <c r="ER31"/>
      <c r="ES31"/>
      <c r="ET31"/>
    </row>
    <row r="32" spans="2:150">
      <c r="C32" s="145"/>
      <c r="D32" s="145"/>
      <c r="E32" s="145"/>
      <c r="F32" s="145"/>
      <c r="G32" s="17"/>
      <c r="H32" s="145"/>
      <c r="I32" s="145"/>
      <c r="J32" s="145"/>
      <c r="K32" s="145"/>
      <c r="L32" s="17"/>
      <c r="M32" s="145"/>
      <c r="N32" s="145"/>
      <c r="O32" s="145"/>
      <c r="P32" s="145"/>
      <c r="Q32" s="17"/>
      <c r="R32" s="145"/>
      <c r="S32" s="145"/>
      <c r="T32" s="145"/>
      <c r="U32" s="145"/>
      <c r="V32" s="17"/>
      <c r="W32" s="145"/>
      <c r="X32" s="145"/>
      <c r="Y32" s="145"/>
      <c r="Z32" s="145"/>
      <c r="AA32" s="17"/>
      <c r="AB32" s="145"/>
      <c r="AC32" s="145"/>
      <c r="AD32" s="145"/>
      <c r="AE32" s="145"/>
      <c r="AF32" s="17"/>
      <c r="AG32" s="145"/>
      <c r="AH32" s="145"/>
      <c r="AI32" s="145"/>
      <c r="AJ32" s="145"/>
      <c r="AK32" s="17"/>
      <c r="AL32" s="145"/>
      <c r="AM32" s="145"/>
      <c r="AN32" s="145"/>
      <c r="AO32" s="145"/>
      <c r="AP32" s="17"/>
      <c r="AQ32" s="145"/>
      <c r="AR32" s="145"/>
      <c r="AS32" s="145"/>
      <c r="AT32" s="145"/>
      <c r="AU32" s="64"/>
      <c r="AV32" s="146"/>
      <c r="AW32" s="146"/>
      <c r="AX32" s="146"/>
      <c r="AY32" s="146"/>
      <c r="AZ32" s="64"/>
      <c r="BA32" s="255"/>
      <c r="BB32" s="255"/>
      <c r="BC32" s="255"/>
      <c r="BD32" s="255"/>
      <c r="BE32" s="64"/>
      <c r="BF32" s="255"/>
      <c r="BG32" s="255"/>
      <c r="BH32" s="255"/>
      <c r="BI32" s="255"/>
      <c r="BJ32" s="109"/>
      <c r="BK32" s="255"/>
      <c r="BL32" s="255"/>
      <c r="BM32" s="255"/>
      <c r="BN32" s="255"/>
      <c r="BO32" s="64"/>
      <c r="BP32" s="255"/>
      <c r="BQ32" s="255"/>
      <c r="BR32" s="255"/>
      <c r="BS32" s="255"/>
      <c r="BT32" s="64"/>
      <c r="BU32" s="255"/>
      <c r="BV32" s="255"/>
      <c r="BW32" s="255"/>
      <c r="BX32" s="255"/>
      <c r="BY32" s="64"/>
      <c r="BZ32" s="255"/>
      <c r="CA32" s="255"/>
      <c r="CB32" s="255"/>
      <c r="CC32" s="255"/>
      <c r="CD32" s="64"/>
      <c r="CE32" s="255"/>
      <c r="CF32" s="255"/>
      <c r="CG32" s="255"/>
      <c r="CH32" s="255"/>
      <c r="CI32" s="64"/>
      <c r="CJ32" s="255"/>
      <c r="CK32" s="255"/>
      <c r="CL32" s="255"/>
      <c r="CM32" s="255"/>
      <c r="CN32" s="64"/>
      <c r="CO32" s="255"/>
      <c r="CP32" s="255"/>
      <c r="CQ32" s="255"/>
      <c r="CR32" s="255"/>
      <c r="CS32" s="64"/>
      <c r="CT32" s="255"/>
      <c r="CU32" s="255"/>
      <c r="CV32" s="255"/>
      <c r="CW32" s="255"/>
      <c r="CX32" s="64"/>
      <c r="CY32" s="255"/>
      <c r="CZ32" s="255"/>
      <c r="DA32" s="255"/>
      <c r="DB32" s="255"/>
      <c r="DC32" s="64"/>
      <c r="DD32" s="255"/>
      <c r="DE32" s="255"/>
      <c r="DF32" s="255"/>
      <c r="DG32" s="255"/>
      <c r="DH32" s="64"/>
      <c r="DI32" s="255"/>
      <c r="DJ32" s="255"/>
      <c r="DK32" s="255"/>
      <c r="DL32" s="255"/>
      <c r="DM32" s="64"/>
      <c r="DN32" s="255"/>
      <c r="DO32" s="255"/>
      <c r="DP32" s="255"/>
      <c r="DQ32" s="255"/>
      <c r="DR32" s="64"/>
      <c r="DS32" s="255"/>
      <c r="DT32" s="255"/>
      <c r="DU32" s="255"/>
      <c r="DV32" s="255"/>
      <c r="DW32" s="64"/>
      <c r="DX32" s="255"/>
      <c r="DY32" s="255"/>
      <c r="DZ32" s="255"/>
      <c r="EA32" s="255"/>
      <c r="EB32" s="64"/>
      <c r="EC32" s="255"/>
      <c r="ED32" s="255"/>
      <c r="EE32" s="255"/>
      <c r="EF32" s="255"/>
      <c r="EG32" s="64"/>
      <c r="EH32" s="255"/>
      <c r="EI32" s="255"/>
      <c r="EJ32" s="255"/>
      <c r="EK32" s="255"/>
      <c r="EL32" s="64"/>
    </row>
    <row r="33" spans="2:150" s="35" customFormat="1">
      <c r="B33" s="39" t="s">
        <v>162</v>
      </c>
      <c r="C33" s="135">
        <f t="shared" ref="C33:AH33" si="23">C12-C14-C21-C25</f>
        <v>156.99999999999997</v>
      </c>
      <c r="D33" s="135">
        <f t="shared" si="23"/>
        <v>134.99999999999997</v>
      </c>
      <c r="E33" s="135">
        <f t="shared" si="23"/>
        <v>171.8</v>
      </c>
      <c r="F33" s="135">
        <f t="shared" si="23"/>
        <v>115.50000000000006</v>
      </c>
      <c r="G33" s="44">
        <f t="shared" si="23"/>
        <v>579.4</v>
      </c>
      <c r="H33" s="135">
        <f t="shared" si="23"/>
        <v>197.89500000000007</v>
      </c>
      <c r="I33" s="135">
        <f t="shared" si="23"/>
        <v>172.5380000000001</v>
      </c>
      <c r="J33" s="135">
        <f t="shared" si="23"/>
        <v>182.98699999999997</v>
      </c>
      <c r="K33" s="135">
        <f t="shared" si="23"/>
        <v>145.57299999999998</v>
      </c>
      <c r="L33" s="44">
        <f t="shared" si="23"/>
        <v>698.99300000000039</v>
      </c>
      <c r="M33" s="135">
        <f t="shared" si="23"/>
        <v>160.75100000000006</v>
      </c>
      <c r="N33" s="135">
        <f t="shared" si="23"/>
        <v>209.84400000000008</v>
      </c>
      <c r="O33" s="135">
        <f t="shared" si="23"/>
        <v>157.20099999999991</v>
      </c>
      <c r="P33" s="135">
        <f t="shared" si="23"/>
        <v>234.44899999999961</v>
      </c>
      <c r="Q33" s="44">
        <f t="shared" si="23"/>
        <v>762.24500000000023</v>
      </c>
      <c r="R33" s="135">
        <f t="shared" si="23"/>
        <v>261.19800000000009</v>
      </c>
      <c r="S33" s="135">
        <f t="shared" si="23"/>
        <v>266.77400000000006</v>
      </c>
      <c r="T33" s="135">
        <f t="shared" si="23"/>
        <v>273.31399999999979</v>
      </c>
      <c r="U33" s="135">
        <f t="shared" si="23"/>
        <v>272.1049999999999</v>
      </c>
      <c r="V33" s="44">
        <f t="shared" si="23"/>
        <v>1073.3909999999998</v>
      </c>
      <c r="W33" s="135">
        <f t="shared" si="23"/>
        <v>269.21699999999987</v>
      </c>
      <c r="X33" s="135">
        <f t="shared" si="23"/>
        <v>276.60100000000011</v>
      </c>
      <c r="Y33" s="135">
        <f t="shared" si="23"/>
        <v>235.05800000000016</v>
      </c>
      <c r="Z33" s="135">
        <f t="shared" si="23"/>
        <v>377.60300000000029</v>
      </c>
      <c r="AA33" s="44">
        <f t="shared" si="23"/>
        <v>1158.479</v>
      </c>
      <c r="AB33" s="135">
        <f t="shared" si="23"/>
        <v>352.38500000000016</v>
      </c>
      <c r="AC33" s="135">
        <f t="shared" si="23"/>
        <v>376.36600000000021</v>
      </c>
      <c r="AD33" s="135">
        <f t="shared" si="23"/>
        <v>452.71400000000017</v>
      </c>
      <c r="AE33" s="135">
        <f t="shared" si="23"/>
        <v>417.04899999999941</v>
      </c>
      <c r="AF33" s="44">
        <f t="shared" si="23"/>
        <v>1598.5140000000008</v>
      </c>
      <c r="AG33" s="135">
        <f t="shared" si="23"/>
        <v>403.60600000000011</v>
      </c>
      <c r="AH33" s="135">
        <f t="shared" si="23"/>
        <v>325.64799999999997</v>
      </c>
      <c r="AI33" s="135">
        <f t="shared" ref="AI33:AZ33" si="24">AI12-AI14-AI21-AI25</f>
        <v>446.92500000000007</v>
      </c>
      <c r="AJ33" s="135">
        <f t="shared" si="24"/>
        <v>449.05900000000003</v>
      </c>
      <c r="AK33" s="44">
        <f t="shared" si="24"/>
        <v>1625.2380000000003</v>
      </c>
      <c r="AL33" s="135">
        <f t="shared" si="24"/>
        <v>409.85400000000016</v>
      </c>
      <c r="AM33" s="135">
        <f t="shared" si="24"/>
        <v>462.62800000000038</v>
      </c>
      <c r="AN33" s="135">
        <f t="shared" si="24"/>
        <v>459.66600000000017</v>
      </c>
      <c r="AO33" s="135">
        <f t="shared" si="24"/>
        <v>491.19799999999998</v>
      </c>
      <c r="AP33" s="44">
        <f t="shared" si="24"/>
        <v>1823.3460000000005</v>
      </c>
      <c r="AQ33" s="135">
        <f t="shared" si="24"/>
        <v>489.88600000000008</v>
      </c>
      <c r="AR33" s="135">
        <f t="shared" si="24"/>
        <v>469.84899999999999</v>
      </c>
      <c r="AS33" s="135">
        <f t="shared" si="24"/>
        <v>546.84300000000007</v>
      </c>
      <c r="AT33" s="135">
        <f t="shared" si="24"/>
        <v>494.02700000000004</v>
      </c>
      <c r="AU33" s="102">
        <f t="shared" si="24"/>
        <v>1987.0359999999991</v>
      </c>
      <c r="AV33" s="136">
        <f t="shared" si="24"/>
        <v>416.91099999999994</v>
      </c>
      <c r="AW33" s="136">
        <f t="shared" si="24"/>
        <v>572.12000000000023</v>
      </c>
      <c r="AX33" s="136">
        <f t="shared" si="24"/>
        <v>606.30900000000008</v>
      </c>
      <c r="AY33" s="136">
        <f t="shared" si="24"/>
        <v>500.33700000000016</v>
      </c>
      <c r="AZ33" s="102">
        <f t="shared" si="24"/>
        <v>2095.6769999999988</v>
      </c>
      <c r="BA33" s="379">
        <f t="shared" ref="BA33:BJ33" si="25">BA12-BA14-BA21-BA22-BA25+BA30</f>
        <v>564.90199999999993</v>
      </c>
      <c r="BB33" s="253">
        <f t="shared" si="25"/>
        <v>738.66400000000033</v>
      </c>
      <c r="BC33" s="253">
        <f t="shared" si="25"/>
        <v>783.93700000000024</v>
      </c>
      <c r="BD33" s="253">
        <f t="shared" si="25"/>
        <v>794.96199999999999</v>
      </c>
      <c r="BE33" s="102">
        <f t="shared" si="25"/>
        <v>2883.030999999999</v>
      </c>
      <c r="BF33" s="253">
        <f t="shared" si="25"/>
        <v>815.25000000000034</v>
      </c>
      <c r="BG33" s="253">
        <f t="shared" si="25"/>
        <v>1143.4629999999995</v>
      </c>
      <c r="BH33" s="253">
        <f t="shared" si="25"/>
        <v>1224.4119999999998</v>
      </c>
      <c r="BI33" s="402">
        <f t="shared" si="25"/>
        <v>1270.6030000000001</v>
      </c>
      <c r="BJ33" s="403">
        <f t="shared" si="25"/>
        <v>4453.7279999999992</v>
      </c>
      <c r="BK33" s="253">
        <f>BK12-BK14-BK21-BK22-BK25-BK30</f>
        <v>1218.0449999999996</v>
      </c>
      <c r="BL33" s="253">
        <f>BL12-BL14-BL21-BL22-BL25-BL30</f>
        <v>1318.0539999999996</v>
      </c>
      <c r="BM33" s="253">
        <f>BM12-BM14-BM21-BM22-BM25-BM30</f>
        <v>1466.3729999999994</v>
      </c>
      <c r="BN33" s="253">
        <f>BN12-BN14-BN21-BN22-BN25-BN30-BN24</f>
        <v>1377.5779999999997</v>
      </c>
      <c r="BO33" s="102">
        <f>BO12-BO14-BO21-BO22-BO25+BO30-BO24</f>
        <v>5380.2239999999993</v>
      </c>
      <c r="BP33" s="253">
        <f>BP12-BP14-BP21-BP22-BP24</f>
        <v>1476.1000000000004</v>
      </c>
      <c r="BQ33" s="253">
        <f>BQ12-BQ14-BQ21-BQ22-BQ25+BQ30-BQ24</f>
        <v>1580.1999999999996</v>
      </c>
      <c r="BR33" s="253">
        <f>BR12-BR14-BR21-BR22-BR25+BR30-BR24</f>
        <v>1562.4999999999995</v>
      </c>
      <c r="BS33" s="253">
        <f>BS12-BS14-BS21-BS22-BS25-BS30-BS24-BS29</f>
        <v>1476.4</v>
      </c>
      <c r="BT33" s="102">
        <f>BT12-BT14-BT21-BT22-BT25+BT30-BT24</f>
        <v>6095.199999999998</v>
      </c>
      <c r="BU33" s="253">
        <f>BU12-BU14-BU21-BU22-BU25-BU30-BU24-BU29</f>
        <v>1502.0000000000005</v>
      </c>
      <c r="BV33" s="253">
        <f>BV12-BV14-BV21-BV22-BV25-BV30-BV24-BV29-BV23</f>
        <v>1459.2999999999997</v>
      </c>
      <c r="BW33" s="253">
        <f t="shared" ref="BW33:CC33" si="26">BW12-BW14-BW21-BW22-BW25-BW30-BW24-BW29</f>
        <v>1792.3999999999996</v>
      </c>
      <c r="BX33" s="253">
        <f t="shared" si="26"/>
        <v>1626.3999999999999</v>
      </c>
      <c r="BY33" s="102">
        <f t="shared" si="26"/>
        <v>6380.1000000000022</v>
      </c>
      <c r="BZ33" s="253">
        <f>BZ12-BZ14-BZ21-BZ22-BZ25-BZ30-BZ24-BZ29-BZ23</f>
        <v>1654.8000000000002</v>
      </c>
      <c r="CA33" s="253">
        <f t="shared" si="26"/>
        <v>1344.1925288612258</v>
      </c>
      <c r="CB33" s="253">
        <f t="shared" si="26"/>
        <v>1727.594240109991</v>
      </c>
      <c r="CC33" s="253">
        <f t="shared" si="26"/>
        <v>1768.028845748715</v>
      </c>
      <c r="CD33" s="102">
        <f>CD12-CD14-CD21-CD22-CD25+CD30</f>
        <v>6535.48738009917</v>
      </c>
      <c r="CE33" s="253"/>
      <c r="CF33" s="253"/>
      <c r="CG33" s="253"/>
      <c r="CH33" s="253"/>
      <c r="CI33" s="102">
        <f>CI12-CI14-CI21-CI22-CI25+CI30</f>
        <v>7158.0457443632804</v>
      </c>
      <c r="CJ33" s="253"/>
      <c r="CK33" s="253"/>
      <c r="CL33" s="253"/>
      <c r="CM33" s="253"/>
      <c r="CN33" s="102">
        <f>CN12-CN14-CN21-CN22-CN25+CN30</f>
        <v>7434.1620232860514</v>
      </c>
      <c r="CO33" s="253"/>
      <c r="CP33" s="253"/>
      <c r="CQ33" s="253"/>
      <c r="CR33" s="253"/>
      <c r="CS33" s="102">
        <f>CS12-CS14-CS21-CS22-CS25+CS30</f>
        <v>7711.0289975874803</v>
      </c>
      <c r="CT33" s="253"/>
      <c r="CU33" s="253"/>
      <c r="CV33" s="253"/>
      <c r="CW33" s="253"/>
      <c r="CX33" s="102">
        <f>CX12-CX14-CX21-CX22-CX25+CX30</f>
        <v>7809.3812067473773</v>
      </c>
      <c r="CY33" s="253"/>
      <c r="CZ33" s="253"/>
      <c r="DA33" s="253"/>
      <c r="DB33" s="253"/>
      <c r="DC33" s="102">
        <f>DC12-DC14-DC21-DC22-DC25+DC30</f>
        <v>7923.2265420758067</v>
      </c>
      <c r="DD33" s="253"/>
      <c r="DE33" s="253"/>
      <c r="DF33" s="253"/>
      <c r="DG33" s="253"/>
      <c r="DH33" s="102">
        <f>DH12-DH14-DH21-DH22-DH25+DH30</f>
        <v>8033.7698457020961</v>
      </c>
      <c r="DI33" s="253"/>
      <c r="DJ33" s="253"/>
      <c r="DK33" s="253"/>
      <c r="DL33" s="253"/>
      <c r="DM33" s="102">
        <f>DM12-DM14-DM21-DM22-DM25+DM30</f>
        <v>7352.5819727870739</v>
      </c>
      <c r="DN33" s="253"/>
      <c r="DO33" s="253"/>
      <c r="DP33" s="253"/>
      <c r="DQ33" s="253"/>
      <c r="DR33" s="102">
        <f>DR12-DR14-DR21-DR22-DR25+DR30</f>
        <v>6371.2963976354358</v>
      </c>
      <c r="DS33" s="253"/>
      <c r="DT33" s="253"/>
      <c r="DU33" s="253"/>
      <c r="DV33" s="253"/>
      <c r="DW33" s="102">
        <f>DW12-DW14-DW21-DW22-DW25+DW30</f>
        <v>4835.900659906385</v>
      </c>
      <c r="DX33" s="253"/>
      <c r="DY33" s="253"/>
      <c r="DZ33" s="253"/>
      <c r="EA33" s="253"/>
      <c r="EB33" s="102">
        <f>EB12-EB14-EB21-EB22-EB25+EB30</f>
        <v>4483.3035079666624</v>
      </c>
      <c r="EC33" s="253"/>
      <c r="ED33" s="253"/>
      <c r="EE33" s="253"/>
      <c r="EF33" s="253"/>
      <c r="EG33" s="102">
        <f>EG12-EG14-EG21-EG22-EG25+EG30</f>
        <v>4311.4604568572195</v>
      </c>
      <c r="EH33" s="253"/>
      <c r="EI33" s="253"/>
      <c r="EJ33" s="253"/>
      <c r="EK33" s="253"/>
      <c r="EL33" s="102">
        <f>EL12-EL14-EL21-EL22-EL25+EL30</f>
        <v>4394.637879450328</v>
      </c>
      <c r="EO33"/>
      <c r="EP33"/>
      <c r="EQ33"/>
      <c r="ER33"/>
      <c r="ES33"/>
      <c r="ET33"/>
    </row>
    <row r="34" spans="2:150">
      <c r="B34" s="11"/>
      <c r="C34" s="147"/>
      <c r="D34" s="147"/>
      <c r="E34" s="147"/>
      <c r="F34" s="147"/>
      <c r="G34" s="19"/>
      <c r="H34" s="147"/>
      <c r="I34" s="147"/>
      <c r="J34" s="147"/>
      <c r="K34" s="147"/>
      <c r="L34" s="19"/>
      <c r="M34" s="147"/>
      <c r="N34" s="147"/>
      <c r="O34" s="147"/>
      <c r="P34" s="147"/>
      <c r="Q34" s="19"/>
      <c r="R34" s="147"/>
      <c r="S34" s="147"/>
      <c r="T34" s="147"/>
      <c r="U34" s="147"/>
      <c r="V34" s="19"/>
      <c r="W34" s="147"/>
      <c r="X34" s="147"/>
      <c r="Y34" s="147"/>
      <c r="Z34" s="147"/>
      <c r="AA34" s="19"/>
      <c r="AB34" s="147"/>
      <c r="AC34" s="147"/>
      <c r="AD34" s="147"/>
      <c r="AE34" s="147"/>
      <c r="AF34" s="19"/>
      <c r="AG34" s="147"/>
      <c r="AH34" s="147"/>
      <c r="AI34" s="147"/>
      <c r="AJ34" s="147"/>
      <c r="AK34" s="19"/>
      <c r="AL34" s="147"/>
      <c r="AM34" s="147"/>
      <c r="AN34" s="147"/>
      <c r="AO34" s="147"/>
      <c r="AP34" s="19"/>
      <c r="AQ34" s="147"/>
      <c r="AR34" s="147"/>
      <c r="AS34" s="147"/>
      <c r="AT34" s="147"/>
      <c r="AU34" s="103"/>
      <c r="AV34" s="144"/>
      <c r="AW34" s="144"/>
      <c r="AX34" s="144"/>
      <c r="AY34" s="144"/>
      <c r="AZ34" s="103"/>
      <c r="BA34" s="257"/>
      <c r="BB34" s="257"/>
      <c r="BC34" s="257"/>
      <c r="BD34" s="257"/>
      <c r="BE34" s="103"/>
      <c r="BF34" s="257"/>
      <c r="BG34" s="257"/>
      <c r="BH34" s="257"/>
      <c r="BI34" s="257"/>
      <c r="BJ34" s="103"/>
      <c r="BK34" s="431"/>
      <c r="BL34" s="257"/>
      <c r="BM34" s="257"/>
      <c r="BN34" s="257"/>
      <c r="BO34" s="103"/>
      <c r="BP34" s="257"/>
      <c r="BQ34" s="257"/>
      <c r="BR34" s="257"/>
      <c r="BS34" s="257"/>
      <c r="BT34" s="103"/>
      <c r="BU34" s="257"/>
      <c r="BV34" s="257"/>
      <c r="BW34" s="257"/>
      <c r="BX34" s="257"/>
      <c r="BY34" s="103"/>
      <c r="BZ34" s="257"/>
      <c r="CA34" s="257"/>
      <c r="CB34" s="257"/>
      <c r="CC34" s="257"/>
      <c r="CD34" s="103"/>
      <c r="CE34" s="257"/>
      <c r="CF34" s="257"/>
      <c r="CG34" s="257"/>
      <c r="CH34" s="257"/>
      <c r="CI34" s="103"/>
      <c r="CJ34" s="257"/>
      <c r="CK34" s="257"/>
      <c r="CL34" s="257"/>
      <c r="CM34" s="257"/>
      <c r="CN34" s="103"/>
      <c r="CO34" s="257"/>
      <c r="CP34" s="257"/>
      <c r="CQ34" s="257"/>
      <c r="CR34" s="257"/>
      <c r="CS34" s="103"/>
      <c r="CT34" s="257"/>
      <c r="CU34" s="257"/>
      <c r="CV34" s="257"/>
      <c r="CW34" s="257"/>
      <c r="CX34" s="103"/>
      <c r="CY34" s="257"/>
      <c r="CZ34" s="257"/>
      <c r="DA34" s="257"/>
      <c r="DB34" s="257"/>
      <c r="DC34" s="103"/>
      <c r="DD34" s="257"/>
      <c r="DE34" s="257"/>
      <c r="DF34" s="257"/>
      <c r="DG34" s="257"/>
      <c r="DH34" s="103"/>
      <c r="DI34" s="257"/>
      <c r="DJ34" s="257"/>
      <c r="DK34" s="257"/>
      <c r="DL34" s="257"/>
      <c r="DM34" s="103"/>
      <c r="DN34" s="257"/>
      <c r="DO34" s="257"/>
      <c r="DP34" s="257"/>
      <c r="DQ34" s="257"/>
      <c r="DR34" s="103"/>
      <c r="DS34" s="257"/>
      <c r="DT34" s="257"/>
      <c r="DU34" s="257"/>
      <c r="DV34" s="257"/>
      <c r="DW34" s="103"/>
      <c r="DX34" s="257"/>
      <c r="DY34" s="257"/>
      <c r="DZ34" s="257"/>
      <c r="EA34" s="257"/>
      <c r="EB34" s="103"/>
      <c r="EC34" s="257"/>
      <c r="ED34" s="257"/>
      <c r="EE34" s="257"/>
      <c r="EF34" s="257"/>
      <c r="EG34" s="103"/>
      <c r="EH34" s="257"/>
      <c r="EI34" s="257"/>
      <c r="EJ34" s="257"/>
      <c r="EK34" s="257"/>
      <c r="EL34" s="103"/>
    </row>
    <row r="35" spans="2:150" s="3" customFormat="1">
      <c r="B35" s="8" t="s">
        <v>115</v>
      </c>
      <c r="C35" s="145"/>
      <c r="D35" s="145"/>
      <c r="E35" s="145"/>
      <c r="F35" s="150"/>
      <c r="G35" s="17"/>
      <c r="H35" s="145">
        <v>14.326000000000001</v>
      </c>
      <c r="I35" s="145">
        <v>14.936999999999999</v>
      </c>
      <c r="J35" s="145">
        <v>13.794</v>
      </c>
      <c r="K35" s="145">
        <f>+L35-SUM(H35:J35)</f>
        <v>14.167999999999999</v>
      </c>
      <c r="L35" s="17">
        <v>57.225000000000001</v>
      </c>
      <c r="M35" s="145">
        <v>15.705</v>
      </c>
      <c r="N35" s="145">
        <v>12.401</v>
      </c>
      <c r="O35" s="145">
        <v>16.53</v>
      </c>
      <c r="P35" s="145">
        <f>+Q35-SUM(M35:O35)</f>
        <v>18.114999999999995</v>
      </c>
      <c r="Q35" s="17">
        <v>62.750999999999998</v>
      </c>
      <c r="R35" s="145">
        <v>23.556999999999999</v>
      </c>
      <c r="S35" s="145">
        <v>26.1</v>
      </c>
      <c r="T35" s="145">
        <v>26</v>
      </c>
      <c r="U35" s="145">
        <f>+V35-SUM(R35:T35)</f>
        <v>25.543000000000006</v>
      </c>
      <c r="V35" s="17">
        <v>101.2</v>
      </c>
      <c r="W35" s="145">
        <v>29.1</v>
      </c>
      <c r="X35" s="145">
        <v>32.1</v>
      </c>
      <c r="Y35" s="145">
        <v>18.8</v>
      </c>
      <c r="Z35" s="145">
        <f>+AA35-SUM(W35:Y35)</f>
        <v>23.599999999999994</v>
      </c>
      <c r="AA35" s="17">
        <v>103.6</v>
      </c>
      <c r="AB35" s="145">
        <v>22.9</v>
      </c>
      <c r="AC35" s="145">
        <v>15.3</v>
      </c>
      <c r="AD35" s="145">
        <v>16.8</v>
      </c>
      <c r="AE35" s="145">
        <f>+AF35-SUM(AB35:AD35)</f>
        <v>17.099999999999994</v>
      </c>
      <c r="AF35" s="17">
        <v>72.099999999999994</v>
      </c>
      <c r="AG35" s="145">
        <v>14.8</v>
      </c>
      <c r="AH35" s="145">
        <v>12.1</v>
      </c>
      <c r="AI35" s="145">
        <v>10.9</v>
      </c>
      <c r="AJ35" s="145">
        <f>+AK35-SUM(AG35:AI35)</f>
        <v>10.700000000000003</v>
      </c>
      <c r="AK35" s="17">
        <v>48.5</v>
      </c>
      <c r="AL35" s="145">
        <v>8.9</v>
      </c>
      <c r="AM35" s="145">
        <v>6.7</v>
      </c>
      <c r="AN35" s="145">
        <v>3.1</v>
      </c>
      <c r="AO35" s="145">
        <f>+AP35-SUM(AL35:AN35)</f>
        <v>3.5999999999999979</v>
      </c>
      <c r="AP35" s="17">
        <v>22.3</v>
      </c>
      <c r="AQ35" s="145">
        <v>3.7</v>
      </c>
      <c r="AR35" s="145">
        <v>4.3</v>
      </c>
      <c r="AS35" s="145">
        <v>5.3</v>
      </c>
      <c r="AT35" s="145">
        <f>+AU35-SUM(AQ35:AS35)</f>
        <v>5.8999999999999986</v>
      </c>
      <c r="AU35" s="64">
        <v>19.2</v>
      </c>
      <c r="AV35" s="146">
        <v>6.5</v>
      </c>
      <c r="AW35" s="146">
        <v>10.199999999999999</v>
      </c>
      <c r="AX35" s="146">
        <v>5.9</v>
      </c>
      <c r="AY35" s="146">
        <v>0</v>
      </c>
      <c r="AZ35" s="64">
        <f>(SUM(AV35:AY35))</f>
        <v>22.6</v>
      </c>
      <c r="BA35" s="255">
        <v>4.3</v>
      </c>
      <c r="BB35" s="255">
        <v>0.9</v>
      </c>
      <c r="BC35" s="255">
        <v>1.5</v>
      </c>
      <c r="BD35" s="255">
        <f>BE35-BA35-BB35-BC35</f>
        <v>1.4999999999999996</v>
      </c>
      <c r="BE35" s="280">
        <v>8.1999999999999993</v>
      </c>
      <c r="BF35" s="256">
        <v>2.7</v>
      </c>
      <c r="BG35" s="256">
        <v>2.4</v>
      </c>
      <c r="BH35" s="256">
        <v>3.6</v>
      </c>
      <c r="BI35" s="255">
        <f>BJ35-BF35-BG35-BH35</f>
        <v>3.4999999999999996</v>
      </c>
      <c r="BJ35" s="280">
        <v>12.2</v>
      </c>
      <c r="BK35" s="256">
        <v>3.3</v>
      </c>
      <c r="BL35" s="256">
        <v>4.3</v>
      </c>
      <c r="BM35" s="256">
        <v>5</v>
      </c>
      <c r="BN35" s="255">
        <f>BO35-BM35-BL35-BK35</f>
        <v>9.5</v>
      </c>
      <c r="BO35" s="64">
        <v>22.1</v>
      </c>
      <c r="BP35" s="256">
        <v>11.2</v>
      </c>
      <c r="BQ35" s="256">
        <v>15.4</v>
      </c>
      <c r="BR35" s="256">
        <v>16.399999999999999</v>
      </c>
      <c r="BS35" s="255">
        <f>BT35-SUM(BP35:BR35)</f>
        <v>16.998750000000008</v>
      </c>
      <c r="BT35" s="64">
        <f>0.0175*(BS!O3+BS!O4)</f>
        <v>59.998750000000008</v>
      </c>
      <c r="BU35" s="255">
        <v>12</v>
      </c>
      <c r="BV35" s="255">
        <v>16.899999999999999</v>
      </c>
      <c r="BW35" s="255">
        <v>20.6</v>
      </c>
      <c r="BX35" s="255">
        <f>BY35-SUM(BU35:BW35)</f>
        <v>21.478950000000012</v>
      </c>
      <c r="BY35" s="64">
        <f>0.0145*(BS!P3+BS!P4)</f>
        <v>70.978950000000012</v>
      </c>
      <c r="BZ35" s="256">
        <v>0</v>
      </c>
      <c r="CA35" s="255">
        <f>CD35/4</f>
        <v>13.83375</v>
      </c>
      <c r="CB35" s="255">
        <f>CD35/4</f>
        <v>13.83375</v>
      </c>
      <c r="CC35" s="255">
        <f>CD35-SUM(BZ35:CB35)</f>
        <v>27.6675</v>
      </c>
      <c r="CD35" s="64">
        <f>0.015*(BS!Q3+BS!Q4)</f>
        <v>55.335000000000001</v>
      </c>
      <c r="CE35" s="255"/>
      <c r="CF35" s="255"/>
      <c r="CG35" s="255"/>
      <c r="CH35" s="255"/>
      <c r="CI35" s="64">
        <f>0.015*(BS!R3+BS!R4)</f>
        <v>60.180862512798157</v>
      </c>
      <c r="CJ35" s="255"/>
      <c r="CK35" s="255"/>
      <c r="CL35" s="255"/>
      <c r="CM35" s="255"/>
      <c r="CN35" s="64">
        <f>0.015*(BS!S3+BS!S4)</f>
        <v>92.127021756977882</v>
      </c>
      <c r="CO35" s="255"/>
      <c r="CP35" s="255"/>
      <c r="CQ35" s="255"/>
      <c r="CR35" s="255"/>
      <c r="CS35" s="64">
        <f>0.015*(BS!T3+BS!T4)</f>
        <v>110.41169432761991</v>
      </c>
      <c r="CT35" s="255"/>
      <c r="CU35" s="255"/>
      <c r="CV35" s="255"/>
      <c r="CW35" s="255"/>
      <c r="CX35" s="64">
        <f>0.015*(BS!U3+BS!U4)</f>
        <v>153.08860722908179</v>
      </c>
      <c r="CY35" s="255"/>
      <c r="CZ35" s="255"/>
      <c r="DA35" s="255"/>
      <c r="DB35" s="255"/>
      <c r="DC35" s="64">
        <f>0.015*(BS!V3+BS!V4)</f>
        <v>182.81651493553102</v>
      </c>
      <c r="DD35" s="255"/>
      <c r="DE35" s="255"/>
      <c r="DF35" s="255"/>
      <c r="DG35" s="255"/>
      <c r="DH35" s="64">
        <f>0.015*(BS!W3+BS!W4)</f>
        <v>228.49287017655817</v>
      </c>
      <c r="DI35" s="255"/>
      <c r="DJ35" s="255"/>
      <c r="DK35" s="255"/>
      <c r="DL35" s="255"/>
      <c r="DM35" s="64">
        <f>0.015*(BS!X3+BS!X4)</f>
        <v>275.36267955143148</v>
      </c>
      <c r="DN35" s="255"/>
      <c r="DO35" s="255"/>
      <c r="DP35" s="255"/>
      <c r="DQ35" s="255"/>
      <c r="DR35" s="64">
        <f>0.015*(BS!Y3+BS!Y4)</f>
        <v>294.96250494174461</v>
      </c>
      <c r="DS35" s="255"/>
      <c r="DT35" s="255"/>
      <c r="DU35" s="255"/>
      <c r="DV35" s="255"/>
      <c r="DW35" s="64">
        <f>0.015*(BS!Z3+BS!Z4)</f>
        <v>336.47529433849547</v>
      </c>
      <c r="DX35" s="255"/>
      <c r="DY35" s="255"/>
      <c r="DZ35" s="255"/>
      <c r="EA35" s="255"/>
      <c r="EB35" s="64">
        <f>0.015*(BS!AA3+BS!AA4)</f>
        <v>371.81450839510671</v>
      </c>
      <c r="EC35" s="255"/>
      <c r="ED35" s="255"/>
      <c r="EE35" s="255"/>
      <c r="EF35" s="255"/>
      <c r="EG35" s="64">
        <f>0.015*(BS!AB3+BS!AB4)</f>
        <v>403.24940071996366</v>
      </c>
      <c r="EH35" s="255"/>
      <c r="EI35" s="255"/>
      <c r="EJ35" s="255"/>
      <c r="EK35" s="255"/>
      <c r="EL35" s="64">
        <f>0.015*(BS!AC3+BS!AC4)</f>
        <v>434.1993995853735</v>
      </c>
      <c r="EO35"/>
      <c r="EP35"/>
      <c r="EQ35"/>
      <c r="ER35"/>
      <c r="ES35"/>
      <c r="ET35"/>
    </row>
    <row r="36" spans="2:150" s="3" customFormat="1">
      <c r="B36" s="8" t="s">
        <v>116</v>
      </c>
      <c r="C36" s="145"/>
      <c r="D36" s="145"/>
      <c r="E36" s="145"/>
      <c r="F36" s="150"/>
      <c r="G36" s="17"/>
      <c r="H36" s="145">
        <v>-3.8090000000000002</v>
      </c>
      <c r="I36" s="145">
        <v>-3.452</v>
      </c>
      <c r="J36" s="145">
        <v>-2.984</v>
      </c>
      <c r="K36" s="145">
        <f>+L36-SUM(H36:J36)</f>
        <v>-8.6529999999999987</v>
      </c>
      <c r="L36" s="17">
        <v>-18.898</v>
      </c>
      <c r="M36" s="145">
        <v>-6.9109999999999996</v>
      </c>
      <c r="N36" s="145">
        <v>-2.8490000000000002</v>
      </c>
      <c r="O36" s="145">
        <v>-0.57099999999999995</v>
      </c>
      <c r="P36" s="145">
        <f>+Q36-SUM(M36:O36)</f>
        <v>0.68399999999999928</v>
      </c>
      <c r="Q36" s="17">
        <v>-9.6470000000000002</v>
      </c>
      <c r="R36" s="145">
        <v>-0.29299999999999998</v>
      </c>
      <c r="S36" s="145">
        <v>-0.2</v>
      </c>
      <c r="T36" s="145">
        <v>-0.1</v>
      </c>
      <c r="U36" s="145">
        <f>+V36-SUM(R36:T36)</f>
        <v>-0.30700000000000005</v>
      </c>
      <c r="V36" s="17">
        <v>-0.9</v>
      </c>
      <c r="W36" s="145">
        <v>-0.4</v>
      </c>
      <c r="X36" s="145">
        <v>-1.9</v>
      </c>
      <c r="Y36" s="145">
        <v>-19.600000000000001</v>
      </c>
      <c r="Z36" s="145">
        <f>+AA36-SUM(W36:Y36)</f>
        <v>-18.599999999999998</v>
      </c>
      <c r="AA36" s="17">
        <v>-40.5</v>
      </c>
      <c r="AB36" s="145">
        <v>-15.7</v>
      </c>
      <c r="AC36" s="145">
        <v>-13.9</v>
      </c>
      <c r="AD36" s="145">
        <v>-8.1</v>
      </c>
      <c r="AE36" s="145">
        <f>+AF36-SUM(AB36:AD36)</f>
        <v>-14.299999999999997</v>
      </c>
      <c r="AF36" s="17">
        <v>-52</v>
      </c>
      <c r="AG36" s="145">
        <v>-9.9</v>
      </c>
      <c r="AH36" s="145">
        <v>-9.3000000000000007</v>
      </c>
      <c r="AI36" s="145">
        <v>-8.5</v>
      </c>
      <c r="AJ36" s="145">
        <f>+AK36-SUM(AG36:AI36)</f>
        <v>-8.0999999999999943</v>
      </c>
      <c r="AK36" s="17">
        <v>-35.799999999999997</v>
      </c>
      <c r="AL36" s="145">
        <v>-8.3000000000000007</v>
      </c>
      <c r="AM36" s="145">
        <v>-9</v>
      </c>
      <c r="AN36" s="145">
        <v>-9.3000000000000007</v>
      </c>
      <c r="AO36" s="145">
        <f>+AP36-SUM(AL36:AN36)</f>
        <v>-9.5</v>
      </c>
      <c r="AP36" s="17">
        <v>-36.1</v>
      </c>
      <c r="AQ36" s="145">
        <v>-9.1999999999999993</v>
      </c>
      <c r="AR36" s="145">
        <v>-8.4</v>
      </c>
      <c r="AS36" s="145">
        <v>-7.9</v>
      </c>
      <c r="AT36" s="145">
        <f>+AU36-SUM(AQ36:AS36)</f>
        <v>-7.5</v>
      </c>
      <c r="AU36" s="64">
        <v>-33</v>
      </c>
      <c r="AV36" s="146">
        <v>-7.43</v>
      </c>
      <c r="AW36" s="146">
        <v>-7</v>
      </c>
      <c r="AX36" s="146">
        <v>-8.6999999999999993</v>
      </c>
      <c r="AY36" s="146">
        <v>-14.29</v>
      </c>
      <c r="AZ36" s="64">
        <f>(SUM(AV36:AY36))</f>
        <v>-37.42</v>
      </c>
      <c r="BA36" s="255">
        <v>-11.5</v>
      </c>
      <c r="BB36" s="255">
        <v>-7.3</v>
      </c>
      <c r="BC36" s="255">
        <v>-6.6</v>
      </c>
      <c r="BD36" s="255">
        <f>BE36-BA36-BB36-BC36</f>
        <v>-6.4999999999999982</v>
      </c>
      <c r="BE36" s="280">
        <v>-31.9</v>
      </c>
      <c r="BF36" s="256">
        <v>-7.6</v>
      </c>
      <c r="BG36" s="256">
        <v>-7.1</v>
      </c>
      <c r="BH36" s="256">
        <v>-7.4</v>
      </c>
      <c r="BI36" s="255">
        <f>BJ36-BF36-BG36-BH36</f>
        <v>-7.3999999999999986</v>
      </c>
      <c r="BJ36" s="280">
        <v>-29.5</v>
      </c>
      <c r="BK36" s="256">
        <v>-6.7</v>
      </c>
      <c r="BL36" s="256">
        <v>-5.8</v>
      </c>
      <c r="BM36" s="256">
        <v>-30</v>
      </c>
      <c r="BN36" s="255">
        <f>BO36-BM36-BL36-BK36</f>
        <v>-53</v>
      </c>
      <c r="BO36" s="64">
        <v>-95.5</v>
      </c>
      <c r="BP36" s="256">
        <v>-63.3</v>
      </c>
      <c r="BQ36" s="256">
        <v>-65.900000000000006</v>
      </c>
      <c r="BR36" s="256">
        <v>-66</v>
      </c>
      <c r="BS36" s="255">
        <f t="shared" ref="BS36" si="27">BT36-SUM(BP36:BR36)</f>
        <v>-65.655971608265588</v>
      </c>
      <c r="BT36" s="64">
        <f>-DEBT!AF76+17</f>
        <v>-260.85597160826558</v>
      </c>
      <c r="BU36" s="255">
        <f>-37.6-12</f>
        <v>-49.6</v>
      </c>
      <c r="BV36" s="255">
        <v>-63.6</v>
      </c>
      <c r="BW36" s="255">
        <v>-61.8</v>
      </c>
      <c r="BX36" s="255">
        <f>BY36-SUM(BU36:BW36)</f>
        <v>-62.247978803406681</v>
      </c>
      <c r="BY36" s="64">
        <f>-DEBT!AK76+40</f>
        <v>-237.24797880340668</v>
      </c>
      <c r="BZ36" s="256">
        <v>-41</v>
      </c>
      <c r="CA36" s="255">
        <f>CD36/4</f>
        <v>-53.430448900430903</v>
      </c>
      <c r="CB36" s="255">
        <f>CD36/4</f>
        <v>-53.430448900430903</v>
      </c>
      <c r="CC36" s="255">
        <f>CD36-SUM(BZ36:CB36)</f>
        <v>-65.860897800861807</v>
      </c>
      <c r="CD36" s="64">
        <f>-DEBT!AP76</f>
        <v>-213.72179560172361</v>
      </c>
      <c r="CE36" s="255"/>
      <c r="CF36" s="255"/>
      <c r="CG36" s="255"/>
      <c r="CH36" s="255"/>
      <c r="CI36" s="64">
        <f>-DEBT!AU76</f>
        <v>-208.8546</v>
      </c>
      <c r="CJ36" s="255"/>
      <c r="CK36" s="255"/>
      <c r="CL36" s="255"/>
      <c r="CM36" s="255"/>
      <c r="CN36" s="64">
        <f>-DEBT!AZ76</f>
        <v>-198.086175</v>
      </c>
      <c r="CO36" s="255"/>
      <c r="CP36" s="255"/>
      <c r="CQ36" s="255"/>
      <c r="CR36" s="255"/>
      <c r="CS36" s="64">
        <f>-DEBT!BE76</f>
        <v>-165.7809</v>
      </c>
      <c r="CT36" s="255"/>
      <c r="CU36" s="255"/>
      <c r="CV36" s="255"/>
      <c r="CW36" s="255"/>
      <c r="CX36" s="64">
        <f>-DEBT!BJ76</f>
        <v>-156.78002500000002</v>
      </c>
      <c r="CY36" s="255"/>
      <c r="CZ36" s="255"/>
      <c r="DA36" s="255"/>
      <c r="DB36" s="255"/>
      <c r="DC36" s="64">
        <f>-DEBT!BO76</f>
        <v>-159.7774</v>
      </c>
      <c r="DD36" s="255"/>
      <c r="DE36" s="255"/>
      <c r="DF36" s="255"/>
      <c r="DG36" s="255"/>
      <c r="DH36" s="64">
        <f>-DEBT!BT76</f>
        <v>-159.7774</v>
      </c>
      <c r="DI36" s="255"/>
      <c r="DJ36" s="255"/>
      <c r="DK36" s="255"/>
      <c r="DL36" s="255"/>
      <c r="DM36" s="64">
        <f>-DEBT!BY76</f>
        <v>-142.21254999999999</v>
      </c>
      <c r="DN36" s="255"/>
      <c r="DO36" s="255"/>
      <c r="DP36" s="255"/>
      <c r="DQ36" s="255"/>
      <c r="DR36" s="64">
        <f>-DEBT!CD76</f>
        <v>-89.518000000000001</v>
      </c>
      <c r="DS36" s="255"/>
      <c r="DT36" s="255"/>
      <c r="DU36" s="255"/>
      <c r="DV36" s="255"/>
      <c r="DW36" s="64">
        <f>-DEBT!CI76</f>
        <v>-89.518000000000001</v>
      </c>
      <c r="DX36" s="255"/>
      <c r="DY36" s="255"/>
      <c r="DZ36" s="255"/>
      <c r="EA36" s="255"/>
      <c r="EB36" s="64">
        <f>-DEBT!CN76</f>
        <v>-89.518000000000001</v>
      </c>
      <c r="EC36" s="255"/>
      <c r="ED36" s="255"/>
      <c r="EE36" s="255"/>
      <c r="EF36" s="255"/>
      <c r="EG36" s="64">
        <f>-DEBT!CS76</f>
        <v>-89.518000000000001</v>
      </c>
      <c r="EH36" s="255"/>
      <c r="EI36" s="255"/>
      <c r="EJ36" s="255"/>
      <c r="EK36" s="255"/>
      <c r="EL36" s="64">
        <f>-DEBT!CX76</f>
        <v>-89.518000000000001</v>
      </c>
      <c r="EO36"/>
      <c r="EP36"/>
      <c r="EQ36"/>
      <c r="ER36"/>
      <c r="ES36"/>
      <c r="ET36"/>
    </row>
    <row r="37" spans="2:150" s="3" customFormat="1">
      <c r="B37" s="8" t="s">
        <v>494</v>
      </c>
      <c r="C37" s="145">
        <v>13.6</v>
      </c>
      <c r="D37" s="145">
        <v>14.3</v>
      </c>
      <c r="E37" s="145">
        <v>8.9</v>
      </c>
      <c r="F37" s="145">
        <f>+G37-SUM(C37:E37)</f>
        <v>15.800000000000004</v>
      </c>
      <c r="G37" s="17">
        <v>52.6</v>
      </c>
      <c r="H37" s="145">
        <f>11.726-H36-H35</f>
        <v>1.2089999999999996</v>
      </c>
      <c r="I37" s="145">
        <f>6.413-I36-I35</f>
        <v>-5.0719999999999992</v>
      </c>
      <c r="J37" s="145">
        <f>-1.573-J36-J35+12.7</f>
        <v>0.31699999999999839</v>
      </c>
      <c r="K37" s="145">
        <f>+L37-SUM(H37:J37)</f>
        <v>-1.4040000000000088</v>
      </c>
      <c r="L37" s="17">
        <f>20.677+12.7-L36-L35</f>
        <v>-4.9500000000000099</v>
      </c>
      <c r="M37" s="145">
        <f>-8.926-M35-M36</f>
        <v>-17.72</v>
      </c>
      <c r="N37" s="145">
        <f>6.051-N35-N36</f>
        <v>-3.5009999999999994</v>
      </c>
      <c r="O37" s="145">
        <f>11.192-O35-O36</f>
        <v>-4.7670000000000012</v>
      </c>
      <c r="P37" s="145">
        <f>+Q37-SUM(M37:O37)</f>
        <v>-6.9609999999999985</v>
      </c>
      <c r="Q37" s="17">
        <f>20.155-Q35-Q36</f>
        <v>-32.948999999999998</v>
      </c>
      <c r="R37" s="145">
        <f>18.665-R35-R36</f>
        <v>-4.5989999999999993</v>
      </c>
      <c r="S37" s="145">
        <f>21.806-S35-S36</f>
        <v>-4.0940000000000003</v>
      </c>
      <c r="T37" s="145">
        <f>22.319-T35-T36</f>
        <v>-3.5810000000000008</v>
      </c>
      <c r="U37" s="145">
        <f>+V37-SUM(R37:T37)</f>
        <v>-35.883000000000003</v>
      </c>
      <c r="V37" s="17">
        <f>52.143-V35-V36</f>
        <v>-48.157000000000004</v>
      </c>
      <c r="W37" s="145">
        <f>21.702-W35-W36</f>
        <v>-6.9979999999999993</v>
      </c>
      <c r="X37" s="145">
        <f>31.586-X35-X36</f>
        <v>1.385999999999997</v>
      </c>
      <c r="Y37" s="145">
        <f>44.904-Y35-Y36-38</f>
        <v>7.7040000000000077</v>
      </c>
      <c r="Z37" s="145">
        <f>+AA37-SUM(W37:Y37)</f>
        <v>-6.6689999999999898</v>
      </c>
      <c r="AA37" s="17">
        <f>130.823-AA35-AA36-72.3</f>
        <v>-4.576999999999984</v>
      </c>
      <c r="AB37" s="145">
        <f>3.08-AB35-AB36</f>
        <v>-4.120000000000001</v>
      </c>
      <c r="AC37" s="145">
        <f>-4.018-AC35-AC36</f>
        <v>-5.418000000000001</v>
      </c>
      <c r="AD37" s="145">
        <f>-23.713-AD35-AD36</f>
        <v>-32.413000000000004</v>
      </c>
      <c r="AE37" s="145">
        <f>+AF37-SUM(AB37:AD37)</f>
        <v>-35.876999999999995</v>
      </c>
      <c r="AF37" s="17">
        <f>-57.728-AF35-AF36</f>
        <v>-77.828000000000003</v>
      </c>
      <c r="AG37" s="145">
        <f>6.846-AG35-AG36</f>
        <v>1.9459999999999997</v>
      </c>
      <c r="AH37" s="145">
        <f>14.68-AH35-AH36</f>
        <v>11.88</v>
      </c>
      <c r="AI37" s="145">
        <f>9.36-AI35-AI36</f>
        <v>6.9599999999999991</v>
      </c>
      <c r="AJ37" s="145">
        <f>+AK37-SUM(AG37:AI37)</f>
        <v>3.7659999999999982</v>
      </c>
      <c r="AK37" s="17">
        <f>37.252-AK35-AK36</f>
        <v>24.552</v>
      </c>
      <c r="AL37" s="145">
        <f>-8.386-AL35-AL36</f>
        <v>-8.9860000000000007</v>
      </c>
      <c r="AM37" s="145">
        <f>1.012-AM35-AM36</f>
        <v>3.3119999999999994</v>
      </c>
      <c r="AN37" s="145">
        <f>-6.945-AN35-AN36</f>
        <v>-0.74499999999999922</v>
      </c>
      <c r="AO37" s="145">
        <f>+AP37-SUM(AL37:AN37)</f>
        <v>1.2360000000000007</v>
      </c>
      <c r="AP37" s="17">
        <f>-18.983-AP35-AP36</f>
        <v>-5.1829999999999998</v>
      </c>
      <c r="AQ37" s="145">
        <f>9.951-AQ35-AQ36</f>
        <v>15.451000000000001</v>
      </c>
      <c r="AR37" s="145">
        <f>-11.728-AR35-AR36</f>
        <v>-7.6279999999999983</v>
      </c>
      <c r="AS37" s="145">
        <f>-0.8-4.8-0.6+0.6</f>
        <v>-5.6</v>
      </c>
      <c r="AT37" s="145">
        <v>0</v>
      </c>
      <c r="AU37" s="64">
        <f>SUM(AQ37:AT37)</f>
        <v>2.2230000000000025</v>
      </c>
      <c r="AV37" s="146">
        <f>15.144-AV35-AV36</f>
        <v>16.073999999999998</v>
      </c>
      <c r="AW37" s="146">
        <f>2.95-AW35-AW36</f>
        <v>-0.24999999999999911</v>
      </c>
      <c r="AX37" s="146">
        <f>-4.548-AX35-AX36</f>
        <v>-1.7480000000000011</v>
      </c>
      <c r="AY37" s="146">
        <v>0</v>
      </c>
      <c r="AZ37" s="64">
        <f>(SUM(AV37:AY37))</f>
        <v>14.075999999999997</v>
      </c>
      <c r="BA37" s="255">
        <f>-14.457-3.811-BA35-BA36</f>
        <v>-11.068000000000001</v>
      </c>
      <c r="BB37" s="255">
        <f>-10.428-BB36-BB35</f>
        <v>-4.0280000000000014</v>
      </c>
      <c r="BC37" s="255">
        <f>-4.64-BC36-BC35</f>
        <v>0.45999999999999996</v>
      </c>
      <c r="BD37" s="256">
        <f>-5.405-BD36-BD35</f>
        <v>-0.40500000000000158</v>
      </c>
      <c r="BE37" s="64">
        <f>SUM(BA37:BD37)</f>
        <v>-15.041000000000004</v>
      </c>
      <c r="BF37" s="256">
        <f>-5.601-BF36-BF35-7.605</f>
        <v>-8.3060000000000009</v>
      </c>
      <c r="BG37" s="256">
        <f>4.861-BG36-BG35</f>
        <v>9.5609999999999982</v>
      </c>
      <c r="BH37" s="256">
        <f>-16.29-BH36-BH35</f>
        <v>-12.489999999999998</v>
      </c>
      <c r="BI37" s="256">
        <f>-8.751-BI36-BI35</f>
        <v>-4.8510000000000009</v>
      </c>
      <c r="BJ37" s="64">
        <f>SUM(BF37:BI37)</f>
        <v>-16.086000000000002</v>
      </c>
      <c r="BK37" s="256">
        <f>-14.986-BK36-BK35</f>
        <v>-11.586000000000002</v>
      </c>
      <c r="BL37" s="256">
        <f>-10.889-BL36-BL35</f>
        <v>-9.3889999999999993</v>
      </c>
      <c r="BM37" s="256">
        <f>-15.413-BM36-BM35</f>
        <v>9.5869999999999997</v>
      </c>
      <c r="BN37" s="256">
        <f>BO37-SUM(BK37:BM37)</f>
        <v>-38.912000000000006</v>
      </c>
      <c r="BO37" s="64">
        <f>-123.7-BO36-BO35</f>
        <v>-50.300000000000004</v>
      </c>
      <c r="BP37" s="256">
        <f>1.6+2.1-4.4</f>
        <v>-0.70000000000000018</v>
      </c>
      <c r="BQ37" s="256">
        <f>-2.7+0.2-5.5</f>
        <v>-8</v>
      </c>
      <c r="BR37" s="256">
        <f>0.8-4.9-4.4</f>
        <v>-8.5</v>
      </c>
      <c r="BS37" s="256">
        <f>BT37-SUM(BP37:BR37)</f>
        <v>0.6572216082655622</v>
      </c>
      <c r="BT37" s="64">
        <f>-217.4-BT36-BT35</f>
        <v>-16.542778391734437</v>
      </c>
      <c r="BU37" s="256">
        <v>0</v>
      </c>
      <c r="BV37" s="256">
        <f>-68.2-BV35-BV36</f>
        <v>-21.499999999999993</v>
      </c>
      <c r="BW37" s="256">
        <f>-43.6-BW35-BW36</f>
        <v>-2.4000000000000057</v>
      </c>
      <c r="BX37" s="256">
        <v>-25.2</v>
      </c>
      <c r="BY37" s="64">
        <f>SUM(BU37:BX37)</f>
        <v>-49.099999999999994</v>
      </c>
      <c r="BZ37" s="256">
        <v>0</v>
      </c>
      <c r="CA37" s="255">
        <v>0</v>
      </c>
      <c r="CB37" s="255">
        <v>0</v>
      </c>
      <c r="CC37" s="255">
        <f>CD37-SUM(BZ37:CB37)</f>
        <v>0</v>
      </c>
      <c r="CD37" s="64">
        <v>0</v>
      </c>
      <c r="CE37" s="255"/>
      <c r="CF37" s="255"/>
      <c r="CG37" s="255"/>
      <c r="CH37" s="255"/>
      <c r="CI37" s="64">
        <v>0</v>
      </c>
      <c r="CJ37" s="255"/>
      <c r="CK37" s="255"/>
      <c r="CL37" s="255"/>
      <c r="CM37" s="255"/>
      <c r="CN37" s="64">
        <v>0</v>
      </c>
      <c r="CO37" s="255"/>
      <c r="CP37" s="255"/>
      <c r="CQ37" s="255"/>
      <c r="CR37" s="255"/>
      <c r="CS37" s="64">
        <v>0</v>
      </c>
      <c r="CT37" s="255"/>
      <c r="CU37" s="255"/>
      <c r="CV37" s="255"/>
      <c r="CW37" s="255"/>
      <c r="CX37" s="64">
        <v>0</v>
      </c>
      <c r="CY37" s="255"/>
      <c r="CZ37" s="255"/>
      <c r="DA37" s="255"/>
      <c r="DB37" s="255"/>
      <c r="DC37" s="64">
        <v>0</v>
      </c>
      <c r="DD37" s="255"/>
      <c r="DE37" s="255"/>
      <c r="DF37" s="255"/>
      <c r="DG37" s="255"/>
      <c r="DH37" s="64">
        <v>0</v>
      </c>
      <c r="DI37" s="255"/>
      <c r="DJ37" s="255"/>
      <c r="DK37" s="255"/>
      <c r="DL37" s="255"/>
      <c r="DM37" s="64">
        <v>0</v>
      </c>
      <c r="DN37" s="255"/>
      <c r="DO37" s="255"/>
      <c r="DP37" s="255"/>
      <c r="DQ37" s="255"/>
      <c r="DR37" s="64">
        <v>0</v>
      </c>
      <c r="DS37" s="255"/>
      <c r="DT37" s="255"/>
      <c r="DU37" s="255"/>
      <c r="DV37" s="255"/>
      <c r="DW37" s="64">
        <v>0</v>
      </c>
      <c r="DX37" s="255"/>
      <c r="DY37" s="255"/>
      <c r="DZ37" s="255"/>
      <c r="EA37" s="255"/>
      <c r="EB37" s="64">
        <v>0</v>
      </c>
      <c r="EC37" s="255"/>
      <c r="ED37" s="255"/>
      <c r="EE37" s="255"/>
      <c r="EF37" s="255"/>
      <c r="EG37" s="64">
        <v>0</v>
      </c>
      <c r="EH37" s="255"/>
      <c r="EI37" s="255"/>
      <c r="EJ37" s="255"/>
      <c r="EK37" s="255"/>
      <c r="EL37" s="64">
        <v>0</v>
      </c>
      <c r="EO37"/>
      <c r="EP37"/>
      <c r="EQ37"/>
      <c r="ER37"/>
      <c r="ES37"/>
      <c r="ET37"/>
    </row>
    <row r="38" spans="2:150" s="35" customFormat="1">
      <c r="B38" s="34" t="s">
        <v>163</v>
      </c>
      <c r="C38" s="137">
        <f>+C33+C37</f>
        <v>170.59999999999997</v>
      </c>
      <c r="D38" s="137">
        <f>+D33+D37</f>
        <v>149.29999999999998</v>
      </c>
      <c r="E38" s="137">
        <f>+E33+E37</f>
        <v>180.70000000000002</v>
      </c>
      <c r="F38" s="137">
        <f>+F33+F37</f>
        <v>131.30000000000007</v>
      </c>
      <c r="G38" s="16">
        <f t="shared" ref="G38:AU38" si="28">+G33+SUM(G35:G37)</f>
        <v>632</v>
      </c>
      <c r="H38" s="137">
        <f t="shared" si="28"/>
        <v>209.62100000000007</v>
      </c>
      <c r="I38" s="137">
        <f t="shared" si="28"/>
        <v>178.95100000000011</v>
      </c>
      <c r="J38" s="137">
        <f t="shared" si="28"/>
        <v>194.11399999999998</v>
      </c>
      <c r="K38" s="137">
        <f t="shared" si="28"/>
        <v>149.68399999999997</v>
      </c>
      <c r="L38" s="16">
        <f t="shared" si="28"/>
        <v>732.37000000000035</v>
      </c>
      <c r="M38" s="137">
        <f t="shared" si="28"/>
        <v>151.82500000000007</v>
      </c>
      <c r="N38" s="137">
        <f t="shared" si="28"/>
        <v>215.89500000000007</v>
      </c>
      <c r="O38" s="137">
        <f t="shared" si="28"/>
        <v>168.39299999999992</v>
      </c>
      <c r="P38" s="137">
        <f t="shared" si="28"/>
        <v>246.28699999999961</v>
      </c>
      <c r="Q38" s="16">
        <f t="shared" si="28"/>
        <v>782.4000000000002</v>
      </c>
      <c r="R38" s="137">
        <f t="shared" si="28"/>
        <v>279.86300000000011</v>
      </c>
      <c r="S38" s="137">
        <f t="shared" si="28"/>
        <v>288.58000000000004</v>
      </c>
      <c r="T38" s="137">
        <f t="shared" si="28"/>
        <v>295.63299999999981</v>
      </c>
      <c r="U38" s="137">
        <f t="shared" si="28"/>
        <v>261.45799999999991</v>
      </c>
      <c r="V38" s="16">
        <f t="shared" si="28"/>
        <v>1125.5339999999999</v>
      </c>
      <c r="W38" s="137">
        <f t="shared" si="28"/>
        <v>290.91899999999987</v>
      </c>
      <c r="X38" s="137">
        <f t="shared" si="28"/>
        <v>308.18700000000013</v>
      </c>
      <c r="Y38" s="137">
        <f t="shared" si="28"/>
        <v>241.96200000000016</v>
      </c>
      <c r="Z38" s="137">
        <f t="shared" si="28"/>
        <v>375.93400000000031</v>
      </c>
      <c r="AA38" s="16">
        <f t="shared" si="28"/>
        <v>1217.002</v>
      </c>
      <c r="AB38" s="137">
        <f t="shared" si="28"/>
        <v>355.46500000000015</v>
      </c>
      <c r="AC38" s="137">
        <f t="shared" si="28"/>
        <v>372.34800000000018</v>
      </c>
      <c r="AD38" s="137">
        <f t="shared" si="28"/>
        <v>429.00100000000015</v>
      </c>
      <c r="AE38" s="137">
        <f t="shared" si="28"/>
        <v>383.97199999999941</v>
      </c>
      <c r="AF38" s="16">
        <f t="shared" si="28"/>
        <v>1540.7860000000007</v>
      </c>
      <c r="AG38" s="137">
        <f t="shared" si="28"/>
        <v>410.45200000000011</v>
      </c>
      <c r="AH38" s="137">
        <f t="shared" si="28"/>
        <v>340.32799999999997</v>
      </c>
      <c r="AI38" s="137">
        <f t="shared" si="28"/>
        <v>456.28500000000008</v>
      </c>
      <c r="AJ38" s="137">
        <f t="shared" si="28"/>
        <v>455.42500000000001</v>
      </c>
      <c r="AK38" s="16">
        <f t="shared" si="28"/>
        <v>1662.4900000000002</v>
      </c>
      <c r="AL38" s="137">
        <f t="shared" si="28"/>
        <v>401.46800000000013</v>
      </c>
      <c r="AM38" s="137">
        <f t="shared" si="28"/>
        <v>463.64000000000038</v>
      </c>
      <c r="AN38" s="137">
        <f t="shared" si="28"/>
        <v>452.72100000000017</v>
      </c>
      <c r="AO38" s="137">
        <f t="shared" si="28"/>
        <v>486.53399999999999</v>
      </c>
      <c r="AP38" s="16">
        <f t="shared" si="28"/>
        <v>1804.3630000000005</v>
      </c>
      <c r="AQ38" s="137">
        <f t="shared" si="28"/>
        <v>499.8370000000001</v>
      </c>
      <c r="AR38" s="137">
        <f t="shared" si="28"/>
        <v>458.12099999999998</v>
      </c>
      <c r="AS38" s="137">
        <f t="shared" si="28"/>
        <v>538.64300000000003</v>
      </c>
      <c r="AT38" s="137">
        <f t="shared" si="28"/>
        <v>492.42700000000002</v>
      </c>
      <c r="AU38" s="105">
        <f t="shared" si="28"/>
        <v>1975.4589999999992</v>
      </c>
      <c r="AV38" s="138">
        <f>+AV33+SUM(AV35:AV37)</f>
        <v>432.05499999999995</v>
      </c>
      <c r="AW38" s="138">
        <f t="shared" ref="AW38:BE38" si="29">+AW33+SUM(AW35:AW37)</f>
        <v>575.07000000000028</v>
      </c>
      <c r="AX38" s="138">
        <f t="shared" si="29"/>
        <v>601.76100000000008</v>
      </c>
      <c r="AY38" s="138">
        <f t="shared" si="29"/>
        <v>486.04700000000014</v>
      </c>
      <c r="AZ38" s="105">
        <f t="shared" si="29"/>
        <v>2094.9329999999986</v>
      </c>
      <c r="BA38" s="254">
        <f t="shared" si="29"/>
        <v>546.6339999999999</v>
      </c>
      <c r="BB38" s="254">
        <f t="shared" si="29"/>
        <v>728.23600000000033</v>
      </c>
      <c r="BC38" s="254">
        <f>+BC33+SUM(BC35:BC37)</f>
        <v>779.29700000000025</v>
      </c>
      <c r="BD38" s="254">
        <f>+BD33+SUM(BD35:BD37)</f>
        <v>789.55700000000002</v>
      </c>
      <c r="BE38" s="105">
        <f t="shared" si="29"/>
        <v>2844.2899999999991</v>
      </c>
      <c r="BF38" s="254">
        <f t="shared" ref="BF38:BL38" si="30">+BF33+SUM(BF35:BF37)</f>
        <v>802.04400000000032</v>
      </c>
      <c r="BG38" s="254">
        <f t="shared" si="30"/>
        <v>1148.3239999999996</v>
      </c>
      <c r="BH38" s="254">
        <f t="shared" si="30"/>
        <v>1208.1219999999998</v>
      </c>
      <c r="BI38" s="254">
        <f t="shared" si="30"/>
        <v>1261.8520000000001</v>
      </c>
      <c r="BJ38" s="105">
        <f t="shared" si="30"/>
        <v>4420.3419999999987</v>
      </c>
      <c r="BK38" s="254">
        <f>+BK33+SUM(BK35:BK37)</f>
        <v>1203.0589999999995</v>
      </c>
      <c r="BL38" s="254">
        <f t="shared" si="30"/>
        <v>1307.1649999999997</v>
      </c>
      <c r="BM38" s="254">
        <f>+BM33+SUM(BM35:BM37)</f>
        <v>1450.9599999999994</v>
      </c>
      <c r="BN38" s="254">
        <f>+BN33+SUM(BN35:BN37)</f>
        <v>1295.1659999999997</v>
      </c>
      <c r="BO38" s="105">
        <f>+BO33+SUM(BO35:BO37)</f>
        <v>5256.5239999999994</v>
      </c>
      <c r="BP38" s="254">
        <f>+BP33+SUM(BP35:BP37)</f>
        <v>1423.3000000000004</v>
      </c>
      <c r="BQ38" s="254">
        <f t="shared" ref="BQ38" si="31">+BQ33+SUM(BQ35:BQ37)</f>
        <v>1521.6999999999996</v>
      </c>
      <c r="BR38" s="254">
        <f>+BR33+SUM(BR35:BR37)</f>
        <v>1504.3999999999996</v>
      </c>
      <c r="BS38" s="254">
        <f>+BS33+SUM(BS35:BS37)</f>
        <v>1428.4</v>
      </c>
      <c r="BT38" s="105">
        <f>+BT33+SUM(BT35:BT37)</f>
        <v>5877.7999999999984</v>
      </c>
      <c r="BU38" s="254">
        <f>+BU33+SUM(BU35:BU37)</f>
        <v>1464.4000000000005</v>
      </c>
      <c r="BV38" s="254">
        <f t="shared" ref="BV38" si="32">+BV33+SUM(BV35:BV37)</f>
        <v>1391.0999999999997</v>
      </c>
      <c r="BW38" s="254">
        <f>+BW33+SUM(BW35:BW37)</f>
        <v>1748.7999999999997</v>
      </c>
      <c r="BX38" s="254">
        <f>+BX33+SUM(BX35:BX37)</f>
        <v>1560.4309711965932</v>
      </c>
      <c r="BY38" s="105">
        <f>+BY33+SUM(BY35:BY37)</f>
        <v>6164.7309711965954</v>
      </c>
      <c r="BZ38" s="254">
        <f>+BZ33+SUM(BZ35:BZ37)</f>
        <v>1613.8000000000002</v>
      </c>
      <c r="CA38" s="254">
        <f t="shared" ref="CA38:CC38" si="33">+CA33+SUM(CA35:CA37)</f>
        <v>1304.5958299607948</v>
      </c>
      <c r="CB38" s="254">
        <f t="shared" si="33"/>
        <v>1687.99754120956</v>
      </c>
      <c r="CC38" s="254">
        <f t="shared" si="33"/>
        <v>1729.8354479478533</v>
      </c>
      <c r="CD38" s="105">
        <f>+CD33+SUM(CD35:CD37)</f>
        <v>6377.1005844974461</v>
      </c>
      <c r="CE38" s="254"/>
      <c r="CF38" s="254"/>
      <c r="CG38" s="254"/>
      <c r="CH38" s="254"/>
      <c r="CI38" s="105">
        <f>+CI33+SUM(CI35:CI37)</f>
        <v>7009.3720068760786</v>
      </c>
      <c r="CJ38" s="254"/>
      <c r="CK38" s="254"/>
      <c r="CL38" s="254"/>
      <c r="CM38" s="254"/>
      <c r="CN38" s="105">
        <f>+CN33+SUM(CN35:CN37)</f>
        <v>7328.2028700430292</v>
      </c>
      <c r="CO38" s="254"/>
      <c r="CP38" s="254"/>
      <c r="CQ38" s="254"/>
      <c r="CR38" s="254"/>
      <c r="CS38" s="105">
        <f>+CS33+SUM(CS35:CS37)</f>
        <v>7655.6597919151</v>
      </c>
      <c r="CT38" s="254"/>
      <c r="CU38" s="254"/>
      <c r="CV38" s="254"/>
      <c r="CW38" s="254"/>
      <c r="CX38" s="105">
        <f>+CX33+SUM(CX35:CX37)</f>
        <v>7805.6897889764587</v>
      </c>
      <c r="CY38" s="254"/>
      <c r="CZ38" s="254"/>
      <c r="DA38" s="254"/>
      <c r="DB38" s="254"/>
      <c r="DC38" s="105">
        <f>+DC33+SUM(DC35:DC37)</f>
        <v>7946.2656570113377</v>
      </c>
      <c r="DD38" s="254"/>
      <c r="DE38" s="254"/>
      <c r="DF38" s="254"/>
      <c r="DG38" s="254"/>
      <c r="DH38" s="105">
        <f>+DH33+SUM(DH35:DH37)</f>
        <v>8102.4853158786545</v>
      </c>
      <c r="DI38" s="254"/>
      <c r="DJ38" s="254"/>
      <c r="DK38" s="254"/>
      <c r="DL38" s="254"/>
      <c r="DM38" s="105">
        <f>+DM33+SUM(DM35:DM37)</f>
        <v>7485.7321023385057</v>
      </c>
      <c r="DN38" s="254"/>
      <c r="DO38" s="254"/>
      <c r="DP38" s="254"/>
      <c r="DQ38" s="254"/>
      <c r="DR38" s="105">
        <f>+DR33+SUM(DR35:DR37)</f>
        <v>6576.7409025771803</v>
      </c>
      <c r="DS38" s="254"/>
      <c r="DT38" s="254"/>
      <c r="DU38" s="254"/>
      <c r="DV38" s="254"/>
      <c r="DW38" s="105">
        <f>+DW33+SUM(DW35:DW37)</f>
        <v>5082.8579542448806</v>
      </c>
      <c r="DX38" s="254"/>
      <c r="DY38" s="254"/>
      <c r="DZ38" s="254"/>
      <c r="EA38" s="254"/>
      <c r="EB38" s="105">
        <f>+EB33+SUM(EB35:EB37)</f>
        <v>4765.6000163617691</v>
      </c>
      <c r="EC38" s="254"/>
      <c r="ED38" s="254"/>
      <c r="EE38" s="254"/>
      <c r="EF38" s="254"/>
      <c r="EG38" s="105">
        <f>+EG33+SUM(EG35:EG37)</f>
        <v>4625.1918575771833</v>
      </c>
      <c r="EH38" s="254"/>
      <c r="EI38" s="254"/>
      <c r="EJ38" s="254"/>
      <c r="EK38" s="254"/>
      <c r="EL38" s="105">
        <f>+EL33+SUM(EL35:EL37)</f>
        <v>4739.3192790357016</v>
      </c>
      <c r="EO38"/>
      <c r="EP38"/>
      <c r="EQ38"/>
      <c r="ER38"/>
      <c r="ES38"/>
      <c r="ET38"/>
    </row>
    <row r="39" spans="2:150" s="3" customFormat="1">
      <c r="B39" s="3" t="s">
        <v>164</v>
      </c>
      <c r="C39" s="145">
        <v>54.6</v>
      </c>
      <c r="D39" s="145">
        <v>47.8</v>
      </c>
      <c r="E39" s="145">
        <v>57.8</v>
      </c>
      <c r="F39" s="145">
        <f>+G39-SUM(C39:E39)</f>
        <v>40.200000000000017</v>
      </c>
      <c r="G39" s="17">
        <v>200.4</v>
      </c>
      <c r="H39" s="145">
        <f>-30.941+98</f>
        <v>67.058999999999997</v>
      </c>
      <c r="I39" s="145">
        <f>4.116+53.2</f>
        <v>57.316000000000003</v>
      </c>
      <c r="J39" s="145">
        <f>32.492+29.6</f>
        <v>62.091999999999999</v>
      </c>
      <c r="K39" s="145">
        <f>+L39-SUM(H39:J39)</f>
        <v>47.940000000000026</v>
      </c>
      <c r="L39" s="17">
        <f>39.007+195.4</f>
        <v>234.40700000000001</v>
      </c>
      <c r="M39" s="145">
        <f>22.89+23.1</f>
        <v>45.99</v>
      </c>
      <c r="N39" s="145">
        <f>17.848+49</f>
        <v>66.847999999999999</v>
      </c>
      <c r="O39" s="145">
        <f>5.172+40.9</f>
        <v>46.071999999999996</v>
      </c>
      <c r="P39" s="145">
        <f>+Q39-SUM(M39:O39)</f>
        <v>81.773999999999972</v>
      </c>
      <c r="Q39" s="17">
        <f>95.484+145.2</f>
        <v>240.68399999999997</v>
      </c>
      <c r="R39" s="145">
        <f>72.464+18.4</f>
        <v>90.864000000000004</v>
      </c>
      <c r="S39" s="145">
        <f>70.404+20.9</f>
        <v>91.304000000000002</v>
      </c>
      <c r="T39" s="145">
        <f>63.048+25.6</f>
        <v>88.647999999999996</v>
      </c>
      <c r="U39" s="145">
        <f>+V39-SUM(R39:T39)</f>
        <v>77.914999999999964</v>
      </c>
      <c r="V39" s="17">
        <f>278.431+70.3</f>
        <v>348.73099999999999</v>
      </c>
      <c r="W39" s="145">
        <f>71.893+16.6</f>
        <v>88.492999999999995</v>
      </c>
      <c r="X39" s="145">
        <f>51.886+16</f>
        <v>67.885999999999996</v>
      </c>
      <c r="Y39" s="145">
        <f>54.733+16.9</f>
        <v>71.632999999999996</v>
      </c>
      <c r="Z39" s="145">
        <f>+AA39-SUM(W39:Y39)</f>
        <v>109.911</v>
      </c>
      <c r="AA39" s="17">
        <f>272.423+65.5</f>
        <v>337.923</v>
      </c>
      <c r="AB39" s="145">
        <f>83.277+18.4</f>
        <v>101.67699999999999</v>
      </c>
      <c r="AC39" s="145">
        <f>84.706+16.1</f>
        <v>100.80600000000001</v>
      </c>
      <c r="AD39" s="145">
        <f>114.337+24.1</f>
        <v>138.43700000000001</v>
      </c>
      <c r="AE39" s="145">
        <f>+AF39-SUM(AB39:AD39)</f>
        <v>106.75600000000003</v>
      </c>
      <c r="AF39" s="17">
        <f>365.776+81.9</f>
        <v>447.67600000000004</v>
      </c>
      <c r="AG39" s="145">
        <f>65.225+35.4</f>
        <v>100.625</v>
      </c>
      <c r="AH39" s="145">
        <f>92.709+24.8</f>
        <v>117.509</v>
      </c>
      <c r="AI39" s="145">
        <f>113.936+12.5</f>
        <v>126.43600000000001</v>
      </c>
      <c r="AJ39" s="145">
        <f>+AK39-SUM(AG39:AI39)</f>
        <v>107.947</v>
      </c>
      <c r="AK39" s="17">
        <f>355.617+96.9</f>
        <v>452.51700000000005</v>
      </c>
      <c r="AL39" s="145">
        <f>75.31+27.2</f>
        <v>102.51</v>
      </c>
      <c r="AM39" s="145">
        <f>102.243+15.1</f>
        <v>117.34299999999999</v>
      </c>
      <c r="AN39" s="145">
        <f>75.011+45.4</f>
        <v>120.411</v>
      </c>
      <c r="AO39" s="145">
        <f>+AP39-SUM(AL39:AN39)</f>
        <v>107.16899999999998</v>
      </c>
      <c r="AP39" s="17">
        <f>331.333+116.1</f>
        <v>447.43299999999999</v>
      </c>
      <c r="AQ39" s="145">
        <f>117.468+18.6</f>
        <v>136.06800000000001</v>
      </c>
      <c r="AR39" s="145">
        <f>95.036+14.8</f>
        <v>109.836</v>
      </c>
      <c r="AS39" s="145">
        <f>127.104+AS67</f>
        <v>142.00399999999999</v>
      </c>
      <c r="AT39" s="145">
        <f>104.919+AT67</f>
        <v>118.51899999999999</v>
      </c>
      <c r="AU39" s="64">
        <f>SUM(AQ39:AT39)</f>
        <v>506.42700000000002</v>
      </c>
      <c r="AV39" s="146">
        <f>82.148+AV67</f>
        <v>93.74799999999999</v>
      </c>
      <c r="AW39" s="146">
        <f>121.021+AW67</f>
        <v>135.42099999999999</v>
      </c>
      <c r="AX39" s="146">
        <f>131.044+AX67</f>
        <v>145.84400000000002</v>
      </c>
      <c r="AY39" s="146">
        <f>136.341+AY67</f>
        <v>148.64100000000002</v>
      </c>
      <c r="AZ39" s="64">
        <f>(SUM(AV39:AY39))</f>
        <v>523.654</v>
      </c>
      <c r="BA39" s="255">
        <f>65.508+BA67</f>
        <v>77.207999999999998</v>
      </c>
      <c r="BB39" s="255">
        <f>159.14+BB67</f>
        <v>177.14</v>
      </c>
      <c r="BC39" s="255">
        <f>186.105+BC67</f>
        <v>212.10499999999999</v>
      </c>
      <c r="BD39" s="256">
        <f>190.261+BD67</f>
        <v>227.56099999999998</v>
      </c>
      <c r="BE39" s="64">
        <f>SUM(BA39:BD39)</f>
        <v>694.0139999999999</v>
      </c>
      <c r="BF39" s="256">
        <f>178.414+BF67</f>
        <v>215.41399999999999</v>
      </c>
      <c r="BG39" s="255">
        <f>268.521+BG67</f>
        <v>308.62100000000004</v>
      </c>
      <c r="BH39" s="255">
        <f>274.774+BH67</f>
        <v>303.97399999999999</v>
      </c>
      <c r="BI39" s="255">
        <f>268.233+BI67</f>
        <v>296.93299999999999</v>
      </c>
      <c r="BJ39" s="64">
        <f>SUM(BF39:BI39)</f>
        <v>1124.942</v>
      </c>
      <c r="BK39" s="256">
        <f>281.881+BK67</f>
        <v>304.48099999999999</v>
      </c>
      <c r="BL39" s="256">
        <f>292.501+BL67</f>
        <v>309.601</v>
      </c>
      <c r="BM39" s="256">
        <f>330.093+BM67</f>
        <v>347.79300000000001</v>
      </c>
      <c r="BN39" s="256">
        <f>257.1+BN67</f>
        <v>304</v>
      </c>
      <c r="BO39" s="64">
        <f>SUM(BK39:BN39)</f>
        <v>1265.875</v>
      </c>
      <c r="BP39" s="256">
        <f>356.4+BP67</f>
        <v>375.59999999999997</v>
      </c>
      <c r="BQ39" s="256">
        <f>353.6+BQ67</f>
        <v>380.70000000000005</v>
      </c>
      <c r="BR39" s="256">
        <f>337+BR67</f>
        <v>369.4</v>
      </c>
      <c r="BS39" s="256">
        <f>190.3+BS67</f>
        <v>336.5</v>
      </c>
      <c r="BT39" s="64">
        <f>SUM(BP39:BS39)</f>
        <v>1462.1999999999998</v>
      </c>
      <c r="BU39" s="256">
        <f>239.2+BU67</f>
        <v>341.6</v>
      </c>
      <c r="BV39" s="256">
        <f>269.6+BV67</f>
        <v>322</v>
      </c>
      <c r="BW39" s="256">
        <f>383.8+BW67</f>
        <v>411.5</v>
      </c>
      <c r="BX39" s="256">
        <f>1566.1+BX67</f>
        <v>423</v>
      </c>
      <c r="BY39" s="64">
        <f>SUM(BU39:BX39)</f>
        <v>1498.1</v>
      </c>
      <c r="BZ39" s="256">
        <f>322.5-BZ67</f>
        <v>333.8</v>
      </c>
      <c r="CA39" s="255">
        <f t="shared" ref="CA39:CC39" si="34">CA38*CA40</f>
        <v>300.05704089098282</v>
      </c>
      <c r="CB39" s="255">
        <f t="shared" si="34"/>
        <v>388.2394344781988</v>
      </c>
      <c r="CC39" s="255">
        <f t="shared" si="34"/>
        <v>397.86215302800628</v>
      </c>
      <c r="CD39" s="64">
        <f>CD40*CD38</f>
        <v>1466.7331344344127</v>
      </c>
      <c r="CE39" s="255"/>
      <c r="CF39" s="255"/>
      <c r="CG39" s="255"/>
      <c r="CH39" s="255"/>
      <c r="CI39" s="64">
        <f>CI40*CI38</f>
        <v>1577.1087015471178</v>
      </c>
      <c r="CJ39" s="255"/>
      <c r="CK39" s="255"/>
      <c r="CL39" s="255"/>
      <c r="CM39" s="255"/>
      <c r="CN39" s="64">
        <f>CN40*CN38</f>
        <v>1612.2046314094664</v>
      </c>
      <c r="CO39" s="255"/>
      <c r="CP39" s="255"/>
      <c r="CQ39" s="255"/>
      <c r="CR39" s="255"/>
      <c r="CS39" s="64">
        <f>CS40*CS38</f>
        <v>1645.9668552617466</v>
      </c>
      <c r="CT39" s="255"/>
      <c r="CU39" s="255"/>
      <c r="CV39" s="255"/>
      <c r="CW39" s="255"/>
      <c r="CX39" s="64">
        <f>CX40*CX38</f>
        <v>1639.1948556850562</v>
      </c>
      <c r="CY39" s="255"/>
      <c r="CZ39" s="255"/>
      <c r="DA39" s="255"/>
      <c r="DB39" s="255"/>
      <c r="DC39" s="64">
        <f>DC40*DC38</f>
        <v>1668.7157879723809</v>
      </c>
      <c r="DD39" s="255"/>
      <c r="DE39" s="255"/>
      <c r="DF39" s="255"/>
      <c r="DG39" s="255"/>
      <c r="DH39" s="64">
        <f>DH40*DH38</f>
        <v>1701.5219163345173</v>
      </c>
      <c r="DI39" s="255"/>
      <c r="DJ39" s="255"/>
      <c r="DK39" s="255"/>
      <c r="DL39" s="255"/>
      <c r="DM39" s="64">
        <f>DM40*DM38</f>
        <v>1572.0037414910862</v>
      </c>
      <c r="DN39" s="255"/>
      <c r="DO39" s="255"/>
      <c r="DP39" s="255"/>
      <c r="DQ39" s="255"/>
      <c r="DR39" s="64">
        <f>DR40*DR38</f>
        <v>1381.1155895412078</v>
      </c>
      <c r="DS39" s="255"/>
      <c r="DT39" s="255"/>
      <c r="DU39" s="255"/>
      <c r="DV39" s="255"/>
      <c r="DW39" s="64">
        <f>DW40*DW38</f>
        <v>1067.4001703914248</v>
      </c>
      <c r="DX39" s="255"/>
      <c r="DY39" s="255"/>
      <c r="DZ39" s="255"/>
      <c r="EA39" s="255"/>
      <c r="EB39" s="64">
        <f>EB40*EB38</f>
        <v>1000.7760034359715</v>
      </c>
      <c r="EC39" s="255"/>
      <c r="ED39" s="255"/>
      <c r="EE39" s="255"/>
      <c r="EF39" s="255"/>
      <c r="EG39" s="64">
        <f>EG40*EG38</f>
        <v>971.29029009120848</v>
      </c>
      <c r="EH39" s="255"/>
      <c r="EI39" s="255"/>
      <c r="EJ39" s="255"/>
      <c r="EK39" s="255"/>
      <c r="EL39" s="64">
        <f>EL40*EL38</f>
        <v>995.25704859749726</v>
      </c>
      <c r="EO39"/>
      <c r="EP39"/>
      <c r="EQ39"/>
      <c r="ER39"/>
      <c r="ES39"/>
      <c r="ET39"/>
    </row>
    <row r="40" spans="2:150" ht="15.75" thickBot="1">
      <c r="B40" s="31" t="s">
        <v>117</v>
      </c>
      <c r="C40" s="151">
        <f>C39/C38</f>
        <v>0.32004689331770231</v>
      </c>
      <c r="D40" s="151">
        <f>D39/D38</f>
        <v>0.3201607501674481</v>
      </c>
      <c r="E40" s="151">
        <f>E39/E38</f>
        <v>0.31986718317653567</v>
      </c>
      <c r="F40" s="151">
        <v>0.32100000000000001</v>
      </c>
      <c r="G40" s="33">
        <f>G39/G38</f>
        <v>0.31708860759493673</v>
      </c>
      <c r="H40" s="151">
        <f>H39/H38</f>
        <v>0.31990592545594182</v>
      </c>
      <c r="I40" s="151">
        <f>I39/I38</f>
        <v>0.3202887941391776</v>
      </c>
      <c r="J40" s="151">
        <f>J39/J38</f>
        <v>0.31987388853972409</v>
      </c>
      <c r="K40" s="151">
        <v>0.32</v>
      </c>
      <c r="L40" s="33">
        <f t="shared" ref="L40:BH40" si="35">L39/L38</f>
        <v>0.32006635990005039</v>
      </c>
      <c r="M40" s="151">
        <f t="shared" si="35"/>
        <v>0.30291453976617805</v>
      </c>
      <c r="N40" s="151">
        <f t="shared" si="35"/>
        <v>0.30963199703559591</v>
      </c>
      <c r="O40" s="151">
        <f t="shared" si="35"/>
        <v>0.27359807117873081</v>
      </c>
      <c r="P40" s="151">
        <f t="shared" si="35"/>
        <v>0.33202726899917617</v>
      </c>
      <c r="Q40" s="33">
        <f t="shared" si="35"/>
        <v>0.30762269938650294</v>
      </c>
      <c r="R40" s="151">
        <f t="shared" si="35"/>
        <v>0.32467314364528349</v>
      </c>
      <c r="S40" s="151">
        <f t="shared" si="35"/>
        <v>0.31639060225933879</v>
      </c>
      <c r="T40" s="151">
        <f t="shared" si="35"/>
        <v>0.29985827022017181</v>
      </c>
      <c r="U40" s="151">
        <f t="shared" si="35"/>
        <v>0.29800197354833274</v>
      </c>
      <c r="V40" s="33">
        <f t="shared" si="35"/>
        <v>0.30983604226971379</v>
      </c>
      <c r="W40" s="151">
        <f t="shared" si="35"/>
        <v>0.30418432622138819</v>
      </c>
      <c r="X40" s="151">
        <f t="shared" si="35"/>
        <v>0.2202753523023358</v>
      </c>
      <c r="Y40" s="151">
        <f t="shared" si="35"/>
        <v>0.29605061951876721</v>
      </c>
      <c r="Z40" s="151">
        <f t="shared" si="35"/>
        <v>0.29236780924311156</v>
      </c>
      <c r="AA40" s="33">
        <f t="shared" si="35"/>
        <v>0.27766840153097533</v>
      </c>
      <c r="AB40" s="151">
        <f t="shared" si="35"/>
        <v>0.28603941316303982</v>
      </c>
      <c r="AC40" s="151">
        <f t="shared" si="35"/>
        <v>0.27073060685165479</v>
      </c>
      <c r="AD40" s="151">
        <f t="shared" si="35"/>
        <v>0.32269621749133443</v>
      </c>
      <c r="AE40" s="151">
        <f t="shared" si="35"/>
        <v>0.27803068973779388</v>
      </c>
      <c r="AF40" s="33">
        <f t="shared" si="35"/>
        <v>0.29055040738947513</v>
      </c>
      <c r="AG40" s="151">
        <f t="shared" si="35"/>
        <v>0.24515655911044404</v>
      </c>
      <c r="AH40" s="151">
        <f t="shared" si="35"/>
        <v>0.34528161068146024</v>
      </c>
      <c r="AI40" s="151">
        <f t="shared" si="35"/>
        <v>0.27709874311011756</v>
      </c>
      <c r="AJ40" s="151">
        <f t="shared" si="35"/>
        <v>0.23702475709502113</v>
      </c>
      <c r="AK40" s="33">
        <f t="shared" si="35"/>
        <v>0.27219231393873045</v>
      </c>
      <c r="AL40" s="151">
        <f t="shared" si="35"/>
        <v>0.2553379098707742</v>
      </c>
      <c r="AM40" s="151">
        <f t="shared" si="35"/>
        <v>0.25309076007246978</v>
      </c>
      <c r="AN40" s="151">
        <f t="shared" si="35"/>
        <v>0.26597175744001261</v>
      </c>
      <c r="AO40" s="151">
        <f t="shared" si="35"/>
        <v>0.22027032026538737</v>
      </c>
      <c r="AP40" s="33">
        <f t="shared" si="35"/>
        <v>0.24797283030077644</v>
      </c>
      <c r="AQ40" s="151">
        <f t="shared" si="35"/>
        <v>0.272224745266957</v>
      </c>
      <c r="AR40" s="151">
        <f t="shared" si="35"/>
        <v>0.23975325296155384</v>
      </c>
      <c r="AS40" s="151">
        <f t="shared" si="35"/>
        <v>0.26363287000852137</v>
      </c>
      <c r="AT40" s="151">
        <f t="shared" si="35"/>
        <v>0.24068339063455088</v>
      </c>
      <c r="AU40" s="33">
        <f t="shared" si="35"/>
        <v>0.25635915501156958</v>
      </c>
      <c r="AV40" s="151">
        <f t="shared" si="35"/>
        <v>0.21698163428267234</v>
      </c>
      <c r="AW40" s="151">
        <f t="shared" si="35"/>
        <v>0.23548611473385836</v>
      </c>
      <c r="AX40" s="151">
        <f t="shared" si="35"/>
        <v>0.24236200086080686</v>
      </c>
      <c r="AY40" s="151">
        <f t="shared" si="35"/>
        <v>0.30581610420391436</v>
      </c>
      <c r="AZ40" s="33">
        <f t="shared" si="35"/>
        <v>0.24996217062789136</v>
      </c>
      <c r="BA40" s="259">
        <f t="shared" si="35"/>
        <v>0.14124258644723894</v>
      </c>
      <c r="BB40" s="259">
        <f t="shared" si="35"/>
        <v>0.24324532157157833</v>
      </c>
      <c r="BC40" s="259">
        <f t="shared" si="35"/>
        <v>0.27217479343562201</v>
      </c>
      <c r="BD40" s="259">
        <f t="shared" si="35"/>
        <v>0.28821351720015143</v>
      </c>
      <c r="BE40" s="33">
        <f>BE39/BE38</f>
        <v>0.24400254545071007</v>
      </c>
      <c r="BF40" s="259">
        <f t="shared" si="35"/>
        <v>0.26858127484277661</v>
      </c>
      <c r="BG40" s="308">
        <f t="shared" si="35"/>
        <v>0.26875777219669722</v>
      </c>
      <c r="BH40" s="308">
        <f t="shared" si="35"/>
        <v>0.25160869514833767</v>
      </c>
      <c r="BI40" s="308">
        <f t="shared" ref="BI40:BS40" si="36">BI39/BI38</f>
        <v>0.23531523506718693</v>
      </c>
      <c r="BJ40" s="33">
        <f t="shared" si="36"/>
        <v>0.25449207323777218</v>
      </c>
      <c r="BK40" s="308">
        <f t="shared" si="36"/>
        <v>0.25308900062257972</v>
      </c>
      <c r="BL40" s="308">
        <f t="shared" si="36"/>
        <v>0.23684921184395241</v>
      </c>
      <c r="BM40" s="308">
        <f t="shared" si="36"/>
        <v>0.23969854441197563</v>
      </c>
      <c r="BN40" s="308">
        <f t="shared" si="36"/>
        <v>0.23471894722375361</v>
      </c>
      <c r="BO40" s="33">
        <f t="shared" si="36"/>
        <v>0.24081978889471448</v>
      </c>
      <c r="BP40" s="308">
        <f t="shared" si="36"/>
        <v>0.26389376800393444</v>
      </c>
      <c r="BQ40" s="308">
        <f t="shared" si="36"/>
        <v>0.25018071893277266</v>
      </c>
      <c r="BR40" s="308">
        <f t="shared" si="36"/>
        <v>0.24554639723477803</v>
      </c>
      <c r="BS40" s="308">
        <f t="shared" si="36"/>
        <v>0.23557826939232707</v>
      </c>
      <c r="BT40" s="380">
        <f t="shared" ref="BT40:BY40" si="37">BT39/BT38</f>
        <v>0.24876654530606693</v>
      </c>
      <c r="BU40" s="259">
        <f t="shared" si="37"/>
        <v>0.23326959847036322</v>
      </c>
      <c r="BV40" s="259">
        <f t="shared" si="37"/>
        <v>0.23147149737617717</v>
      </c>
      <c r="BW40" s="259">
        <f t="shared" si="37"/>
        <v>0.23530420860018303</v>
      </c>
      <c r="BX40" s="259">
        <f t="shared" si="37"/>
        <v>0.2710789569086986</v>
      </c>
      <c r="BY40" s="33">
        <f t="shared" si="37"/>
        <v>0.24301141558318701</v>
      </c>
      <c r="BZ40" s="259">
        <f>CD40</f>
        <v>0.23</v>
      </c>
      <c r="CA40" s="259">
        <f>CD40</f>
        <v>0.23</v>
      </c>
      <c r="CB40" s="259">
        <f>CD40</f>
        <v>0.23</v>
      </c>
      <c r="CC40" s="259">
        <f>CD40</f>
        <v>0.23</v>
      </c>
      <c r="CD40" s="33">
        <v>0.23</v>
      </c>
      <c r="CE40" s="259"/>
      <c r="CF40" s="259"/>
      <c r="CG40" s="259"/>
      <c r="CH40" s="259"/>
      <c r="CI40" s="33">
        <f>CD40-0.5%</f>
        <v>0.22500000000000001</v>
      </c>
      <c r="CJ40" s="259"/>
      <c r="CK40" s="259"/>
      <c r="CL40" s="259"/>
      <c r="CM40" s="259"/>
      <c r="CN40" s="33">
        <f>CI40-0.5%</f>
        <v>0.22</v>
      </c>
      <c r="CO40" s="259"/>
      <c r="CP40" s="259"/>
      <c r="CQ40" s="259"/>
      <c r="CR40" s="259"/>
      <c r="CS40" s="33">
        <f>CN40-0.5%</f>
        <v>0.215</v>
      </c>
      <c r="CT40" s="259"/>
      <c r="CU40" s="259"/>
      <c r="CV40" s="259"/>
      <c r="CW40" s="259"/>
      <c r="CX40" s="380">
        <f>CS40-0.5%</f>
        <v>0.21</v>
      </c>
      <c r="CY40" s="259"/>
      <c r="CZ40" s="259"/>
      <c r="DA40" s="259"/>
      <c r="DB40" s="259"/>
      <c r="DC40" s="33">
        <f>CX40</f>
        <v>0.21</v>
      </c>
      <c r="DD40" s="259"/>
      <c r="DE40" s="259"/>
      <c r="DF40" s="259"/>
      <c r="DG40" s="259"/>
      <c r="DH40" s="33">
        <f>DC40</f>
        <v>0.21</v>
      </c>
      <c r="DI40" s="259"/>
      <c r="DJ40" s="259"/>
      <c r="DK40" s="259"/>
      <c r="DL40" s="259"/>
      <c r="DM40" s="33">
        <f>DH40</f>
        <v>0.21</v>
      </c>
      <c r="DN40" s="259"/>
      <c r="DO40" s="259"/>
      <c r="DP40" s="259"/>
      <c r="DQ40" s="259"/>
      <c r="DR40" s="33">
        <f>DM40</f>
        <v>0.21</v>
      </c>
      <c r="DS40" s="259"/>
      <c r="DT40" s="259"/>
      <c r="DU40" s="259"/>
      <c r="DV40" s="259"/>
      <c r="DW40" s="33">
        <f>DR40</f>
        <v>0.21</v>
      </c>
      <c r="DX40" s="259"/>
      <c r="DY40" s="259"/>
      <c r="DZ40" s="259"/>
      <c r="EA40" s="259"/>
      <c r="EB40" s="33">
        <f>DW40</f>
        <v>0.21</v>
      </c>
      <c r="EC40" s="259"/>
      <c r="ED40" s="259"/>
      <c r="EE40" s="259"/>
      <c r="EF40" s="259"/>
      <c r="EG40" s="33">
        <f>EB40</f>
        <v>0.21</v>
      </c>
      <c r="EH40" s="259"/>
      <c r="EI40" s="259"/>
      <c r="EJ40" s="259"/>
      <c r="EK40" s="259"/>
      <c r="EL40" s="33">
        <f>EG40</f>
        <v>0.21</v>
      </c>
    </row>
    <row r="41" spans="2:150" ht="15.75" thickBot="1">
      <c r="B41" s="31"/>
      <c r="C41" s="151"/>
      <c r="D41" s="151"/>
      <c r="E41" s="151"/>
      <c r="F41" s="151"/>
      <c r="G41" s="33"/>
      <c r="H41" s="151"/>
      <c r="I41" s="151"/>
      <c r="J41" s="151"/>
      <c r="K41" s="151"/>
      <c r="L41" s="33"/>
      <c r="M41" s="151"/>
      <c r="N41" s="151"/>
      <c r="O41" s="151"/>
      <c r="P41" s="151"/>
      <c r="Q41" s="33"/>
      <c r="R41" s="151"/>
      <c r="S41" s="151"/>
      <c r="T41" s="151"/>
      <c r="U41" s="151"/>
      <c r="V41" s="33"/>
      <c r="W41" s="151"/>
      <c r="X41" s="151"/>
      <c r="Y41" s="151"/>
      <c r="Z41" s="151"/>
      <c r="AA41" s="33"/>
      <c r="AB41" s="151"/>
      <c r="AC41" s="151"/>
      <c r="AD41" s="151"/>
      <c r="AE41" s="151"/>
      <c r="AF41" s="33"/>
      <c r="AG41" s="151"/>
      <c r="AH41" s="151"/>
      <c r="AI41" s="151"/>
      <c r="AJ41" s="151"/>
      <c r="AK41" s="33"/>
      <c r="AL41" s="151"/>
      <c r="AM41" s="151"/>
      <c r="AN41" s="151"/>
      <c r="AO41" s="151"/>
      <c r="AP41" s="33"/>
      <c r="AQ41" s="151"/>
      <c r="AR41" s="151"/>
      <c r="AS41" s="151"/>
      <c r="AT41" s="151"/>
      <c r="AU41" s="33"/>
      <c r="AV41" s="151"/>
      <c r="AW41" s="151"/>
      <c r="AX41" s="151"/>
      <c r="AY41" s="151"/>
      <c r="AZ41" s="33"/>
      <c r="BA41" s="259"/>
      <c r="BB41" s="259"/>
      <c r="BC41" s="259"/>
      <c r="BD41" s="259"/>
      <c r="BE41" s="33"/>
      <c r="BF41" s="259"/>
      <c r="BG41" s="308"/>
      <c r="BH41" s="308"/>
      <c r="BI41" s="308"/>
      <c r="BJ41" s="33"/>
      <c r="BK41" s="308"/>
      <c r="BL41" s="308"/>
      <c r="BM41" s="308"/>
      <c r="BN41" s="308"/>
      <c r="BO41" s="33"/>
      <c r="BP41" s="308"/>
      <c r="BQ41" s="308"/>
      <c r="BR41" s="308"/>
      <c r="BS41" s="308"/>
      <c r="BT41" s="380"/>
      <c r="BU41" s="259"/>
      <c r="BV41" s="259"/>
      <c r="BW41" s="259"/>
      <c r="BX41" s="259"/>
      <c r="BY41" s="33"/>
      <c r="BZ41" s="259"/>
      <c r="CA41" s="259"/>
      <c r="CB41" s="139" t="s">
        <v>558</v>
      </c>
      <c r="CC41" s="140"/>
      <c r="CD41" s="158" t="s">
        <v>936</v>
      </c>
      <c r="CE41" s="259"/>
      <c r="CF41" s="259"/>
      <c r="CG41" s="259"/>
      <c r="CH41" s="259"/>
      <c r="CI41" s="33"/>
      <c r="CJ41" s="259"/>
      <c r="CK41" s="259"/>
      <c r="CL41" s="259"/>
      <c r="CM41" s="259"/>
      <c r="CN41" s="33"/>
      <c r="CO41" s="259"/>
      <c r="CP41" s="259"/>
      <c r="CQ41" s="259"/>
      <c r="CR41" s="259"/>
      <c r="CS41" s="33"/>
      <c r="CT41" s="259"/>
      <c r="CU41" s="259"/>
      <c r="CV41" s="259"/>
      <c r="CW41" s="259"/>
      <c r="CX41" s="33"/>
      <c r="CY41" s="259"/>
      <c r="CZ41" s="259"/>
      <c r="DA41" s="259"/>
      <c r="DB41" s="259"/>
      <c r="DC41" s="33"/>
      <c r="DD41" s="259"/>
      <c r="DE41" s="259"/>
      <c r="DF41" s="259"/>
      <c r="DG41" s="259"/>
      <c r="DH41" s="33"/>
      <c r="DI41" s="259"/>
      <c r="DJ41" s="259"/>
      <c r="DK41" s="259"/>
      <c r="DL41" s="259"/>
      <c r="DM41" s="33"/>
      <c r="DN41" s="259"/>
      <c r="DO41" s="259"/>
      <c r="DP41" s="259"/>
      <c r="DQ41" s="259"/>
      <c r="DR41" s="33"/>
      <c r="DS41" s="259"/>
      <c r="DT41" s="259"/>
      <c r="DU41" s="259"/>
      <c r="DV41" s="259"/>
      <c r="DW41" s="33"/>
      <c r="DX41" s="259"/>
      <c r="DY41" s="259"/>
      <c r="DZ41" s="259"/>
      <c r="EA41" s="259"/>
      <c r="EB41" s="33"/>
      <c r="EC41" s="259"/>
      <c r="ED41" s="259"/>
      <c r="EE41" s="259"/>
      <c r="EF41" s="259"/>
      <c r="EG41" s="33"/>
      <c r="EH41" s="259"/>
      <c r="EI41" s="259"/>
      <c r="EJ41" s="259"/>
      <c r="EK41" s="259"/>
      <c r="EL41" s="33"/>
    </row>
    <row r="42" spans="2:150" s="35" customFormat="1">
      <c r="B42" s="59" t="s">
        <v>169</v>
      </c>
      <c r="C42" s="137">
        <f t="shared" ref="C42:AH42" si="38">C38-C39</f>
        <v>115.99999999999997</v>
      </c>
      <c r="D42" s="137">
        <f t="shared" si="38"/>
        <v>101.49999999999999</v>
      </c>
      <c r="E42" s="137">
        <f t="shared" si="38"/>
        <v>122.90000000000002</v>
      </c>
      <c r="F42" s="137">
        <f t="shared" si="38"/>
        <v>91.100000000000051</v>
      </c>
      <c r="G42" s="16">
        <f t="shared" si="38"/>
        <v>431.6</v>
      </c>
      <c r="H42" s="137">
        <f t="shared" si="38"/>
        <v>142.56200000000007</v>
      </c>
      <c r="I42" s="137">
        <f t="shared" si="38"/>
        <v>121.6350000000001</v>
      </c>
      <c r="J42" s="137">
        <f t="shared" si="38"/>
        <v>132.02199999999999</v>
      </c>
      <c r="K42" s="137">
        <f t="shared" si="38"/>
        <v>101.74399999999994</v>
      </c>
      <c r="L42" s="16">
        <f t="shared" si="38"/>
        <v>497.96300000000031</v>
      </c>
      <c r="M42" s="137">
        <f t="shared" si="38"/>
        <v>105.83500000000006</v>
      </c>
      <c r="N42" s="137">
        <f t="shared" si="38"/>
        <v>149.04700000000008</v>
      </c>
      <c r="O42" s="137">
        <f t="shared" si="38"/>
        <v>122.32099999999991</v>
      </c>
      <c r="P42" s="137">
        <f t="shared" si="38"/>
        <v>164.51299999999964</v>
      </c>
      <c r="Q42" s="16">
        <f t="shared" si="38"/>
        <v>541.71600000000024</v>
      </c>
      <c r="R42" s="137">
        <f t="shared" si="38"/>
        <v>188.99900000000011</v>
      </c>
      <c r="S42" s="137">
        <f t="shared" si="38"/>
        <v>197.27600000000004</v>
      </c>
      <c r="T42" s="137">
        <f t="shared" si="38"/>
        <v>206.98499999999981</v>
      </c>
      <c r="U42" s="137">
        <f t="shared" si="38"/>
        <v>183.54299999999995</v>
      </c>
      <c r="V42" s="16">
        <f t="shared" si="38"/>
        <v>776.80299999999988</v>
      </c>
      <c r="W42" s="137">
        <f t="shared" si="38"/>
        <v>202.42599999999987</v>
      </c>
      <c r="X42" s="137">
        <f t="shared" si="38"/>
        <v>240.30100000000013</v>
      </c>
      <c r="Y42" s="137">
        <f t="shared" si="38"/>
        <v>170.32900000000018</v>
      </c>
      <c r="Z42" s="137">
        <f t="shared" si="38"/>
        <v>266.02300000000031</v>
      </c>
      <c r="AA42" s="16">
        <f t="shared" si="38"/>
        <v>879.07899999999995</v>
      </c>
      <c r="AB42" s="137">
        <f t="shared" si="38"/>
        <v>253.78800000000015</v>
      </c>
      <c r="AC42" s="137">
        <f t="shared" si="38"/>
        <v>271.54200000000014</v>
      </c>
      <c r="AD42" s="137">
        <f t="shared" si="38"/>
        <v>290.56400000000014</v>
      </c>
      <c r="AE42" s="137">
        <f t="shared" si="38"/>
        <v>277.21599999999938</v>
      </c>
      <c r="AF42" s="16">
        <f t="shared" si="38"/>
        <v>1093.1100000000006</v>
      </c>
      <c r="AG42" s="137">
        <f t="shared" si="38"/>
        <v>309.82700000000011</v>
      </c>
      <c r="AH42" s="137">
        <f t="shared" si="38"/>
        <v>222.81899999999996</v>
      </c>
      <c r="AI42" s="137">
        <f t="shared" ref="AI42:AY42" si="39">AI38-AI39</f>
        <v>329.84900000000005</v>
      </c>
      <c r="AJ42" s="137">
        <f t="shared" si="39"/>
        <v>347.47800000000001</v>
      </c>
      <c r="AK42" s="16">
        <f t="shared" si="39"/>
        <v>1209.9730000000002</v>
      </c>
      <c r="AL42" s="137">
        <f t="shared" si="39"/>
        <v>298.95800000000014</v>
      </c>
      <c r="AM42" s="137">
        <f t="shared" si="39"/>
        <v>346.29700000000037</v>
      </c>
      <c r="AN42" s="137">
        <f t="shared" si="39"/>
        <v>332.31000000000017</v>
      </c>
      <c r="AO42" s="137">
        <f t="shared" si="39"/>
        <v>379.36500000000001</v>
      </c>
      <c r="AP42" s="16">
        <f t="shared" si="39"/>
        <v>1356.9300000000005</v>
      </c>
      <c r="AQ42" s="137">
        <f t="shared" si="39"/>
        <v>363.76900000000012</v>
      </c>
      <c r="AR42" s="137">
        <f t="shared" si="39"/>
        <v>348.28499999999997</v>
      </c>
      <c r="AS42" s="137">
        <f t="shared" si="39"/>
        <v>396.63900000000001</v>
      </c>
      <c r="AT42" s="137">
        <f t="shared" si="39"/>
        <v>373.90800000000002</v>
      </c>
      <c r="AU42" s="105">
        <f t="shared" si="39"/>
        <v>1469.0319999999992</v>
      </c>
      <c r="AV42" s="138">
        <f t="shared" si="39"/>
        <v>338.30699999999996</v>
      </c>
      <c r="AW42" s="138">
        <f t="shared" si="39"/>
        <v>439.64900000000029</v>
      </c>
      <c r="AX42" s="138">
        <f t="shared" si="39"/>
        <v>455.91700000000003</v>
      </c>
      <c r="AY42" s="138">
        <f t="shared" si="39"/>
        <v>337.40600000000012</v>
      </c>
      <c r="AZ42" s="105">
        <f>(SUM(AV42:AY42))</f>
        <v>1571.2790000000005</v>
      </c>
      <c r="BA42" s="254">
        <f t="shared" ref="BA42:CC42" si="40">BA38-BA39</f>
        <v>469.42599999999993</v>
      </c>
      <c r="BB42" s="254">
        <f t="shared" si="40"/>
        <v>551.09600000000034</v>
      </c>
      <c r="BC42" s="254">
        <f>BC38-BC39</f>
        <v>567.19200000000023</v>
      </c>
      <c r="BD42" s="254">
        <f t="shared" si="40"/>
        <v>561.99600000000009</v>
      </c>
      <c r="BE42" s="105">
        <f t="shared" si="40"/>
        <v>2150.2759999999989</v>
      </c>
      <c r="BF42" s="254">
        <f t="shared" si="40"/>
        <v>586.63000000000034</v>
      </c>
      <c r="BG42" s="254">
        <f t="shared" si="40"/>
        <v>839.70299999999952</v>
      </c>
      <c r="BH42" s="254">
        <f t="shared" si="40"/>
        <v>904.14799999999991</v>
      </c>
      <c r="BI42" s="254">
        <f>BI38-BI39</f>
        <v>964.9190000000001</v>
      </c>
      <c r="BJ42" s="105">
        <f>BJ38-BJ39</f>
        <v>3295.3999999999987</v>
      </c>
      <c r="BK42" s="254">
        <f t="shared" si="40"/>
        <v>898.57799999999952</v>
      </c>
      <c r="BL42" s="254">
        <f t="shared" si="40"/>
        <v>997.56399999999974</v>
      </c>
      <c r="BM42" s="254">
        <f t="shared" si="40"/>
        <v>1103.1669999999995</v>
      </c>
      <c r="BN42" s="254">
        <f t="shared" si="40"/>
        <v>991.16599999999971</v>
      </c>
      <c r="BO42" s="105">
        <f>BO38-BO39</f>
        <v>3990.6489999999994</v>
      </c>
      <c r="BP42" s="437">
        <f t="shared" si="40"/>
        <v>1047.7000000000005</v>
      </c>
      <c r="BQ42" s="254">
        <f t="shared" si="40"/>
        <v>1140.9999999999995</v>
      </c>
      <c r="BR42" s="254">
        <f t="shared" si="40"/>
        <v>1134.9999999999995</v>
      </c>
      <c r="BS42" s="254">
        <f t="shared" si="40"/>
        <v>1091.9000000000001</v>
      </c>
      <c r="BT42" s="105">
        <f t="shared" ref="BT42:CI42" si="41">BT38-BT39</f>
        <v>4415.5999999999985</v>
      </c>
      <c r="BU42" s="254">
        <f t="shared" si="40"/>
        <v>1122.8000000000006</v>
      </c>
      <c r="BV42" s="254">
        <f t="shared" si="40"/>
        <v>1069.0999999999997</v>
      </c>
      <c r="BW42" s="254">
        <f t="shared" si="40"/>
        <v>1337.2999999999997</v>
      </c>
      <c r="BX42" s="254">
        <f t="shared" si="40"/>
        <v>1137.4309711965932</v>
      </c>
      <c r="BY42" s="105">
        <f t="shared" si="41"/>
        <v>4666.6309711965951</v>
      </c>
      <c r="BZ42" s="254">
        <f t="shared" si="40"/>
        <v>1280.0000000000002</v>
      </c>
      <c r="CA42" s="254">
        <f t="shared" si="40"/>
        <v>1004.5387890698121</v>
      </c>
      <c r="CB42" s="254">
        <f t="shared" si="40"/>
        <v>1299.7581067313613</v>
      </c>
      <c r="CC42" s="254">
        <f t="shared" si="40"/>
        <v>1331.9732949198469</v>
      </c>
      <c r="CD42" s="105">
        <f t="shared" si="41"/>
        <v>4910.3674500630332</v>
      </c>
      <c r="CE42" s="254"/>
      <c r="CF42" s="254"/>
      <c r="CG42" s="254"/>
      <c r="CH42" s="254"/>
      <c r="CI42" s="105">
        <f t="shared" si="41"/>
        <v>5432.263305328961</v>
      </c>
      <c r="CJ42" s="254"/>
      <c r="CK42" s="254"/>
      <c r="CL42" s="254"/>
      <c r="CM42" s="254"/>
      <c r="CN42" s="105">
        <f>CN38-CN39</f>
        <v>5715.9982386335632</v>
      </c>
      <c r="CO42" s="254"/>
      <c r="CP42" s="254"/>
      <c r="CQ42" s="254"/>
      <c r="CR42" s="254"/>
      <c r="CS42" s="105">
        <f>CS38-CS39</f>
        <v>6009.6929366533532</v>
      </c>
      <c r="CT42" s="254"/>
      <c r="CU42" s="254"/>
      <c r="CV42" s="254"/>
      <c r="CW42" s="254"/>
      <c r="CX42" s="105">
        <f>CX38-CX39</f>
        <v>6166.494933291402</v>
      </c>
      <c r="CY42" s="254"/>
      <c r="CZ42" s="254"/>
      <c r="DA42" s="254"/>
      <c r="DB42" s="254"/>
      <c r="DC42" s="105">
        <f>DC38-DC39</f>
        <v>6277.5498690389568</v>
      </c>
      <c r="DD42" s="254"/>
      <c r="DE42" s="254"/>
      <c r="DF42" s="254"/>
      <c r="DG42" s="254"/>
      <c r="DH42" s="105">
        <f>DH38-DH39</f>
        <v>6400.9633995441372</v>
      </c>
      <c r="DI42" s="254"/>
      <c r="DJ42" s="254"/>
      <c r="DK42" s="254"/>
      <c r="DL42" s="254"/>
      <c r="DM42" s="105">
        <f>DM38-DM39</f>
        <v>5913.728360847419</v>
      </c>
      <c r="DN42" s="254"/>
      <c r="DO42" s="254"/>
      <c r="DP42" s="254"/>
      <c r="DQ42" s="254"/>
      <c r="DR42" s="105">
        <f>DR38-DR39</f>
        <v>5195.6253130359728</v>
      </c>
      <c r="DS42" s="254"/>
      <c r="DT42" s="254"/>
      <c r="DU42" s="254"/>
      <c r="DV42" s="254"/>
      <c r="DW42" s="105">
        <f>DW38-DW39</f>
        <v>4015.457783853456</v>
      </c>
      <c r="DX42" s="254"/>
      <c r="DY42" s="254"/>
      <c r="DZ42" s="254"/>
      <c r="EA42" s="254"/>
      <c r="EB42" s="105">
        <f>EB38-EB39</f>
        <v>3764.8240129257974</v>
      </c>
      <c r="EC42" s="254"/>
      <c r="ED42" s="254"/>
      <c r="EE42" s="254"/>
      <c r="EF42" s="254"/>
      <c r="EG42" s="105">
        <f>EG38-EG39</f>
        <v>3653.9015674859747</v>
      </c>
      <c r="EH42" s="254"/>
      <c r="EI42" s="254"/>
      <c r="EJ42" s="254"/>
      <c r="EK42" s="254"/>
      <c r="EL42" s="105">
        <f>EL38-EL39</f>
        <v>3744.0622304382041</v>
      </c>
      <c r="EO42"/>
      <c r="EP42"/>
      <c r="EQ42"/>
      <c r="ER42"/>
      <c r="ES42"/>
      <c r="ET42"/>
    </row>
    <row r="43" spans="2:150" s="3" customFormat="1">
      <c r="B43" s="3" t="s">
        <v>165</v>
      </c>
      <c r="C43" s="145">
        <v>0</v>
      </c>
      <c r="D43" s="145">
        <v>0</v>
      </c>
      <c r="E43" s="145">
        <v>0</v>
      </c>
      <c r="F43" s="145">
        <f>+G43-SUM(C43:E43)</f>
        <v>0</v>
      </c>
      <c r="G43" s="17">
        <v>0</v>
      </c>
      <c r="H43" s="145">
        <v>0</v>
      </c>
      <c r="I43" s="145">
        <v>0</v>
      </c>
      <c r="J43" s="145">
        <v>0</v>
      </c>
      <c r="K43" s="145">
        <f>+L43-SUM(H43:J43)</f>
        <v>0</v>
      </c>
      <c r="L43" s="17">
        <v>0</v>
      </c>
      <c r="M43" s="145">
        <v>0</v>
      </c>
      <c r="N43" s="145">
        <v>0</v>
      </c>
      <c r="O43" s="145">
        <v>0</v>
      </c>
      <c r="P43" s="145">
        <f>+Q43-SUM(M43:O43)</f>
        <v>0</v>
      </c>
      <c r="Q43" s="17">
        <v>0</v>
      </c>
      <c r="R43" s="145">
        <v>0</v>
      </c>
      <c r="S43" s="145">
        <v>0</v>
      </c>
      <c r="T43" s="145">
        <v>0</v>
      </c>
      <c r="U43" s="145">
        <f>+V43-SUM(R43:T43)</f>
        <v>0</v>
      </c>
      <c r="V43" s="17">
        <v>0</v>
      </c>
      <c r="W43" s="145">
        <v>0</v>
      </c>
      <c r="X43" s="145">
        <v>0</v>
      </c>
      <c r="Y43" s="145">
        <v>0</v>
      </c>
      <c r="Z43" s="145">
        <f>+AA43-SUM(W43:Y43)</f>
        <v>0</v>
      </c>
      <c r="AA43" s="17">
        <v>0</v>
      </c>
      <c r="AB43" s="145">
        <f>2.71+0.8</f>
        <v>3.51</v>
      </c>
      <c r="AC43" s="145">
        <f>1.445+1.5</f>
        <v>2.9450000000000003</v>
      </c>
      <c r="AD43" s="145">
        <f>1.012+1.7</f>
        <v>2.7119999999999997</v>
      </c>
      <c r="AE43" s="145">
        <f>+AF43-SUM(AB43:AD43)</f>
        <v>2.9730000000000008</v>
      </c>
      <c r="AF43" s="17">
        <f>6.94+5.2</f>
        <v>12.14</v>
      </c>
      <c r="AG43" s="145">
        <f>2.592+1.6</f>
        <v>4.1920000000000002</v>
      </c>
      <c r="AH43" s="145">
        <f>2.04+2.2</f>
        <v>4.24</v>
      </c>
      <c r="AI43" s="145">
        <f>1.939+2.2</f>
        <v>4.1390000000000002</v>
      </c>
      <c r="AJ43" s="145">
        <f>+AK43-SUM(AG43:AI43)</f>
        <v>2.2589999999999986</v>
      </c>
      <c r="AK43" s="17">
        <f>6.93+7.9</f>
        <v>14.83</v>
      </c>
      <c r="AL43" s="145">
        <v>2.5510000000000002</v>
      </c>
      <c r="AM43" s="145">
        <f>1.211+1.9</f>
        <v>3.1109999999999998</v>
      </c>
      <c r="AN43" s="145">
        <f>-141.936+146.1</f>
        <v>4.1639999999999873</v>
      </c>
      <c r="AO43" s="145">
        <f>+AP43-SUM(AL43:AN43)</f>
        <v>32.574000000000005</v>
      </c>
      <c r="AP43" s="17">
        <f>-106.7+149.1</f>
        <v>42.399999999999991</v>
      </c>
      <c r="AQ43" s="145">
        <v>14.435</v>
      </c>
      <c r="AR43" s="145">
        <v>16.015000000000001</v>
      </c>
      <c r="AS43" s="145">
        <v>1.8360000000000001</v>
      </c>
      <c r="AT43" s="145">
        <v>-2.7E-2</v>
      </c>
      <c r="AU43" s="64">
        <f>SUM(AQ43:AT43)</f>
        <v>32.259</v>
      </c>
      <c r="AV43" s="146">
        <v>-0.29499999999999998</v>
      </c>
      <c r="AW43" s="146">
        <f>0.295+0.511-0.3</f>
        <v>0.50600000000000001</v>
      </c>
      <c r="AX43" s="146">
        <v>1.258</v>
      </c>
      <c r="AY43" s="146">
        <v>2.7490000000000001</v>
      </c>
      <c r="AZ43" s="64">
        <f>SUM(AV43:AY43)</f>
        <v>4.218</v>
      </c>
      <c r="BA43" s="255">
        <v>0</v>
      </c>
      <c r="BB43" s="255">
        <v>2.2890000000000001</v>
      </c>
      <c r="BC43" s="255">
        <v>6.17</v>
      </c>
      <c r="BD43" s="256">
        <v>4.9539999999999997</v>
      </c>
      <c r="BE43" s="64">
        <f>SUM(BA43:BD43)</f>
        <v>13.413</v>
      </c>
      <c r="BF43" s="256">
        <v>-0.22800000000000001</v>
      </c>
      <c r="BG43" s="256">
        <f>8.626+1.933</f>
        <v>10.558999999999999</v>
      </c>
      <c r="BH43" s="256">
        <f>-0.738+5.394</f>
        <v>4.6560000000000006</v>
      </c>
      <c r="BI43" s="256">
        <f>-0.879+0.194</f>
        <v>-0.68500000000000005</v>
      </c>
      <c r="BJ43" s="64">
        <f>SUM(BF43:BI43)</f>
        <v>14.302</v>
      </c>
      <c r="BK43" s="256">
        <f>-2.367+0.834</f>
        <v>-1.5329999999999999</v>
      </c>
      <c r="BL43" s="256">
        <f>4.881-2.451</f>
        <v>2.4300000000000002</v>
      </c>
      <c r="BM43" s="256">
        <f>53.871+6.833</f>
        <v>60.704000000000001</v>
      </c>
      <c r="BN43" s="256">
        <v>-2.9</v>
      </c>
      <c r="BO43" s="280">
        <f>46.2+12.5</f>
        <v>58.7</v>
      </c>
      <c r="BP43" s="256">
        <v>-1.7</v>
      </c>
      <c r="BQ43" s="256">
        <v>-1.4</v>
      </c>
      <c r="BR43" s="256">
        <v>-2.7</v>
      </c>
      <c r="BS43" s="256">
        <v>-1.3</v>
      </c>
      <c r="BT43" s="64">
        <f>SUM(BP43:BS43)</f>
        <v>-7.1</v>
      </c>
      <c r="BU43" s="255">
        <v>0</v>
      </c>
      <c r="BV43" s="255">
        <v>0</v>
      </c>
      <c r="BW43" s="255">
        <v>0</v>
      </c>
      <c r="BX43" s="256">
        <f>131.1+-109.7</f>
        <v>21.399999999999991</v>
      </c>
      <c r="BY43" s="64">
        <f>SUM(BU43:BX43)</f>
        <v>21.399999999999991</v>
      </c>
      <c r="BZ43" s="256">
        <v>-1.7</v>
      </c>
      <c r="CA43" s="255">
        <v>0</v>
      </c>
      <c r="CB43" s="255">
        <v>0</v>
      </c>
      <c r="CC43" s="255">
        <f>CD43-SUM(BZ43:CB43)</f>
        <v>23.099999999999991</v>
      </c>
      <c r="CD43" s="64">
        <f>BY43</f>
        <v>21.399999999999991</v>
      </c>
      <c r="CE43" s="255"/>
      <c r="CF43" s="255"/>
      <c r="CG43" s="255"/>
      <c r="CH43" s="255"/>
      <c r="CI43" s="64">
        <f>CD43</f>
        <v>21.399999999999991</v>
      </c>
      <c r="CJ43" s="255"/>
      <c r="CK43" s="255"/>
      <c r="CL43" s="255"/>
      <c r="CM43" s="255"/>
      <c r="CN43" s="64">
        <f>CI43</f>
        <v>21.399999999999991</v>
      </c>
      <c r="CO43" s="255"/>
      <c r="CP43" s="255"/>
      <c r="CQ43" s="255"/>
      <c r="CR43" s="255"/>
      <c r="CS43" s="64">
        <f>CN43</f>
        <v>21.399999999999991</v>
      </c>
      <c r="CT43" s="255"/>
      <c r="CU43" s="255"/>
      <c r="CV43" s="255"/>
      <c r="CW43" s="255"/>
      <c r="CX43" s="64">
        <f>CS43</f>
        <v>21.399999999999991</v>
      </c>
      <c r="CY43" s="255"/>
      <c r="CZ43" s="255"/>
      <c r="DA43" s="255"/>
      <c r="DB43" s="255"/>
      <c r="DC43" s="64">
        <f>CX43</f>
        <v>21.399999999999991</v>
      </c>
      <c r="DD43" s="255"/>
      <c r="DE43" s="255"/>
      <c r="DF43" s="255"/>
      <c r="DG43" s="255"/>
      <c r="DH43" s="64">
        <f>DC43</f>
        <v>21.399999999999991</v>
      </c>
      <c r="DI43" s="255"/>
      <c r="DJ43" s="255"/>
      <c r="DK43" s="255"/>
      <c r="DL43" s="255"/>
      <c r="DM43" s="64">
        <f>DH43</f>
        <v>21.399999999999991</v>
      </c>
      <c r="DN43" s="255"/>
      <c r="DO43" s="255"/>
      <c r="DP43" s="255"/>
      <c r="DQ43" s="255"/>
      <c r="DR43" s="64">
        <f>DM43</f>
        <v>21.399999999999991</v>
      </c>
      <c r="DS43" s="255"/>
      <c r="DT43" s="255"/>
      <c r="DU43" s="255"/>
      <c r="DV43" s="255"/>
      <c r="DW43" s="64">
        <f>DR43</f>
        <v>21.399999999999991</v>
      </c>
      <c r="DX43" s="255"/>
      <c r="DY43" s="255"/>
      <c r="DZ43" s="255"/>
      <c r="EA43" s="255"/>
      <c r="EB43" s="64">
        <f>DW43</f>
        <v>21.399999999999991</v>
      </c>
      <c r="EC43" s="255"/>
      <c r="ED43" s="255"/>
      <c r="EE43" s="255"/>
      <c r="EF43" s="255"/>
      <c r="EG43" s="64">
        <f>EB43</f>
        <v>21.399999999999991</v>
      </c>
      <c r="EH43" s="255"/>
      <c r="EI43" s="255"/>
      <c r="EJ43" s="255"/>
      <c r="EK43" s="255"/>
      <c r="EL43" s="64">
        <f>EG43</f>
        <v>21.399999999999991</v>
      </c>
      <c r="EO43"/>
      <c r="EP43"/>
      <c r="EQ43"/>
      <c r="ER43"/>
      <c r="ES43"/>
      <c r="ET43"/>
    </row>
    <row r="44" spans="2:150" s="35" customFormat="1" ht="15.75" thickBot="1">
      <c r="B44" s="49" t="s">
        <v>627</v>
      </c>
      <c r="C44" s="152">
        <f t="shared" ref="C44:AH44" si="42">C42-C43</f>
        <v>115.99999999999997</v>
      </c>
      <c r="D44" s="152">
        <f t="shared" si="42"/>
        <v>101.49999999999999</v>
      </c>
      <c r="E44" s="152">
        <f t="shared" si="42"/>
        <v>122.90000000000002</v>
      </c>
      <c r="F44" s="152">
        <f t="shared" si="42"/>
        <v>91.100000000000051</v>
      </c>
      <c r="G44" s="27">
        <f t="shared" si="42"/>
        <v>431.6</v>
      </c>
      <c r="H44" s="152">
        <f t="shared" si="42"/>
        <v>142.56200000000007</v>
      </c>
      <c r="I44" s="152">
        <f t="shared" si="42"/>
        <v>121.6350000000001</v>
      </c>
      <c r="J44" s="152">
        <f t="shared" si="42"/>
        <v>132.02199999999999</v>
      </c>
      <c r="K44" s="152">
        <f t="shared" si="42"/>
        <v>101.74399999999994</v>
      </c>
      <c r="L44" s="27">
        <f t="shared" si="42"/>
        <v>497.96300000000031</v>
      </c>
      <c r="M44" s="152">
        <f t="shared" si="42"/>
        <v>105.83500000000006</v>
      </c>
      <c r="N44" s="152">
        <f t="shared" si="42"/>
        <v>149.04700000000008</v>
      </c>
      <c r="O44" s="152">
        <f t="shared" si="42"/>
        <v>122.32099999999991</v>
      </c>
      <c r="P44" s="152">
        <f t="shared" si="42"/>
        <v>164.51299999999964</v>
      </c>
      <c r="Q44" s="27">
        <f t="shared" si="42"/>
        <v>541.71600000000024</v>
      </c>
      <c r="R44" s="152">
        <f t="shared" si="42"/>
        <v>188.99900000000011</v>
      </c>
      <c r="S44" s="152">
        <f t="shared" si="42"/>
        <v>197.27600000000004</v>
      </c>
      <c r="T44" s="152">
        <f t="shared" si="42"/>
        <v>206.98499999999981</v>
      </c>
      <c r="U44" s="152">
        <f t="shared" si="42"/>
        <v>183.54299999999995</v>
      </c>
      <c r="V44" s="27">
        <f t="shared" si="42"/>
        <v>776.80299999999988</v>
      </c>
      <c r="W44" s="152">
        <f t="shared" si="42"/>
        <v>202.42599999999987</v>
      </c>
      <c r="X44" s="152">
        <f t="shared" si="42"/>
        <v>240.30100000000013</v>
      </c>
      <c r="Y44" s="152">
        <f t="shared" si="42"/>
        <v>170.32900000000018</v>
      </c>
      <c r="Z44" s="152">
        <f t="shared" si="42"/>
        <v>266.02300000000031</v>
      </c>
      <c r="AA44" s="27">
        <f t="shared" si="42"/>
        <v>879.07899999999995</v>
      </c>
      <c r="AB44" s="152">
        <f t="shared" si="42"/>
        <v>250.27800000000016</v>
      </c>
      <c r="AC44" s="152">
        <f t="shared" si="42"/>
        <v>268.59700000000015</v>
      </c>
      <c r="AD44" s="152">
        <f t="shared" si="42"/>
        <v>287.85200000000015</v>
      </c>
      <c r="AE44" s="152">
        <f t="shared" si="42"/>
        <v>274.24299999999937</v>
      </c>
      <c r="AF44" s="27">
        <f t="shared" si="42"/>
        <v>1080.9700000000005</v>
      </c>
      <c r="AG44" s="152">
        <f t="shared" si="42"/>
        <v>305.6350000000001</v>
      </c>
      <c r="AH44" s="152">
        <f t="shared" si="42"/>
        <v>218.57899999999995</v>
      </c>
      <c r="AI44" s="152">
        <f t="shared" ref="AI44:BE44" si="43">AI42-AI43</f>
        <v>325.71000000000004</v>
      </c>
      <c r="AJ44" s="152">
        <f t="shared" si="43"/>
        <v>345.21899999999999</v>
      </c>
      <c r="AK44" s="27">
        <f t="shared" si="43"/>
        <v>1195.1430000000003</v>
      </c>
      <c r="AL44" s="152">
        <f t="shared" si="43"/>
        <v>296.40700000000015</v>
      </c>
      <c r="AM44" s="152">
        <f t="shared" si="43"/>
        <v>343.18600000000038</v>
      </c>
      <c r="AN44" s="152">
        <f t="shared" si="43"/>
        <v>328.14600000000019</v>
      </c>
      <c r="AO44" s="152">
        <f t="shared" si="43"/>
        <v>346.791</v>
      </c>
      <c r="AP44" s="27">
        <f t="shared" si="43"/>
        <v>1314.5300000000004</v>
      </c>
      <c r="AQ44" s="152">
        <f t="shared" si="43"/>
        <v>349.33400000000012</v>
      </c>
      <c r="AR44" s="152">
        <f t="shared" si="43"/>
        <v>332.27</v>
      </c>
      <c r="AS44" s="152">
        <f t="shared" si="43"/>
        <v>394.803</v>
      </c>
      <c r="AT44" s="152">
        <f t="shared" si="43"/>
        <v>373.935</v>
      </c>
      <c r="AU44" s="106">
        <f t="shared" si="43"/>
        <v>1436.7729999999992</v>
      </c>
      <c r="AV44" s="153">
        <f t="shared" si="43"/>
        <v>338.60199999999998</v>
      </c>
      <c r="AW44" s="153">
        <f t="shared" si="43"/>
        <v>439.14300000000031</v>
      </c>
      <c r="AX44" s="153">
        <f t="shared" si="43"/>
        <v>454.65900000000005</v>
      </c>
      <c r="AY44" s="153">
        <f t="shared" si="43"/>
        <v>334.6570000000001</v>
      </c>
      <c r="AZ44" s="106">
        <f t="shared" si="43"/>
        <v>1567.0610000000004</v>
      </c>
      <c r="BA44" s="260">
        <f t="shared" si="43"/>
        <v>469.42599999999993</v>
      </c>
      <c r="BB44" s="260">
        <f t="shared" si="43"/>
        <v>548.80700000000036</v>
      </c>
      <c r="BC44" s="260">
        <f>BC42-BC43</f>
        <v>561.02200000000028</v>
      </c>
      <c r="BD44" s="260">
        <f t="shared" si="43"/>
        <v>557.04200000000014</v>
      </c>
      <c r="BE44" s="106">
        <f t="shared" si="43"/>
        <v>2136.8629999999989</v>
      </c>
      <c r="BF44" s="260">
        <f t="shared" ref="BF44:BS44" si="44">BF42-BF43</f>
        <v>586.85800000000029</v>
      </c>
      <c r="BG44" s="260">
        <f t="shared" si="44"/>
        <v>829.14399999999955</v>
      </c>
      <c r="BH44" s="260">
        <f t="shared" si="44"/>
        <v>899.49199999999996</v>
      </c>
      <c r="BI44" s="260">
        <f t="shared" si="44"/>
        <v>965.60400000000004</v>
      </c>
      <c r="BJ44" s="106">
        <f>BJ42-BJ43</f>
        <v>3281.0979999999986</v>
      </c>
      <c r="BK44" s="260">
        <f t="shared" si="44"/>
        <v>900.11099999999954</v>
      </c>
      <c r="BL44" s="260">
        <f t="shared" si="44"/>
        <v>995.13399999999979</v>
      </c>
      <c r="BM44" s="260">
        <f t="shared" si="44"/>
        <v>1042.4629999999995</v>
      </c>
      <c r="BN44" s="260">
        <f t="shared" si="44"/>
        <v>994.06599999999969</v>
      </c>
      <c r="BO44" s="106">
        <f t="shared" ref="BO44:CI44" si="45">BO42-BO43</f>
        <v>3931.9489999999996</v>
      </c>
      <c r="BP44" s="260">
        <f t="shared" si="44"/>
        <v>1049.4000000000005</v>
      </c>
      <c r="BQ44" s="438">
        <f t="shared" si="44"/>
        <v>1142.3999999999996</v>
      </c>
      <c r="BR44" s="260">
        <f t="shared" si="44"/>
        <v>1137.6999999999996</v>
      </c>
      <c r="BS44" s="260">
        <f t="shared" si="44"/>
        <v>1093.2</v>
      </c>
      <c r="BT44" s="106">
        <f t="shared" si="45"/>
        <v>4422.6999999999989</v>
      </c>
      <c r="BU44" s="260">
        <f t="shared" si="45"/>
        <v>1122.8000000000006</v>
      </c>
      <c r="BV44" s="260">
        <f t="shared" si="45"/>
        <v>1069.0999999999997</v>
      </c>
      <c r="BW44" s="260">
        <f t="shared" si="45"/>
        <v>1337.2999999999997</v>
      </c>
      <c r="BX44" s="260">
        <f t="shared" si="45"/>
        <v>1116.0309711965931</v>
      </c>
      <c r="BY44" s="106">
        <f t="shared" si="45"/>
        <v>4645.2309711965954</v>
      </c>
      <c r="BZ44" s="438">
        <f t="shared" si="45"/>
        <v>1281.7000000000003</v>
      </c>
      <c r="CA44" s="260">
        <f t="shared" si="45"/>
        <v>1004.5387890698121</v>
      </c>
      <c r="CB44" s="260">
        <f t="shared" si="45"/>
        <v>1299.7581067313613</v>
      </c>
      <c r="CC44" s="260">
        <f t="shared" si="45"/>
        <v>1308.873294919847</v>
      </c>
      <c r="CD44" s="106">
        <f t="shared" si="45"/>
        <v>4888.9674500630335</v>
      </c>
      <c r="CE44" s="260"/>
      <c r="CF44" s="260"/>
      <c r="CG44" s="260"/>
      <c r="CH44" s="260"/>
      <c r="CI44" s="106">
        <f t="shared" si="45"/>
        <v>5410.8633053289614</v>
      </c>
      <c r="CJ44" s="260"/>
      <c r="CK44" s="260"/>
      <c r="CL44" s="260"/>
      <c r="CM44" s="260"/>
      <c r="CN44" s="106">
        <f>CN42-CN43</f>
        <v>5694.5982386335636</v>
      </c>
      <c r="CO44" s="260"/>
      <c r="CP44" s="260"/>
      <c r="CQ44" s="260"/>
      <c r="CR44" s="260"/>
      <c r="CS44" s="106">
        <f>CS42-CS43</f>
        <v>5988.2929366533535</v>
      </c>
      <c r="CT44" s="260"/>
      <c r="CU44" s="260"/>
      <c r="CV44" s="260"/>
      <c r="CW44" s="260"/>
      <c r="CX44" s="106">
        <f>CX42-CX43</f>
        <v>6145.0949332914024</v>
      </c>
      <c r="CY44" s="260"/>
      <c r="CZ44" s="260"/>
      <c r="DA44" s="260"/>
      <c r="DB44" s="260"/>
      <c r="DC44" s="106">
        <f>DC42-DC43</f>
        <v>6256.1498690389571</v>
      </c>
      <c r="DD44" s="260"/>
      <c r="DE44" s="260"/>
      <c r="DF44" s="260"/>
      <c r="DG44" s="260"/>
      <c r="DH44" s="106">
        <f>DH42-DH43</f>
        <v>6379.5633995441376</v>
      </c>
      <c r="DI44" s="260"/>
      <c r="DJ44" s="260"/>
      <c r="DK44" s="260"/>
      <c r="DL44" s="260"/>
      <c r="DM44" s="106">
        <f>DM42-DM43</f>
        <v>5892.3283608474194</v>
      </c>
      <c r="DN44" s="260"/>
      <c r="DO44" s="260"/>
      <c r="DP44" s="260"/>
      <c r="DQ44" s="260"/>
      <c r="DR44" s="106">
        <f>DR42-DR43</f>
        <v>5174.2253130359732</v>
      </c>
      <c r="DS44" s="260"/>
      <c r="DT44" s="260"/>
      <c r="DU44" s="260"/>
      <c r="DV44" s="260"/>
      <c r="DW44" s="106">
        <f>DW42-DW43</f>
        <v>3994.0577838534559</v>
      </c>
      <c r="DX44" s="260"/>
      <c r="DY44" s="260"/>
      <c r="DZ44" s="260"/>
      <c r="EA44" s="260"/>
      <c r="EB44" s="106">
        <f>EB42-EB43</f>
        <v>3743.4240129257973</v>
      </c>
      <c r="EC44" s="260"/>
      <c r="ED44" s="260"/>
      <c r="EE44" s="260"/>
      <c r="EF44" s="260"/>
      <c r="EG44" s="106">
        <f>EG42-EG43</f>
        <v>3632.5015674859746</v>
      </c>
      <c r="EH44" s="260"/>
      <c r="EI44" s="260"/>
      <c r="EJ44" s="260"/>
      <c r="EK44" s="260"/>
      <c r="EL44" s="106">
        <f>EL42-EL43</f>
        <v>3722.662230438204</v>
      </c>
      <c r="EO44"/>
      <c r="EP44"/>
      <c r="EQ44"/>
      <c r="ER44"/>
      <c r="ES44"/>
      <c r="ET44"/>
    </row>
    <row r="45" spans="2:150" s="35" customFormat="1">
      <c r="C45" s="137"/>
      <c r="D45" s="137"/>
      <c r="E45" s="137"/>
      <c r="F45" s="137"/>
      <c r="G45" s="16"/>
      <c r="H45" s="137"/>
      <c r="I45" s="137"/>
      <c r="J45" s="137"/>
      <c r="K45" s="137"/>
      <c r="L45" s="16"/>
      <c r="M45" s="137"/>
      <c r="N45" s="137"/>
      <c r="O45" s="137"/>
      <c r="P45" s="137"/>
      <c r="Q45" s="16"/>
      <c r="R45" s="137"/>
      <c r="S45" s="137"/>
      <c r="T45" s="137"/>
      <c r="U45" s="137"/>
      <c r="V45" s="16"/>
      <c r="W45" s="137"/>
      <c r="X45" s="137"/>
      <c r="Y45" s="137"/>
      <c r="Z45" s="137"/>
      <c r="AA45" s="16"/>
      <c r="AB45" s="137"/>
      <c r="AC45" s="137"/>
      <c r="AD45" s="137"/>
      <c r="AE45" s="137"/>
      <c r="AF45" s="16"/>
      <c r="AG45" s="137"/>
      <c r="AH45" s="137"/>
      <c r="AI45" s="137"/>
      <c r="AJ45" s="137"/>
      <c r="AK45" s="16"/>
      <c r="AL45" s="137"/>
      <c r="AM45" s="137"/>
      <c r="AN45" s="137"/>
      <c r="AO45" s="137"/>
      <c r="AP45" s="16"/>
      <c r="AQ45" s="137"/>
      <c r="AR45" s="137"/>
      <c r="AS45" s="137"/>
      <c r="AT45" s="137"/>
      <c r="AU45" s="16"/>
      <c r="AV45" s="137"/>
      <c r="AW45" s="137"/>
      <c r="AX45" s="137"/>
      <c r="AY45" s="137"/>
      <c r="AZ45" s="16"/>
      <c r="BA45" s="261"/>
      <c r="BB45" s="261"/>
      <c r="BC45" s="261"/>
      <c r="BD45" s="261"/>
      <c r="BE45" s="16"/>
      <c r="BF45" s="261"/>
      <c r="BG45" s="261"/>
      <c r="BH45" s="261"/>
      <c r="BI45" s="261"/>
      <c r="BJ45" s="16"/>
      <c r="BK45" s="261"/>
      <c r="BL45" s="261"/>
      <c r="BM45" s="261"/>
      <c r="BN45" s="261"/>
      <c r="BO45" s="430"/>
      <c r="BP45" s="261"/>
      <c r="BQ45" s="261"/>
      <c r="BR45" s="446"/>
      <c r="BS45" s="261"/>
      <c r="BT45" s="16"/>
      <c r="BU45" s="261"/>
      <c r="BV45" s="261"/>
      <c r="BW45" s="261"/>
      <c r="BX45" s="261"/>
      <c r="BY45" s="430"/>
      <c r="BZ45" s="261"/>
      <c r="CA45" s="521"/>
      <c r="CB45" s="521"/>
      <c r="CC45" s="521" t="s">
        <v>927</v>
      </c>
      <c r="CD45" s="430"/>
      <c r="CE45" s="521"/>
      <c r="CF45" s="521"/>
      <c r="CG45" s="521"/>
      <c r="CH45" s="521"/>
      <c r="CI45" s="430"/>
      <c r="CJ45" s="521"/>
      <c r="CK45" s="521"/>
      <c r="CL45" s="521"/>
      <c r="CM45" s="521"/>
      <c r="CN45" s="430"/>
      <c r="CO45" s="521"/>
      <c r="CP45" s="521"/>
      <c r="CQ45" s="521"/>
      <c r="CR45" s="521"/>
      <c r="CS45" s="430"/>
      <c r="CT45" s="521"/>
      <c r="CU45" s="521"/>
      <c r="CV45" s="521"/>
      <c r="CW45" s="521"/>
      <c r="CX45" s="430"/>
      <c r="CY45" s="521"/>
      <c r="CZ45" s="521"/>
      <c r="DA45" s="521"/>
      <c r="DB45" s="521"/>
      <c r="DC45" s="430"/>
      <c r="DD45" s="521"/>
      <c r="DE45" s="521"/>
      <c r="DF45" s="521"/>
      <c r="DG45" s="521"/>
      <c r="DH45" s="430"/>
      <c r="DI45" s="521"/>
      <c r="DJ45" s="521"/>
      <c r="DK45" s="521"/>
      <c r="DL45" s="521"/>
      <c r="DM45" s="430"/>
      <c r="DN45" s="521"/>
      <c r="DO45" s="521"/>
      <c r="DP45" s="521"/>
      <c r="DQ45" s="521"/>
      <c r="DR45" s="430"/>
      <c r="DS45" s="521"/>
      <c r="DT45" s="521"/>
      <c r="DU45" s="521"/>
      <c r="DV45" s="521"/>
      <c r="DW45" s="430"/>
      <c r="DX45" s="521"/>
      <c r="DY45" s="521"/>
      <c r="DZ45" s="521"/>
      <c r="EA45" s="521"/>
      <c r="EB45" s="430"/>
      <c r="EC45" s="521"/>
      <c r="ED45" s="521"/>
      <c r="EE45" s="521"/>
      <c r="EF45" s="521"/>
      <c r="EG45" s="430"/>
      <c r="EH45" s="521"/>
      <c r="EI45" s="521"/>
      <c r="EJ45" s="521"/>
      <c r="EK45" s="521"/>
      <c r="EL45" s="430"/>
      <c r="EO45"/>
      <c r="EP45"/>
      <c r="EQ45"/>
      <c r="ER45"/>
      <c r="ES45"/>
      <c r="ET45"/>
    </row>
    <row r="46" spans="2:150" s="36" customFormat="1" ht="15.75" thickBot="1">
      <c r="B46" s="47" t="s">
        <v>626</v>
      </c>
      <c r="C46" s="154">
        <f t="shared" ref="C46:AH46" si="46">(C44+C96+C97)/C107</f>
        <v>0.32502078137988355</v>
      </c>
      <c r="D46" s="154">
        <f t="shared" si="46"/>
        <v>0.28547532757178695</v>
      </c>
      <c r="E46" s="154">
        <f t="shared" si="46"/>
        <v>0.34991615427613199</v>
      </c>
      <c r="F46" s="154">
        <f t="shared" si="46"/>
        <v>0.25704716717834231</v>
      </c>
      <c r="G46" s="48">
        <f t="shared" si="46"/>
        <v>1.2062604807154835</v>
      </c>
      <c r="H46" s="154">
        <f t="shared" si="46"/>
        <v>0.42721734257519522</v>
      </c>
      <c r="I46" s="154">
        <f t="shared" si="46"/>
        <v>0.34725176216673026</v>
      </c>
      <c r="J46" s="154">
        <f t="shared" si="46"/>
        <v>0.37279862174578859</v>
      </c>
      <c r="K46" s="154">
        <f t="shared" si="46"/>
        <v>0.28791835602950439</v>
      </c>
      <c r="L46" s="48">
        <f>(L44+L96+L97)/L107</f>
        <v>1.4496717373899128</v>
      </c>
      <c r="M46" s="154">
        <f t="shared" si="46"/>
        <v>0.30185732580294361</v>
      </c>
      <c r="N46" s="154">
        <f t="shared" si="46"/>
        <v>0.43370995112187649</v>
      </c>
      <c r="O46" s="154">
        <f t="shared" si="46"/>
        <v>0.35874364473286585</v>
      </c>
      <c r="P46" s="154">
        <f t="shared" si="46"/>
        <v>0.47652609371015126</v>
      </c>
      <c r="Q46" s="48">
        <f t="shared" si="46"/>
        <v>1.5680532003709242</v>
      </c>
      <c r="R46" s="154">
        <f t="shared" si="46"/>
        <v>0.54601448751500115</v>
      </c>
      <c r="S46" s="154">
        <f t="shared" si="46"/>
        <v>0.57619861263234773</v>
      </c>
      <c r="T46" s="154">
        <f t="shared" si="46"/>
        <v>0.59980449827993243</v>
      </c>
      <c r="U46" s="154">
        <f t="shared" si="46"/>
        <v>0.53523187687643914</v>
      </c>
      <c r="V46" s="48">
        <f t="shared" si="46"/>
        <v>2.2489016192608338</v>
      </c>
      <c r="W46" s="154">
        <f t="shared" si="46"/>
        <v>0.58776717878962237</v>
      </c>
      <c r="X46" s="154">
        <f t="shared" si="46"/>
        <v>0.69920993392333519</v>
      </c>
      <c r="Y46" s="154">
        <f t="shared" si="46"/>
        <v>0.57986134780296994</v>
      </c>
      <c r="Z46" s="154">
        <f t="shared" si="46"/>
        <v>0.88639981312465688</v>
      </c>
      <c r="AA46" s="48">
        <f t="shared" si="46"/>
        <v>2.7425313348179565</v>
      </c>
      <c r="AB46" s="154">
        <f t="shared" si="46"/>
        <v>0.83465108514190367</v>
      </c>
      <c r="AC46" s="154">
        <f t="shared" si="46"/>
        <v>0.91420422794368239</v>
      </c>
      <c r="AD46" s="154">
        <f t="shared" si="46"/>
        <v>0.97799068457170524</v>
      </c>
      <c r="AE46" s="154">
        <f t="shared" si="46"/>
        <v>0.93248620552323491</v>
      </c>
      <c r="AF46" s="48">
        <f t="shared" si="46"/>
        <v>3.6600968188105139</v>
      </c>
      <c r="AG46" s="154">
        <f t="shared" si="46"/>
        <v>1.0534644375724782</v>
      </c>
      <c r="AH46" s="154">
        <f t="shared" si="46"/>
        <v>0.75209998656835153</v>
      </c>
      <c r="AI46" s="154">
        <f t="shared" ref="AI46:BE46" si="47">(AI44+AI96+AI97)/AI107</f>
        <v>1.1174180602466355</v>
      </c>
      <c r="AJ46" s="154">
        <f t="shared" si="47"/>
        <v>1.2021033905399747</v>
      </c>
      <c r="AK46" s="48">
        <f t="shared" si="47"/>
        <v>4.122770108748222</v>
      </c>
      <c r="AL46" s="154">
        <f t="shared" si="47"/>
        <v>1.0854556055488946</v>
      </c>
      <c r="AM46" s="154">
        <f>(AM44+AM96+AM97)/AM107</f>
        <v>1.3092892248660477</v>
      </c>
      <c r="AN46" s="154">
        <f t="shared" si="47"/>
        <v>1.3521602225221108</v>
      </c>
      <c r="AO46" s="154">
        <f t="shared" si="47"/>
        <v>1.4254354009475707</v>
      </c>
      <c r="AP46" s="48">
        <f t="shared" si="47"/>
        <v>5.1498624772920794</v>
      </c>
      <c r="AQ46" s="154">
        <f t="shared" si="47"/>
        <v>1.4264263895874485</v>
      </c>
      <c r="AR46" s="154">
        <f t="shared" si="47"/>
        <v>1.3563923156682967</v>
      </c>
      <c r="AS46" s="154">
        <f t="shared" si="47"/>
        <v>1.6069993397618252</v>
      </c>
      <c r="AT46" s="154">
        <f t="shared" si="47"/>
        <v>1.5238892828324815</v>
      </c>
      <c r="AU46" s="107">
        <f t="shared" si="47"/>
        <v>5.859508719233733</v>
      </c>
      <c r="AV46" s="155">
        <f t="shared" si="47"/>
        <v>1.4001769852953339</v>
      </c>
      <c r="AW46" s="155">
        <f t="shared" si="47"/>
        <v>1.8250326237833627</v>
      </c>
      <c r="AX46" s="155">
        <f t="shared" si="47"/>
        <v>1.9093291338582679</v>
      </c>
      <c r="AY46" s="155">
        <f t="shared" si="47"/>
        <v>1.4042102348063983</v>
      </c>
      <c r="AZ46" s="107">
        <f t="shared" si="47"/>
        <v>6.5365020438808719</v>
      </c>
      <c r="BA46" s="262">
        <f t="shared" si="47"/>
        <v>1.9698620249765002</v>
      </c>
      <c r="BB46" s="262">
        <f t="shared" si="47"/>
        <v>2.2987354603066912</v>
      </c>
      <c r="BC46" s="262">
        <f>(BC44+BC96+BC97)/BC107</f>
        <v>2.3537837372927948</v>
      </c>
      <c r="BD46" s="262">
        <f t="shared" si="47"/>
        <v>2.3441864771259162</v>
      </c>
      <c r="BE46" s="107">
        <f t="shared" si="47"/>
        <v>8.9687782981103243</v>
      </c>
      <c r="BF46" s="262">
        <f>(BF44)/BF107</f>
        <v>2.4673553388914828</v>
      </c>
      <c r="BG46" s="262">
        <f>(BG44)/BG107</f>
        <v>3.4925884895177339</v>
      </c>
      <c r="BH46" s="262">
        <f>(BH44)/BH107</f>
        <v>3.7957733403102472</v>
      </c>
      <c r="BI46" s="262">
        <f>(BI44)/BI107</f>
        <v>4.0864862119750143</v>
      </c>
      <c r="BJ46" s="107">
        <f>BJ44/BJ106</f>
        <v>13.834021992107122</v>
      </c>
      <c r="BK46" s="262">
        <f>(BK44)/BK107</f>
        <v>3.8200186733438</v>
      </c>
      <c r="BL46" s="262">
        <f>(BL44)/BL107</f>
        <v>4.2217140820811299</v>
      </c>
      <c r="BM46" s="262">
        <f>(BM44)/BM107</f>
        <v>4.4815529723316061</v>
      </c>
      <c r="BN46" s="262">
        <f>(BN44)/BN107</f>
        <v>4.5021105072463747</v>
      </c>
      <c r="BO46" s="107">
        <f>BO44/BO106</f>
        <v>17.006699826989617</v>
      </c>
      <c r="BP46" s="262">
        <f>(BP44)/BP107</f>
        <v>4.7852257181942566</v>
      </c>
      <c r="BQ46" s="262">
        <f>(BQ44)/BQ107</f>
        <v>5.2081148848871655</v>
      </c>
      <c r="BR46" s="262">
        <f>(BR44)/BR107</f>
        <v>5.1855059252506814</v>
      </c>
      <c r="BS46" s="262">
        <f>(BS44)/BS107</f>
        <v>5.0377880184331802</v>
      </c>
      <c r="BT46" s="107">
        <f>BT44/BT106</f>
        <v>20.213436928702006</v>
      </c>
      <c r="BU46" s="262">
        <f>(BU44)/BU107</f>
        <v>5.2005558128763347</v>
      </c>
      <c r="BV46" s="262">
        <f>(BV44)/BV107</f>
        <v>5.0381715362865211</v>
      </c>
      <c r="BW46" s="262">
        <f>(BW44)/BW107</f>
        <v>6.3139754485363531</v>
      </c>
      <c r="BX46" s="262">
        <f>(BX44)/BX107</f>
        <v>5.2642970339461943</v>
      </c>
      <c r="BY46" s="107">
        <f>BY44/BY106</f>
        <v>21.811156103752058</v>
      </c>
      <c r="BZ46" s="262">
        <f>(BZ44)/BZ107</f>
        <v>6.0486078338839082</v>
      </c>
      <c r="CA46" s="262">
        <f>(CA44)/CA107</f>
        <v>4.7518656981519518</v>
      </c>
      <c r="CB46" s="262">
        <f>(CB44)/CB107</f>
        <v>6.1629809545675327</v>
      </c>
      <c r="CC46" s="262">
        <f>(CC44)/CC107</f>
        <v>6.2209855778882925</v>
      </c>
      <c r="CD46" s="107">
        <f>CD44/CD106</f>
        <v>23.154196178177575</v>
      </c>
      <c r="CE46" s="262"/>
      <c r="CF46" s="262"/>
      <c r="CG46" s="262"/>
      <c r="CH46" s="262"/>
      <c r="CI46" s="107">
        <f>CI44/CI106</f>
        <v>26.428587810266436</v>
      </c>
      <c r="CJ46" s="262"/>
      <c r="CK46" s="262"/>
      <c r="CL46" s="262"/>
      <c r="CM46" s="262"/>
      <c r="CN46" s="107">
        <f>CN44/CN106</f>
        <v>28.828344800700336</v>
      </c>
      <c r="CO46" s="262"/>
      <c r="CP46" s="262"/>
      <c r="CQ46" s="262"/>
      <c r="CR46" s="262"/>
      <c r="CS46" s="107">
        <f>CS44/CS106</f>
        <v>31.457352512023146</v>
      </c>
      <c r="CT46" s="262"/>
      <c r="CU46" s="262"/>
      <c r="CV46" s="262"/>
      <c r="CW46" s="262"/>
      <c r="CX46" s="107">
        <f>CX44/CX106</f>
        <v>33.498590200380285</v>
      </c>
      <c r="CY46" s="262"/>
      <c r="CZ46" s="262"/>
      <c r="DA46" s="262"/>
      <c r="DB46" s="262"/>
      <c r="DC46" s="107">
        <f>DC44/DC106</f>
        <v>35.373465836745453</v>
      </c>
      <c r="DD46" s="262"/>
      <c r="DE46" s="262"/>
      <c r="DF46" s="262"/>
      <c r="DG46" s="262"/>
      <c r="DH46" s="107">
        <f>DH44/DH106</f>
        <v>37.382647742881595</v>
      </c>
      <c r="DI46" s="262"/>
      <c r="DJ46" s="262"/>
      <c r="DK46" s="262"/>
      <c r="DL46" s="262"/>
      <c r="DM46" s="107">
        <f>DM44/DM106</f>
        <v>35.724279387184019</v>
      </c>
      <c r="DN46" s="262"/>
      <c r="DO46" s="262"/>
      <c r="DP46" s="262"/>
      <c r="DQ46" s="262"/>
      <c r="DR46" s="107">
        <f>DR44/DR106</f>
        <v>32.34953033548598</v>
      </c>
      <c r="DS46" s="262"/>
      <c r="DT46" s="262"/>
      <c r="DU46" s="262"/>
      <c r="DV46" s="262"/>
      <c r="DW46" s="107">
        <f>DW44/DW106</f>
        <v>25.630801059803456</v>
      </c>
      <c r="DX46" s="262"/>
      <c r="DY46" s="262"/>
      <c r="DZ46" s="262"/>
      <c r="EA46" s="262"/>
      <c r="EB46" s="107">
        <f>EB44/EB106</f>
        <v>24.552610500457355</v>
      </c>
      <c r="EC46" s="262"/>
      <c r="ED46" s="262"/>
      <c r="EE46" s="262"/>
      <c r="EF46" s="262"/>
      <c r="EG46" s="107">
        <f>EG44/EG106</f>
        <v>24.294119609828243</v>
      </c>
      <c r="EH46" s="262"/>
      <c r="EI46" s="262"/>
      <c r="EJ46" s="262"/>
      <c r="EK46" s="262"/>
      <c r="EL46" s="107">
        <f>EL44/EL106</f>
        <v>25.361236238755826</v>
      </c>
      <c r="EO46"/>
      <c r="EP46"/>
      <c r="EQ46"/>
      <c r="ER46"/>
      <c r="ES46"/>
      <c r="ET46"/>
    </row>
    <row r="47" spans="2:150" s="36" customFormat="1" ht="15.75" thickBot="1">
      <c r="C47" s="156"/>
      <c r="D47" s="156"/>
      <c r="E47" s="156"/>
      <c r="F47" s="156"/>
      <c r="G47" s="40"/>
      <c r="H47" s="156"/>
      <c r="I47" s="156"/>
      <c r="J47" s="156"/>
      <c r="K47" s="156"/>
      <c r="L47" s="40"/>
      <c r="M47" s="156"/>
      <c r="N47" s="156"/>
      <c r="O47" s="156"/>
      <c r="P47" s="156"/>
      <c r="Q47" s="40"/>
      <c r="R47" s="156"/>
      <c r="S47" s="156"/>
      <c r="T47" s="156"/>
      <c r="U47" s="156"/>
      <c r="V47" s="40"/>
      <c r="W47" s="156"/>
      <c r="X47" s="156"/>
      <c r="Y47" s="156"/>
      <c r="Z47" s="156"/>
      <c r="AA47" s="40"/>
      <c r="AB47" s="156"/>
      <c r="AC47" s="156"/>
      <c r="AD47" s="156"/>
      <c r="AE47" s="156"/>
      <c r="AF47" s="40"/>
      <c r="AG47" s="156"/>
      <c r="AH47" s="156"/>
      <c r="AI47" s="156"/>
      <c r="AJ47" s="156"/>
      <c r="AK47" s="40"/>
      <c r="AL47" s="156"/>
      <c r="AM47" s="156"/>
      <c r="AN47" s="156"/>
      <c r="AO47" s="156"/>
      <c r="AP47" s="40"/>
      <c r="AQ47" s="156"/>
      <c r="AR47" s="156"/>
      <c r="AS47" s="156"/>
      <c r="AT47" s="156"/>
      <c r="AU47" s="110"/>
      <c r="AV47" s="157"/>
      <c r="AW47" s="157"/>
      <c r="AX47" s="157"/>
      <c r="AY47" s="157"/>
      <c r="AZ47" s="110"/>
      <c r="BA47" s="263"/>
      <c r="BB47" s="263"/>
      <c r="BC47" s="263"/>
      <c r="BD47" s="263"/>
      <c r="BE47" s="110"/>
      <c r="BF47" s="263"/>
      <c r="BG47" s="263"/>
      <c r="BH47" s="255"/>
      <c r="BI47" s="255"/>
      <c r="BJ47" s="401"/>
      <c r="BK47" s="263"/>
      <c r="BL47" s="263"/>
      <c r="BM47" s="255"/>
      <c r="BN47" s="255"/>
      <c r="BO47" s="401"/>
      <c r="BP47" s="263"/>
      <c r="BQ47" s="263"/>
      <c r="BR47" s="263"/>
      <c r="BS47" s="263"/>
      <c r="BT47" s="401"/>
      <c r="BU47" s="263"/>
      <c r="BV47" s="263"/>
      <c r="BW47" s="263"/>
      <c r="BX47" s="263"/>
      <c r="BY47" s="401"/>
      <c r="BZ47" s="263"/>
      <c r="CA47" s="263"/>
      <c r="CB47" s="139" t="s">
        <v>558</v>
      </c>
      <c r="CC47" s="140"/>
      <c r="CD47" s="158" t="s">
        <v>933</v>
      </c>
      <c r="CE47" s="263"/>
      <c r="CF47" s="263"/>
      <c r="CG47" s="263"/>
      <c r="CH47" s="263"/>
      <c r="CI47" s="110"/>
      <c r="CJ47" s="263"/>
      <c r="CK47" s="263"/>
      <c r="CL47" s="263"/>
      <c r="CM47" s="263"/>
      <c r="CN47" s="110"/>
      <c r="CO47" s="263"/>
      <c r="CP47" s="263"/>
      <c r="CQ47" s="263"/>
      <c r="CR47" s="263"/>
      <c r="CS47" s="110"/>
      <c r="CT47" s="263"/>
      <c r="CU47" s="263"/>
      <c r="CV47" s="263"/>
      <c r="CW47" s="263"/>
      <c r="CX47" s="110"/>
      <c r="CY47" s="263"/>
      <c r="CZ47" s="263"/>
      <c r="DA47" s="263"/>
      <c r="DB47" s="263"/>
      <c r="DC47" s="110"/>
      <c r="DD47" s="263"/>
      <c r="DE47" s="263"/>
      <c r="DF47" s="263"/>
      <c r="DG47" s="263"/>
      <c r="DH47" s="110"/>
      <c r="DI47" s="263"/>
      <c r="DJ47" s="263"/>
      <c r="DK47" s="263"/>
      <c r="DL47" s="263"/>
      <c r="DM47" s="110"/>
      <c r="DN47" s="263"/>
      <c r="DO47" s="263"/>
      <c r="DP47" s="263"/>
      <c r="DQ47" s="263"/>
      <c r="DR47" s="110"/>
      <c r="DS47" s="263"/>
      <c r="DT47" s="263"/>
      <c r="DU47" s="263"/>
      <c r="DV47" s="263"/>
      <c r="DW47" s="110"/>
      <c r="DX47" s="263"/>
      <c r="DY47" s="263"/>
      <c r="DZ47" s="263"/>
      <c r="EA47" s="263"/>
      <c r="EB47" s="110"/>
      <c r="EC47" s="263"/>
      <c r="ED47" s="263"/>
      <c r="EE47" s="263"/>
      <c r="EF47" s="263"/>
      <c r="EG47" s="110"/>
      <c r="EH47" s="263"/>
      <c r="EI47" s="263"/>
      <c r="EJ47" s="263"/>
      <c r="EK47" s="263"/>
      <c r="EL47" s="110"/>
      <c r="EO47"/>
      <c r="EP47"/>
      <c r="EQ47"/>
      <c r="ER47"/>
      <c r="ES47"/>
      <c r="ET47"/>
    </row>
    <row r="48" spans="2:150">
      <c r="B48" s="142" t="s">
        <v>166</v>
      </c>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278"/>
      <c r="BA48" s="143"/>
      <c r="BB48" s="143"/>
      <c r="BC48" s="143"/>
      <c r="BD48" s="143"/>
      <c r="BE48" s="278"/>
      <c r="BF48" s="382"/>
      <c r="BG48" s="382"/>
      <c r="BH48" s="382"/>
      <c r="BI48" s="382"/>
      <c r="BJ48" s="382"/>
      <c r="BK48" s="382"/>
      <c r="BL48" s="382"/>
      <c r="BM48" s="382"/>
      <c r="BN48" s="382"/>
      <c r="BO48" s="382"/>
      <c r="BP48" s="382"/>
      <c r="BQ48" s="382"/>
      <c r="BR48" s="382"/>
      <c r="BS48" s="382"/>
      <c r="BT48" s="382"/>
      <c r="BU48" s="382"/>
      <c r="BV48" s="382"/>
      <c r="BW48" s="382"/>
      <c r="BX48" s="382"/>
      <c r="BY48" s="382"/>
      <c r="BZ48" s="382">
        <f>_xll.TR($EW$1,"TR.EPSMean","Period=#1 Curn=#2 Null=-",,LEFT(BZ2,1)&amp;"CQ20"&amp;MID(BZ2,3,2),$EW$2)</f>
        <v>5.9367700000000001</v>
      </c>
      <c r="CA48" s="382">
        <f>_xll.TR($EW$1,"TR.EPSMean","Period=#1 Curn=#2 Null=-",,LEFT(CA2,1)&amp;"CQ20"&amp;MID(CA2,3,2),$EW$2)</f>
        <v>5.5222499999999997</v>
      </c>
      <c r="CB48" s="382">
        <f>_xll.TR($EW$1,"TR.EPSMean","Period=#1 Curn=#2 Null=-",,LEFT(CB2,1)&amp;"CQ20"&amp;MID(CB2,3,2),$EW$2)</f>
        <v>6.2917899999999998</v>
      </c>
      <c r="CC48" s="382">
        <f>_xll.TR($EW$1,"TR.EPSMean","Period=#1 Curn=#2 Null=-",,LEFT(CC2,1)&amp;"CQ20"&amp;MID(CC2,3,2),$EW$2)</f>
        <v>6.2236099999999999</v>
      </c>
      <c r="CD48" s="382">
        <f>_xll.TR($EW$1,"Avail(TR.EPSMean(Methodology=WeightedAnnual),TR.EPSMean(Methodology=InterimSum))","Period=#1 Curn=#2 Null=-",,"CY"&amp;LEFT(BZ1,4),$EW$2)</f>
        <v>24.017900000000001</v>
      </c>
      <c r="CE48" s="387"/>
      <c r="CF48" s="387"/>
      <c r="CG48" s="387"/>
      <c r="CH48" s="387"/>
      <c r="CI48" s="382">
        <f>_xll.TR($EW$1,"Avail(TR.EPSMean(Methodology=WeightedAnnual),TR.EPSMean(Methodology=InterimSum))","Period=#1 Curn=#2 Null=-",,"CY"&amp;LEFT(CE1,4),$EW$2)</f>
        <v>26.2653</v>
      </c>
      <c r="CJ48" s="387"/>
      <c r="CK48" s="387"/>
      <c r="CL48" s="387"/>
      <c r="CM48" s="387"/>
      <c r="CN48" s="382">
        <f>_xll.TR($EW$1,"Avail(TR.EPSMean(Methodology=WeightedAnnual),TR.EPSMean(Methodology=InterimSum))","Period=#1 Curn=#2 Null=-",,"CY"&amp;LEFT(CJ1,4),$EW$2)</f>
        <v>27.38083</v>
      </c>
      <c r="CO48" s="387"/>
      <c r="CP48" s="387"/>
      <c r="CQ48" s="387"/>
      <c r="CR48" s="387"/>
      <c r="CS48" s="387"/>
      <c r="CT48" s="387"/>
      <c r="CU48" s="387"/>
      <c r="CV48" s="387"/>
      <c r="CW48" s="387"/>
      <c r="CX48" s="387"/>
      <c r="CY48" s="387"/>
      <c r="CZ48" s="387"/>
      <c r="DA48" s="387"/>
      <c r="DB48" s="387"/>
      <c r="DC48" s="387"/>
      <c r="DD48" s="387"/>
      <c r="DE48" s="387"/>
      <c r="DF48" s="387"/>
      <c r="DG48" s="387"/>
      <c r="DH48" s="387"/>
      <c r="DI48" s="387"/>
      <c r="DJ48" s="387"/>
      <c r="DK48" s="387"/>
      <c r="DL48" s="387"/>
      <c r="DM48" s="387"/>
      <c r="DN48" s="387"/>
      <c r="DO48" s="387"/>
      <c r="DP48" s="387"/>
      <c r="DQ48" s="387"/>
      <c r="DR48" s="387"/>
      <c r="DS48" s="387"/>
      <c r="DT48" s="387"/>
      <c r="DU48" s="387"/>
      <c r="DV48" s="387"/>
      <c r="DW48" s="387"/>
      <c r="DX48" s="387"/>
      <c r="DY48" s="387"/>
      <c r="DZ48" s="387"/>
      <c r="EA48" s="387"/>
      <c r="EB48" s="387"/>
      <c r="EC48" s="387"/>
      <c r="ED48" s="387"/>
      <c r="EE48" s="387"/>
      <c r="EF48" s="387"/>
      <c r="EG48" s="387"/>
      <c r="EH48" s="387"/>
      <c r="EI48" s="387"/>
      <c r="EJ48" s="387"/>
      <c r="EK48" s="387"/>
      <c r="EL48" s="387"/>
    </row>
    <row r="49" spans="1:150" s="36" customFormat="1">
      <c r="C49" s="156"/>
      <c r="D49" s="156"/>
      <c r="E49" s="156"/>
      <c r="F49" s="156"/>
      <c r="G49" s="40"/>
      <c r="H49" s="156"/>
      <c r="I49" s="156"/>
      <c r="J49" s="156"/>
      <c r="K49" s="156"/>
      <c r="L49" s="40"/>
      <c r="M49" s="156"/>
      <c r="N49" s="156"/>
      <c r="O49" s="156"/>
      <c r="P49" s="156"/>
      <c r="Q49" s="40"/>
      <c r="R49" s="156"/>
      <c r="S49" s="156"/>
      <c r="T49" s="156"/>
      <c r="U49" s="156"/>
      <c r="V49" s="40"/>
      <c r="W49" s="156"/>
      <c r="X49" s="156"/>
      <c r="Y49" s="156"/>
      <c r="Z49" s="156"/>
      <c r="AA49" s="40"/>
      <c r="AB49" s="156"/>
      <c r="AC49" s="156"/>
      <c r="AD49" s="156"/>
      <c r="AE49" s="156"/>
      <c r="AF49" s="40"/>
      <c r="AG49" s="156"/>
      <c r="AH49" s="156"/>
      <c r="AI49" s="156"/>
      <c r="AJ49" s="156"/>
      <c r="AK49" s="40"/>
      <c r="AL49" s="156"/>
      <c r="AM49" s="156"/>
      <c r="AN49" s="156"/>
      <c r="AO49" s="156"/>
      <c r="AP49" s="40"/>
      <c r="AQ49" s="156"/>
      <c r="AR49" s="156"/>
      <c r="AS49" s="156"/>
      <c r="AT49" s="156"/>
      <c r="AU49" s="40"/>
      <c r="AV49" s="156"/>
      <c r="AW49" s="156"/>
      <c r="AX49" s="156"/>
      <c r="AY49" s="156"/>
      <c r="AZ49" s="40"/>
      <c r="BA49" s="264"/>
      <c r="BB49" s="264"/>
      <c r="BC49" s="264"/>
      <c r="BD49" s="264"/>
      <c r="BE49" s="40"/>
      <c r="BF49" s="264"/>
      <c r="BG49" s="264"/>
      <c r="BH49" s="264"/>
      <c r="BI49" s="264"/>
      <c r="BJ49" s="40"/>
      <c r="BK49" s="264"/>
      <c r="BL49" s="264"/>
      <c r="BM49" s="264"/>
      <c r="BN49" s="264"/>
      <c r="BO49" s="40"/>
      <c r="BP49" s="264"/>
      <c r="BQ49" s="264"/>
      <c r="BR49" s="264"/>
      <c r="BS49" s="264"/>
      <c r="BT49" s="40"/>
      <c r="BU49" s="264"/>
      <c r="BV49" s="264"/>
      <c r="BW49" s="264"/>
      <c r="BX49" s="264"/>
      <c r="BY49" s="40"/>
      <c r="BZ49" s="264"/>
      <c r="CA49" s="264"/>
      <c r="CB49" s="264"/>
      <c r="CC49" s="264"/>
      <c r="CD49" s="40"/>
      <c r="CE49" s="264"/>
      <c r="CF49" s="264"/>
      <c r="CG49" s="264"/>
      <c r="CH49" s="264"/>
      <c r="CI49" s="40"/>
      <c r="CJ49" s="264"/>
      <c r="CK49" s="264"/>
      <c r="CL49" s="264"/>
      <c r="CM49" s="264"/>
      <c r="CN49" s="40"/>
      <c r="CO49" s="264"/>
      <c r="CP49" s="264"/>
      <c r="CQ49" s="264"/>
      <c r="CR49" s="264"/>
      <c r="CS49" s="40"/>
      <c r="CT49" s="264"/>
      <c r="CU49" s="264"/>
      <c r="CV49" s="264"/>
      <c r="CW49" s="264"/>
      <c r="CX49" s="40"/>
      <c r="CY49" s="264"/>
      <c r="CZ49" s="264"/>
      <c r="DA49" s="264"/>
      <c r="DB49" s="264"/>
      <c r="DC49" s="40"/>
      <c r="DD49" s="264"/>
      <c r="DE49" s="264"/>
      <c r="DF49" s="264"/>
      <c r="DG49" s="264"/>
      <c r="DH49" s="40"/>
      <c r="DI49" s="264"/>
      <c r="DJ49" s="264"/>
      <c r="DK49" s="264"/>
      <c r="DL49" s="264"/>
      <c r="DM49" s="40"/>
      <c r="DN49" s="264"/>
      <c r="DO49" s="264"/>
      <c r="DP49" s="264"/>
      <c r="DQ49" s="264"/>
      <c r="DR49" s="40"/>
      <c r="DS49" s="264"/>
      <c r="DT49" s="264"/>
      <c r="DU49" s="264"/>
      <c r="DV49" s="264"/>
      <c r="DW49" s="40"/>
      <c r="DX49" s="264"/>
      <c r="DY49" s="264"/>
      <c r="DZ49" s="264"/>
      <c r="EA49" s="264"/>
      <c r="EB49" s="40"/>
      <c r="EC49" s="264"/>
      <c r="ED49" s="264"/>
      <c r="EE49" s="264"/>
      <c r="EF49" s="264"/>
      <c r="EG49" s="40"/>
      <c r="EH49" s="264"/>
      <c r="EI49" s="264"/>
      <c r="EJ49" s="264"/>
      <c r="EK49" s="264"/>
      <c r="EL49" s="40"/>
      <c r="EO49"/>
      <c r="EP49"/>
      <c r="EQ49"/>
      <c r="ER49"/>
      <c r="ES49"/>
      <c r="ET49"/>
    </row>
    <row r="50" spans="1:150" s="3" customFormat="1">
      <c r="B50" s="3" t="s">
        <v>167</v>
      </c>
      <c r="C50" s="150"/>
      <c r="D50" s="150"/>
      <c r="E50" s="150"/>
      <c r="F50" s="150"/>
      <c r="G50" s="15"/>
      <c r="H50" s="150"/>
      <c r="I50" s="150"/>
      <c r="J50" s="150"/>
      <c r="K50" s="150"/>
      <c r="L50" s="15"/>
      <c r="M50" s="150"/>
      <c r="N50" s="150"/>
      <c r="O50" s="150"/>
      <c r="P50" s="150"/>
      <c r="Q50" s="15"/>
      <c r="R50" s="159">
        <v>23.62</v>
      </c>
      <c r="S50" s="159">
        <v>40.299999999999997</v>
      </c>
      <c r="T50" s="159">
        <v>37.9</v>
      </c>
      <c r="U50" s="159">
        <f>+V50-SUM(R50:T50)</f>
        <v>30.580000000000013</v>
      </c>
      <c r="V50" s="3">
        <v>132.4</v>
      </c>
      <c r="W50" s="159">
        <v>29.6</v>
      </c>
      <c r="X50" s="159">
        <v>41.1</v>
      </c>
      <c r="Y50" s="159">
        <v>31.8</v>
      </c>
      <c r="Z50" s="159">
        <f>+AA50-SUM(W50:Y50)</f>
        <v>20.599999999999994</v>
      </c>
      <c r="AA50" s="3">
        <v>123.1</v>
      </c>
      <c r="AB50" s="159">
        <v>34.5</v>
      </c>
      <c r="AC50" s="159">
        <v>33.1</v>
      </c>
      <c r="AD50" s="159">
        <v>36.700000000000003</v>
      </c>
      <c r="AE50" s="159">
        <f>+AF50-SUM(AB50:AD50)</f>
        <v>41.899999999999991</v>
      </c>
      <c r="AF50" s="3">
        <v>146.19999999999999</v>
      </c>
      <c r="AG50" s="159">
        <v>37.9</v>
      </c>
      <c r="AH50" s="159">
        <v>41.1</v>
      </c>
      <c r="AI50" s="159">
        <v>41.1</v>
      </c>
      <c r="AJ50" s="159">
        <f>+AK50-SUM(AG50:AI50)</f>
        <v>40.800000000000011</v>
      </c>
      <c r="AK50" s="3">
        <v>160.9</v>
      </c>
      <c r="AL50" s="159">
        <f>1.6+4.3</f>
        <v>5.9</v>
      </c>
      <c r="AM50" s="159">
        <f>0.8+8.8</f>
        <v>9.6000000000000014</v>
      </c>
      <c r="AN50" s="159">
        <f>2.6+5.8</f>
        <v>8.4</v>
      </c>
      <c r="AO50" s="159">
        <f>1.6+3.7</f>
        <v>5.3000000000000007</v>
      </c>
      <c r="AP50" s="3">
        <f>8.3+20.4</f>
        <v>28.7</v>
      </c>
      <c r="AQ50" s="159">
        <f>1.2+1.4</f>
        <v>2.5999999999999996</v>
      </c>
      <c r="AR50" s="159">
        <f>0.5+1.2</f>
        <v>1.7</v>
      </c>
      <c r="AS50" s="159">
        <f>1.8+2.9</f>
        <v>4.7</v>
      </c>
      <c r="AT50" s="159">
        <f>1.3+2</f>
        <v>3.3</v>
      </c>
      <c r="AU50" s="3">
        <f>SUM(AQ50:AT50)</f>
        <v>12.3</v>
      </c>
      <c r="AV50" s="159">
        <f>1+0.4</f>
        <v>1.4</v>
      </c>
      <c r="AW50" s="159">
        <f>0.5+0.9</f>
        <v>1.4</v>
      </c>
      <c r="AX50" s="159">
        <f>1+1.4</f>
        <v>2.4</v>
      </c>
      <c r="AY50" s="159">
        <f>0.8+1.3</f>
        <v>2.1</v>
      </c>
      <c r="AZ50" s="3">
        <f>SUM(AV50:AY50)</f>
        <v>7.2999999999999989</v>
      </c>
      <c r="BA50" s="265">
        <f>1.9+1.6</f>
        <v>3.5</v>
      </c>
      <c r="BB50" s="265">
        <f>0.8+1</f>
        <v>1.8</v>
      </c>
      <c r="BC50" s="265">
        <f>1.3+1.2</f>
        <v>2.5</v>
      </c>
      <c r="BD50" s="265">
        <f>-BD63-BD64</f>
        <v>1.9000000000000001</v>
      </c>
      <c r="BE50" s="3">
        <f>SUM(BA50:BD50)</f>
        <v>9.6999999999999993</v>
      </c>
      <c r="BF50" s="265">
        <f>-BF63-BF64</f>
        <v>4.9000000000000004</v>
      </c>
      <c r="BG50" s="265">
        <f>-BG63-BG64</f>
        <v>2.7</v>
      </c>
      <c r="BH50" s="265">
        <f>-BH63-BH64</f>
        <v>2.5999999999999996</v>
      </c>
      <c r="BI50" s="265">
        <f>-BI63-BI64</f>
        <v>2.1</v>
      </c>
      <c r="BJ50" s="3">
        <f>SUM(BF50:BI50)</f>
        <v>12.299999999999999</v>
      </c>
      <c r="BK50" s="265">
        <f>-BK63-BK64</f>
        <v>0</v>
      </c>
      <c r="BL50" s="265">
        <f>-BL63-BL64</f>
        <v>0</v>
      </c>
      <c r="BM50" s="265">
        <f>-BM63-BM64</f>
        <v>0</v>
      </c>
      <c r="BN50" s="265">
        <f>-BN63-BN64</f>
        <v>0</v>
      </c>
      <c r="BO50" s="3">
        <f>-BO63-BO64</f>
        <v>0</v>
      </c>
      <c r="BP50" s="265">
        <f>BT50/4</f>
        <v>0</v>
      </c>
      <c r="BQ50" s="265">
        <f>BT50/4</f>
        <v>0</v>
      </c>
      <c r="BR50" s="265">
        <f>BT50/4</f>
        <v>0</v>
      </c>
      <c r="BS50" s="265">
        <f>BT50-SUM(BP50:BR50)</f>
        <v>0</v>
      </c>
      <c r="BT50" s="3">
        <f>-BT63-BT64</f>
        <v>0</v>
      </c>
      <c r="BU50" s="265">
        <f>BY50/4</f>
        <v>0</v>
      </c>
      <c r="BV50" s="265">
        <f>BY50/4</f>
        <v>0</v>
      </c>
      <c r="BW50" s="265">
        <f>BY50/4</f>
        <v>0</v>
      </c>
      <c r="BX50" s="265">
        <f>BY50-SUM(BU50:BW50)</f>
        <v>0</v>
      </c>
      <c r="BY50" s="3">
        <f>-BY63-BY64</f>
        <v>0</v>
      </c>
      <c r="BZ50" s="265">
        <f>CD50/4</f>
        <v>0</v>
      </c>
      <c r="CA50" s="265">
        <f>CD50/4</f>
        <v>0</v>
      </c>
      <c r="CB50" s="265">
        <f>CD50/4</f>
        <v>0</v>
      </c>
      <c r="CC50" s="265">
        <f>CD50-SUM(BZ50:CB50)</f>
        <v>0</v>
      </c>
      <c r="CD50" s="3">
        <f>-CD63-CD64</f>
        <v>0</v>
      </c>
      <c r="CE50" s="265"/>
      <c r="CF50" s="265"/>
      <c r="CG50" s="265"/>
      <c r="CH50" s="265"/>
      <c r="CI50" s="3">
        <f>-CI63-CI64</f>
        <v>0</v>
      </c>
      <c r="CJ50" s="265"/>
      <c r="CK50" s="265"/>
      <c r="CL50" s="265"/>
      <c r="CM50" s="265"/>
      <c r="CN50" s="3">
        <f>-CN63-CN64</f>
        <v>0</v>
      </c>
      <c r="CO50" s="265"/>
      <c r="CP50" s="265"/>
      <c r="CQ50" s="265"/>
      <c r="CR50" s="265"/>
      <c r="CS50" s="3">
        <f>-CS63-CS64</f>
        <v>0</v>
      </c>
      <c r="CT50" s="265"/>
      <c r="CU50" s="265"/>
      <c r="CV50" s="265"/>
      <c r="CW50" s="265"/>
      <c r="CX50" s="3">
        <f>-CX63-CX64</f>
        <v>0</v>
      </c>
      <c r="CY50" s="265"/>
      <c r="CZ50" s="265"/>
      <c r="DA50" s="265"/>
      <c r="DB50" s="265"/>
      <c r="DC50" s="3">
        <f>-DC63-DC64</f>
        <v>0</v>
      </c>
      <c r="DD50" s="265"/>
      <c r="DE50" s="265"/>
      <c r="DF50" s="265"/>
      <c r="DG50" s="265"/>
      <c r="DH50" s="3">
        <f>-DH63-DH64</f>
        <v>0</v>
      </c>
      <c r="DI50" s="265"/>
      <c r="DJ50" s="265"/>
      <c r="DK50" s="265"/>
      <c r="DL50" s="265"/>
      <c r="DM50" s="3">
        <f>-DM63-DM64</f>
        <v>0</v>
      </c>
      <c r="DN50" s="265"/>
      <c r="DO50" s="265"/>
      <c r="DP50" s="265"/>
      <c r="DQ50" s="265"/>
      <c r="DR50" s="3">
        <f>-DR63-DR64</f>
        <v>0</v>
      </c>
      <c r="DS50" s="265"/>
      <c r="DT50" s="265"/>
      <c r="DU50" s="265"/>
      <c r="DV50" s="265"/>
      <c r="DW50" s="3">
        <f>-DW63-DW64</f>
        <v>0</v>
      </c>
      <c r="DX50" s="265"/>
      <c r="DY50" s="265"/>
      <c r="DZ50" s="265"/>
      <c r="EA50" s="265"/>
      <c r="EB50" s="3">
        <v>23.333895992364656</v>
      </c>
      <c r="EC50" s="265"/>
      <c r="ED50" s="265"/>
      <c r="EE50" s="265"/>
      <c r="EF50" s="265"/>
      <c r="EG50" s="3">
        <v>23.333895992364656</v>
      </c>
      <c r="EH50" s="265"/>
      <c r="EI50" s="265"/>
      <c r="EJ50" s="265"/>
      <c r="EK50" s="265"/>
      <c r="EL50" s="3">
        <v>23.333895992364656</v>
      </c>
      <c r="EO50"/>
      <c r="EP50"/>
      <c r="EQ50"/>
      <c r="ER50"/>
      <c r="ES50"/>
      <c r="ET50"/>
    </row>
    <row r="51" spans="1:150" s="5" customFormat="1">
      <c r="B51" s="50" t="s">
        <v>118</v>
      </c>
      <c r="C51" s="160"/>
      <c r="D51" s="160"/>
      <c r="E51" s="160"/>
      <c r="F51" s="160"/>
      <c r="G51" s="43"/>
      <c r="H51" s="160"/>
      <c r="I51" s="160"/>
      <c r="J51" s="160"/>
      <c r="K51" s="160"/>
      <c r="L51" s="43"/>
      <c r="M51" s="160"/>
      <c r="N51" s="160"/>
      <c r="O51" s="160"/>
      <c r="P51" s="160"/>
      <c r="Q51" s="43"/>
      <c r="R51" s="161">
        <f t="shared" ref="R51:BM51" si="48">R50/(R14+R21)</f>
        <v>8.244817319003224E-2</v>
      </c>
      <c r="S51" s="161">
        <f t="shared" si="48"/>
        <v>0.12742116013330212</v>
      </c>
      <c r="T51" s="161">
        <f t="shared" si="48"/>
        <v>0.10199825068963196</v>
      </c>
      <c r="U51" s="161">
        <f t="shared" si="48"/>
        <v>8.0787266362855825E-2</v>
      </c>
      <c r="V51" s="20">
        <f t="shared" si="48"/>
        <v>9.7866958592075892E-2</v>
      </c>
      <c r="W51" s="161">
        <f t="shared" si="48"/>
        <v>7.929066995258631E-2</v>
      </c>
      <c r="X51" s="161">
        <f t="shared" si="48"/>
        <v>9.9583976429369281E-2</v>
      </c>
      <c r="Y51" s="161">
        <f t="shared" si="48"/>
        <v>6.8135362253009313E-2</v>
      </c>
      <c r="Z51" s="161">
        <f t="shared" si="48"/>
        <v>5.0094596106239453E-2</v>
      </c>
      <c r="AA51" s="20">
        <f t="shared" si="48"/>
        <v>7.3979832532736531E-2</v>
      </c>
      <c r="AB51" s="161">
        <f t="shared" si="48"/>
        <v>7.3802948267342086E-2</v>
      </c>
      <c r="AC51" s="161">
        <f t="shared" si="48"/>
        <v>6.7379409178256203E-2</v>
      </c>
      <c r="AD51" s="161">
        <f t="shared" si="48"/>
        <v>7.5016761238205804E-2</v>
      </c>
      <c r="AE51" s="161">
        <f t="shared" si="48"/>
        <v>8.1671637136229852E-2</v>
      </c>
      <c r="AF51" s="20">
        <f t="shared" si="48"/>
        <v>7.4555205784096898E-2</v>
      </c>
      <c r="AG51" s="161">
        <f t="shared" si="48"/>
        <v>7.7046927474243146E-2</v>
      </c>
      <c r="AH51" s="161">
        <f t="shared" si="48"/>
        <v>6.5468586228977568E-2</v>
      </c>
      <c r="AI51" s="161">
        <f t="shared" si="48"/>
        <v>7.9128241658805193E-2</v>
      </c>
      <c r="AJ51" s="161">
        <f t="shared" si="48"/>
        <v>7.9222993308763881E-2</v>
      </c>
      <c r="AK51" s="20">
        <f t="shared" si="48"/>
        <v>7.4694698765425227E-2</v>
      </c>
      <c r="AL51" s="161">
        <f t="shared" si="48"/>
        <v>1.0958517368321343E-2</v>
      </c>
      <c r="AM51" s="161">
        <f t="shared" si="48"/>
        <v>1.6540402517587104E-2</v>
      </c>
      <c r="AN51" s="161">
        <f t="shared" si="48"/>
        <v>1.5102100989906764E-2</v>
      </c>
      <c r="AO51" s="161">
        <f t="shared" si="48"/>
        <v>9.4686988042641303E-3</v>
      </c>
      <c r="AP51" s="20">
        <f t="shared" si="48"/>
        <v>1.2842634324110504E-2</v>
      </c>
      <c r="AQ51" s="161">
        <f t="shared" si="48"/>
        <v>4.8548312105895063E-3</v>
      </c>
      <c r="AR51" s="161">
        <f t="shared" si="48"/>
        <v>3.0895328444601948E-3</v>
      </c>
      <c r="AS51" s="161">
        <f t="shared" si="48"/>
        <v>8.4215958386565579E-3</v>
      </c>
      <c r="AT51" s="161">
        <f t="shared" si="48"/>
        <v>5.3264552117750167E-3</v>
      </c>
      <c r="AU51" s="20">
        <f t="shared" si="48"/>
        <v>5.4342255477522637E-3</v>
      </c>
      <c r="AV51" s="161">
        <f t="shared" si="48"/>
        <v>2.1341073029151904E-3</v>
      </c>
      <c r="AW51" s="161">
        <f t="shared" si="48"/>
        <v>2.2179693540005825E-3</v>
      </c>
      <c r="AX51" s="161">
        <f t="shared" si="48"/>
        <v>4.0264335361649235E-3</v>
      </c>
      <c r="AY51" s="161">
        <f t="shared" si="48"/>
        <v>2.9130051809877866E-3</v>
      </c>
      <c r="AZ51" s="20">
        <f t="shared" si="48"/>
        <v>2.8031791891976994E-3</v>
      </c>
      <c r="BA51" s="266">
        <f t="shared" si="48"/>
        <v>5.5254026439841E-3</v>
      </c>
      <c r="BB51" s="266">
        <f t="shared" si="48"/>
        <v>2.3788284269997029E-3</v>
      </c>
      <c r="BC51" s="266">
        <f t="shared" si="48"/>
        <v>3.0746487828695328E-3</v>
      </c>
      <c r="BD51" s="266">
        <f t="shared" si="48"/>
        <v>2.0742584526031943E-3</v>
      </c>
      <c r="BE51" s="20">
        <f t="shared" si="48"/>
        <v>3.1097677484383831E-3</v>
      </c>
      <c r="BF51" s="266">
        <f t="shared" si="48"/>
        <v>4.7312916039851001E-3</v>
      </c>
      <c r="BG51" s="266">
        <f t="shared" si="48"/>
        <v>2.7377952636141942E-3</v>
      </c>
      <c r="BH51" s="266">
        <f t="shared" si="48"/>
        <v>2.6395671109937968E-3</v>
      </c>
      <c r="BI51" s="266">
        <f t="shared" si="48"/>
        <v>1.9596846214215923E-3</v>
      </c>
      <c r="BJ51" s="20">
        <f t="shared" si="48"/>
        <v>3.0158412578853212E-3</v>
      </c>
      <c r="BK51" s="266">
        <f t="shared" si="48"/>
        <v>0</v>
      </c>
      <c r="BL51" s="266">
        <f t="shared" si="48"/>
        <v>0</v>
      </c>
      <c r="BM51" s="266">
        <f t="shared" si="48"/>
        <v>0</v>
      </c>
      <c r="BN51" s="266">
        <f>BM51</f>
        <v>0</v>
      </c>
      <c r="BO51" s="20">
        <f t="shared" ref="BO51:CC51" si="49">BO50/(BO14+BO21)</f>
        <v>0</v>
      </c>
      <c r="BP51" s="266">
        <f t="shared" si="49"/>
        <v>0</v>
      </c>
      <c r="BQ51" s="266">
        <f t="shared" si="49"/>
        <v>0</v>
      </c>
      <c r="BR51" s="266">
        <f t="shared" si="49"/>
        <v>0</v>
      </c>
      <c r="BS51" s="266">
        <f t="shared" si="49"/>
        <v>0</v>
      </c>
      <c r="BT51" s="20">
        <f t="shared" si="49"/>
        <v>0</v>
      </c>
      <c r="BU51" s="266">
        <f t="shared" si="49"/>
        <v>0</v>
      </c>
      <c r="BV51" s="266">
        <f t="shared" si="49"/>
        <v>0</v>
      </c>
      <c r="BW51" s="266">
        <f t="shared" si="49"/>
        <v>0</v>
      </c>
      <c r="BX51" s="266">
        <f t="shared" si="49"/>
        <v>0</v>
      </c>
      <c r="BY51" s="20">
        <f t="shared" si="49"/>
        <v>0</v>
      </c>
      <c r="BZ51" s="266">
        <f t="shared" si="49"/>
        <v>0</v>
      </c>
      <c r="CA51" s="266">
        <f t="shared" si="49"/>
        <v>0</v>
      </c>
      <c r="CB51" s="266">
        <f t="shared" si="49"/>
        <v>0</v>
      </c>
      <c r="CC51" s="266">
        <f t="shared" si="49"/>
        <v>0</v>
      </c>
      <c r="CD51" s="20">
        <f>CD50/(CD14+CD21)</f>
        <v>0</v>
      </c>
      <c r="CE51" s="266"/>
      <c r="CF51" s="266"/>
      <c r="CG51" s="266"/>
      <c r="CH51" s="266"/>
      <c r="CI51" s="20">
        <f>CI50/(CI14+CI21)</f>
        <v>0</v>
      </c>
      <c r="CJ51" s="266"/>
      <c r="CK51" s="266"/>
      <c r="CL51" s="266"/>
      <c r="CM51" s="266"/>
      <c r="CN51" s="20">
        <f>CN50/(CN14+CN21)</f>
        <v>0</v>
      </c>
      <c r="CO51" s="266"/>
      <c r="CP51" s="266"/>
      <c r="CQ51" s="266"/>
      <c r="CR51" s="266"/>
      <c r="CS51" s="20">
        <f>CS50/(CS14+CS21)</f>
        <v>0</v>
      </c>
      <c r="CT51" s="266"/>
      <c r="CU51" s="266"/>
      <c r="CV51" s="266"/>
      <c r="CW51" s="266"/>
      <c r="CX51" s="20">
        <f>CX50/(CX14+CX21)</f>
        <v>0</v>
      </c>
      <c r="CY51" s="266"/>
      <c r="CZ51" s="266"/>
      <c r="DA51" s="266"/>
      <c r="DB51" s="266"/>
      <c r="DC51" s="20">
        <f>DC50/(DC14+DC21)</f>
        <v>0</v>
      </c>
      <c r="DD51" s="266"/>
      <c r="DE51" s="266"/>
      <c r="DF51" s="266"/>
      <c r="DG51" s="266"/>
      <c r="DH51" s="20">
        <f>DH50/(DH14+DH21)</f>
        <v>0</v>
      </c>
      <c r="DI51" s="266"/>
      <c r="DJ51" s="266"/>
      <c r="DK51" s="266"/>
      <c r="DL51" s="266"/>
      <c r="DM51" s="20">
        <f>DM50/(DM14+DM21)</f>
        <v>0</v>
      </c>
      <c r="DN51" s="266"/>
      <c r="DO51" s="266"/>
      <c r="DP51" s="266"/>
      <c r="DQ51" s="266"/>
      <c r="DR51" s="20">
        <f>DR50/(DR14+DR21)</f>
        <v>0</v>
      </c>
      <c r="DS51" s="266"/>
      <c r="DT51" s="266"/>
      <c r="DU51" s="266"/>
      <c r="DV51" s="266"/>
      <c r="DW51" s="20">
        <f>DW50/(DW14+DW21)</f>
        <v>0</v>
      </c>
      <c r="DX51" s="266"/>
      <c r="DY51" s="266"/>
      <c r="DZ51" s="266"/>
      <c r="EA51" s="266"/>
      <c r="EB51" s="20">
        <v>4.5887152524139536E-3</v>
      </c>
      <c r="EC51" s="266"/>
      <c r="ED51" s="266"/>
      <c r="EE51" s="266"/>
      <c r="EF51" s="266"/>
      <c r="EG51" s="20">
        <v>4.5887152524139536E-3</v>
      </c>
      <c r="EH51" s="266"/>
      <c r="EI51" s="266"/>
      <c r="EJ51" s="266"/>
      <c r="EK51" s="266"/>
      <c r="EL51" s="20">
        <v>4.5887152524139536E-3</v>
      </c>
      <c r="EO51"/>
      <c r="EP51"/>
      <c r="EQ51"/>
      <c r="ER51"/>
      <c r="ES51"/>
      <c r="ET51"/>
    </row>
    <row r="52" spans="1:150">
      <c r="B52" s="1" t="s">
        <v>168</v>
      </c>
      <c r="C52" s="150"/>
      <c r="D52" s="150"/>
      <c r="E52" s="150"/>
      <c r="F52" s="150"/>
      <c r="G52" s="15"/>
      <c r="H52" s="150"/>
      <c r="I52" s="150"/>
      <c r="J52" s="150"/>
      <c r="K52" s="150"/>
      <c r="L52" s="15"/>
      <c r="M52" s="150"/>
      <c r="N52" s="150"/>
      <c r="O52" s="150"/>
      <c r="P52" s="150"/>
      <c r="Q52" s="15"/>
      <c r="R52" s="159">
        <v>7.319</v>
      </c>
      <c r="S52" s="159">
        <v>12.9</v>
      </c>
      <c r="T52" s="159">
        <v>12.1</v>
      </c>
      <c r="U52" s="159">
        <f>+V52-SUM(R52:T52)</f>
        <v>9.9809999999999945</v>
      </c>
      <c r="V52" s="3">
        <v>42.3</v>
      </c>
      <c r="W52" s="159">
        <v>9.3000000000000007</v>
      </c>
      <c r="X52" s="159">
        <v>9.1</v>
      </c>
      <c r="Y52" s="159">
        <v>9.9</v>
      </c>
      <c r="Z52" s="159">
        <f>+AA52-SUM(W52:Y52)</f>
        <v>9.2000000000000028</v>
      </c>
      <c r="AA52" s="3">
        <v>37.5</v>
      </c>
      <c r="AB52" s="159">
        <v>10.8</v>
      </c>
      <c r="AC52" s="159">
        <v>10</v>
      </c>
      <c r="AD52" s="159">
        <v>11.4</v>
      </c>
      <c r="AE52" s="159">
        <f>+AF52-SUM(AB52:AD52)</f>
        <v>13.199999999999996</v>
      </c>
      <c r="AF52" s="3">
        <v>45.4</v>
      </c>
      <c r="AG52" s="159">
        <v>11.6</v>
      </c>
      <c r="AH52" s="159">
        <v>12.7</v>
      </c>
      <c r="AI52" s="159">
        <v>12.6</v>
      </c>
      <c r="AJ52" s="159">
        <f>+AK52-SUM(AG52:AI52)</f>
        <v>12.5</v>
      </c>
      <c r="AK52" s="3">
        <v>49.4</v>
      </c>
      <c r="AL52" s="159">
        <f t="shared" ref="AL52:AR52" si="50">AL50*AL40</f>
        <v>1.5064936682375678</v>
      </c>
      <c r="AM52" s="159">
        <f t="shared" si="50"/>
        <v>2.4296712966957101</v>
      </c>
      <c r="AN52" s="159">
        <f t="shared" si="50"/>
        <v>2.2341627624961062</v>
      </c>
      <c r="AO52" s="159">
        <f t="shared" si="50"/>
        <v>1.1674326974065532</v>
      </c>
      <c r="AP52" s="3">
        <f t="shared" si="50"/>
        <v>7.1168202296322836</v>
      </c>
      <c r="AQ52" s="159">
        <f t="shared" si="50"/>
        <v>0.70778433769408811</v>
      </c>
      <c r="AR52" s="159">
        <f t="shared" si="50"/>
        <v>0.40758053003464151</v>
      </c>
      <c r="AS52" s="159">
        <v>0</v>
      </c>
      <c r="AT52" s="159">
        <v>0</v>
      </c>
      <c r="AU52" s="3">
        <f>SUM(AQ52:AT52)</f>
        <v>1.1153648677287296</v>
      </c>
      <c r="AV52" s="159">
        <f>AV50*AV40</f>
        <v>0.30377428799574124</v>
      </c>
      <c r="AW52" s="159">
        <f>AW50*AW40</f>
        <v>0.3296805606274017</v>
      </c>
      <c r="AX52" s="159">
        <f>AX50*AX40</f>
        <v>0.58166880206593641</v>
      </c>
      <c r="AY52" s="159">
        <f>AY50*AY40</f>
        <v>0.64221381882822015</v>
      </c>
      <c r="AZ52" s="3">
        <f>SUM(AV52:AY52)</f>
        <v>1.8573374695172995</v>
      </c>
      <c r="BA52" s="265">
        <f t="shared" ref="BA52:CN52" si="51">BA50*BA40</f>
        <v>0.49434905256533629</v>
      </c>
      <c r="BB52" s="265">
        <f t="shared" si="51"/>
        <v>0.437841578828841</v>
      </c>
      <c r="BC52" s="265">
        <f t="shared" si="51"/>
        <v>0.68043698358905502</v>
      </c>
      <c r="BD52" s="265">
        <f t="shared" si="51"/>
        <v>0.54760568268028775</v>
      </c>
      <c r="BE52" s="3">
        <f t="shared" si="51"/>
        <v>2.3668246908718875</v>
      </c>
      <c r="BF52" s="265">
        <f>BF50*BF40</f>
        <v>1.3160482467296055</v>
      </c>
      <c r="BG52" s="265">
        <f t="shared" si="51"/>
        <v>0.72564598493108257</v>
      </c>
      <c r="BH52" s="265">
        <f>BH50*BH40</f>
        <v>0.65418260738567779</v>
      </c>
      <c r="BI52" s="265">
        <f>BI50*BI40</f>
        <v>0.49416199364109259</v>
      </c>
      <c r="BJ52" s="3">
        <f>BJ50*BJ40</f>
        <v>3.1302525008245974</v>
      </c>
      <c r="BK52" s="265">
        <f>BK50*BK40</f>
        <v>0</v>
      </c>
      <c r="BL52" s="265">
        <f t="shared" si="51"/>
        <v>0</v>
      </c>
      <c r="BM52" s="265">
        <f>BM50*BM40</f>
        <v>0</v>
      </c>
      <c r="BN52" s="265">
        <f>BN50*BN40</f>
        <v>0</v>
      </c>
      <c r="BO52" s="3">
        <f>BO50*BO40</f>
        <v>0</v>
      </c>
      <c r="BP52" s="265">
        <f>BP50*BP40</f>
        <v>0</v>
      </c>
      <c r="BQ52" s="265">
        <f t="shared" si="51"/>
        <v>0</v>
      </c>
      <c r="BR52" s="265">
        <f>BR50*BR40</f>
        <v>0</v>
      </c>
      <c r="BS52" s="265">
        <f>BS50*BS40</f>
        <v>0</v>
      </c>
      <c r="BT52" s="3">
        <f t="shared" si="51"/>
        <v>0</v>
      </c>
      <c r="BU52" s="265">
        <f>BU50*BU40</f>
        <v>0</v>
      </c>
      <c r="BV52" s="265">
        <f t="shared" ref="BV52" si="52">BV50*BV40</f>
        <v>0</v>
      </c>
      <c r="BW52" s="265">
        <f>BW50*BW40</f>
        <v>0</v>
      </c>
      <c r="BX52" s="265">
        <f>BX50*BX40</f>
        <v>0</v>
      </c>
      <c r="BY52" s="3">
        <f t="shared" si="51"/>
        <v>0</v>
      </c>
      <c r="BZ52" s="265">
        <f>BZ50*BZ40</f>
        <v>0</v>
      </c>
      <c r="CA52" s="265">
        <f t="shared" ref="CA52" si="53">CA50*CA40</f>
        <v>0</v>
      </c>
      <c r="CB52" s="265">
        <f>CB50*CB40</f>
        <v>0</v>
      </c>
      <c r="CC52" s="265">
        <f>CC50*CC40</f>
        <v>0</v>
      </c>
      <c r="CD52" s="3">
        <f t="shared" si="51"/>
        <v>0</v>
      </c>
      <c r="CE52" s="265"/>
      <c r="CF52" s="265"/>
      <c r="CG52" s="265"/>
      <c r="CH52" s="265"/>
      <c r="CI52" s="3">
        <f t="shared" si="51"/>
        <v>0</v>
      </c>
      <c r="CJ52" s="265"/>
      <c r="CK52" s="265"/>
      <c r="CL52" s="265"/>
      <c r="CM52" s="265"/>
      <c r="CN52" s="3">
        <f t="shared" si="51"/>
        <v>0</v>
      </c>
      <c r="CO52" s="265"/>
      <c r="CP52" s="265"/>
      <c r="CQ52" s="265"/>
      <c r="CR52" s="265"/>
      <c r="CS52" s="3">
        <f t="shared" ref="CS52" si="54">CS50*CS40</f>
        <v>0</v>
      </c>
      <c r="CT52" s="265"/>
      <c r="CU52" s="265"/>
      <c r="CV52" s="265"/>
      <c r="CW52" s="265"/>
      <c r="CX52" s="3">
        <f t="shared" ref="CX52" si="55">CX50*CX40</f>
        <v>0</v>
      </c>
      <c r="CY52" s="265"/>
      <c r="CZ52" s="265"/>
      <c r="DA52" s="265"/>
      <c r="DB52" s="265"/>
      <c r="DC52" s="3">
        <f t="shared" ref="DC52" si="56">DC50*DC40</f>
        <v>0</v>
      </c>
      <c r="DD52" s="265"/>
      <c r="DE52" s="265"/>
      <c r="DF52" s="265"/>
      <c r="DG52" s="265"/>
      <c r="DH52" s="3">
        <f t="shared" ref="DH52" si="57">DH50*DH40</f>
        <v>0</v>
      </c>
      <c r="DI52" s="265"/>
      <c r="DJ52" s="265"/>
      <c r="DK52" s="265"/>
      <c r="DL52" s="265"/>
      <c r="DM52" s="3">
        <f t="shared" ref="DM52" si="58">DM50*DM40</f>
        <v>0</v>
      </c>
      <c r="DN52" s="265"/>
      <c r="DO52" s="265"/>
      <c r="DP52" s="265"/>
      <c r="DQ52" s="265"/>
      <c r="DR52" s="3">
        <f t="shared" ref="DR52" si="59">DR50*DR40</f>
        <v>0</v>
      </c>
      <c r="DS52" s="265"/>
      <c r="DT52" s="265"/>
      <c r="DU52" s="265"/>
      <c r="DV52" s="265"/>
      <c r="DW52" s="3">
        <f t="shared" ref="DW52" si="60">DW50*DW40</f>
        <v>0</v>
      </c>
      <c r="DX52" s="265"/>
      <c r="DY52" s="265"/>
      <c r="DZ52" s="265"/>
      <c r="EA52" s="265"/>
      <c r="EB52" s="3">
        <v>5.3497481607200914</v>
      </c>
      <c r="EC52" s="265"/>
      <c r="ED52" s="265"/>
      <c r="EE52" s="265"/>
      <c r="EF52" s="265"/>
      <c r="EG52" s="3">
        <v>5.3497481607200914</v>
      </c>
      <c r="EH52" s="265"/>
      <c r="EI52" s="265"/>
      <c r="EJ52" s="265"/>
      <c r="EK52" s="265"/>
      <c r="EL52" s="3">
        <v>5.3497481607200914</v>
      </c>
    </row>
    <row r="53" spans="1:150" s="4" customFormat="1">
      <c r="B53" s="1" t="s">
        <v>170</v>
      </c>
      <c r="C53" s="145">
        <f t="shared" ref="C53:AH53" si="61">+C44-C50+C52</f>
        <v>115.99999999999997</v>
      </c>
      <c r="D53" s="145">
        <f t="shared" si="61"/>
        <v>101.49999999999999</v>
      </c>
      <c r="E53" s="145">
        <f t="shared" si="61"/>
        <v>122.90000000000002</v>
      </c>
      <c r="F53" s="145">
        <f t="shared" si="61"/>
        <v>91.100000000000051</v>
      </c>
      <c r="G53" s="17">
        <f t="shared" si="61"/>
        <v>431.6</v>
      </c>
      <c r="H53" s="145">
        <f t="shared" si="61"/>
        <v>142.56200000000007</v>
      </c>
      <c r="I53" s="145">
        <f t="shared" si="61"/>
        <v>121.6350000000001</v>
      </c>
      <c r="J53" s="145">
        <f t="shared" si="61"/>
        <v>132.02199999999999</v>
      </c>
      <c r="K53" s="145">
        <f t="shared" si="61"/>
        <v>101.74399999999994</v>
      </c>
      <c r="L53" s="17">
        <f t="shared" si="61"/>
        <v>497.96300000000031</v>
      </c>
      <c r="M53" s="145">
        <f t="shared" si="61"/>
        <v>105.83500000000006</v>
      </c>
      <c r="N53" s="145">
        <f t="shared" si="61"/>
        <v>149.04700000000008</v>
      </c>
      <c r="O53" s="145">
        <f t="shared" si="61"/>
        <v>122.32099999999991</v>
      </c>
      <c r="P53" s="145">
        <f t="shared" si="61"/>
        <v>164.51299999999964</v>
      </c>
      <c r="Q53" s="17">
        <f t="shared" si="61"/>
        <v>541.71600000000024</v>
      </c>
      <c r="R53" s="145">
        <f t="shared" si="61"/>
        <v>172.69800000000009</v>
      </c>
      <c r="S53" s="145">
        <f t="shared" si="61"/>
        <v>169.87600000000006</v>
      </c>
      <c r="T53" s="145">
        <f t="shared" si="61"/>
        <v>181.1849999999998</v>
      </c>
      <c r="U53" s="145">
        <f t="shared" si="61"/>
        <v>162.94399999999993</v>
      </c>
      <c r="V53" s="17">
        <f t="shared" si="61"/>
        <v>686.70299999999986</v>
      </c>
      <c r="W53" s="145">
        <f t="shared" si="61"/>
        <v>182.12599999999989</v>
      </c>
      <c r="X53" s="145">
        <f t="shared" si="61"/>
        <v>208.30100000000013</v>
      </c>
      <c r="Y53" s="145">
        <f t="shared" si="61"/>
        <v>148.42900000000017</v>
      </c>
      <c r="Z53" s="145">
        <f t="shared" si="61"/>
        <v>254.62300000000033</v>
      </c>
      <c r="AA53" s="17">
        <f t="shared" si="61"/>
        <v>793.47899999999993</v>
      </c>
      <c r="AB53" s="145">
        <f t="shared" si="61"/>
        <v>226.57800000000017</v>
      </c>
      <c r="AC53" s="145">
        <f t="shared" si="61"/>
        <v>245.49700000000016</v>
      </c>
      <c r="AD53" s="145">
        <f t="shared" si="61"/>
        <v>262.55200000000013</v>
      </c>
      <c r="AE53" s="145">
        <f t="shared" si="61"/>
        <v>245.54299999999938</v>
      </c>
      <c r="AF53" s="17">
        <f t="shared" si="61"/>
        <v>980.17000000000041</v>
      </c>
      <c r="AG53" s="145">
        <f t="shared" si="61"/>
        <v>279.33500000000015</v>
      </c>
      <c r="AH53" s="145">
        <f t="shared" si="61"/>
        <v>190.17899999999995</v>
      </c>
      <c r="AI53" s="145">
        <f t="shared" ref="AI53:BN53" si="62">+AI44-AI50+AI52</f>
        <v>297.21000000000004</v>
      </c>
      <c r="AJ53" s="145">
        <f t="shared" si="62"/>
        <v>316.91899999999998</v>
      </c>
      <c r="AK53" s="17">
        <f t="shared" si="62"/>
        <v>1083.6430000000003</v>
      </c>
      <c r="AL53" s="145">
        <f t="shared" si="62"/>
        <v>292.01349366823774</v>
      </c>
      <c r="AM53" s="145">
        <f t="shared" si="62"/>
        <v>336.01567129669604</v>
      </c>
      <c r="AN53" s="145">
        <f t="shared" si="62"/>
        <v>321.98016276249632</v>
      </c>
      <c r="AO53" s="145">
        <f t="shared" si="62"/>
        <v>342.65843269740651</v>
      </c>
      <c r="AP53" s="17">
        <f t="shared" si="62"/>
        <v>1292.9468202296327</v>
      </c>
      <c r="AQ53" s="145">
        <f t="shared" si="62"/>
        <v>347.44178433769417</v>
      </c>
      <c r="AR53" s="145">
        <f t="shared" si="62"/>
        <v>330.97758053003463</v>
      </c>
      <c r="AS53" s="145">
        <f t="shared" si="62"/>
        <v>390.10300000000001</v>
      </c>
      <c r="AT53" s="145">
        <f t="shared" si="62"/>
        <v>370.63499999999999</v>
      </c>
      <c r="AU53" s="17">
        <f t="shared" si="62"/>
        <v>1425.5883648677279</v>
      </c>
      <c r="AV53" s="145">
        <f t="shared" si="62"/>
        <v>337.50577428799573</v>
      </c>
      <c r="AW53" s="145">
        <f t="shared" si="62"/>
        <v>438.07268056062776</v>
      </c>
      <c r="AX53" s="145">
        <f t="shared" si="62"/>
        <v>452.84066880206603</v>
      </c>
      <c r="AY53" s="145">
        <f t="shared" si="62"/>
        <v>333.1992138188283</v>
      </c>
      <c r="AZ53" s="17">
        <f t="shared" si="62"/>
        <v>1561.6183374695177</v>
      </c>
      <c r="BA53" s="267">
        <f t="shared" si="62"/>
        <v>466.42034905256526</v>
      </c>
      <c r="BB53" s="267">
        <f t="shared" si="62"/>
        <v>547.44484157882926</v>
      </c>
      <c r="BC53" s="267">
        <f t="shared" si="62"/>
        <v>559.20243698358934</v>
      </c>
      <c r="BD53" s="267">
        <f t="shared" si="62"/>
        <v>555.68960568268051</v>
      </c>
      <c r="BE53" s="17">
        <f t="shared" si="62"/>
        <v>2129.529824690871</v>
      </c>
      <c r="BF53" s="267">
        <f>+BF44-BF50+BF52</f>
        <v>583.27404824672988</v>
      </c>
      <c r="BG53" s="267">
        <f t="shared" si="62"/>
        <v>827.16964598493064</v>
      </c>
      <c r="BH53" s="267">
        <f t="shared" si="62"/>
        <v>897.54618260738562</v>
      </c>
      <c r="BI53" s="267">
        <f t="shared" si="62"/>
        <v>963.99816199364113</v>
      </c>
      <c r="BJ53" s="17">
        <f t="shared" si="62"/>
        <v>3271.928252500823</v>
      </c>
      <c r="BK53" s="267">
        <f>+BK44-BK50+BK52</f>
        <v>900.11099999999954</v>
      </c>
      <c r="BL53" s="267">
        <f t="shared" si="62"/>
        <v>995.13399999999979</v>
      </c>
      <c r="BM53" s="267">
        <f t="shared" si="62"/>
        <v>1042.4629999999995</v>
      </c>
      <c r="BN53" s="267">
        <f t="shared" si="62"/>
        <v>994.06599999999969</v>
      </c>
      <c r="BO53" s="17">
        <f t="shared" ref="BO53:CN53" si="63">+BO44-BO50+BO52</f>
        <v>3931.9489999999996</v>
      </c>
      <c r="BP53" s="267">
        <f>+BP44-BP50+BP52</f>
        <v>1049.4000000000005</v>
      </c>
      <c r="BQ53" s="267">
        <f t="shared" ref="BQ53:BS53" si="64">+BQ44-BQ50+BQ52</f>
        <v>1142.3999999999996</v>
      </c>
      <c r="BR53" s="267">
        <f t="shared" si="64"/>
        <v>1137.6999999999996</v>
      </c>
      <c r="BS53" s="267">
        <f t="shared" si="64"/>
        <v>1093.2</v>
      </c>
      <c r="BT53" s="17">
        <f t="shared" si="63"/>
        <v>4422.6999999999989</v>
      </c>
      <c r="BU53" s="267">
        <f>+BU44-BU50+BU52</f>
        <v>1122.8000000000006</v>
      </c>
      <c r="BV53" s="267">
        <f t="shared" ref="BV53:BX53" si="65">+BV44-BV50+BV52</f>
        <v>1069.0999999999997</v>
      </c>
      <c r="BW53" s="267">
        <f t="shared" si="65"/>
        <v>1337.2999999999997</v>
      </c>
      <c r="BX53" s="267">
        <f t="shared" si="65"/>
        <v>1116.0309711965931</v>
      </c>
      <c r="BY53" s="17">
        <f t="shared" si="63"/>
        <v>4645.2309711965954</v>
      </c>
      <c r="BZ53" s="267">
        <f>+BZ44-BZ50+BZ52</f>
        <v>1281.7000000000003</v>
      </c>
      <c r="CA53" s="267">
        <f t="shared" ref="CA53:CC53" si="66">+CA44-CA50+CA52</f>
        <v>1004.5387890698121</v>
      </c>
      <c r="CB53" s="267">
        <f t="shared" si="66"/>
        <v>1299.7581067313613</v>
      </c>
      <c r="CC53" s="267">
        <f t="shared" si="66"/>
        <v>1308.873294919847</v>
      </c>
      <c r="CD53" s="17">
        <f t="shared" si="63"/>
        <v>4888.9674500630335</v>
      </c>
      <c r="CE53" s="267"/>
      <c r="CF53" s="267"/>
      <c r="CG53" s="267"/>
      <c r="CH53" s="267"/>
      <c r="CI53" s="17">
        <f t="shared" si="63"/>
        <v>5410.8633053289614</v>
      </c>
      <c r="CJ53" s="267"/>
      <c r="CK53" s="267"/>
      <c r="CL53" s="267"/>
      <c r="CM53" s="267"/>
      <c r="CN53" s="17">
        <f t="shared" si="63"/>
        <v>5694.5982386335636</v>
      </c>
      <c r="CO53" s="267"/>
      <c r="CP53" s="267"/>
      <c r="CQ53" s="267"/>
      <c r="CR53" s="267"/>
      <c r="CS53" s="17">
        <f t="shared" ref="CS53" si="67">+CS44-CS50+CS52</f>
        <v>5988.2929366533535</v>
      </c>
      <c r="CT53" s="267"/>
      <c r="CU53" s="267"/>
      <c r="CV53" s="267"/>
      <c r="CW53" s="267"/>
      <c r="CX53" s="17">
        <f t="shared" ref="CX53" si="68">+CX44-CX50+CX52</f>
        <v>6145.0949332914024</v>
      </c>
      <c r="CY53" s="267"/>
      <c r="CZ53" s="267"/>
      <c r="DA53" s="267"/>
      <c r="DB53" s="267"/>
      <c r="DC53" s="17">
        <f t="shared" ref="DC53" si="69">+DC44-DC50+DC52</f>
        <v>6256.1498690389571</v>
      </c>
      <c r="DD53" s="267"/>
      <c r="DE53" s="267"/>
      <c r="DF53" s="267"/>
      <c r="DG53" s="267"/>
      <c r="DH53" s="17">
        <f t="shared" ref="DH53" si="70">+DH44-DH50+DH52</f>
        <v>6379.5633995441376</v>
      </c>
      <c r="DI53" s="267"/>
      <c r="DJ53" s="267"/>
      <c r="DK53" s="267"/>
      <c r="DL53" s="267"/>
      <c r="DM53" s="17">
        <f t="shared" ref="DM53" si="71">+DM44-DM50+DM52</f>
        <v>5892.3283608474194</v>
      </c>
      <c r="DN53" s="267"/>
      <c r="DO53" s="267"/>
      <c r="DP53" s="267"/>
      <c r="DQ53" s="267"/>
      <c r="DR53" s="17">
        <f t="shared" ref="DR53" si="72">+DR44-DR50+DR52</f>
        <v>5174.2253130359732</v>
      </c>
      <c r="DS53" s="267"/>
      <c r="DT53" s="267"/>
      <c r="DU53" s="267"/>
      <c r="DV53" s="267"/>
      <c r="DW53" s="17">
        <f t="shared" ref="DW53" si="73">+DW44-DW50+DW52</f>
        <v>3994.0577838534559</v>
      </c>
      <c r="DX53" s="267"/>
      <c r="DY53" s="267"/>
      <c r="DZ53" s="267"/>
      <c r="EA53" s="267"/>
      <c r="EB53" s="17">
        <v>6692.482618508694</v>
      </c>
      <c r="EC53" s="267"/>
      <c r="ED53" s="267"/>
      <c r="EE53" s="267"/>
      <c r="EF53" s="267"/>
      <c r="EG53" s="17">
        <v>6692.482618508694</v>
      </c>
      <c r="EH53" s="267"/>
      <c r="EI53" s="267"/>
      <c r="EJ53" s="267"/>
      <c r="EK53" s="267"/>
      <c r="EL53" s="17">
        <v>6692.482618508694</v>
      </c>
      <c r="EO53"/>
      <c r="EP53"/>
      <c r="EQ53"/>
      <c r="ER53"/>
      <c r="ES53"/>
      <c r="ET53"/>
    </row>
    <row r="54" spans="1:150" s="36" customFormat="1">
      <c r="B54" s="38" t="s">
        <v>632</v>
      </c>
      <c r="C54" s="162">
        <f>(C53+C96+C97)/C107</f>
        <v>0.32502078137988355</v>
      </c>
      <c r="D54" s="162">
        <f>(D53-0.7+3)/D107</f>
        <v>0.2893783105659325</v>
      </c>
      <c r="E54" s="162">
        <f>(E53-0.8+2.9)/E107</f>
        <v>0.34935718278367811</v>
      </c>
      <c r="F54" s="162">
        <f>(F53-0.6+0.4)/F107</f>
        <v>0.25369801842031836</v>
      </c>
      <c r="G54" s="51">
        <f>(G53-2.8+9.4)/G107</f>
        <v>1.2247065399664616</v>
      </c>
      <c r="H54" s="162">
        <f t="shared" ref="H54:AM54" si="74">(H53+H96+H97)/H107</f>
        <v>0.42721734257519522</v>
      </c>
      <c r="I54" s="162">
        <f t="shared" si="74"/>
        <v>0.34725176216673026</v>
      </c>
      <c r="J54" s="162">
        <f t="shared" si="74"/>
        <v>0.37279862174578859</v>
      </c>
      <c r="K54" s="162">
        <f t="shared" si="74"/>
        <v>0.28791835602950439</v>
      </c>
      <c r="L54" s="51">
        <f t="shared" si="74"/>
        <v>1.4496717373899128</v>
      </c>
      <c r="M54" s="162">
        <f t="shared" si="74"/>
        <v>0.30185732580294361</v>
      </c>
      <c r="N54" s="162">
        <f t="shared" si="74"/>
        <v>0.43370995112187649</v>
      </c>
      <c r="O54" s="162">
        <f t="shared" si="74"/>
        <v>0.35874364473286585</v>
      </c>
      <c r="P54" s="162">
        <f t="shared" si="74"/>
        <v>0.47652609371015126</v>
      </c>
      <c r="Q54" s="51">
        <f t="shared" si="74"/>
        <v>1.5680532003709242</v>
      </c>
      <c r="R54" s="162">
        <f t="shared" si="74"/>
        <v>0.49887656695053739</v>
      </c>
      <c r="S54" s="162">
        <f t="shared" si="74"/>
        <v>0.49616940489229666</v>
      </c>
      <c r="T54" s="162">
        <f t="shared" si="74"/>
        <v>0.52496852828393525</v>
      </c>
      <c r="U54" s="162">
        <f t="shared" si="74"/>
        <v>0.47518873699245034</v>
      </c>
      <c r="V54" s="51">
        <f t="shared" si="74"/>
        <v>1.9879547383145899</v>
      </c>
      <c r="W54" s="162">
        <f t="shared" si="74"/>
        <v>0.52876549884031154</v>
      </c>
      <c r="X54" s="162">
        <f t="shared" si="74"/>
        <v>0.60602115967605297</v>
      </c>
      <c r="Y54" s="162">
        <f t="shared" si="74"/>
        <v>0.50521820338382317</v>
      </c>
      <c r="Z54" s="162">
        <f t="shared" si="74"/>
        <v>0.84835733235446353</v>
      </c>
      <c r="AA54" s="51">
        <f t="shared" si="74"/>
        <v>2.4751742037848521</v>
      </c>
      <c r="AB54" s="162">
        <f t="shared" si="74"/>
        <v>0.75551919866444128</v>
      </c>
      <c r="AC54" s="162">
        <f t="shared" si="74"/>
        <v>0.83549251046082185</v>
      </c>
      <c r="AD54" s="162">
        <f t="shared" si="74"/>
        <v>0.89191313312080511</v>
      </c>
      <c r="AE54" s="162">
        <f t="shared" si="74"/>
        <v>0.83479305731898479</v>
      </c>
      <c r="AF54" s="51">
        <f t="shared" si="74"/>
        <v>3.3183833699454905</v>
      </c>
      <c r="AG54" s="162">
        <f t="shared" si="74"/>
        <v>0.96269465459164005</v>
      </c>
      <c r="AH54" s="162">
        <f t="shared" si="74"/>
        <v>0.65429003406128261</v>
      </c>
      <c r="AI54" s="162">
        <f t="shared" si="74"/>
        <v>1.019492366949907</v>
      </c>
      <c r="AJ54" s="162">
        <f t="shared" si="74"/>
        <v>1.1033870517650339</v>
      </c>
      <c r="AK54" s="51">
        <f t="shared" si="74"/>
        <v>3.7375913719962974</v>
      </c>
      <c r="AL54" s="162">
        <f t="shared" si="74"/>
        <v>1.0693446484572513</v>
      </c>
      <c r="AM54" s="162">
        <f t="shared" si="74"/>
        <v>1.2818857871599416</v>
      </c>
      <c r="AN54" s="162">
        <f t="shared" ref="AN54:BE54" si="75">(AN53+AN96+AN97)/AN107</f>
        <v>1.3267144674965698</v>
      </c>
      <c r="AO54" s="162">
        <f t="shared" si="75"/>
        <v>1.4084245409196889</v>
      </c>
      <c r="AP54" s="51">
        <f t="shared" si="75"/>
        <v>5.0651783880597829</v>
      </c>
      <c r="AQ54" s="162">
        <f t="shared" si="75"/>
        <v>1.4186888801832509</v>
      </c>
      <c r="AR54" s="162">
        <f t="shared" si="75"/>
        <v>1.3511164019906217</v>
      </c>
      <c r="AS54" s="162">
        <f t="shared" si="75"/>
        <v>1.5878442816038081</v>
      </c>
      <c r="AT54" s="162">
        <f t="shared" si="75"/>
        <v>1.5104408636330293</v>
      </c>
      <c r="AU54" s="51">
        <f t="shared" si="75"/>
        <v>5.8138632954244045</v>
      </c>
      <c r="AV54" s="162">
        <f t="shared" si="75"/>
        <v>1.3956439051226315</v>
      </c>
      <c r="AW54" s="162">
        <f t="shared" si="75"/>
        <v>1.8205844875390769</v>
      </c>
      <c r="AX54" s="162">
        <f t="shared" si="75"/>
        <v>1.9016930973315109</v>
      </c>
      <c r="AY54" s="162">
        <f t="shared" si="75"/>
        <v>1.3980934098908557</v>
      </c>
      <c r="AZ54" s="51">
        <f t="shared" si="75"/>
        <v>6.5137996891195362</v>
      </c>
      <c r="BA54" s="268">
        <f t="shared" si="75"/>
        <v>1.9572493497908774</v>
      </c>
      <c r="BB54" s="268">
        <f t="shared" si="75"/>
        <v>2.293029917437702</v>
      </c>
      <c r="BC54" s="268">
        <f t="shared" si="75"/>
        <v>2.3461497089712537</v>
      </c>
      <c r="BD54" s="268">
        <f>(BD53+BD96+BD97)/BD107</f>
        <v>2.338495228583791</v>
      </c>
      <c r="BE54" s="51">
        <f t="shared" si="75"/>
        <v>8.9379997111963565</v>
      </c>
      <c r="BF54" s="268">
        <f t="shared" ref="BF54:BX54" si="76">(BF53+BF96+BF97)/BF107</f>
        <v>2.4522871580150847</v>
      </c>
      <c r="BG54" s="268">
        <f t="shared" si="76"/>
        <v>3.4842719532981352</v>
      </c>
      <c r="BH54" s="268">
        <f t="shared" si="76"/>
        <v>3.7875621702453692</v>
      </c>
      <c r="BI54" s="268">
        <f t="shared" si="76"/>
        <v>4.079690222240453</v>
      </c>
      <c r="BJ54" s="51">
        <f t="shared" si="76"/>
        <v>13.79535978556356</v>
      </c>
      <c r="BK54" s="268">
        <f t="shared" si="76"/>
        <v>3.8200186733438</v>
      </c>
      <c r="BL54" s="268">
        <f t="shared" si="76"/>
        <v>4.2217140820811299</v>
      </c>
      <c r="BM54" s="268">
        <f t="shared" si="76"/>
        <v>4.4815529723316061</v>
      </c>
      <c r="BN54" s="268">
        <f t="shared" si="76"/>
        <v>4.5021105072463747</v>
      </c>
      <c r="BO54" s="51">
        <f t="shared" si="76"/>
        <v>17.007435442709458</v>
      </c>
      <c r="BP54" s="268">
        <f t="shared" si="76"/>
        <v>4.7852257181942566</v>
      </c>
      <c r="BQ54" s="268">
        <f t="shared" si="76"/>
        <v>5.2081148848871655</v>
      </c>
      <c r="BR54" s="268">
        <f t="shared" si="76"/>
        <v>5.1855059252506814</v>
      </c>
      <c r="BS54" s="268">
        <f t="shared" si="76"/>
        <v>5.0377880184331802</v>
      </c>
      <c r="BT54" s="51">
        <f t="shared" ref="BT54:CI54" si="77">(BT53+BT96+BT97)/BT107</f>
        <v>20.213436928702006</v>
      </c>
      <c r="BU54" s="268">
        <f t="shared" si="76"/>
        <v>5.2005558128763347</v>
      </c>
      <c r="BV54" s="268">
        <f t="shared" si="76"/>
        <v>5.0381715362865211</v>
      </c>
      <c r="BW54" s="268">
        <f t="shared" si="76"/>
        <v>6.3139754485363531</v>
      </c>
      <c r="BX54" s="268">
        <f t="shared" si="76"/>
        <v>5.2642970339461943</v>
      </c>
      <c r="BY54" s="51">
        <f t="shared" si="77"/>
        <v>21.811156103752058</v>
      </c>
      <c r="BZ54" s="268">
        <f>(BZ53+BZ96+BZ97)/BZ107</f>
        <v>6.0486078338839082</v>
      </c>
      <c r="CA54" s="268">
        <f t="shared" si="77"/>
        <v>4.7518656981519518</v>
      </c>
      <c r="CB54" s="268">
        <f t="shared" si="77"/>
        <v>6.1629809545675327</v>
      </c>
      <c r="CC54" s="268">
        <f t="shared" si="77"/>
        <v>6.2209855778882925</v>
      </c>
      <c r="CD54" s="51">
        <f t="shared" si="77"/>
        <v>23.154196178177575</v>
      </c>
      <c r="CE54" s="268"/>
      <c r="CF54" s="268"/>
      <c r="CG54" s="268"/>
      <c r="CH54" s="268"/>
      <c r="CI54" s="51">
        <f t="shared" si="77"/>
        <v>26.428587810266436</v>
      </c>
      <c r="CJ54" s="268"/>
      <c r="CK54" s="268"/>
      <c r="CL54" s="268"/>
      <c r="CM54" s="268"/>
      <c r="CN54" s="51">
        <f>(CN53+CN96+CN97)/CN107</f>
        <v>28.828344800700336</v>
      </c>
      <c r="CO54" s="268"/>
      <c r="CP54" s="268"/>
      <c r="CQ54" s="268"/>
      <c r="CR54" s="268"/>
      <c r="CS54" s="51">
        <f t="shared" ref="CS54" si="78">(CS53+CS96+CS97)/CS107</f>
        <v>31.457352512023146</v>
      </c>
      <c r="CT54" s="268"/>
      <c r="CU54" s="268"/>
      <c r="CV54" s="268"/>
      <c r="CW54" s="268"/>
      <c r="CX54" s="51">
        <f t="shared" ref="CX54" si="79">(CX53+CX96+CX97)/CX107</f>
        <v>33.498590200380285</v>
      </c>
      <c r="CY54" s="268"/>
      <c r="CZ54" s="268"/>
      <c r="DA54" s="268"/>
      <c r="DB54" s="268"/>
      <c r="DC54" s="51">
        <f t="shared" ref="DC54" si="80">(DC53+DC96+DC97)/DC107</f>
        <v>35.373465836745453</v>
      </c>
      <c r="DD54" s="268"/>
      <c r="DE54" s="268"/>
      <c r="DF54" s="268"/>
      <c r="DG54" s="268"/>
      <c r="DH54" s="51">
        <f t="shared" ref="DH54" si="81">(DH53+DH96+DH97)/DH107</f>
        <v>37.382647742881595</v>
      </c>
      <c r="DI54" s="268"/>
      <c r="DJ54" s="268"/>
      <c r="DK54" s="268"/>
      <c r="DL54" s="268"/>
      <c r="DM54" s="51">
        <f t="shared" ref="DM54" si="82">(DM53+DM96+DM97)/DM107</f>
        <v>35.724279387184019</v>
      </c>
      <c r="DN54" s="268"/>
      <c r="DO54" s="268"/>
      <c r="DP54" s="268"/>
      <c r="DQ54" s="268"/>
      <c r="DR54" s="51">
        <f t="shared" ref="DR54" si="83">(DR53+DR96+DR97)/DR107</f>
        <v>32.34953033548598</v>
      </c>
      <c r="DS54" s="268"/>
      <c r="DT54" s="268"/>
      <c r="DU54" s="268"/>
      <c r="DV54" s="268"/>
      <c r="DW54" s="51">
        <f t="shared" ref="DW54" si="84">(DW53+DW96+DW97)/DW107</f>
        <v>25.630801059803456</v>
      </c>
      <c r="DX54" s="268"/>
      <c r="DY54" s="268"/>
      <c r="DZ54" s="268"/>
      <c r="EA54" s="268"/>
      <c r="EB54" s="51">
        <v>34.510368022034989</v>
      </c>
      <c r="EC54" s="268"/>
      <c r="ED54" s="268"/>
      <c r="EE54" s="268"/>
      <c r="EF54" s="268"/>
      <c r="EG54" s="51">
        <v>34.510368022034989</v>
      </c>
      <c r="EH54" s="268"/>
      <c r="EI54" s="268"/>
      <c r="EJ54" s="268"/>
      <c r="EK54" s="268"/>
      <c r="EL54" s="51">
        <v>34.510368022034989</v>
      </c>
      <c r="EO54"/>
      <c r="EP54"/>
      <c r="EQ54"/>
      <c r="ER54"/>
      <c r="ES54"/>
      <c r="ET54"/>
    </row>
    <row r="55" spans="1:150" s="36" customFormat="1" hidden="1" outlineLevel="1">
      <c r="B55" s="38"/>
      <c r="C55" s="162"/>
      <c r="D55" s="162"/>
      <c r="E55" s="162"/>
      <c r="F55" s="162"/>
      <c r="G55" s="51"/>
      <c r="H55" s="162"/>
      <c r="I55" s="162"/>
      <c r="J55" s="162"/>
      <c r="K55" s="162"/>
      <c r="L55" s="51"/>
      <c r="M55" s="162"/>
      <c r="N55" s="162"/>
      <c r="O55" s="162"/>
      <c r="P55" s="162"/>
      <c r="Q55" s="51"/>
      <c r="R55" s="162"/>
      <c r="S55" s="162"/>
      <c r="T55" s="162"/>
      <c r="U55" s="162"/>
      <c r="V55" s="51"/>
      <c r="W55" s="162"/>
      <c r="X55" s="162"/>
      <c r="Y55" s="162"/>
      <c r="Z55" s="162"/>
      <c r="AA55" s="51"/>
      <c r="AB55" s="162"/>
      <c r="AC55" s="162"/>
      <c r="AD55" s="162"/>
      <c r="AE55" s="162"/>
      <c r="AF55" s="51"/>
      <c r="AG55" s="162"/>
      <c r="AH55" s="162"/>
      <c r="AI55" s="162"/>
      <c r="AJ55" s="162"/>
      <c r="AK55" s="51"/>
      <c r="AL55" s="162"/>
      <c r="AM55" s="162"/>
      <c r="AN55" s="162"/>
      <c r="AO55" s="162"/>
      <c r="AP55" s="51"/>
      <c r="AQ55" s="162"/>
      <c r="AR55" s="162"/>
      <c r="AS55" s="162"/>
      <c r="AT55" s="162"/>
      <c r="AU55" s="51"/>
      <c r="AV55" s="162"/>
      <c r="AW55" s="162"/>
      <c r="AX55" s="162"/>
      <c r="AY55" s="162"/>
      <c r="AZ55" s="51"/>
      <c r="BA55" s="268"/>
      <c r="BB55" s="268"/>
      <c r="BC55" s="268"/>
      <c r="BD55" s="268"/>
      <c r="BE55" s="51"/>
      <c r="BF55" s="268"/>
      <c r="BG55" s="268"/>
      <c r="BH55" s="268"/>
      <c r="BI55" s="268"/>
      <c r="BJ55" s="51"/>
      <c r="BK55" s="268"/>
      <c r="BL55" s="268"/>
      <c r="BM55" s="268"/>
      <c r="BN55" s="268"/>
      <c r="BO55" s="51"/>
      <c r="BP55" s="268"/>
      <c r="BQ55" s="268"/>
      <c r="BR55" s="268"/>
      <c r="BS55" s="268"/>
      <c r="BT55" s="51"/>
      <c r="BU55" s="268"/>
      <c r="BV55" s="268"/>
      <c r="BW55" s="268"/>
      <c r="BX55" s="268"/>
      <c r="BY55" s="51"/>
      <c r="BZ55" s="268"/>
      <c r="CA55" s="268"/>
      <c r="CB55" s="268"/>
      <c r="CC55" s="268"/>
      <c r="CD55" s="51"/>
      <c r="CE55" s="268"/>
      <c r="CF55" s="268"/>
      <c r="CG55" s="268"/>
      <c r="CH55" s="268"/>
      <c r="CI55" s="51"/>
      <c r="CJ55" s="268"/>
      <c r="CK55" s="268"/>
      <c r="CL55" s="268"/>
      <c r="CM55" s="268"/>
      <c r="CN55" s="51"/>
      <c r="CO55" s="268"/>
      <c r="CP55" s="268"/>
      <c r="CQ55" s="268"/>
      <c r="CR55" s="268"/>
      <c r="CS55" s="51"/>
      <c r="CT55" s="268"/>
      <c r="CU55" s="268"/>
      <c r="CV55" s="268"/>
      <c r="CW55" s="268"/>
      <c r="CX55" s="51"/>
      <c r="CY55" s="268"/>
      <c r="CZ55" s="268"/>
      <c r="DA55" s="268"/>
      <c r="DB55" s="268"/>
      <c r="DC55" s="51"/>
      <c r="DD55" s="268"/>
      <c r="DE55" s="268"/>
      <c r="DF55" s="268"/>
      <c r="DG55" s="268"/>
      <c r="DH55" s="51"/>
      <c r="DI55" s="268"/>
      <c r="DJ55" s="268"/>
      <c r="DK55" s="268"/>
      <c r="DL55" s="268"/>
      <c r="DM55" s="51"/>
      <c r="DN55" s="268"/>
      <c r="DO55" s="268"/>
      <c r="DP55" s="268"/>
      <c r="DQ55" s="268"/>
      <c r="DR55" s="51"/>
      <c r="DS55" s="268"/>
      <c r="DT55" s="268"/>
      <c r="DU55" s="268"/>
      <c r="DV55" s="268"/>
      <c r="DW55" s="51"/>
      <c r="DX55" s="268"/>
      <c r="DY55" s="268"/>
      <c r="DZ55" s="268"/>
      <c r="EA55" s="268"/>
      <c r="EB55" s="51"/>
      <c r="EC55" s="268"/>
      <c r="ED55" s="268"/>
      <c r="EE55" s="268"/>
      <c r="EF55" s="268"/>
      <c r="EG55" s="51"/>
      <c r="EH55" s="268"/>
      <c r="EI55" s="268"/>
      <c r="EJ55" s="268"/>
      <c r="EK55" s="268"/>
      <c r="EL55" s="51"/>
      <c r="EO55"/>
      <c r="EP55"/>
      <c r="EQ55"/>
      <c r="ER55"/>
      <c r="ES55"/>
      <c r="ET55"/>
    </row>
    <row r="56" spans="1:150" s="36" customFormat="1" hidden="1" outlineLevel="1">
      <c r="B56" s="38" t="s">
        <v>176</v>
      </c>
      <c r="C56" s="162"/>
      <c r="D56" s="162"/>
      <c r="E56" s="162"/>
      <c r="F56" s="162"/>
      <c r="G56" s="51"/>
      <c r="H56" s="162"/>
      <c r="I56" s="162"/>
      <c r="J56" s="162"/>
      <c r="K56" s="162"/>
      <c r="L56" s="51"/>
      <c r="M56" s="162"/>
      <c r="N56" s="162"/>
      <c r="O56" s="162"/>
      <c r="P56" s="162"/>
      <c r="Q56" s="51"/>
      <c r="R56" s="162"/>
      <c r="S56" s="162"/>
      <c r="T56" s="162"/>
      <c r="U56" s="162"/>
      <c r="V56" s="51"/>
      <c r="W56" s="162"/>
      <c r="X56" s="162"/>
      <c r="Y56" s="162"/>
      <c r="Z56" s="162"/>
      <c r="AA56" s="51"/>
      <c r="AB56" s="162"/>
      <c r="AC56" s="162"/>
      <c r="AD56" s="162"/>
      <c r="AE56" s="162"/>
      <c r="AF56" s="51"/>
      <c r="AG56" s="162"/>
      <c r="AH56" s="162"/>
      <c r="AI56" s="162"/>
      <c r="AJ56" s="162"/>
      <c r="AK56" s="51"/>
      <c r="AL56" s="162"/>
      <c r="AM56" s="162"/>
      <c r="AN56" s="162"/>
      <c r="AO56" s="162"/>
      <c r="AP56" s="51"/>
      <c r="AQ56" s="162"/>
      <c r="AR56" s="162"/>
      <c r="AS56" s="162"/>
      <c r="AT56" s="162"/>
      <c r="AU56" s="51"/>
      <c r="AV56" s="162"/>
      <c r="AW56" s="162"/>
      <c r="AX56" s="162"/>
      <c r="AY56" s="162"/>
      <c r="AZ56" s="51"/>
      <c r="BA56" s="268"/>
      <c r="BB56" s="268"/>
      <c r="BC56" s="268"/>
      <c r="BD56" s="268"/>
      <c r="BE56" s="51"/>
      <c r="BF56" s="268"/>
      <c r="BG56" s="268"/>
      <c r="BH56" s="268"/>
      <c r="BI56" s="268"/>
      <c r="BJ56" s="51"/>
      <c r="BK56" s="268"/>
      <c r="BL56" s="268"/>
      <c r="BM56" s="268"/>
      <c r="BN56" s="268"/>
      <c r="BO56" s="51"/>
      <c r="BP56" s="268"/>
      <c r="BQ56" s="268"/>
      <c r="BR56" s="268"/>
      <c r="BS56" s="268"/>
      <c r="BT56" s="51"/>
      <c r="BU56" s="268"/>
      <c r="BV56" s="268"/>
      <c r="BW56" s="268"/>
      <c r="BX56" s="268"/>
      <c r="BY56" s="51"/>
      <c r="BZ56" s="268"/>
      <c r="CA56" s="268"/>
      <c r="CB56" s="268"/>
      <c r="CC56" s="268"/>
      <c r="CD56" s="51"/>
      <c r="CE56" s="268"/>
      <c r="CF56" s="268"/>
      <c r="CG56" s="268"/>
      <c r="CH56" s="268"/>
      <c r="CI56" s="51"/>
      <c r="CJ56" s="268"/>
      <c r="CK56" s="268"/>
      <c r="CL56" s="268"/>
      <c r="CM56" s="268"/>
      <c r="CN56" s="51"/>
      <c r="CO56" s="268"/>
      <c r="CP56" s="268"/>
      <c r="CQ56" s="268"/>
      <c r="CR56" s="268"/>
      <c r="CS56" s="51"/>
      <c r="CT56" s="268"/>
      <c r="CU56" s="268"/>
      <c r="CV56" s="268"/>
      <c r="CW56" s="268"/>
      <c r="CX56" s="51"/>
      <c r="CY56" s="268"/>
      <c r="CZ56" s="268"/>
      <c r="DA56" s="268"/>
      <c r="DB56" s="268"/>
      <c r="DC56" s="51"/>
      <c r="DD56" s="268"/>
      <c r="DE56" s="268"/>
      <c r="DF56" s="268"/>
      <c r="DG56" s="268"/>
      <c r="DH56" s="51"/>
      <c r="DI56" s="268"/>
      <c r="DJ56" s="268"/>
      <c r="DK56" s="268"/>
      <c r="DL56" s="268"/>
      <c r="DM56" s="51"/>
      <c r="DN56" s="268"/>
      <c r="DO56" s="268"/>
      <c r="DP56" s="268"/>
      <c r="DQ56" s="268"/>
      <c r="DR56" s="51"/>
      <c r="DS56" s="268"/>
      <c r="DT56" s="268"/>
      <c r="DU56" s="268"/>
      <c r="DV56" s="268"/>
      <c r="DW56" s="51"/>
      <c r="DX56" s="268"/>
      <c r="DY56" s="268"/>
      <c r="DZ56" s="268"/>
      <c r="EA56" s="268"/>
      <c r="EB56" s="51"/>
      <c r="EC56" s="268"/>
      <c r="ED56" s="268"/>
      <c r="EE56" s="268"/>
      <c r="EF56" s="268"/>
      <c r="EG56" s="51"/>
      <c r="EH56" s="268"/>
      <c r="EI56" s="268"/>
      <c r="EJ56" s="268"/>
      <c r="EK56" s="268"/>
      <c r="EL56" s="51"/>
      <c r="EO56"/>
      <c r="EP56"/>
      <c r="EQ56"/>
      <c r="ER56"/>
      <c r="ES56"/>
      <c r="ET56"/>
    </row>
    <row r="57" spans="1:150" s="36" customFormat="1" hidden="1" outlineLevel="1">
      <c r="B57" s="38"/>
      <c r="C57" s="162"/>
      <c r="D57" s="162"/>
      <c r="E57" s="162"/>
      <c r="F57" s="162"/>
      <c r="G57" s="51"/>
      <c r="H57" s="162"/>
      <c r="I57" s="162"/>
      <c r="J57" s="162"/>
      <c r="K57" s="162"/>
      <c r="L57" s="51"/>
      <c r="M57" s="162"/>
      <c r="N57" s="162"/>
      <c r="O57" s="162"/>
      <c r="P57" s="162"/>
      <c r="Q57" s="51"/>
      <c r="R57" s="162"/>
      <c r="S57" s="162"/>
      <c r="T57" s="162"/>
      <c r="U57" s="162"/>
      <c r="V57" s="51"/>
      <c r="W57" s="162"/>
      <c r="X57" s="162"/>
      <c r="Y57" s="162"/>
      <c r="Z57" s="162"/>
      <c r="AA57" s="51"/>
      <c r="AB57" s="162"/>
      <c r="AC57" s="162"/>
      <c r="AD57" s="162"/>
      <c r="AE57" s="162"/>
      <c r="AF57" s="51"/>
      <c r="AG57" s="162"/>
      <c r="AH57" s="162"/>
      <c r="AI57" s="162"/>
      <c r="AJ57" s="162"/>
      <c r="AK57" s="51"/>
      <c r="AL57" s="162"/>
      <c r="AM57" s="162"/>
      <c r="AN57" s="162"/>
      <c r="AO57" s="162"/>
      <c r="AP57" s="51"/>
      <c r="AQ57" s="162"/>
      <c r="AR57" s="162"/>
      <c r="AS57" s="162"/>
      <c r="AT57" s="162"/>
      <c r="AU57" s="51"/>
      <c r="AV57" s="162"/>
      <c r="AW57" s="162"/>
      <c r="AX57" s="162"/>
      <c r="AY57" s="162"/>
      <c r="AZ57" s="51"/>
      <c r="BA57" s="268"/>
      <c r="BB57" s="268"/>
      <c r="BC57" s="268"/>
      <c r="BD57" s="268"/>
      <c r="BE57" s="51"/>
      <c r="BF57" s="268"/>
      <c r="BG57" s="268"/>
      <c r="BH57" s="268"/>
      <c r="BI57" s="268"/>
      <c r="BJ57" s="51"/>
      <c r="BK57" s="268"/>
      <c r="BL57" s="268"/>
      <c r="BM57" s="268"/>
      <c r="BN57" s="268"/>
      <c r="BO57" s="51"/>
      <c r="BP57" s="268"/>
      <c r="BQ57" s="268"/>
      <c r="BR57" s="268"/>
      <c r="BS57" s="268"/>
      <c r="BT57" s="51"/>
      <c r="BU57" s="268"/>
      <c r="BV57" s="268"/>
      <c r="BW57" s="268"/>
      <c r="BX57" s="268"/>
      <c r="BY57" s="51"/>
      <c r="BZ57" s="268"/>
      <c r="CA57" s="268"/>
      <c r="CB57" s="268"/>
      <c r="CC57" s="268"/>
      <c r="CD57" s="51"/>
      <c r="CE57" s="268"/>
      <c r="CF57" s="268"/>
      <c r="CG57" s="268"/>
      <c r="CH57" s="268"/>
      <c r="CI57" s="51"/>
      <c r="CJ57" s="268"/>
      <c r="CK57" s="268"/>
      <c r="CL57" s="268"/>
      <c r="CM57" s="268"/>
      <c r="CN57" s="51"/>
      <c r="CO57" s="268"/>
      <c r="CP57" s="268"/>
      <c r="CQ57" s="268"/>
      <c r="CR57" s="268"/>
      <c r="CS57" s="51"/>
      <c r="CT57" s="268"/>
      <c r="CU57" s="268"/>
      <c r="CV57" s="268"/>
      <c r="CW57" s="268"/>
      <c r="CX57" s="51"/>
      <c r="CY57" s="268"/>
      <c r="CZ57" s="268"/>
      <c r="DA57" s="268"/>
      <c r="DB57" s="268"/>
      <c r="DC57" s="51"/>
      <c r="DD57" s="268"/>
      <c r="DE57" s="268"/>
      <c r="DF57" s="268"/>
      <c r="DG57" s="268"/>
      <c r="DH57" s="51"/>
      <c r="DI57" s="268"/>
      <c r="DJ57" s="268"/>
      <c r="DK57" s="268"/>
      <c r="DL57" s="268"/>
      <c r="DM57" s="51"/>
      <c r="DN57" s="268"/>
      <c r="DO57" s="268"/>
      <c r="DP57" s="268"/>
      <c r="DQ57" s="268"/>
      <c r="DR57" s="51"/>
      <c r="DS57" s="268"/>
      <c r="DT57" s="268"/>
      <c r="DU57" s="268"/>
      <c r="DV57" s="268"/>
      <c r="DW57" s="51"/>
      <c r="DX57" s="268"/>
      <c r="DY57" s="268"/>
      <c r="DZ57" s="268"/>
      <c r="EA57" s="268"/>
      <c r="EB57" s="51"/>
      <c r="EC57" s="268"/>
      <c r="ED57" s="268"/>
      <c r="EE57" s="268"/>
      <c r="EF57" s="268"/>
      <c r="EG57" s="51"/>
      <c r="EH57" s="268"/>
      <c r="EI57" s="268"/>
      <c r="EJ57" s="268"/>
      <c r="EK57" s="268"/>
      <c r="EL57" s="51"/>
      <c r="EO57"/>
      <c r="EP57"/>
      <c r="EQ57"/>
      <c r="ER57"/>
      <c r="ES57"/>
      <c r="ET57"/>
    </row>
    <row r="58" spans="1:150" s="36" customFormat="1" hidden="1" outlineLevel="1">
      <c r="B58" s="45" t="s">
        <v>909</v>
      </c>
      <c r="C58" s="162"/>
      <c r="D58" s="162"/>
      <c r="E58" s="162"/>
      <c r="F58" s="162"/>
      <c r="G58" s="51"/>
      <c r="H58" s="162"/>
      <c r="I58" s="162"/>
      <c r="J58" s="162"/>
      <c r="K58" s="162"/>
      <c r="L58" s="51"/>
      <c r="M58" s="162"/>
      <c r="N58" s="162"/>
      <c r="O58" s="162"/>
      <c r="P58" s="162"/>
      <c r="Q58" s="51"/>
      <c r="R58" s="162"/>
      <c r="S58" s="162"/>
      <c r="T58" s="162"/>
      <c r="U58" s="162"/>
      <c r="V58" s="51"/>
      <c r="W58" s="162"/>
      <c r="X58" s="162"/>
      <c r="Y58" s="162"/>
      <c r="Z58" s="162"/>
      <c r="AA58" s="51"/>
      <c r="AB58" s="162"/>
      <c r="AC58" s="162"/>
      <c r="AD58" s="162"/>
      <c r="AE58" s="162"/>
      <c r="AF58" s="51"/>
      <c r="AG58" s="162"/>
      <c r="AH58" s="162"/>
      <c r="AI58" s="162"/>
      <c r="AJ58" s="162"/>
      <c r="AK58" s="51"/>
      <c r="AL58" s="162"/>
      <c r="AM58" s="162"/>
      <c r="AN58" s="162"/>
      <c r="AO58" s="162"/>
      <c r="AP58" s="51"/>
      <c r="AQ58" s="162"/>
      <c r="AR58" s="162"/>
      <c r="AS58" s="162"/>
      <c r="AT58" s="162"/>
      <c r="AU58" s="51"/>
      <c r="AV58" s="162"/>
      <c r="AW58" s="162"/>
      <c r="AX58" s="162"/>
      <c r="AY58" s="162"/>
      <c r="AZ58" s="51"/>
      <c r="BA58" s="268"/>
      <c r="BB58" s="268"/>
      <c r="BC58" s="268"/>
      <c r="BD58" s="268"/>
      <c r="BE58" s="51"/>
      <c r="BF58" s="268"/>
      <c r="BG58" s="268"/>
      <c r="BH58" s="268"/>
      <c r="BI58" s="268"/>
      <c r="BJ58" s="51"/>
      <c r="BK58" s="268"/>
      <c r="BL58" s="268"/>
      <c r="BM58" s="268"/>
      <c r="BN58" s="268"/>
      <c r="BO58" s="51"/>
      <c r="BP58" s="268"/>
      <c r="BQ58" s="268"/>
      <c r="BR58" s="268"/>
      <c r="BS58" s="505">
        <v>-454.8</v>
      </c>
      <c r="BT58" s="51">
        <f>SUM(BP58:BS58)</f>
        <v>-454.8</v>
      </c>
      <c r="BU58" s="506"/>
      <c r="BV58" s="506">
        <v>0</v>
      </c>
      <c r="BW58" s="506">
        <v>0</v>
      </c>
      <c r="BX58" s="506">
        <f>BY58-BU58-BV58-BW58</f>
        <v>0</v>
      </c>
      <c r="BY58" s="18"/>
      <c r="BZ58" s="506"/>
      <c r="CA58" s="268"/>
      <c r="CB58" s="268"/>
      <c r="CC58" s="268"/>
      <c r="CD58" s="51"/>
      <c r="CE58" s="268"/>
      <c r="CF58" s="268"/>
      <c r="CG58" s="268"/>
      <c r="CH58" s="268"/>
      <c r="CI58" s="51"/>
      <c r="CJ58" s="268"/>
      <c r="CK58" s="268"/>
      <c r="CL58" s="268"/>
      <c r="CM58" s="268"/>
      <c r="CN58" s="51"/>
      <c r="CO58" s="268"/>
      <c r="CP58" s="268"/>
      <c r="CQ58" s="268"/>
      <c r="CR58" s="268"/>
      <c r="CS58" s="51"/>
      <c r="CT58" s="268"/>
      <c r="CU58" s="268"/>
      <c r="CV58" s="268"/>
      <c r="CW58" s="268"/>
      <c r="CX58" s="51"/>
      <c r="CY58" s="268"/>
      <c r="CZ58" s="268"/>
      <c r="DA58" s="268"/>
      <c r="DB58" s="268"/>
      <c r="DC58" s="51"/>
      <c r="DD58" s="268"/>
      <c r="DE58" s="268"/>
      <c r="DF58" s="268"/>
      <c r="DG58" s="268"/>
      <c r="DH58" s="51"/>
      <c r="DI58" s="268"/>
      <c r="DJ58" s="268"/>
      <c r="DK58" s="268"/>
      <c r="DL58" s="268"/>
      <c r="DM58" s="51"/>
      <c r="DN58" s="268"/>
      <c r="DO58" s="268"/>
      <c r="DP58" s="268"/>
      <c r="DQ58" s="268"/>
      <c r="DR58" s="51"/>
      <c r="DS58" s="268"/>
      <c r="DT58" s="268"/>
      <c r="DU58" s="268"/>
      <c r="DV58" s="268"/>
      <c r="DW58" s="51"/>
      <c r="DX58" s="268"/>
      <c r="DY58" s="268"/>
      <c r="DZ58" s="268"/>
      <c r="EA58" s="268"/>
      <c r="EB58" s="51"/>
      <c r="EC58" s="268"/>
      <c r="ED58" s="268"/>
      <c r="EE58" s="268"/>
      <c r="EF58" s="268"/>
      <c r="EG58" s="51"/>
      <c r="EH58" s="268"/>
      <c r="EI58" s="268"/>
      <c r="EJ58" s="268"/>
      <c r="EK58" s="268"/>
      <c r="EL58" s="51"/>
      <c r="EO58"/>
      <c r="EP58"/>
      <c r="EQ58"/>
      <c r="ER58"/>
      <c r="ES58"/>
      <c r="ET58"/>
    </row>
    <row r="59" spans="1:150" s="36" customFormat="1" hidden="1" outlineLevel="1">
      <c r="A59" s="1"/>
      <c r="B59" s="9" t="s">
        <v>122</v>
      </c>
      <c r="C59" s="145"/>
      <c r="D59" s="145"/>
      <c r="E59" s="145"/>
      <c r="F59" s="145">
        <v>-33.200000000000003</v>
      </c>
      <c r="G59" s="17">
        <v>-33.200000000000003</v>
      </c>
      <c r="H59" s="145">
        <v>-80.86</v>
      </c>
      <c r="I59" s="145">
        <v>-79.308000000000007</v>
      </c>
      <c r="J59" s="145">
        <v>-107.054</v>
      </c>
      <c r="K59" s="145">
        <f>+L59-SUM(H59:J59)</f>
        <v>-80.455000000000041</v>
      </c>
      <c r="L59" s="17">
        <v>-347.67700000000002</v>
      </c>
      <c r="M59" s="145">
        <v>-75.677000000000007</v>
      </c>
      <c r="N59" s="145">
        <v>-77.078000000000003</v>
      </c>
      <c r="O59" s="145">
        <v>-75.989999999999995</v>
      </c>
      <c r="P59" s="145">
        <f>+Q59-SUM(M59:O59)</f>
        <v>-73.56</v>
      </c>
      <c r="Q59" s="17">
        <v>-302.30500000000001</v>
      </c>
      <c r="R59" s="145">
        <v>-70.706999999999994</v>
      </c>
      <c r="S59" s="145">
        <v>-76.260000000000005</v>
      </c>
      <c r="T59" s="145">
        <v>-60.011000000000003</v>
      </c>
      <c r="U59" s="145">
        <f>+V59-SUM(R59:T59)</f>
        <v>-60.02000000000001</v>
      </c>
      <c r="V59" s="17">
        <v>-266.99799999999999</v>
      </c>
      <c r="W59" s="145">
        <v>-59.92</v>
      </c>
      <c r="X59" s="145">
        <v>-60.960999999999999</v>
      </c>
      <c r="Y59" s="145">
        <v>-65.688999999999993</v>
      </c>
      <c r="Z59" s="145">
        <f>+AA59-SUM(W59:Y59)</f>
        <v>-70.925000000000011</v>
      </c>
      <c r="AA59" s="17">
        <v>-257.495</v>
      </c>
      <c r="AB59" s="145">
        <v>-74.781000000000006</v>
      </c>
      <c r="AC59" s="145">
        <v>-72.869</v>
      </c>
      <c r="AD59" s="145">
        <v>-94.463999999999999</v>
      </c>
      <c r="AE59" s="145">
        <f>+AF59-SUM(AB59:AD59)</f>
        <v>-90.631</v>
      </c>
      <c r="AF59" s="17">
        <v>-332.745</v>
      </c>
      <c r="AG59" s="145">
        <v>-89.248000000000005</v>
      </c>
      <c r="AH59" s="145">
        <v>-93.233999999999995</v>
      </c>
      <c r="AI59" s="145">
        <v>-51.347000000000001</v>
      </c>
      <c r="AJ59" s="145">
        <f>+AK59-SUM(AG59:AI59)</f>
        <v>-55.981999999999971</v>
      </c>
      <c r="AK59" s="17">
        <v>-289.81099999999998</v>
      </c>
      <c r="AL59" s="145">
        <v>-48.889000000000003</v>
      </c>
      <c r="AM59" s="145">
        <v>-53.148000000000003</v>
      </c>
      <c r="AN59" s="145">
        <v>-53.530999999999999</v>
      </c>
      <c r="AO59" s="145">
        <f>+AP59-SUM(AL59:AN59)</f>
        <v>-53.359999999999985</v>
      </c>
      <c r="AP59" s="17">
        <v>-208.928</v>
      </c>
      <c r="AQ59" s="145">
        <v>-53.216000000000001</v>
      </c>
      <c r="AR59" s="145">
        <v>-55.136000000000003</v>
      </c>
      <c r="AS59" s="145">
        <v>-48.6</v>
      </c>
      <c r="AT59" s="145">
        <v>-50.866</v>
      </c>
      <c r="AU59" s="17">
        <v>-206.4</v>
      </c>
      <c r="AV59" s="145">
        <v>-43.3</v>
      </c>
      <c r="AW59" s="145">
        <v>-51</v>
      </c>
      <c r="AX59" s="145">
        <v>-50.9</v>
      </c>
      <c r="AY59" s="145">
        <v>-49.1</v>
      </c>
      <c r="AZ59" s="17">
        <f>SUM(AV59:AY59)</f>
        <v>-194.29999999999998</v>
      </c>
      <c r="BA59" s="267">
        <v>-48.6</v>
      </c>
      <c r="BB59" s="267">
        <v>-79.5</v>
      </c>
      <c r="BC59" s="267">
        <v>-97.1</v>
      </c>
      <c r="BD59" s="267">
        <v>-105.5</v>
      </c>
      <c r="BE59" s="17">
        <f>SUM(BA59:BD59)</f>
        <v>-330.7</v>
      </c>
      <c r="BF59" s="339">
        <v>-139.80000000000001</v>
      </c>
      <c r="BG59" s="339">
        <v>-113</v>
      </c>
      <c r="BH59" s="339">
        <v>-118.7</v>
      </c>
      <c r="BI59" s="404">
        <v>-101.4</v>
      </c>
      <c r="BJ59" s="3">
        <f>SUM(BF59:BI59)</f>
        <v>-472.9</v>
      </c>
      <c r="BK59" s="339">
        <v>-92.5</v>
      </c>
      <c r="BL59" s="339">
        <v>-86.8</v>
      </c>
      <c r="BM59" s="339">
        <v>-94</v>
      </c>
      <c r="BN59" s="339">
        <v>-92</v>
      </c>
      <c r="BO59" s="17">
        <f>SUM(BK59:BN59)</f>
        <v>-365.3</v>
      </c>
      <c r="BP59" s="339">
        <v>-85.7</v>
      </c>
      <c r="BQ59" s="339">
        <v>-89.6</v>
      </c>
      <c r="BR59" s="339">
        <v>-96.7</v>
      </c>
      <c r="BS59" s="267">
        <v>-101.6</v>
      </c>
      <c r="BT59" s="17">
        <f>-BS!P160</f>
        <v>-322.7</v>
      </c>
      <c r="BU59" s="267">
        <v>-448.5</v>
      </c>
      <c r="BV59" s="267">
        <v>-117.5</v>
      </c>
      <c r="BW59" s="267">
        <v>-108.9</v>
      </c>
      <c r="BX59" s="267">
        <v>-139.80000000000001</v>
      </c>
      <c r="BY59" s="17">
        <f t="shared" ref="BY59:BY65" si="85">SUM(BU59:BX59)</f>
        <v>-814.7</v>
      </c>
      <c r="BZ59" s="267">
        <v>103.9</v>
      </c>
      <c r="CA59" s="267">
        <f>CD59/4</f>
        <v>-82.55</v>
      </c>
      <c r="CB59" s="267">
        <f>CD59/4</f>
        <v>-82.55</v>
      </c>
      <c r="CC59" s="527">
        <f>CD59-SUM(BZ59:CB59)</f>
        <v>-269</v>
      </c>
      <c r="CD59" s="17">
        <f>-BS!R160</f>
        <v>-330.2</v>
      </c>
      <c r="CE59" s="267"/>
      <c r="CF59" s="267"/>
      <c r="CG59" s="267"/>
      <c r="CH59" s="267"/>
      <c r="CI59" s="17">
        <f>-BS!S160</f>
        <v>-355.2</v>
      </c>
      <c r="CJ59" s="267"/>
      <c r="CK59" s="267"/>
      <c r="CL59" s="267"/>
      <c r="CM59" s="267"/>
      <c r="CN59" s="17">
        <f>-BS!T160</f>
        <v>-380.2</v>
      </c>
      <c r="CO59" s="267"/>
      <c r="CP59" s="267"/>
      <c r="CQ59" s="267"/>
      <c r="CR59" s="267"/>
      <c r="CS59" s="17">
        <f>-BS!U160</f>
        <v>-405.2</v>
      </c>
      <c r="CT59" s="267"/>
      <c r="CU59" s="267"/>
      <c r="CV59" s="267"/>
      <c r="CW59" s="267"/>
      <c r="CX59" s="17">
        <f>-BS!V160</f>
        <v>-430.2</v>
      </c>
      <c r="CY59" s="267"/>
      <c r="CZ59" s="267"/>
      <c r="DA59" s="267"/>
      <c r="DB59" s="267"/>
      <c r="DC59" s="17">
        <f>-BS!W160</f>
        <v>-455.2</v>
      </c>
      <c r="DD59" s="267"/>
      <c r="DE59" s="267"/>
      <c r="DF59" s="267"/>
      <c r="DG59" s="267"/>
      <c r="DH59" s="17">
        <f>-BS!X160</f>
        <v>-480.2</v>
      </c>
      <c r="DI59" s="267"/>
      <c r="DJ59" s="267"/>
      <c r="DK59" s="267"/>
      <c r="DL59" s="267"/>
      <c r="DM59" s="17">
        <f>-BS!Y160</f>
        <v>-505.2</v>
      </c>
      <c r="DN59" s="267"/>
      <c r="DO59" s="267"/>
      <c r="DP59" s="267"/>
      <c r="DQ59" s="267"/>
      <c r="DR59" s="17">
        <f>-BS!Z160</f>
        <v>-530.20000000000005</v>
      </c>
      <c r="DS59" s="267"/>
      <c r="DT59" s="267"/>
      <c r="DU59" s="267"/>
      <c r="DV59" s="267"/>
      <c r="DW59" s="17">
        <f>-BS!AA160</f>
        <v>-555.20000000000005</v>
      </c>
      <c r="DX59" s="267"/>
      <c r="DY59" s="267"/>
      <c r="DZ59" s="267"/>
      <c r="EA59" s="267"/>
      <c r="EB59" s="17">
        <f>-BS!AB160</f>
        <v>-580.20000000000005</v>
      </c>
      <c r="EC59" s="267"/>
      <c r="ED59" s="267"/>
      <c r="EE59" s="267"/>
      <c r="EF59" s="267"/>
      <c r="EG59" s="17">
        <f>-BS!AC160</f>
        <v>-605.20000000000005</v>
      </c>
      <c r="EH59" s="267"/>
      <c r="EI59" s="267"/>
      <c r="EJ59" s="267"/>
      <c r="EK59" s="267"/>
      <c r="EL59" s="17">
        <f>-BS!AD160</f>
        <v>-630.20000000000005</v>
      </c>
      <c r="EO59"/>
      <c r="EP59"/>
      <c r="EQ59"/>
      <c r="ER59"/>
      <c r="ES59"/>
      <c r="ET59"/>
    </row>
    <row r="60" spans="1:150" s="36" customFormat="1" hidden="1" outlineLevel="1">
      <c r="A60" s="1"/>
      <c r="B60" s="9" t="s">
        <v>918</v>
      </c>
      <c r="C60" s="145"/>
      <c r="D60" s="145"/>
      <c r="E60" s="145"/>
      <c r="F60" s="145"/>
      <c r="G60" s="17"/>
      <c r="H60" s="145"/>
      <c r="I60" s="145"/>
      <c r="J60" s="145"/>
      <c r="K60" s="145"/>
      <c r="L60" s="17"/>
      <c r="M60" s="145"/>
      <c r="N60" s="145"/>
      <c r="O60" s="145"/>
      <c r="P60" s="145"/>
      <c r="Q60" s="17"/>
      <c r="R60" s="145"/>
      <c r="S60" s="145"/>
      <c r="T60" s="145"/>
      <c r="U60" s="145"/>
      <c r="V60" s="17"/>
      <c r="W60" s="145"/>
      <c r="X60" s="145"/>
      <c r="Y60" s="145"/>
      <c r="Z60" s="145"/>
      <c r="AA60" s="17"/>
      <c r="AB60" s="145"/>
      <c r="AC60" s="145"/>
      <c r="AD60" s="145"/>
      <c r="AE60" s="145"/>
      <c r="AF60" s="17"/>
      <c r="AG60" s="145"/>
      <c r="AH60" s="145"/>
      <c r="AI60" s="145"/>
      <c r="AJ60" s="145"/>
      <c r="AK60" s="17"/>
      <c r="AL60" s="145"/>
      <c r="AM60" s="145"/>
      <c r="AN60" s="145"/>
      <c r="AO60" s="145"/>
      <c r="AP60" s="17"/>
      <c r="AQ60" s="145"/>
      <c r="AR60" s="145"/>
      <c r="AS60" s="145"/>
      <c r="AT60" s="145"/>
      <c r="AU60" s="17"/>
      <c r="AV60" s="145"/>
      <c r="AW60" s="145"/>
      <c r="AX60" s="145"/>
      <c r="AY60" s="145"/>
      <c r="AZ60" s="17"/>
      <c r="BA60" s="267"/>
      <c r="BB60" s="267"/>
      <c r="BC60" s="267"/>
      <c r="BD60" s="267"/>
      <c r="BE60" s="17"/>
      <c r="BF60" s="339"/>
      <c r="BG60" s="339"/>
      <c r="BH60" s="339"/>
      <c r="BI60" s="404"/>
      <c r="BJ60" s="3"/>
      <c r="BK60" s="339"/>
      <c r="BL60" s="339"/>
      <c r="BM60" s="339"/>
      <c r="BN60" s="339"/>
      <c r="BO60" s="17"/>
      <c r="BP60" s="339"/>
      <c r="BQ60" s="339"/>
      <c r="BR60" s="339"/>
      <c r="BS60" s="267"/>
      <c r="BT60" s="17"/>
      <c r="BU60" s="267"/>
      <c r="BV60" s="267">
        <v>-120</v>
      </c>
      <c r="BW60" s="267"/>
      <c r="BX60" s="267"/>
      <c r="BY60" s="17">
        <f t="shared" si="85"/>
        <v>-120</v>
      </c>
      <c r="BZ60" s="267">
        <v>10</v>
      </c>
      <c r="CA60" s="267"/>
      <c r="CB60" s="267"/>
      <c r="CC60" s="267"/>
      <c r="CD60" s="17"/>
      <c r="CE60" s="267"/>
      <c r="CF60" s="267"/>
      <c r="CG60" s="267"/>
      <c r="CH60" s="267"/>
      <c r="CI60" s="17"/>
      <c r="CJ60" s="267"/>
      <c r="CK60" s="267"/>
      <c r="CL60" s="267"/>
      <c r="CM60" s="267"/>
      <c r="CN60" s="17"/>
      <c r="CO60" s="267"/>
      <c r="CP60" s="267"/>
      <c r="CQ60" s="267"/>
      <c r="CR60" s="267"/>
      <c r="CS60" s="17"/>
      <c r="CT60" s="267"/>
      <c r="CU60" s="267"/>
      <c r="CV60" s="267"/>
      <c r="CW60" s="267"/>
      <c r="CX60" s="17"/>
      <c r="CY60" s="267"/>
      <c r="CZ60" s="267"/>
      <c r="DA60" s="267"/>
      <c r="DB60" s="267"/>
      <c r="DC60" s="17"/>
      <c r="DD60" s="267"/>
      <c r="DE60" s="267"/>
      <c r="DF60" s="267"/>
      <c r="DG60" s="267"/>
      <c r="DH60" s="17"/>
      <c r="DI60" s="267"/>
      <c r="DJ60" s="267"/>
      <c r="DK60" s="267"/>
      <c r="DL60" s="267"/>
      <c r="DM60" s="17"/>
      <c r="DN60" s="267"/>
      <c r="DO60" s="267"/>
      <c r="DP60" s="267"/>
      <c r="DQ60" s="267"/>
      <c r="DR60" s="17"/>
      <c r="DS60" s="267"/>
      <c r="DT60" s="267"/>
      <c r="DU60" s="267"/>
      <c r="DV60" s="267"/>
      <c r="DW60" s="17"/>
      <c r="DX60" s="267"/>
      <c r="DY60" s="267"/>
      <c r="DZ60" s="267"/>
      <c r="EA60" s="267"/>
      <c r="EB60" s="17"/>
      <c r="EC60" s="267"/>
      <c r="ED60" s="267"/>
      <c r="EE60" s="267"/>
      <c r="EF60" s="267"/>
      <c r="EG60" s="17"/>
      <c r="EH60" s="267"/>
      <c r="EI60" s="267"/>
      <c r="EJ60" s="267"/>
      <c r="EK60" s="267"/>
      <c r="EL60" s="17"/>
      <c r="EO60"/>
      <c r="EP60"/>
      <c r="EQ60"/>
      <c r="ER60"/>
      <c r="ES60"/>
      <c r="ET60"/>
    </row>
    <row r="61" spans="1:150" hidden="1" outlineLevel="1">
      <c r="B61" s="9" t="s">
        <v>125</v>
      </c>
      <c r="C61" s="145"/>
      <c r="D61" s="145"/>
      <c r="E61" s="145"/>
      <c r="F61" s="145"/>
      <c r="G61" s="17"/>
      <c r="H61" s="145"/>
      <c r="I61" s="145"/>
      <c r="J61" s="145"/>
      <c r="K61" s="145"/>
      <c r="L61" s="17"/>
      <c r="M61" s="145"/>
      <c r="N61" s="145"/>
      <c r="O61" s="145"/>
      <c r="P61" s="145"/>
      <c r="Q61" s="17"/>
      <c r="R61" s="145"/>
      <c r="S61" s="145"/>
      <c r="T61" s="145"/>
      <c r="U61" s="145"/>
      <c r="V61" s="17"/>
      <c r="W61" s="145"/>
      <c r="X61" s="145"/>
      <c r="Y61" s="145"/>
      <c r="Z61" s="145"/>
      <c r="AA61" s="17"/>
      <c r="AB61" s="145"/>
      <c r="AC61" s="145"/>
      <c r="AD61" s="145"/>
      <c r="AE61" s="145"/>
      <c r="AF61" s="17"/>
      <c r="AG61" s="145"/>
      <c r="AH61" s="145"/>
      <c r="AI61" s="145"/>
      <c r="AJ61" s="145"/>
      <c r="AK61" s="17"/>
      <c r="AL61" s="145"/>
      <c r="AM61" s="145"/>
      <c r="AN61" s="145"/>
      <c r="AO61" s="145"/>
      <c r="AP61" s="17"/>
      <c r="AQ61" s="145">
        <v>-1.2</v>
      </c>
      <c r="AR61" s="145">
        <v>-2.2000000000000002</v>
      </c>
      <c r="AS61" s="145">
        <v>-2.5</v>
      </c>
      <c r="AT61" s="145">
        <v>-30.164999999999999</v>
      </c>
      <c r="AU61" s="17">
        <f>SUM(AQ61:AT61)</f>
        <v>-36.064999999999998</v>
      </c>
      <c r="AV61" s="145">
        <v>-1.258</v>
      </c>
      <c r="AW61" s="145">
        <v>-12.858000000000001</v>
      </c>
      <c r="AX61" s="145">
        <v>-9.4559999999999995</v>
      </c>
      <c r="AY61" s="145">
        <v>-3.63</v>
      </c>
      <c r="AZ61" s="17">
        <f>SUM(AV61:AY61)</f>
        <v>-27.201999999999998</v>
      </c>
      <c r="BA61" s="267">
        <v>-2.2770000000000001</v>
      </c>
      <c r="BB61" s="267">
        <v>5.1630000000000003</v>
      </c>
      <c r="BC61" s="267">
        <v>9.7000000000000003E-2</v>
      </c>
      <c r="BD61" s="267">
        <v>-2.4</v>
      </c>
      <c r="BE61" s="17">
        <f>SUM(BA61:BD61)</f>
        <v>0.58300000000000018</v>
      </c>
      <c r="BF61" s="339">
        <v>0.8</v>
      </c>
      <c r="BG61" s="339">
        <v>-4</v>
      </c>
      <c r="BH61" s="339">
        <v>49.4</v>
      </c>
      <c r="BI61" s="339">
        <v>-7.3</v>
      </c>
      <c r="BJ61" s="3">
        <f>SUM(BF61:BI61)</f>
        <v>38.9</v>
      </c>
      <c r="BK61" s="339">
        <v>-7.8</v>
      </c>
      <c r="BL61" s="339">
        <v>2.2000000000000002</v>
      </c>
      <c r="BM61" s="339">
        <v>-0.2</v>
      </c>
      <c r="BN61" s="339">
        <v>-24.6</v>
      </c>
      <c r="BO61" s="3">
        <f t="shared" ref="BO61:BO65" si="86">SUM(BK61:BN61)</f>
        <v>-30.400000000000002</v>
      </c>
      <c r="BP61" s="339">
        <v>-2.2999999999999998</v>
      </c>
      <c r="BQ61" s="339">
        <v>-10.6</v>
      </c>
      <c r="BR61" s="339">
        <v>-5.9</v>
      </c>
      <c r="BS61" s="267">
        <v>4</v>
      </c>
      <c r="BT61" s="17">
        <f>SUM(BP61:BS61)</f>
        <v>-14.799999999999997</v>
      </c>
      <c r="BU61" s="267">
        <v>-10</v>
      </c>
      <c r="BV61" s="267">
        <v>-21.2</v>
      </c>
      <c r="BW61" s="267">
        <v>-30</v>
      </c>
      <c r="BX61" s="267">
        <v>-1.5</v>
      </c>
      <c r="BY61" s="17">
        <f t="shared" si="85"/>
        <v>-62.7</v>
      </c>
      <c r="BZ61" s="267">
        <v>-5.6</v>
      </c>
      <c r="CA61" s="267"/>
      <c r="CB61" s="267"/>
      <c r="CC61" s="267"/>
      <c r="CD61" s="17">
        <f>SUM(BZ61:CC61)</f>
        <v>-5.6</v>
      </c>
      <c r="CE61" s="267"/>
      <c r="CF61" s="267"/>
      <c r="CG61" s="267"/>
      <c r="CH61" s="267"/>
      <c r="CI61" s="17">
        <f>SUM(CE61:CH61)</f>
        <v>0</v>
      </c>
      <c r="CJ61" s="267"/>
      <c r="CK61" s="267"/>
      <c r="CL61" s="267"/>
      <c r="CM61" s="267"/>
      <c r="CN61" s="17">
        <f>SUM(CJ61:CM61)</f>
        <v>0</v>
      </c>
      <c r="CO61" s="267"/>
      <c r="CP61" s="267"/>
      <c r="CQ61" s="267"/>
      <c r="CR61" s="267"/>
      <c r="CS61" s="17">
        <f>SUM(CO61:CR61)</f>
        <v>0</v>
      </c>
      <c r="CT61" s="267"/>
      <c r="CU61" s="267"/>
      <c r="CV61" s="267"/>
      <c r="CW61" s="267"/>
      <c r="CX61" s="17">
        <f>SUM(CT61:CW61)</f>
        <v>0</v>
      </c>
      <c r="CY61" s="267"/>
      <c r="CZ61" s="267"/>
      <c r="DA61" s="267"/>
      <c r="DB61" s="267"/>
      <c r="DC61" s="17">
        <f>SUM(CY61:DB61)</f>
        <v>0</v>
      </c>
      <c r="DD61" s="267"/>
      <c r="DE61" s="267"/>
      <c r="DF61" s="267"/>
      <c r="DG61" s="267"/>
      <c r="DH61" s="17">
        <f>SUM(DD61:DG61)</f>
        <v>0</v>
      </c>
      <c r="DI61" s="267"/>
      <c r="DJ61" s="267"/>
      <c r="DK61" s="267"/>
      <c r="DL61" s="267"/>
      <c r="DM61" s="17">
        <f>SUM(DI61:DL61)</f>
        <v>0</v>
      </c>
      <c r="DN61" s="267"/>
      <c r="DO61" s="267"/>
      <c r="DP61" s="267"/>
      <c r="DQ61" s="267"/>
      <c r="DR61" s="17">
        <f>SUM(DN61:DQ61)</f>
        <v>0</v>
      </c>
      <c r="DS61" s="267"/>
      <c r="DT61" s="267"/>
      <c r="DU61" s="267"/>
      <c r="DV61" s="267"/>
      <c r="DW61" s="17">
        <f>SUM(DS61:DV61)</f>
        <v>0</v>
      </c>
      <c r="DX61" s="267"/>
      <c r="DY61" s="267"/>
      <c r="DZ61" s="267"/>
      <c r="EA61" s="267"/>
      <c r="EB61" s="17">
        <f>SUM(DX61:EA61)</f>
        <v>0</v>
      </c>
      <c r="EC61" s="267"/>
      <c r="ED61" s="267"/>
      <c r="EE61" s="267"/>
      <c r="EF61" s="267"/>
      <c r="EG61" s="17">
        <f>SUM(EC61:EF61)</f>
        <v>0</v>
      </c>
      <c r="EH61" s="267"/>
      <c r="EI61" s="267"/>
      <c r="EJ61" s="267"/>
      <c r="EK61" s="267"/>
      <c r="EL61" s="17">
        <f>SUM(EH61:EK61)</f>
        <v>0</v>
      </c>
    </row>
    <row r="62" spans="1:150" hidden="1" outlineLevel="1">
      <c r="B62" s="9" t="s">
        <v>826</v>
      </c>
      <c r="C62" s="145"/>
      <c r="D62" s="145"/>
      <c r="E62" s="145"/>
      <c r="F62" s="145"/>
      <c r="G62" s="17"/>
      <c r="H62" s="145"/>
      <c r="I62" s="145"/>
      <c r="J62" s="145"/>
      <c r="K62" s="145"/>
      <c r="L62" s="17"/>
      <c r="M62" s="145"/>
      <c r="N62" s="145"/>
      <c r="O62" s="145"/>
      <c r="P62" s="145"/>
      <c r="Q62" s="17"/>
      <c r="R62" s="145"/>
      <c r="S62" s="145"/>
      <c r="T62" s="145"/>
      <c r="U62" s="145"/>
      <c r="V62" s="17"/>
      <c r="W62" s="145"/>
      <c r="X62" s="145"/>
      <c r="Y62" s="145"/>
      <c r="Z62" s="145"/>
      <c r="AA62" s="17"/>
      <c r="AB62" s="145"/>
      <c r="AC62" s="145"/>
      <c r="AD62" s="145"/>
      <c r="AE62" s="145"/>
      <c r="AF62" s="17"/>
      <c r="AG62" s="145"/>
      <c r="AH62" s="145"/>
      <c r="AI62" s="145"/>
      <c r="AJ62" s="145"/>
      <c r="AK62" s="17"/>
      <c r="AL62" s="145"/>
      <c r="AM62" s="145"/>
      <c r="AN62" s="145"/>
      <c r="AO62" s="145"/>
      <c r="AP62" s="17"/>
      <c r="AQ62" s="145"/>
      <c r="AR62" s="145"/>
      <c r="AS62" s="145"/>
      <c r="AT62" s="145"/>
      <c r="AU62" s="17"/>
      <c r="AV62" s="145"/>
      <c r="AW62" s="145"/>
      <c r="AX62" s="145"/>
      <c r="AY62" s="145"/>
      <c r="AZ62" s="17"/>
      <c r="BA62" s="267"/>
      <c r="BB62" s="267"/>
      <c r="BC62" s="267"/>
      <c r="BD62" s="267"/>
      <c r="BE62" s="17"/>
      <c r="BF62" s="339"/>
      <c r="BG62" s="339"/>
      <c r="BH62" s="339"/>
      <c r="BI62" s="339"/>
      <c r="BJ62" s="3"/>
      <c r="BK62" s="339"/>
      <c r="BL62" s="339"/>
      <c r="BM62" s="339"/>
      <c r="BN62" s="339">
        <v>-93.4</v>
      </c>
      <c r="BO62" s="3">
        <f t="shared" si="86"/>
        <v>-93.4</v>
      </c>
      <c r="BP62" s="339">
        <v>-9.6999999999999993</v>
      </c>
      <c r="BQ62" s="339">
        <f>-3.7-15.8</f>
        <v>-19.5</v>
      </c>
      <c r="BR62" s="339">
        <f>-1.8+1.6-13.2-21.2</f>
        <v>-34.599999999999994</v>
      </c>
      <c r="BS62" s="267">
        <f>-12.6-11.8-17.8+4.4</f>
        <v>-37.800000000000004</v>
      </c>
      <c r="BT62" s="17">
        <f>SUM(BP62:BS62)</f>
        <v>-101.6</v>
      </c>
      <c r="BU62" s="267">
        <v>-19.2</v>
      </c>
      <c r="BV62" s="267"/>
      <c r="BW62" s="267"/>
      <c r="BX62" s="267">
        <v>-0.9</v>
      </c>
      <c r="BY62" s="17">
        <f t="shared" si="85"/>
        <v>-20.099999999999998</v>
      </c>
      <c r="BZ62" s="267">
        <v>1.6</v>
      </c>
      <c r="CA62" s="267"/>
      <c r="CB62" s="267"/>
      <c r="CC62" s="267"/>
      <c r="CD62" s="17"/>
      <c r="CE62" s="267"/>
      <c r="CF62" s="267"/>
      <c r="CG62" s="267"/>
      <c r="CH62" s="267"/>
      <c r="CI62" s="17"/>
      <c r="CJ62" s="267"/>
      <c r="CK62" s="267"/>
      <c r="CL62" s="267"/>
      <c r="CM62" s="267"/>
      <c r="CN62" s="17"/>
      <c r="CO62" s="267"/>
      <c r="CP62" s="267"/>
      <c r="CQ62" s="267"/>
      <c r="CR62" s="267"/>
      <c r="CS62" s="17"/>
      <c r="CT62" s="267"/>
      <c r="CU62" s="267"/>
      <c r="CV62" s="267"/>
      <c r="CW62" s="267"/>
      <c r="CX62" s="17"/>
      <c r="CY62" s="267"/>
      <c r="CZ62" s="267"/>
      <c r="DA62" s="267"/>
      <c r="DB62" s="267"/>
      <c r="DC62" s="17"/>
      <c r="DD62" s="267"/>
      <c r="DE62" s="267"/>
      <c r="DF62" s="267"/>
      <c r="DG62" s="267"/>
      <c r="DH62" s="17"/>
      <c r="DI62" s="267"/>
      <c r="DJ62" s="267"/>
      <c r="DK62" s="267"/>
      <c r="DL62" s="267"/>
      <c r="DM62" s="17"/>
      <c r="DN62" s="267"/>
      <c r="DO62" s="267"/>
      <c r="DP62" s="267"/>
      <c r="DQ62" s="267"/>
      <c r="DR62" s="17"/>
      <c r="DS62" s="267"/>
      <c r="DT62" s="267"/>
      <c r="DU62" s="267"/>
      <c r="DV62" s="267"/>
      <c r="DW62" s="17"/>
      <c r="DX62" s="267"/>
      <c r="DY62" s="267"/>
      <c r="DZ62" s="267"/>
      <c r="EA62" s="267"/>
      <c r="EB62" s="17"/>
      <c r="EC62" s="267"/>
      <c r="ED62" s="267"/>
      <c r="EE62" s="267"/>
      <c r="EF62" s="267"/>
      <c r="EG62" s="17"/>
      <c r="EH62" s="267"/>
      <c r="EI62" s="267"/>
      <c r="EJ62" s="267"/>
      <c r="EK62" s="267"/>
      <c r="EL62" s="17"/>
    </row>
    <row r="63" spans="1:150" hidden="1" outlineLevel="1">
      <c r="B63" s="9" t="s">
        <v>136</v>
      </c>
      <c r="C63" s="145"/>
      <c r="D63" s="145"/>
      <c r="E63" s="145"/>
      <c r="F63" s="145"/>
      <c r="G63" s="17"/>
      <c r="H63" s="145"/>
      <c r="I63" s="145"/>
      <c r="J63" s="145"/>
      <c r="K63" s="145"/>
      <c r="L63" s="17"/>
      <c r="M63" s="145"/>
      <c r="N63" s="145"/>
      <c r="O63" s="145"/>
      <c r="P63" s="145"/>
      <c r="Q63" s="17"/>
      <c r="R63" s="145">
        <v>-4.8</v>
      </c>
      <c r="S63" s="145">
        <v>-6.4</v>
      </c>
      <c r="T63" s="145">
        <v>-5.2</v>
      </c>
      <c r="U63" s="145">
        <f>+V63-SUM(R63:T63)</f>
        <v>-2.9000000000000021</v>
      </c>
      <c r="V63" s="17">
        <v>-19.3</v>
      </c>
      <c r="W63" s="145"/>
      <c r="X63" s="145">
        <v>-2.9</v>
      </c>
      <c r="Y63" s="145">
        <v>-3.5</v>
      </c>
      <c r="Z63" s="145">
        <f>+AA63-SUM(W63:Y63)</f>
        <v>-6.5</v>
      </c>
      <c r="AA63" s="17">
        <v>-12.9</v>
      </c>
      <c r="AB63" s="145">
        <v>-2.7</v>
      </c>
      <c r="AC63" s="145">
        <v>-1.4</v>
      </c>
      <c r="AD63" s="145">
        <v>-2.4</v>
      </c>
      <c r="AE63" s="145">
        <f>+AF63-SUM(AB63:AD63)</f>
        <v>-2</v>
      </c>
      <c r="AF63" s="17">
        <v>-8.5</v>
      </c>
      <c r="AG63" s="145">
        <v>-2.2000000000000002</v>
      </c>
      <c r="AH63" s="145">
        <v>-1.4</v>
      </c>
      <c r="AI63" s="145">
        <v>-2.6</v>
      </c>
      <c r="AJ63" s="145">
        <f>+AK63-SUM(AG63:AI63)</f>
        <v>-2.1000000000000005</v>
      </c>
      <c r="AK63" s="17">
        <v>-8.3000000000000007</v>
      </c>
      <c r="AL63" s="145">
        <v>-1.6</v>
      </c>
      <c r="AM63" s="145">
        <v>-0.8</v>
      </c>
      <c r="AN63" s="145">
        <v>-2.4</v>
      </c>
      <c r="AO63" s="145">
        <f>+AP63-SUM(AL63:AN63)</f>
        <v>-1.6999999999999993</v>
      </c>
      <c r="AP63" s="17">
        <v>-6.5</v>
      </c>
      <c r="AQ63" s="145">
        <v>-1.2</v>
      </c>
      <c r="AR63" s="145">
        <v>-0.5</v>
      </c>
      <c r="AS63" s="145">
        <v>-1.8</v>
      </c>
      <c r="AT63" s="145">
        <v>-1.3</v>
      </c>
      <c r="AU63" s="17">
        <f>SUM(AQ63:AT63)</f>
        <v>-4.8</v>
      </c>
      <c r="AV63" s="145">
        <v>-1</v>
      </c>
      <c r="AW63" s="145">
        <v>-0.5</v>
      </c>
      <c r="AX63" s="145">
        <v>-1</v>
      </c>
      <c r="AY63" s="145">
        <v>-0.8</v>
      </c>
      <c r="AZ63" s="17">
        <f>SUM(AV63:AY63)</f>
        <v>-3.3</v>
      </c>
      <c r="BA63" s="267">
        <v>-1.6</v>
      </c>
      <c r="BB63" s="267">
        <v>-0.8</v>
      </c>
      <c r="BC63" s="267">
        <v>-1.2</v>
      </c>
      <c r="BD63" s="267">
        <v>-0.8</v>
      </c>
      <c r="BE63" s="17">
        <f>SUM(BA63:BD63)</f>
        <v>-4.4000000000000004</v>
      </c>
      <c r="BF63" s="339">
        <v>-2.2999999999999998</v>
      </c>
      <c r="BG63" s="339">
        <v>-1.2</v>
      </c>
      <c r="BH63" s="339">
        <v>-1.2</v>
      </c>
      <c r="BI63" s="339">
        <v>-1</v>
      </c>
      <c r="BJ63" s="3">
        <f>SUM(BF63:BI63)</f>
        <v>-5.7</v>
      </c>
      <c r="BK63" s="339">
        <v>0</v>
      </c>
      <c r="BL63" s="339">
        <v>0</v>
      </c>
      <c r="BM63" s="339"/>
      <c r="BN63" s="267">
        <v>0</v>
      </c>
      <c r="BO63" s="17">
        <f t="shared" si="86"/>
        <v>0</v>
      </c>
      <c r="BP63" s="339"/>
      <c r="BQ63" s="339"/>
      <c r="BR63" s="339"/>
      <c r="BS63" s="267">
        <v>0</v>
      </c>
      <c r="BT63" s="17">
        <f>BO63*1.1</f>
        <v>0</v>
      </c>
      <c r="BU63" s="267"/>
      <c r="BV63" s="267"/>
      <c r="BW63" s="267"/>
      <c r="BX63" s="267"/>
      <c r="BY63" s="17">
        <f t="shared" si="85"/>
        <v>0</v>
      </c>
      <c r="BZ63" s="267"/>
      <c r="CA63" s="267"/>
      <c r="CB63" s="267"/>
      <c r="CC63" s="267"/>
      <c r="CD63" s="17">
        <f>BY63*1.1</f>
        <v>0</v>
      </c>
      <c r="CE63" s="267"/>
      <c r="CF63" s="267"/>
      <c r="CG63" s="267"/>
      <c r="CH63" s="267"/>
      <c r="CI63" s="17">
        <f>CD63*1.1</f>
        <v>0</v>
      </c>
      <c r="CJ63" s="267"/>
      <c r="CK63" s="267"/>
      <c r="CL63" s="267"/>
      <c r="CM63" s="267"/>
      <c r="CN63" s="17">
        <f>CI63*1.1</f>
        <v>0</v>
      </c>
      <c r="CO63" s="267"/>
      <c r="CP63" s="267"/>
      <c r="CQ63" s="267"/>
      <c r="CR63" s="267"/>
      <c r="CS63" s="17">
        <f>CN63*1.1</f>
        <v>0</v>
      </c>
      <c r="CT63" s="267"/>
      <c r="CU63" s="267"/>
      <c r="CV63" s="267"/>
      <c r="CW63" s="267"/>
      <c r="CX63" s="17">
        <f>CS63*1.1</f>
        <v>0</v>
      </c>
      <c r="CY63" s="267"/>
      <c r="CZ63" s="267"/>
      <c r="DA63" s="267"/>
      <c r="DB63" s="267"/>
      <c r="DC63" s="17">
        <f>CX63*1.1</f>
        <v>0</v>
      </c>
      <c r="DD63" s="267"/>
      <c r="DE63" s="267"/>
      <c r="DF63" s="267"/>
      <c r="DG63" s="267"/>
      <c r="DH63" s="17">
        <f>DC63*1.1</f>
        <v>0</v>
      </c>
      <c r="DI63" s="267"/>
      <c r="DJ63" s="267"/>
      <c r="DK63" s="267"/>
      <c r="DL63" s="267"/>
      <c r="DM63" s="17">
        <f>DH63*1.1</f>
        <v>0</v>
      </c>
      <c r="DN63" s="267"/>
      <c r="DO63" s="267"/>
      <c r="DP63" s="267"/>
      <c r="DQ63" s="267"/>
      <c r="DR63" s="17">
        <f>DM63*1.1</f>
        <v>0</v>
      </c>
      <c r="DS63" s="267"/>
      <c r="DT63" s="267"/>
      <c r="DU63" s="267"/>
      <c r="DV63" s="267"/>
      <c r="DW63" s="17">
        <f>DR63*1.1</f>
        <v>0</v>
      </c>
      <c r="DX63" s="267"/>
      <c r="DY63" s="267"/>
      <c r="DZ63" s="267"/>
      <c r="EA63" s="267"/>
      <c r="EB63" s="17">
        <f>DW63*1.1</f>
        <v>0</v>
      </c>
      <c r="EC63" s="267"/>
      <c r="ED63" s="267"/>
      <c r="EE63" s="267"/>
      <c r="EF63" s="267"/>
      <c r="EG63" s="17">
        <f>EB63*1.1</f>
        <v>0</v>
      </c>
      <c r="EH63" s="267"/>
      <c r="EI63" s="267"/>
      <c r="EJ63" s="267"/>
      <c r="EK63" s="267"/>
      <c r="EL63" s="17">
        <f>EG63*1.1</f>
        <v>0</v>
      </c>
    </row>
    <row r="64" spans="1:150" hidden="1" outlineLevel="1">
      <c r="B64" s="9" t="s">
        <v>137</v>
      </c>
      <c r="C64" s="145"/>
      <c r="D64" s="145"/>
      <c r="E64" s="145"/>
      <c r="F64" s="145"/>
      <c r="G64" s="17"/>
      <c r="H64" s="145"/>
      <c r="I64" s="145"/>
      <c r="J64" s="145"/>
      <c r="K64" s="145"/>
      <c r="L64" s="17"/>
      <c r="M64" s="145"/>
      <c r="N64" s="145"/>
      <c r="O64" s="145"/>
      <c r="P64" s="145"/>
      <c r="Q64" s="17"/>
      <c r="R64" s="145">
        <v>-8.3000000000000007</v>
      </c>
      <c r="S64" s="145">
        <v>-8.3000000000000007</v>
      </c>
      <c r="T64" s="145">
        <v>-7.7</v>
      </c>
      <c r="U64" s="145">
        <f>+V64-SUM(R64:T64)</f>
        <v>-4.5999999999999979</v>
      </c>
      <c r="V64" s="17">
        <v>-28.9</v>
      </c>
      <c r="W64" s="145">
        <v>-6.1</v>
      </c>
      <c r="X64" s="145">
        <v>-5.3</v>
      </c>
      <c r="Y64" s="145">
        <v>-5.9</v>
      </c>
      <c r="Z64" s="145">
        <f>+AA64-SUM(W64:Y64)</f>
        <v>-5.3000000000000043</v>
      </c>
      <c r="AA64" s="17">
        <v>-22.6</v>
      </c>
      <c r="AB64" s="145">
        <v>-3.1</v>
      </c>
      <c r="AC64" s="145">
        <v>-3.8</v>
      </c>
      <c r="AD64" s="145">
        <v>-5.3</v>
      </c>
      <c r="AE64" s="145">
        <f>+AF64-SUM(AB64:AD64)</f>
        <v>-5.5</v>
      </c>
      <c r="AF64" s="17">
        <v>-17.7</v>
      </c>
      <c r="AG64" s="145">
        <v>-4.5</v>
      </c>
      <c r="AH64" s="145">
        <v>-5</v>
      </c>
      <c r="AI64" s="145">
        <v>-5.8</v>
      </c>
      <c r="AJ64" s="145">
        <f>+AK64-SUM(AG64:AI64)</f>
        <v>-5.0999999999999979</v>
      </c>
      <c r="AK64" s="17">
        <v>-20.399999999999999</v>
      </c>
      <c r="AL64" s="145">
        <v>-10.8</v>
      </c>
      <c r="AM64" s="145">
        <v>-8.8000000000000007</v>
      </c>
      <c r="AN64" s="145">
        <v>-3.5</v>
      </c>
      <c r="AO64" s="145">
        <f>+AP64-SUM(AL64:AN64)</f>
        <v>-3.6999999999999993</v>
      </c>
      <c r="AP64" s="17">
        <v>-26.8</v>
      </c>
      <c r="AQ64" s="145">
        <v>-1.4</v>
      </c>
      <c r="AR64" s="145">
        <v>-1.2</v>
      </c>
      <c r="AS64" s="145">
        <v>-2.9</v>
      </c>
      <c r="AT64" s="145">
        <v>-2</v>
      </c>
      <c r="AU64" s="17">
        <f>SUM(AQ64:AT64)</f>
        <v>-7.5</v>
      </c>
      <c r="AV64" s="145">
        <v>-0.4</v>
      </c>
      <c r="AW64" s="145">
        <v>-0.9</v>
      </c>
      <c r="AX64" s="145">
        <v>-1.4</v>
      </c>
      <c r="AY64" s="145">
        <v>-1.3</v>
      </c>
      <c r="AZ64" s="17">
        <f>SUM(AV64:AY64)</f>
        <v>-4</v>
      </c>
      <c r="BA64" s="267">
        <v>-1.9</v>
      </c>
      <c r="BB64" s="267">
        <v>-1</v>
      </c>
      <c r="BC64" s="267">
        <v>-1.3</v>
      </c>
      <c r="BD64" s="267">
        <v>-1.1000000000000001</v>
      </c>
      <c r="BE64" s="17">
        <f>SUM(BA64:BD64)</f>
        <v>-5.3000000000000007</v>
      </c>
      <c r="BF64" s="339">
        <v>-2.6</v>
      </c>
      <c r="BG64" s="339">
        <v>-1.5</v>
      </c>
      <c r="BH64" s="339">
        <v>-1.4</v>
      </c>
      <c r="BI64" s="339">
        <v>-1.1000000000000001</v>
      </c>
      <c r="BJ64" s="3">
        <f>SUM(BF64:BI64)</f>
        <v>-6.6</v>
      </c>
      <c r="BK64" s="339">
        <v>0</v>
      </c>
      <c r="BL64" s="339">
        <v>0</v>
      </c>
      <c r="BM64" s="339"/>
      <c r="BN64" s="267">
        <v>0</v>
      </c>
      <c r="BO64" s="17">
        <f t="shared" si="86"/>
        <v>0</v>
      </c>
      <c r="BP64" s="339"/>
      <c r="BQ64" s="339"/>
      <c r="BR64" s="339"/>
      <c r="BS64" s="267">
        <v>0</v>
      </c>
      <c r="BT64" s="17">
        <f>BO64*1.1</f>
        <v>0</v>
      </c>
      <c r="BU64" s="267"/>
      <c r="BV64" s="267"/>
      <c r="BW64" s="267"/>
      <c r="BX64" s="267"/>
      <c r="BY64" s="17">
        <f t="shared" si="85"/>
        <v>0</v>
      </c>
      <c r="BZ64" s="267"/>
      <c r="CA64" s="267"/>
      <c r="CB64" s="267"/>
      <c r="CC64" s="267"/>
      <c r="CD64" s="17">
        <f>BY64*1.1</f>
        <v>0</v>
      </c>
      <c r="CE64" s="267"/>
      <c r="CF64" s="267"/>
      <c r="CG64" s="267"/>
      <c r="CH64" s="267"/>
      <c r="CI64" s="17">
        <f>CD64*1.1</f>
        <v>0</v>
      </c>
      <c r="CJ64" s="267"/>
      <c r="CK64" s="267"/>
      <c r="CL64" s="267"/>
      <c r="CM64" s="267"/>
      <c r="CN64" s="17">
        <f>CI64*1.1</f>
        <v>0</v>
      </c>
      <c r="CO64" s="267"/>
      <c r="CP64" s="267"/>
      <c r="CQ64" s="267"/>
      <c r="CR64" s="267"/>
      <c r="CS64" s="17">
        <f>CN64*1.1</f>
        <v>0</v>
      </c>
      <c r="CT64" s="267"/>
      <c r="CU64" s="267"/>
      <c r="CV64" s="267"/>
      <c r="CW64" s="267"/>
      <c r="CX64" s="17">
        <f>CS64*1.1</f>
        <v>0</v>
      </c>
      <c r="CY64" s="267"/>
      <c r="CZ64" s="267"/>
      <c r="DA64" s="267"/>
      <c r="DB64" s="267"/>
      <c r="DC64" s="17">
        <f>CX64*1.1</f>
        <v>0</v>
      </c>
      <c r="DD64" s="267"/>
      <c r="DE64" s="267"/>
      <c r="DF64" s="267"/>
      <c r="DG64" s="267"/>
      <c r="DH64" s="17">
        <f>DC64*1.1</f>
        <v>0</v>
      </c>
      <c r="DI64" s="267"/>
      <c r="DJ64" s="267"/>
      <c r="DK64" s="267"/>
      <c r="DL64" s="267"/>
      <c r="DM64" s="17">
        <f>DH64*1.1</f>
        <v>0</v>
      </c>
      <c r="DN64" s="267"/>
      <c r="DO64" s="267"/>
      <c r="DP64" s="267"/>
      <c r="DQ64" s="267"/>
      <c r="DR64" s="17">
        <f>DM64*1.1</f>
        <v>0</v>
      </c>
      <c r="DS64" s="267"/>
      <c r="DT64" s="267"/>
      <c r="DU64" s="267"/>
      <c r="DV64" s="267"/>
      <c r="DW64" s="17">
        <f>DR64*1.1</f>
        <v>0</v>
      </c>
      <c r="DX64" s="267"/>
      <c r="DY64" s="267"/>
      <c r="DZ64" s="267"/>
      <c r="EA64" s="267"/>
      <c r="EB64" s="17">
        <f>DW64*1.1</f>
        <v>0</v>
      </c>
      <c r="EC64" s="267"/>
      <c r="ED64" s="267"/>
      <c r="EE64" s="267"/>
      <c r="EF64" s="267"/>
      <c r="EG64" s="17">
        <f>EB64*1.1</f>
        <v>0</v>
      </c>
      <c r="EH64" s="267"/>
      <c r="EI64" s="267"/>
      <c r="EJ64" s="267"/>
      <c r="EK64" s="267"/>
      <c r="EL64" s="17">
        <f>EG64*1.1</f>
        <v>0</v>
      </c>
    </row>
    <row r="65" spans="2:150" hidden="1" outlineLevel="1">
      <c r="B65" s="9" t="s">
        <v>75</v>
      </c>
      <c r="C65" s="145"/>
      <c r="D65" s="145"/>
      <c r="E65" s="145"/>
      <c r="F65" s="145"/>
      <c r="G65" s="17"/>
      <c r="H65" s="145"/>
      <c r="I65" s="145"/>
      <c r="J65" s="145"/>
      <c r="K65" s="145"/>
      <c r="L65" s="17"/>
      <c r="M65" s="145"/>
      <c r="N65" s="145"/>
      <c r="O65" s="145"/>
      <c r="P65" s="145"/>
      <c r="Q65" s="17"/>
      <c r="R65" s="145"/>
      <c r="S65" s="145"/>
      <c r="T65" s="145"/>
      <c r="U65" s="145"/>
      <c r="V65" s="17"/>
      <c r="W65" s="145"/>
      <c r="X65" s="145"/>
      <c r="Y65" s="145"/>
      <c r="Z65" s="145"/>
      <c r="AA65" s="17"/>
      <c r="AB65" s="145"/>
      <c r="AC65" s="145"/>
      <c r="AD65" s="145"/>
      <c r="AE65" s="145"/>
      <c r="AF65" s="17"/>
      <c r="AG65" s="145"/>
      <c r="AH65" s="145"/>
      <c r="AI65" s="145"/>
      <c r="AJ65" s="145"/>
      <c r="AK65" s="17"/>
      <c r="AL65" s="145"/>
      <c r="AM65" s="145"/>
      <c r="AN65" s="145"/>
      <c r="AO65" s="145"/>
      <c r="AP65" s="17"/>
      <c r="AQ65" s="145"/>
      <c r="AR65" s="145"/>
      <c r="AS65" s="145"/>
      <c r="AT65" s="145"/>
      <c r="AU65" s="17"/>
      <c r="AV65" s="145"/>
      <c r="AW65" s="145"/>
      <c r="AX65" s="145"/>
      <c r="AY65" s="145"/>
      <c r="AZ65" s="17"/>
      <c r="BA65" s="267"/>
      <c r="BB65" s="267"/>
      <c r="BC65" s="267"/>
      <c r="BD65" s="267">
        <v>-27.2</v>
      </c>
      <c r="BE65" s="17"/>
      <c r="BF65" s="267"/>
      <c r="BG65" s="339">
        <v>-35</v>
      </c>
      <c r="BH65" s="267"/>
      <c r="BI65" s="267"/>
      <c r="BJ65" s="3">
        <f>SUM(BF65:BI65)</f>
        <v>-35</v>
      </c>
      <c r="BK65" s="267"/>
      <c r="BL65" s="339"/>
      <c r="BM65" s="339"/>
      <c r="BN65" s="267">
        <v>0</v>
      </c>
      <c r="BO65" s="17">
        <f t="shared" si="86"/>
        <v>0</v>
      </c>
      <c r="BP65" s="339"/>
      <c r="BQ65" s="439"/>
      <c r="BR65" s="439"/>
      <c r="BS65" s="267"/>
      <c r="BT65" s="17"/>
      <c r="BU65" s="267"/>
      <c r="BV65" s="267"/>
      <c r="BW65" s="267"/>
      <c r="BX65" s="267">
        <f>-109.7-18.5</f>
        <v>-128.19999999999999</v>
      </c>
      <c r="BY65" s="17">
        <f t="shared" si="85"/>
        <v>-128.19999999999999</v>
      </c>
      <c r="BZ65" s="267">
        <f>3.8+6.4</f>
        <v>10.199999999999999</v>
      </c>
      <c r="CA65" s="267"/>
      <c r="CB65" s="267"/>
      <c r="CC65" s="267"/>
      <c r="CD65" s="17"/>
      <c r="CE65" s="267"/>
      <c r="CF65" s="267"/>
      <c r="CG65" s="267"/>
      <c r="CH65" s="267"/>
      <c r="CI65" s="17"/>
      <c r="CJ65" s="267"/>
      <c r="CK65" s="267"/>
      <c r="CL65" s="267"/>
      <c r="CM65" s="267"/>
      <c r="CN65" s="17"/>
      <c r="CO65" s="267"/>
      <c r="CP65" s="267"/>
      <c r="CQ65" s="267"/>
      <c r="CR65" s="267"/>
      <c r="CS65" s="17"/>
      <c r="CT65" s="267"/>
      <c r="CU65" s="267"/>
      <c r="CV65" s="267"/>
      <c r="CW65" s="267"/>
      <c r="CX65" s="17"/>
      <c r="CY65" s="267"/>
      <c r="CZ65" s="267"/>
      <c r="DA65" s="267"/>
      <c r="DB65" s="267"/>
      <c r="DC65" s="17"/>
      <c r="DD65" s="267"/>
      <c r="DE65" s="267"/>
      <c r="DF65" s="267"/>
      <c r="DG65" s="267"/>
      <c r="DH65" s="17"/>
      <c r="DI65" s="267"/>
      <c r="DJ65" s="267"/>
      <c r="DK65" s="267"/>
      <c r="DL65" s="267"/>
      <c r="DM65" s="17"/>
      <c r="DN65" s="267"/>
      <c r="DO65" s="267"/>
      <c r="DP65" s="267"/>
      <c r="DQ65" s="267"/>
      <c r="DR65" s="17"/>
      <c r="DS65" s="267"/>
      <c r="DT65" s="267"/>
      <c r="DU65" s="267"/>
      <c r="DV65" s="267"/>
      <c r="DW65" s="17"/>
      <c r="DX65" s="267"/>
      <c r="DY65" s="267"/>
      <c r="DZ65" s="267"/>
      <c r="EA65" s="267"/>
      <c r="EB65" s="17"/>
      <c r="EC65" s="267"/>
      <c r="ED65" s="267"/>
      <c r="EE65" s="267"/>
      <c r="EF65" s="267"/>
      <c r="EG65" s="17"/>
      <c r="EH65" s="267"/>
      <c r="EI65" s="267"/>
      <c r="EJ65" s="267"/>
      <c r="EK65" s="267"/>
      <c r="EL65" s="17"/>
    </row>
    <row r="66" spans="2:150" hidden="1" outlineLevel="1">
      <c r="B66" s="9"/>
      <c r="C66" s="145"/>
      <c r="D66" s="145"/>
      <c r="E66" s="145"/>
      <c r="F66" s="145"/>
      <c r="G66" s="17"/>
      <c r="H66" s="145"/>
      <c r="I66" s="145"/>
      <c r="J66" s="145"/>
      <c r="K66" s="145"/>
      <c r="L66" s="17"/>
      <c r="M66" s="145"/>
      <c r="N66" s="145"/>
      <c r="O66" s="145"/>
      <c r="P66" s="145"/>
      <c r="Q66" s="17"/>
      <c r="R66" s="145"/>
      <c r="S66" s="145"/>
      <c r="T66" s="145"/>
      <c r="U66" s="145"/>
      <c r="V66" s="17"/>
      <c r="W66" s="145"/>
      <c r="X66" s="145"/>
      <c r="Y66" s="145"/>
      <c r="Z66" s="145"/>
      <c r="AA66" s="17"/>
      <c r="AB66" s="145"/>
      <c r="AC66" s="145"/>
      <c r="AD66" s="145"/>
      <c r="AE66" s="145"/>
      <c r="AF66" s="17"/>
      <c r="AG66" s="145"/>
      <c r="AH66" s="145"/>
      <c r="AI66" s="145"/>
      <c r="AJ66" s="145"/>
      <c r="AK66" s="17"/>
      <c r="AL66" s="145"/>
      <c r="AM66" s="145"/>
      <c r="AN66" s="145"/>
      <c r="AO66" s="145"/>
      <c r="AP66" s="17"/>
      <c r="AQ66" s="145"/>
      <c r="AR66" s="145"/>
      <c r="AS66" s="145"/>
      <c r="AT66" s="145"/>
      <c r="AU66" s="17"/>
      <c r="AV66" s="145"/>
      <c r="AW66" s="145"/>
      <c r="AX66" s="145"/>
      <c r="AY66" s="145"/>
      <c r="AZ66" s="17"/>
      <c r="BA66" s="267"/>
      <c r="BB66" s="267"/>
      <c r="BC66" s="267"/>
      <c r="BD66" s="267"/>
      <c r="BE66" s="17"/>
      <c r="BF66" s="267"/>
      <c r="BG66" s="267"/>
      <c r="BH66" s="267"/>
      <c r="BI66" s="267"/>
      <c r="BJ66" s="17"/>
      <c r="BK66" s="267"/>
      <c r="BL66" s="339"/>
      <c r="BM66" s="339"/>
      <c r="BN66" s="267"/>
      <c r="BO66" s="17"/>
      <c r="BP66" s="339"/>
      <c r="BQ66" s="267"/>
      <c r="BR66" s="267"/>
      <c r="BS66" s="267"/>
      <c r="BT66" s="17"/>
      <c r="BU66" s="267"/>
      <c r="BV66" s="267"/>
      <c r="BW66" s="267"/>
      <c r="BX66" s="267"/>
      <c r="BY66" s="17"/>
      <c r="BZ66" s="267"/>
      <c r="CA66" s="267"/>
      <c r="CB66" s="267"/>
      <c r="CC66" s="267"/>
      <c r="CD66" s="17"/>
      <c r="CE66" s="267"/>
      <c r="CF66" s="267"/>
      <c r="CG66" s="267"/>
      <c r="CH66" s="267"/>
      <c r="CI66" s="17"/>
      <c r="CJ66" s="267"/>
      <c r="CK66" s="267"/>
      <c r="CL66" s="267"/>
      <c r="CM66" s="267"/>
      <c r="CN66" s="17"/>
      <c r="CO66" s="267"/>
      <c r="CP66" s="267"/>
      <c r="CQ66" s="267"/>
      <c r="CR66" s="267"/>
      <c r="CS66" s="17"/>
      <c r="CT66" s="267"/>
      <c r="CU66" s="267"/>
      <c r="CV66" s="267"/>
      <c r="CW66" s="267"/>
      <c r="CX66" s="17"/>
      <c r="CY66" s="267"/>
      <c r="CZ66" s="267"/>
      <c r="DA66" s="267"/>
      <c r="DB66" s="267"/>
      <c r="DC66" s="17"/>
      <c r="DD66" s="267"/>
      <c r="DE66" s="267"/>
      <c r="DF66" s="267"/>
      <c r="DG66" s="267"/>
      <c r="DH66" s="17"/>
      <c r="DI66" s="267"/>
      <c r="DJ66" s="267"/>
      <c r="DK66" s="267"/>
      <c r="DL66" s="267"/>
      <c r="DM66" s="17"/>
      <c r="DN66" s="267"/>
      <c r="DO66" s="267"/>
      <c r="DP66" s="267"/>
      <c r="DQ66" s="267"/>
      <c r="DR66" s="17"/>
      <c r="DS66" s="267"/>
      <c r="DT66" s="267"/>
      <c r="DU66" s="267"/>
      <c r="DV66" s="267"/>
      <c r="DW66" s="17"/>
      <c r="DX66" s="267"/>
      <c r="DY66" s="267"/>
      <c r="DZ66" s="267"/>
      <c r="EA66" s="267"/>
      <c r="EB66" s="17"/>
      <c r="EC66" s="267"/>
      <c r="ED66" s="267"/>
      <c r="EE66" s="267"/>
      <c r="EF66" s="267"/>
      <c r="EG66" s="17"/>
      <c r="EH66" s="267"/>
      <c r="EI66" s="267"/>
      <c r="EJ66" s="267"/>
      <c r="EK66" s="267"/>
      <c r="EL66" s="17"/>
    </row>
    <row r="67" spans="2:150" s="3" customFormat="1" hidden="1" outlineLevel="1">
      <c r="B67" s="8" t="s">
        <v>143</v>
      </c>
      <c r="C67" s="145">
        <v>29.4</v>
      </c>
      <c r="D67" s="145">
        <v>30.2</v>
      </c>
      <c r="E67" s="145">
        <v>30</v>
      </c>
      <c r="F67" s="145">
        <f>+G67-SUM(C67:E67)</f>
        <v>116.20000000000002</v>
      </c>
      <c r="G67" s="17">
        <v>205.8</v>
      </c>
      <c r="H67" s="145">
        <v>98</v>
      </c>
      <c r="I67" s="145">
        <v>53.2</v>
      </c>
      <c r="J67" s="145">
        <v>29.6</v>
      </c>
      <c r="K67" s="145">
        <f>+L67-SUM(H67:J67)</f>
        <v>14.600000000000023</v>
      </c>
      <c r="L67" s="17">
        <v>195.4</v>
      </c>
      <c r="M67" s="145">
        <v>23.1</v>
      </c>
      <c r="N67" s="145">
        <v>49</v>
      </c>
      <c r="O67" s="145">
        <v>40.9</v>
      </c>
      <c r="P67" s="145">
        <f>+Q67-SUM(M67:O67)</f>
        <v>32.199999999999989</v>
      </c>
      <c r="Q67" s="17">
        <v>145.19999999999999</v>
      </c>
      <c r="R67" s="145">
        <v>18.399999999999999</v>
      </c>
      <c r="S67" s="145">
        <v>20.9</v>
      </c>
      <c r="T67" s="145">
        <v>25.6</v>
      </c>
      <c r="U67" s="145">
        <f>+V67-SUM(R67:T67)</f>
        <v>5.3999999999999915</v>
      </c>
      <c r="V67" s="17">
        <v>70.3</v>
      </c>
      <c r="W67" s="145">
        <v>16.600000000000001</v>
      </c>
      <c r="X67" s="145">
        <v>16</v>
      </c>
      <c r="Y67" s="145">
        <v>16.899999999999999</v>
      </c>
      <c r="Z67" s="145">
        <f>+AA67-SUM(W67:Y67)</f>
        <v>16</v>
      </c>
      <c r="AA67" s="17">
        <v>65.5</v>
      </c>
      <c r="AB67" s="145">
        <v>18.399999999999999</v>
      </c>
      <c r="AC67" s="145">
        <v>16.100000000000001</v>
      </c>
      <c r="AD67" s="145">
        <v>24.1</v>
      </c>
      <c r="AE67" s="145">
        <f>+AF67-SUM(AB67:AD67)</f>
        <v>23.300000000000004</v>
      </c>
      <c r="AF67" s="17">
        <v>81.900000000000006</v>
      </c>
      <c r="AG67" s="145">
        <v>35.4</v>
      </c>
      <c r="AH67" s="145">
        <v>24.8</v>
      </c>
      <c r="AI67" s="145">
        <v>12.5</v>
      </c>
      <c r="AJ67" s="145">
        <f>+AK67-SUM(AG67:AI67)</f>
        <v>24.200000000000003</v>
      </c>
      <c r="AK67" s="17">
        <v>96.9</v>
      </c>
      <c r="AL67" s="145">
        <v>27.2</v>
      </c>
      <c r="AM67" s="145">
        <v>15.1</v>
      </c>
      <c r="AN67" s="145">
        <v>45.4</v>
      </c>
      <c r="AO67" s="145">
        <f>+AP67-SUM(AL67:AN67)</f>
        <v>28.400000000000006</v>
      </c>
      <c r="AP67" s="17">
        <v>116.1</v>
      </c>
      <c r="AQ67" s="145">
        <v>18.600000000000001</v>
      </c>
      <c r="AR67" s="145">
        <v>14.8</v>
      </c>
      <c r="AS67" s="145">
        <v>14.9</v>
      </c>
      <c r="AT67" s="145">
        <v>13.6</v>
      </c>
      <c r="AU67" s="17">
        <f>SUM(AQ67:AT67)</f>
        <v>61.900000000000006</v>
      </c>
      <c r="AV67" s="145">
        <f>11.6</f>
        <v>11.6</v>
      </c>
      <c r="AW67" s="145">
        <v>14.4</v>
      </c>
      <c r="AX67" s="145">
        <v>14.8</v>
      </c>
      <c r="AY67" s="145">
        <v>12.3</v>
      </c>
      <c r="AZ67" s="17">
        <f>SUM(AV67:AY67)</f>
        <v>53.099999999999994</v>
      </c>
      <c r="BA67" s="267">
        <v>11.7</v>
      </c>
      <c r="BB67" s="267">
        <v>18</v>
      </c>
      <c r="BC67" s="267">
        <v>26</v>
      </c>
      <c r="BD67" s="267">
        <v>37.299999999999997</v>
      </c>
      <c r="BE67" s="17">
        <f>SUM(BA67:BD67)</f>
        <v>93</v>
      </c>
      <c r="BF67" s="339">
        <v>37</v>
      </c>
      <c r="BG67" s="339">
        <v>40.1</v>
      </c>
      <c r="BH67" s="339">
        <v>29.2</v>
      </c>
      <c r="BI67" s="339">
        <v>28.7</v>
      </c>
      <c r="BJ67" s="3">
        <f>SUM(BF67:BI67)</f>
        <v>135</v>
      </c>
      <c r="BK67" s="339">
        <v>22.6</v>
      </c>
      <c r="BL67" s="339">
        <v>17.100000000000001</v>
      </c>
      <c r="BM67" s="339">
        <v>17.7</v>
      </c>
      <c r="BN67" s="339">
        <v>46.9</v>
      </c>
      <c r="BO67" s="3">
        <f>SUM(BK67:BN67)</f>
        <v>104.30000000000001</v>
      </c>
      <c r="BP67" s="339">
        <v>19.2</v>
      </c>
      <c r="BQ67" s="339">
        <v>27.1</v>
      </c>
      <c r="BR67" s="339">
        <v>32.4</v>
      </c>
      <c r="BS67" s="267">
        <v>146.19999999999999</v>
      </c>
      <c r="BT67" s="17">
        <f>-SUM(BT59:BT64)*BT40</f>
        <v>109.23339004389399</v>
      </c>
      <c r="BU67" s="267">
        <v>102.4</v>
      </c>
      <c r="BV67" s="267">
        <v>52.4</v>
      </c>
      <c r="BW67" s="267">
        <v>27.7</v>
      </c>
      <c r="BX67" s="267">
        <f>30.5+-1173.6</f>
        <v>-1143.0999999999999</v>
      </c>
      <c r="BY67" s="17">
        <f>SUM(BU67:BX67)</f>
        <v>-960.59999999999991</v>
      </c>
      <c r="BZ67" s="267">
        <v>-11.3</v>
      </c>
      <c r="CA67" s="267">
        <f>CD67/4</f>
        <v>19.308500000000002</v>
      </c>
      <c r="CB67" s="267">
        <f>CD67/4</f>
        <v>19.308500000000002</v>
      </c>
      <c r="CC67" s="527">
        <f>CD67-SUM(BZ67:CB67)</f>
        <v>49.917000000000002</v>
      </c>
      <c r="CD67" s="17">
        <f>-SUM(CD59:CD64)*CD40</f>
        <v>77.234000000000009</v>
      </c>
      <c r="CE67" s="267"/>
      <c r="CF67" s="267"/>
      <c r="CG67" s="267"/>
      <c r="CH67" s="267"/>
      <c r="CI67" s="17">
        <f>-SUM(CI59:CI64)*CI40</f>
        <v>79.92</v>
      </c>
      <c r="CJ67" s="267"/>
      <c r="CK67" s="267"/>
      <c r="CL67" s="267"/>
      <c r="CM67" s="267"/>
      <c r="CN67" s="17">
        <f>-SUM(CN59:CN64)*CN40</f>
        <v>83.643999999999991</v>
      </c>
      <c r="CO67" s="267"/>
      <c r="CP67" s="267"/>
      <c r="CQ67" s="267"/>
      <c r="CR67" s="267"/>
      <c r="CS67" s="17">
        <f>-SUM(CS59:CS64)*CS40</f>
        <v>87.117999999999995</v>
      </c>
      <c r="CT67" s="267"/>
      <c r="CU67" s="267"/>
      <c r="CV67" s="267"/>
      <c r="CW67" s="267"/>
      <c r="CX67" s="17">
        <f>-SUM(CX59:CX64)*CX40</f>
        <v>90.341999999999999</v>
      </c>
      <c r="CY67" s="267"/>
      <c r="CZ67" s="267"/>
      <c r="DA67" s="267"/>
      <c r="DB67" s="267"/>
      <c r="DC67" s="17">
        <f>-SUM(DC59:DC64)*DC40</f>
        <v>95.591999999999999</v>
      </c>
      <c r="DD67" s="267"/>
      <c r="DE67" s="267"/>
      <c r="DF67" s="267"/>
      <c r="DG67" s="267"/>
      <c r="DH67" s="17">
        <f>-SUM(DH59:DH64)*DH40</f>
        <v>100.842</v>
      </c>
      <c r="DI67" s="267"/>
      <c r="DJ67" s="267"/>
      <c r="DK67" s="267"/>
      <c r="DL67" s="267"/>
      <c r="DM67" s="17">
        <f>-SUM(DM59:DM64)*DM40</f>
        <v>106.092</v>
      </c>
      <c r="DN67" s="267"/>
      <c r="DO67" s="267"/>
      <c r="DP67" s="267"/>
      <c r="DQ67" s="267"/>
      <c r="DR67" s="17">
        <f>-SUM(DR59:DR64)*DR40</f>
        <v>111.342</v>
      </c>
      <c r="DS67" s="267"/>
      <c r="DT67" s="267"/>
      <c r="DU67" s="267"/>
      <c r="DV67" s="267"/>
      <c r="DW67" s="17">
        <f>-SUM(DW59:DW64)*DW40</f>
        <v>116.592</v>
      </c>
      <c r="DX67" s="267"/>
      <c r="DY67" s="267"/>
      <c r="DZ67" s="267"/>
      <c r="EA67" s="267"/>
      <c r="EB67" s="17">
        <f>-SUM(EB59:EB64)*EB40</f>
        <v>121.842</v>
      </c>
      <c r="EC67" s="267"/>
      <c r="ED67" s="267"/>
      <c r="EE67" s="267"/>
      <c r="EF67" s="267"/>
      <c r="EG67" s="17">
        <f>-SUM(EG59:EG64)*EG40</f>
        <v>127.092</v>
      </c>
      <c r="EH67" s="267"/>
      <c r="EI67" s="267"/>
      <c r="EJ67" s="267"/>
      <c r="EK67" s="267"/>
      <c r="EL67" s="17">
        <f>-SUM(EL59:EL64)*EL40</f>
        <v>132.34200000000001</v>
      </c>
      <c r="EO67"/>
      <c r="EP67"/>
      <c r="EQ67"/>
      <c r="ER67"/>
      <c r="ES67"/>
      <c r="ET67"/>
    </row>
    <row r="68" spans="2:150" hidden="1" outlineLevel="1">
      <c r="B68" s="9"/>
      <c r="C68" s="145"/>
      <c r="D68" s="145"/>
      <c r="E68" s="145"/>
      <c r="F68" s="145"/>
      <c r="G68" s="17"/>
      <c r="H68" s="145"/>
      <c r="I68" s="145"/>
      <c r="J68" s="145"/>
      <c r="K68" s="145"/>
      <c r="L68" s="17"/>
      <c r="M68" s="145"/>
      <c r="N68" s="145"/>
      <c r="O68" s="145"/>
      <c r="P68" s="145"/>
      <c r="Q68" s="17"/>
      <c r="R68" s="145"/>
      <c r="S68" s="145"/>
      <c r="T68" s="145"/>
      <c r="U68" s="145"/>
      <c r="V68" s="17"/>
      <c r="W68" s="145"/>
      <c r="X68" s="145"/>
      <c r="Y68" s="145"/>
      <c r="Z68" s="145"/>
      <c r="AA68" s="17"/>
      <c r="AB68" s="145"/>
      <c r="AC68" s="145"/>
      <c r="AD68" s="145"/>
      <c r="AE68" s="145"/>
      <c r="AF68" s="17"/>
      <c r="AG68" s="145"/>
      <c r="AH68" s="145"/>
      <c r="AI68" s="145"/>
      <c r="AJ68" s="145"/>
      <c r="AK68" s="17"/>
      <c r="AL68" s="145"/>
      <c r="AM68" s="145"/>
      <c r="AN68" s="145"/>
      <c r="AO68" s="145"/>
      <c r="AP68" s="17"/>
      <c r="AQ68" s="145"/>
      <c r="AR68" s="145"/>
      <c r="AS68" s="145"/>
      <c r="AT68" s="145"/>
      <c r="AU68" s="17"/>
      <c r="AV68" s="145"/>
      <c r="AW68" s="145"/>
      <c r="AX68" s="145"/>
      <c r="AY68" s="145"/>
      <c r="AZ68" s="17"/>
      <c r="BA68" s="267"/>
      <c r="BB68" s="267"/>
      <c r="BC68" s="267"/>
      <c r="BD68" s="267"/>
      <c r="BE68" s="17"/>
      <c r="BF68" s="267"/>
      <c r="BG68" s="267"/>
      <c r="BH68" s="267"/>
      <c r="BI68" s="267"/>
      <c r="BJ68" s="17"/>
      <c r="BK68" s="274">
        <f t="shared" ref="BK68:BP68" si="87">(BK39-BK67)/BK100</f>
        <v>0.34274954979930972</v>
      </c>
      <c r="BL68" s="274">
        <f t="shared" si="87"/>
        <v>0.31531940398907332</v>
      </c>
      <c r="BM68" s="274">
        <f t="shared" si="87"/>
        <v>0.34172426894197833</v>
      </c>
      <c r="BN68" s="274">
        <f t="shared" si="87"/>
        <v>0.30939894051020156</v>
      </c>
      <c r="BO68" s="68">
        <f t="shared" si="87"/>
        <v>0.3274672138103023</v>
      </c>
      <c r="BP68" s="274">
        <f t="shared" si="87"/>
        <v>0.3670820887836026</v>
      </c>
      <c r="BQ68" s="274">
        <f t="shared" ref="BQ68:BS68" si="88">(BQ39-BQ67)/BQ100</f>
        <v>0.33682606210706817</v>
      </c>
      <c r="BR68" s="274">
        <f t="shared" si="88"/>
        <v>0.32626585342240305</v>
      </c>
      <c r="BS68" s="274">
        <f t="shared" si="88"/>
        <v>0.29313000616142942</v>
      </c>
      <c r="BT68" s="17"/>
      <c r="BU68" s="274">
        <f t="shared" ref="BU68:BX68" si="89">(BU39-BU67)/BU100</f>
        <v>0.31999999999999978</v>
      </c>
      <c r="BV68" s="274">
        <f t="shared" si="89"/>
        <v>0.31247102457116382</v>
      </c>
      <c r="BW68" s="274">
        <f t="shared" si="89"/>
        <v>0.31302503874072268</v>
      </c>
      <c r="BX68" s="274">
        <f t="shared" si="89"/>
        <v>-5.2647497667228205</v>
      </c>
      <c r="BY68" s="17"/>
      <c r="BZ68" s="274"/>
      <c r="CA68" s="267"/>
      <c r="CB68" s="267"/>
      <c r="CC68" s="267"/>
      <c r="CD68" s="17"/>
      <c r="CE68" s="267"/>
      <c r="CF68" s="267"/>
      <c r="CG68" s="267"/>
      <c r="CH68" s="267"/>
      <c r="CI68" s="17"/>
      <c r="CJ68" s="267"/>
      <c r="CK68" s="267"/>
      <c r="CL68" s="267"/>
      <c r="CM68" s="267"/>
      <c r="CN68" s="17"/>
      <c r="CO68" s="267"/>
      <c r="CP68" s="267"/>
      <c r="CQ68" s="267"/>
      <c r="CR68" s="267"/>
      <c r="CS68" s="17"/>
      <c r="CT68" s="267"/>
      <c r="CU68" s="267"/>
      <c r="CV68" s="267"/>
      <c r="CW68" s="267"/>
      <c r="CX68" s="17"/>
      <c r="CY68" s="267"/>
      <c r="CZ68" s="267"/>
      <c r="DA68" s="267"/>
      <c r="DB68" s="267"/>
      <c r="DC68" s="17"/>
      <c r="DD68" s="267"/>
      <c r="DE68" s="267"/>
      <c r="DF68" s="267"/>
      <c r="DG68" s="267"/>
      <c r="DH68" s="17"/>
      <c r="DI68" s="267"/>
      <c r="DJ68" s="267"/>
      <c r="DK68" s="267"/>
      <c r="DL68" s="267"/>
      <c r="DM68" s="17"/>
      <c r="DN68" s="267"/>
      <c r="DO68" s="267"/>
      <c r="DP68" s="267"/>
      <c r="DQ68" s="267"/>
      <c r="DR68" s="17"/>
      <c r="DS68" s="267"/>
      <c r="DT68" s="267"/>
      <c r="DU68" s="267"/>
      <c r="DV68" s="267"/>
      <c r="DW68" s="17"/>
      <c r="DX68" s="267"/>
      <c r="DY68" s="267"/>
      <c r="DZ68" s="267"/>
      <c r="EA68" s="267"/>
      <c r="EB68" s="17"/>
      <c r="EC68" s="267"/>
      <c r="ED68" s="267"/>
      <c r="EE68" s="267"/>
      <c r="EF68" s="267"/>
      <c r="EG68" s="17"/>
      <c r="EH68" s="267"/>
      <c r="EI68" s="267"/>
      <c r="EJ68" s="267"/>
      <c r="EK68" s="267"/>
      <c r="EL68" s="17"/>
    </row>
    <row r="69" spans="2:150" s="36" customFormat="1" hidden="1" outlineLevel="1">
      <c r="B69" s="38" t="s">
        <v>178</v>
      </c>
      <c r="C69" s="162"/>
      <c r="D69" s="162"/>
      <c r="E69" s="162"/>
      <c r="F69" s="162"/>
      <c r="G69" s="51"/>
      <c r="H69" s="162"/>
      <c r="I69" s="162"/>
      <c r="J69" s="162"/>
      <c r="K69" s="162"/>
      <c r="L69" s="51"/>
      <c r="M69" s="162"/>
      <c r="N69" s="162"/>
      <c r="O69" s="162"/>
      <c r="P69" s="162"/>
      <c r="Q69" s="51"/>
      <c r="R69" s="162"/>
      <c r="S69" s="162"/>
      <c r="T69" s="162"/>
      <c r="U69" s="162"/>
      <c r="V69" s="51"/>
      <c r="W69" s="162"/>
      <c r="X69" s="162"/>
      <c r="Y69" s="162"/>
      <c r="Z69" s="162"/>
      <c r="AA69" s="51"/>
      <c r="AB69" s="162"/>
      <c r="AC69" s="162"/>
      <c r="AD69" s="162"/>
      <c r="AE69" s="162"/>
      <c r="AF69" s="51"/>
      <c r="AG69" s="162"/>
      <c r="AH69" s="162"/>
      <c r="AI69" s="162"/>
      <c r="AJ69" s="162"/>
      <c r="AK69" s="51"/>
      <c r="AL69" s="162"/>
      <c r="AM69" s="162"/>
      <c r="AN69" s="162"/>
      <c r="AO69" s="162"/>
      <c r="AP69" s="51"/>
      <c r="AQ69" s="162"/>
      <c r="AR69" s="162"/>
      <c r="AS69" s="162"/>
      <c r="AT69" s="162"/>
      <c r="AU69" s="51"/>
      <c r="AV69" s="162"/>
      <c r="AW69" s="162"/>
      <c r="AX69" s="162"/>
      <c r="AY69" s="162"/>
      <c r="AZ69" s="51"/>
      <c r="BA69" s="268"/>
      <c r="BB69" s="268"/>
      <c r="BC69" s="268"/>
      <c r="BD69" s="268"/>
      <c r="BE69" s="51"/>
      <c r="BF69" s="268"/>
      <c r="BG69" s="268"/>
      <c r="BH69" s="268"/>
      <c r="BI69" s="268"/>
      <c r="BJ69" s="305"/>
      <c r="BK69" s="268"/>
      <c r="BL69" s="268"/>
      <c r="BM69" s="268"/>
      <c r="BN69" s="268"/>
      <c r="BO69" s="51"/>
      <c r="BP69" s="268"/>
      <c r="BQ69" s="268"/>
      <c r="BR69" s="268"/>
      <c r="BS69" s="268"/>
      <c r="BT69" s="51"/>
      <c r="BU69" s="268"/>
      <c r="BV69" s="268"/>
      <c r="BW69" s="268"/>
      <c r="BX69" s="268"/>
      <c r="BY69" s="51"/>
      <c r="BZ69" s="268"/>
      <c r="CA69" s="268"/>
      <c r="CB69" s="268"/>
      <c r="CC69" s="268"/>
      <c r="CD69" s="51"/>
      <c r="CE69" s="268"/>
      <c r="CF69" s="268"/>
      <c r="CG69" s="268"/>
      <c r="CH69" s="268"/>
      <c r="CI69" s="51"/>
      <c r="CJ69" s="268"/>
      <c r="CK69" s="268"/>
      <c r="CL69" s="268"/>
      <c r="CM69" s="268"/>
      <c r="CN69" s="51"/>
      <c r="CO69" s="268"/>
      <c r="CP69" s="268"/>
      <c r="CQ69" s="268"/>
      <c r="CR69" s="268"/>
      <c r="CS69" s="51"/>
      <c r="CT69" s="268"/>
      <c r="CU69" s="268"/>
      <c r="CV69" s="268"/>
      <c r="CW69" s="268"/>
      <c r="CX69" s="51"/>
      <c r="CY69" s="268"/>
      <c r="CZ69" s="268"/>
      <c r="DA69" s="268"/>
      <c r="DB69" s="268"/>
      <c r="DC69" s="51"/>
      <c r="DD69" s="268"/>
      <c r="DE69" s="268"/>
      <c r="DF69" s="268"/>
      <c r="DG69" s="268"/>
      <c r="DH69" s="51"/>
      <c r="DI69" s="268"/>
      <c r="DJ69" s="268"/>
      <c r="DK69" s="268"/>
      <c r="DL69" s="268"/>
      <c r="DM69" s="51"/>
      <c r="DN69" s="268"/>
      <c r="DO69" s="268"/>
      <c r="DP69" s="268"/>
      <c r="DQ69" s="268"/>
      <c r="DR69" s="51"/>
      <c r="DS69" s="268"/>
      <c r="DT69" s="268"/>
      <c r="DU69" s="268"/>
      <c r="DV69" s="268"/>
      <c r="DW69" s="51"/>
      <c r="DX69" s="268"/>
      <c r="DY69" s="268"/>
      <c r="DZ69" s="268"/>
      <c r="EA69" s="268"/>
      <c r="EB69" s="51"/>
      <c r="EC69" s="268"/>
      <c r="ED69" s="268"/>
      <c r="EE69" s="268"/>
      <c r="EF69" s="268"/>
      <c r="EG69" s="51"/>
      <c r="EH69" s="268"/>
      <c r="EI69" s="268"/>
      <c r="EJ69" s="268"/>
      <c r="EK69" s="268"/>
      <c r="EL69" s="51"/>
      <c r="EO69"/>
      <c r="EP69"/>
      <c r="EQ69"/>
      <c r="ER69"/>
      <c r="ES69"/>
      <c r="ET69"/>
    </row>
    <row r="70" spans="2:150" s="36" customFormat="1" hidden="1" outlineLevel="2">
      <c r="B70" s="38"/>
      <c r="C70" s="162"/>
      <c r="D70" s="162"/>
      <c r="E70" s="162"/>
      <c r="F70" s="162"/>
      <c r="G70" s="51"/>
      <c r="H70" s="162"/>
      <c r="I70" s="162"/>
      <c r="J70" s="162"/>
      <c r="K70" s="162"/>
      <c r="L70" s="51"/>
      <c r="M70" s="162"/>
      <c r="N70" s="162"/>
      <c r="O70" s="162"/>
      <c r="P70" s="162"/>
      <c r="Q70" s="51"/>
      <c r="R70" s="162"/>
      <c r="S70" s="162"/>
      <c r="T70" s="162"/>
      <c r="U70" s="162"/>
      <c r="V70" s="51"/>
      <c r="W70" s="162"/>
      <c r="X70" s="162"/>
      <c r="Y70" s="162"/>
      <c r="Z70" s="162"/>
      <c r="AA70" s="51"/>
      <c r="AB70" s="162"/>
      <c r="AC70" s="162"/>
      <c r="AD70" s="162"/>
      <c r="AE70" s="162"/>
      <c r="AF70" s="51"/>
      <c r="AG70" s="162"/>
      <c r="AH70" s="162"/>
      <c r="AI70" s="162"/>
      <c r="AJ70" s="162"/>
      <c r="AK70" s="51"/>
      <c r="AL70" s="162"/>
      <c r="AM70" s="162"/>
      <c r="AN70" s="162"/>
      <c r="AO70" s="162"/>
      <c r="AP70" s="51"/>
      <c r="AQ70" s="162"/>
      <c r="AR70" s="162"/>
      <c r="AS70" s="162"/>
      <c r="AT70" s="162"/>
      <c r="AU70" s="51"/>
      <c r="AV70" s="162"/>
      <c r="AW70" s="162"/>
      <c r="AX70" s="162"/>
      <c r="AY70" s="162"/>
      <c r="AZ70" s="51"/>
      <c r="BA70" s="268"/>
      <c r="BB70" s="268"/>
      <c r="BC70" s="268"/>
      <c r="BD70" s="268"/>
      <c r="BE70" s="51"/>
      <c r="BF70" s="268"/>
      <c r="BG70" s="268"/>
      <c r="BH70" s="268"/>
      <c r="BI70" s="268"/>
      <c r="BJ70" s="51"/>
      <c r="BK70" s="268"/>
      <c r="BL70" s="268"/>
      <c r="BM70" s="268"/>
      <c r="BN70" s="268"/>
      <c r="BO70" s="51"/>
      <c r="BP70" s="268"/>
      <c r="BQ70" s="268"/>
      <c r="BR70" s="268"/>
      <c r="BS70" s="268"/>
      <c r="BT70" s="51"/>
      <c r="BU70" s="268"/>
      <c r="BV70" s="268"/>
      <c r="BW70" s="268"/>
      <c r="BX70" s="268"/>
      <c r="BY70" s="51"/>
      <c r="BZ70" s="268"/>
      <c r="CA70" s="268"/>
      <c r="CB70" s="268"/>
      <c r="CC70" s="268"/>
      <c r="CD70" s="51"/>
      <c r="CE70" s="268"/>
      <c r="CF70" s="268"/>
      <c r="CG70" s="268"/>
      <c r="CH70" s="268"/>
      <c r="CI70" s="51"/>
      <c r="CJ70" s="268"/>
      <c r="CK70" s="268"/>
      <c r="CL70" s="268"/>
      <c r="CM70" s="268"/>
      <c r="CN70" s="51"/>
      <c r="CO70" s="268"/>
      <c r="CP70" s="268"/>
      <c r="CQ70" s="268"/>
      <c r="CR70" s="268"/>
      <c r="CS70" s="51"/>
      <c r="CT70" s="268"/>
      <c r="CU70" s="268"/>
      <c r="CV70" s="268"/>
      <c r="CW70" s="268"/>
      <c r="CX70" s="51"/>
      <c r="CY70" s="268"/>
      <c r="CZ70" s="268"/>
      <c r="DA70" s="268"/>
      <c r="DB70" s="268"/>
      <c r="DC70" s="51"/>
      <c r="DD70" s="268"/>
      <c r="DE70" s="268"/>
      <c r="DF70" s="268"/>
      <c r="DG70" s="268"/>
      <c r="DH70" s="51"/>
      <c r="DI70" s="268"/>
      <c r="DJ70" s="268"/>
      <c r="DK70" s="268"/>
      <c r="DL70" s="268"/>
      <c r="DM70" s="51"/>
      <c r="DN70" s="268"/>
      <c r="DO70" s="268"/>
      <c r="DP70" s="268"/>
      <c r="DQ70" s="268"/>
      <c r="DR70" s="51"/>
      <c r="DS70" s="268"/>
      <c r="DT70" s="268"/>
      <c r="DU70" s="268"/>
      <c r="DV70" s="268"/>
      <c r="DW70" s="51"/>
      <c r="DX70" s="268"/>
      <c r="DY70" s="268"/>
      <c r="DZ70" s="268"/>
      <c r="EA70" s="268"/>
      <c r="EB70" s="51"/>
      <c r="EC70" s="268"/>
      <c r="ED70" s="268"/>
      <c r="EE70" s="268"/>
      <c r="EF70" s="268"/>
      <c r="EG70" s="51"/>
      <c r="EH70" s="268"/>
      <c r="EI70" s="268"/>
      <c r="EJ70" s="268"/>
      <c r="EK70" s="268"/>
      <c r="EL70" s="51"/>
      <c r="EO70"/>
      <c r="EP70"/>
      <c r="EQ70"/>
      <c r="ER70"/>
      <c r="ES70"/>
      <c r="ET70"/>
    </row>
    <row r="71" spans="2:150" hidden="1" outlineLevel="2">
      <c r="B71" s="9" t="s">
        <v>119</v>
      </c>
      <c r="C71" s="145">
        <v>-278.2</v>
      </c>
      <c r="D71" s="145">
        <v>-293.10000000000002</v>
      </c>
      <c r="E71" s="145">
        <v>-310.10000000000002</v>
      </c>
      <c r="F71" s="145">
        <v>-175.5</v>
      </c>
      <c r="G71" s="17">
        <v>-1056.9000000000001</v>
      </c>
      <c r="H71" s="145"/>
      <c r="I71" s="145"/>
      <c r="J71" s="145"/>
      <c r="K71" s="145"/>
      <c r="L71" s="17"/>
      <c r="M71" s="145"/>
      <c r="N71" s="145"/>
      <c r="O71" s="145"/>
      <c r="P71" s="145"/>
      <c r="Q71" s="17"/>
      <c r="R71" s="145"/>
      <c r="S71" s="145"/>
      <c r="T71" s="145"/>
      <c r="U71" s="145"/>
      <c r="V71" s="17"/>
      <c r="W71" s="145"/>
      <c r="X71" s="145"/>
      <c r="Y71" s="145"/>
      <c r="Z71" s="145"/>
      <c r="AA71" s="17"/>
      <c r="AB71" s="145"/>
      <c r="AC71" s="145"/>
      <c r="AD71" s="145"/>
      <c r="AE71" s="145"/>
      <c r="AF71" s="17"/>
      <c r="AG71" s="145"/>
      <c r="AH71" s="145"/>
      <c r="AI71" s="145"/>
      <c r="AJ71" s="145"/>
      <c r="AK71" s="17"/>
      <c r="AL71" s="145"/>
      <c r="AM71" s="145"/>
      <c r="AN71" s="145"/>
      <c r="AO71" s="145"/>
      <c r="AP71" s="17"/>
      <c r="AQ71" s="145"/>
      <c r="AR71" s="145"/>
      <c r="AS71" s="145"/>
      <c r="AT71" s="145"/>
      <c r="AU71" s="17"/>
      <c r="AV71" s="145"/>
      <c r="AW71" s="145"/>
      <c r="AX71" s="145"/>
      <c r="AY71" s="145"/>
      <c r="AZ71" s="17"/>
      <c r="BA71" s="267"/>
      <c r="BB71" s="267"/>
      <c r="BC71" s="267"/>
      <c r="BD71" s="267"/>
      <c r="BE71" s="17"/>
      <c r="BF71" s="267"/>
      <c r="BG71" s="267"/>
      <c r="BH71" s="267"/>
      <c r="BI71" s="267"/>
      <c r="BJ71" s="17"/>
      <c r="BK71" s="267"/>
      <c r="BL71" s="267"/>
      <c r="BM71" s="267"/>
      <c r="BN71" s="267"/>
      <c r="BO71" s="17"/>
      <c r="BP71" s="267"/>
      <c r="BQ71" s="267"/>
      <c r="BR71" s="267"/>
      <c r="BS71" s="267"/>
      <c r="BT71" s="17"/>
      <c r="BU71" s="267"/>
      <c r="BV71" s="267"/>
      <c r="BW71" s="267"/>
      <c r="BX71" s="267"/>
      <c r="BY71" s="17"/>
      <c r="BZ71" s="267"/>
      <c r="CA71" s="267"/>
      <c r="CB71" s="267"/>
      <c r="CC71" s="267"/>
      <c r="CD71" s="17"/>
      <c r="CE71" s="267"/>
      <c r="CF71" s="267"/>
      <c r="CG71" s="267"/>
      <c r="CH71" s="267"/>
      <c r="CI71" s="17"/>
      <c r="CJ71" s="267"/>
      <c r="CK71" s="267"/>
      <c r="CL71" s="267"/>
      <c r="CM71" s="267"/>
      <c r="CN71" s="17"/>
      <c r="CO71" s="267"/>
      <c r="CP71" s="267"/>
      <c r="CQ71" s="267"/>
      <c r="CR71" s="267"/>
      <c r="CS71" s="17"/>
      <c r="CT71" s="267"/>
      <c r="CU71" s="267"/>
      <c r="CV71" s="267"/>
      <c r="CW71" s="267"/>
      <c r="CX71" s="17"/>
      <c r="CY71" s="267"/>
      <c r="CZ71" s="267"/>
      <c r="DA71" s="267"/>
      <c r="DB71" s="267"/>
      <c r="DC71" s="17"/>
      <c r="DD71" s="267"/>
      <c r="DE71" s="267"/>
      <c r="DF71" s="267"/>
      <c r="DG71" s="267"/>
      <c r="DH71" s="17"/>
      <c r="DI71" s="267"/>
      <c r="DJ71" s="267"/>
      <c r="DK71" s="267"/>
      <c r="DL71" s="267"/>
      <c r="DM71" s="17"/>
      <c r="DN71" s="267"/>
      <c r="DO71" s="267"/>
      <c r="DP71" s="267"/>
      <c r="DQ71" s="267"/>
      <c r="DR71" s="17"/>
      <c r="DS71" s="267"/>
      <c r="DT71" s="267"/>
      <c r="DU71" s="267"/>
      <c r="DV71" s="267"/>
      <c r="DW71" s="17"/>
      <c r="DX71" s="267"/>
      <c r="DY71" s="267"/>
      <c r="DZ71" s="267"/>
      <c r="EA71" s="267"/>
      <c r="EB71" s="17"/>
      <c r="EC71" s="267"/>
      <c r="ED71" s="267"/>
      <c r="EE71" s="267"/>
      <c r="EF71" s="267"/>
      <c r="EG71" s="17"/>
      <c r="EH71" s="267"/>
      <c r="EI71" s="267"/>
      <c r="EJ71" s="267"/>
      <c r="EK71" s="267"/>
      <c r="EL71" s="17"/>
    </row>
    <row r="72" spans="2:150" hidden="1" outlineLevel="2">
      <c r="B72" s="9" t="s">
        <v>120</v>
      </c>
      <c r="C72" s="145">
        <v>-41.4</v>
      </c>
      <c r="D72" s="145">
        <v>-30.5</v>
      </c>
      <c r="E72" s="145">
        <v>-28.6</v>
      </c>
      <c r="F72" s="145">
        <v>-14.7</v>
      </c>
      <c r="G72" s="17">
        <v>-115.2</v>
      </c>
      <c r="H72" s="145"/>
      <c r="I72" s="145"/>
      <c r="J72" s="145"/>
      <c r="K72" s="145"/>
      <c r="L72" s="17"/>
      <c r="M72" s="145"/>
      <c r="N72" s="145"/>
      <c r="O72" s="145"/>
      <c r="P72" s="145"/>
      <c r="Q72" s="17"/>
      <c r="R72" s="145"/>
      <c r="S72" s="145"/>
      <c r="T72" s="145"/>
      <c r="U72" s="145"/>
      <c r="V72" s="17"/>
      <c r="W72" s="145"/>
      <c r="X72" s="145"/>
      <c r="Y72" s="145"/>
      <c r="Z72" s="145"/>
      <c r="AA72" s="17"/>
      <c r="AB72" s="145"/>
      <c r="AC72" s="145"/>
      <c r="AD72" s="145"/>
      <c r="AE72" s="145"/>
      <c r="AF72" s="17"/>
      <c r="AG72" s="145"/>
      <c r="AH72" s="145"/>
      <c r="AI72" s="145"/>
      <c r="AJ72" s="145"/>
      <c r="AK72" s="17"/>
      <c r="AL72" s="145"/>
      <c r="AM72" s="145"/>
      <c r="AN72" s="145"/>
      <c r="AO72" s="145"/>
      <c r="AP72" s="17"/>
      <c r="AQ72" s="145"/>
      <c r="AR72" s="145"/>
      <c r="AS72" s="145"/>
      <c r="AT72" s="145"/>
      <c r="AU72" s="17"/>
      <c r="AV72" s="145"/>
      <c r="AW72" s="145"/>
      <c r="AX72" s="145"/>
      <c r="AY72" s="145"/>
      <c r="AZ72" s="17"/>
      <c r="BA72" s="267"/>
      <c r="BB72" s="267"/>
      <c r="BC72" s="267"/>
      <c r="BD72" s="267"/>
      <c r="BE72" s="17"/>
      <c r="BF72" s="267"/>
      <c r="BG72" s="267"/>
      <c r="BH72" s="267"/>
      <c r="BI72" s="267"/>
      <c r="BJ72" s="17"/>
      <c r="BK72" s="267"/>
      <c r="BL72" s="267"/>
      <c r="BM72" s="267"/>
      <c r="BN72" s="267"/>
      <c r="BO72" s="17"/>
      <c r="BP72" s="267"/>
      <c r="BQ72" s="267"/>
      <c r="BR72" s="267"/>
      <c r="BS72" s="267"/>
      <c r="BT72" s="17"/>
      <c r="BU72" s="267"/>
      <c r="BV72" s="267"/>
      <c r="BW72" s="267"/>
      <c r="BX72" s="267"/>
      <c r="BY72" s="17"/>
      <c r="BZ72" s="267"/>
      <c r="CA72" s="267"/>
      <c r="CB72" s="267"/>
      <c r="CC72" s="267"/>
      <c r="CD72" s="17"/>
      <c r="CE72" s="267"/>
      <c r="CF72" s="267"/>
      <c r="CG72" s="267"/>
      <c r="CH72" s="267"/>
      <c r="CI72" s="17"/>
      <c r="CJ72" s="267"/>
      <c r="CK72" s="267"/>
      <c r="CL72" s="267"/>
      <c r="CM72" s="267"/>
      <c r="CN72" s="17"/>
      <c r="CO72" s="267"/>
      <c r="CP72" s="267"/>
      <c r="CQ72" s="267"/>
      <c r="CR72" s="267"/>
      <c r="CS72" s="17"/>
      <c r="CT72" s="267"/>
      <c r="CU72" s="267"/>
      <c r="CV72" s="267"/>
      <c r="CW72" s="267"/>
      <c r="CX72" s="17"/>
      <c r="CY72" s="267"/>
      <c r="CZ72" s="267"/>
      <c r="DA72" s="267"/>
      <c r="DB72" s="267"/>
      <c r="DC72" s="17"/>
      <c r="DD72" s="267"/>
      <c r="DE72" s="267"/>
      <c r="DF72" s="267"/>
      <c r="DG72" s="267"/>
      <c r="DH72" s="17"/>
      <c r="DI72" s="267"/>
      <c r="DJ72" s="267"/>
      <c r="DK72" s="267"/>
      <c r="DL72" s="267"/>
      <c r="DM72" s="17"/>
      <c r="DN72" s="267"/>
      <c r="DO72" s="267"/>
      <c r="DP72" s="267"/>
      <c r="DQ72" s="267"/>
      <c r="DR72" s="17"/>
      <c r="DS72" s="267"/>
      <c r="DT72" s="267"/>
      <c r="DU72" s="267"/>
      <c r="DV72" s="267"/>
      <c r="DW72" s="17"/>
      <c r="DX72" s="267"/>
      <c r="DY72" s="267"/>
      <c r="DZ72" s="267"/>
      <c r="EA72" s="267"/>
      <c r="EB72" s="17"/>
      <c r="EC72" s="267"/>
      <c r="ED72" s="267"/>
      <c r="EE72" s="267"/>
      <c r="EF72" s="267"/>
      <c r="EG72" s="17"/>
      <c r="EH72" s="267"/>
      <c r="EI72" s="267"/>
      <c r="EJ72" s="267"/>
      <c r="EK72" s="267"/>
      <c r="EL72" s="17"/>
    </row>
    <row r="73" spans="2:150" hidden="1" outlineLevel="2">
      <c r="B73" s="9" t="s">
        <v>121</v>
      </c>
      <c r="C73" s="145"/>
      <c r="D73" s="145"/>
      <c r="E73" s="145"/>
      <c r="F73" s="145">
        <v>-1</v>
      </c>
      <c r="G73" s="17">
        <v>-1</v>
      </c>
      <c r="H73" s="145"/>
      <c r="I73" s="145"/>
      <c r="J73" s="145"/>
      <c r="K73" s="145"/>
      <c r="L73" s="17"/>
      <c r="M73" s="145"/>
      <c r="N73" s="145"/>
      <c r="O73" s="145"/>
      <c r="P73" s="145"/>
      <c r="Q73" s="17"/>
      <c r="R73" s="145"/>
      <c r="S73" s="145"/>
      <c r="T73" s="145"/>
      <c r="U73" s="145"/>
      <c r="V73" s="17"/>
      <c r="W73" s="145"/>
      <c r="X73" s="145"/>
      <c r="Y73" s="145"/>
      <c r="Z73" s="145"/>
      <c r="AA73" s="17"/>
      <c r="AB73" s="145"/>
      <c r="AC73" s="145"/>
      <c r="AD73" s="145"/>
      <c r="AE73" s="145"/>
      <c r="AF73" s="17"/>
      <c r="AG73" s="145"/>
      <c r="AH73" s="145"/>
      <c r="AI73" s="145"/>
      <c r="AJ73" s="145"/>
      <c r="AK73" s="17"/>
      <c r="AL73" s="145"/>
      <c r="AM73" s="145"/>
      <c r="AN73" s="145"/>
      <c r="AO73" s="145"/>
      <c r="AP73" s="17"/>
      <c r="AQ73" s="145"/>
      <c r="AR73" s="145"/>
      <c r="AS73" s="145"/>
      <c r="AT73" s="145"/>
      <c r="AU73" s="17"/>
      <c r="AV73" s="145"/>
      <c r="AW73" s="145"/>
      <c r="AX73" s="145"/>
      <c r="AY73" s="145"/>
      <c r="AZ73" s="17"/>
      <c r="BA73" s="267"/>
      <c r="BB73" s="267"/>
      <c r="BC73" s="267"/>
      <c r="BD73" s="267"/>
      <c r="BE73" s="17"/>
      <c r="BF73" s="267"/>
      <c r="BG73" s="267"/>
      <c r="BH73" s="267"/>
      <c r="BI73" s="267"/>
      <c r="BJ73" s="17"/>
      <c r="BK73" s="267"/>
      <c r="BL73" s="267"/>
      <c r="BM73" s="267"/>
      <c r="BN73" s="267"/>
      <c r="BO73" s="17"/>
      <c r="BP73" s="267"/>
      <c r="BQ73" s="267"/>
      <c r="BR73" s="267"/>
      <c r="BS73" s="267"/>
      <c r="BT73" s="17"/>
      <c r="BU73" s="267"/>
      <c r="BV73" s="267"/>
      <c r="BW73" s="267"/>
      <c r="BX73" s="267"/>
      <c r="BY73" s="17"/>
      <c r="BZ73" s="267"/>
      <c r="CA73" s="267"/>
      <c r="CB73" s="267"/>
      <c r="CC73" s="267"/>
      <c r="CD73" s="17"/>
      <c r="CE73" s="267"/>
      <c r="CF73" s="267"/>
      <c r="CG73" s="267"/>
      <c r="CH73" s="267"/>
      <c r="CI73" s="17"/>
      <c r="CJ73" s="267"/>
      <c r="CK73" s="267"/>
      <c r="CL73" s="267"/>
      <c r="CM73" s="267"/>
      <c r="CN73" s="17"/>
      <c r="CO73" s="267"/>
      <c r="CP73" s="267"/>
      <c r="CQ73" s="267"/>
      <c r="CR73" s="267"/>
      <c r="CS73" s="17"/>
      <c r="CT73" s="267"/>
      <c r="CU73" s="267"/>
      <c r="CV73" s="267"/>
      <c r="CW73" s="267"/>
      <c r="CX73" s="17"/>
      <c r="CY73" s="267"/>
      <c r="CZ73" s="267"/>
      <c r="DA73" s="267"/>
      <c r="DB73" s="267"/>
      <c r="DC73" s="17"/>
      <c r="DD73" s="267"/>
      <c r="DE73" s="267"/>
      <c r="DF73" s="267"/>
      <c r="DG73" s="267"/>
      <c r="DH73" s="17"/>
      <c r="DI73" s="267"/>
      <c r="DJ73" s="267"/>
      <c r="DK73" s="267"/>
      <c r="DL73" s="267"/>
      <c r="DM73" s="17"/>
      <c r="DN73" s="267"/>
      <c r="DO73" s="267"/>
      <c r="DP73" s="267"/>
      <c r="DQ73" s="267"/>
      <c r="DR73" s="17"/>
      <c r="DS73" s="267"/>
      <c r="DT73" s="267"/>
      <c r="DU73" s="267"/>
      <c r="DV73" s="267"/>
      <c r="DW73" s="17"/>
      <c r="DX73" s="267"/>
      <c r="DY73" s="267"/>
      <c r="DZ73" s="267"/>
      <c r="EA73" s="267"/>
      <c r="EB73" s="17"/>
      <c r="EC73" s="267"/>
      <c r="ED73" s="267"/>
      <c r="EE73" s="267"/>
      <c r="EF73" s="267"/>
      <c r="EG73" s="17"/>
      <c r="EH73" s="267"/>
      <c r="EI73" s="267"/>
      <c r="EJ73" s="267"/>
      <c r="EK73" s="267"/>
      <c r="EL73" s="17"/>
    </row>
    <row r="74" spans="2:150" hidden="1" outlineLevel="2">
      <c r="B74" s="9" t="s">
        <v>123</v>
      </c>
      <c r="C74" s="145"/>
      <c r="D74" s="145"/>
      <c r="E74" s="145"/>
      <c r="F74" s="145"/>
      <c r="G74" s="17"/>
      <c r="H74" s="145"/>
      <c r="I74" s="145"/>
      <c r="J74" s="145"/>
      <c r="K74" s="145"/>
      <c r="L74" s="17"/>
      <c r="M74" s="145"/>
      <c r="N74" s="145"/>
      <c r="O74" s="145"/>
      <c r="P74" s="145"/>
      <c r="Q74" s="17"/>
      <c r="R74" s="145"/>
      <c r="S74" s="145"/>
      <c r="T74" s="145"/>
      <c r="U74" s="145"/>
      <c r="V74" s="17"/>
      <c r="W74" s="145"/>
      <c r="X74" s="145"/>
      <c r="Y74" s="145"/>
      <c r="Z74" s="145"/>
      <c r="AA74" s="17"/>
      <c r="AB74" s="145"/>
      <c r="AC74" s="145"/>
      <c r="AD74" s="145"/>
      <c r="AE74" s="145"/>
      <c r="AF74" s="17"/>
      <c r="AG74" s="145"/>
      <c r="AH74" s="145"/>
      <c r="AI74" s="145"/>
      <c r="AJ74" s="145"/>
      <c r="AK74" s="17"/>
      <c r="AL74" s="145"/>
      <c r="AM74" s="145"/>
      <c r="AN74" s="145"/>
      <c r="AO74" s="145">
        <f>+AP74-SUM(AL74:AN74)</f>
        <v>-75.153000000000006</v>
      </c>
      <c r="AP74" s="17">
        <v>-75.153000000000006</v>
      </c>
      <c r="AQ74" s="145">
        <v>-16.587</v>
      </c>
      <c r="AR74" s="145"/>
      <c r="AS74" s="145">
        <v>-1.8</v>
      </c>
      <c r="AT74" s="145">
        <v>-0.63600000000000001</v>
      </c>
      <c r="AU74" s="17">
        <f>SUM(AQ74:AT74)</f>
        <v>-19.023</v>
      </c>
      <c r="AV74" s="145">
        <f>-0.283-1.3</f>
        <v>-1.583</v>
      </c>
      <c r="AW74" s="145">
        <v>-1.139</v>
      </c>
      <c r="AX74" s="145">
        <f>-7.5-0.803</f>
        <v>-8.3030000000000008</v>
      </c>
      <c r="AY74" s="145"/>
      <c r="AZ74" s="17">
        <f>SUM(AV74:AY74)</f>
        <v>-11.025</v>
      </c>
      <c r="BA74" s="267"/>
      <c r="BB74" s="267"/>
      <c r="BC74" s="267"/>
      <c r="BD74" s="267"/>
      <c r="BE74" s="17"/>
      <c r="BF74" s="267"/>
      <c r="BG74" s="267"/>
      <c r="BH74" s="267"/>
      <c r="BI74" s="267"/>
      <c r="BJ74" s="17"/>
      <c r="BK74" s="267"/>
      <c r="BL74" s="267"/>
      <c r="BM74" s="267"/>
      <c r="BN74" s="267"/>
      <c r="BO74" s="17"/>
      <c r="BP74" s="267"/>
      <c r="BQ74" s="267"/>
      <c r="BR74" s="267"/>
      <c r="BS74" s="267"/>
      <c r="BT74" s="17"/>
      <c r="BU74" s="267"/>
      <c r="BV74" s="267"/>
      <c r="BW74" s="267"/>
      <c r="BX74" s="267"/>
      <c r="BY74" s="17"/>
      <c r="BZ74" s="267"/>
      <c r="CA74" s="267"/>
      <c r="CB74" s="267"/>
      <c r="CC74" s="267"/>
      <c r="CD74" s="17"/>
      <c r="CE74" s="267"/>
      <c r="CF74" s="267"/>
      <c r="CG74" s="267"/>
      <c r="CH74" s="267"/>
      <c r="CI74" s="17"/>
      <c r="CJ74" s="267"/>
      <c r="CK74" s="267"/>
      <c r="CL74" s="267"/>
      <c r="CM74" s="267"/>
      <c r="CN74" s="17"/>
      <c r="CO74" s="267"/>
      <c r="CP74" s="267"/>
      <c r="CQ74" s="267"/>
      <c r="CR74" s="267"/>
      <c r="CS74" s="17"/>
      <c r="CT74" s="267"/>
      <c r="CU74" s="267"/>
      <c r="CV74" s="267"/>
      <c r="CW74" s="267"/>
      <c r="CX74" s="17"/>
      <c r="CY74" s="267"/>
      <c r="CZ74" s="267"/>
      <c r="DA74" s="267"/>
      <c r="DB74" s="267"/>
      <c r="DC74" s="17"/>
      <c r="DD74" s="267"/>
      <c r="DE74" s="267"/>
      <c r="DF74" s="267"/>
      <c r="DG74" s="267"/>
      <c r="DH74" s="17"/>
      <c r="DI74" s="267"/>
      <c r="DJ74" s="267"/>
      <c r="DK74" s="267"/>
      <c r="DL74" s="267"/>
      <c r="DM74" s="17"/>
      <c r="DN74" s="267"/>
      <c r="DO74" s="267"/>
      <c r="DP74" s="267"/>
      <c r="DQ74" s="267"/>
      <c r="DR74" s="17"/>
      <c r="DS74" s="267"/>
      <c r="DT74" s="267"/>
      <c r="DU74" s="267"/>
      <c r="DV74" s="267"/>
      <c r="DW74" s="17"/>
      <c r="DX74" s="267"/>
      <c r="DY74" s="267"/>
      <c r="DZ74" s="267"/>
      <c r="EA74" s="267"/>
      <c r="EB74" s="17"/>
      <c r="EC74" s="267"/>
      <c r="ED74" s="267"/>
      <c r="EE74" s="267"/>
      <c r="EF74" s="267"/>
      <c r="EG74" s="17"/>
      <c r="EH74" s="267"/>
      <c r="EI74" s="267"/>
      <c r="EJ74" s="267"/>
      <c r="EK74" s="267"/>
      <c r="EL74" s="17"/>
    </row>
    <row r="75" spans="2:150" hidden="1" outlineLevel="2">
      <c r="B75" s="9" t="s">
        <v>124</v>
      </c>
      <c r="C75" s="145"/>
      <c r="D75" s="145"/>
      <c r="E75" s="145"/>
      <c r="F75" s="145">
        <v>-823</v>
      </c>
      <c r="G75" s="17">
        <v>-823</v>
      </c>
      <c r="H75" s="145"/>
      <c r="I75" s="145"/>
      <c r="J75" s="145"/>
      <c r="K75" s="145"/>
      <c r="L75" s="17"/>
      <c r="M75" s="145"/>
      <c r="N75" s="145"/>
      <c r="O75" s="145"/>
      <c r="P75" s="145"/>
      <c r="Q75" s="17"/>
      <c r="R75" s="145"/>
      <c r="S75" s="145">
        <v>-330.52</v>
      </c>
      <c r="T75" s="145"/>
      <c r="U75" s="145"/>
      <c r="V75" s="17">
        <v>-330.52</v>
      </c>
      <c r="W75" s="145">
        <v>-18.405000000000001</v>
      </c>
      <c r="X75" s="145"/>
      <c r="Y75" s="145">
        <v>-29.959</v>
      </c>
      <c r="Z75" s="145">
        <f>+AA75-SUM(W75:Y75)</f>
        <v>-35.807999999999993</v>
      </c>
      <c r="AA75" s="17">
        <v>-84.171999999999997</v>
      </c>
      <c r="AB75" s="145">
        <v>-25</v>
      </c>
      <c r="AC75" s="145"/>
      <c r="AD75" s="145"/>
      <c r="AE75" s="145"/>
      <c r="AF75" s="17">
        <v>-25</v>
      </c>
      <c r="AG75" s="145"/>
      <c r="AH75" s="145"/>
      <c r="AI75" s="145"/>
      <c r="AJ75" s="145"/>
      <c r="AK75" s="17"/>
      <c r="AL75" s="145">
        <v>-39.975999999999999</v>
      </c>
      <c r="AM75" s="145"/>
      <c r="AN75" s="145">
        <v>-205</v>
      </c>
      <c r="AO75" s="145"/>
      <c r="AP75" s="17">
        <v>-244.976</v>
      </c>
      <c r="AQ75" s="145"/>
      <c r="AR75" s="145"/>
      <c r="AS75" s="145"/>
      <c r="AT75" s="145"/>
      <c r="AU75" s="17"/>
      <c r="AV75" s="145"/>
      <c r="AW75" s="145"/>
      <c r="AX75" s="145"/>
      <c r="AY75" s="145"/>
      <c r="AZ75" s="17"/>
      <c r="BA75" s="267"/>
      <c r="BB75" s="267"/>
      <c r="BC75" s="267"/>
      <c r="BD75" s="267"/>
      <c r="BE75" s="17"/>
      <c r="BF75" s="267"/>
      <c r="BG75" s="267"/>
      <c r="BH75" s="267"/>
      <c r="BI75" s="267"/>
      <c r="BJ75" s="17"/>
      <c r="BK75" s="267"/>
      <c r="BL75" s="267"/>
      <c r="BM75" s="267"/>
      <c r="BN75" s="267"/>
      <c r="BO75" s="17"/>
      <c r="BP75" s="267"/>
      <c r="BQ75" s="267"/>
      <c r="BR75" s="267"/>
      <c r="BS75" s="267"/>
      <c r="BT75" s="17"/>
      <c r="BU75" s="267"/>
      <c r="BV75" s="267"/>
      <c r="BW75" s="267"/>
      <c r="BX75" s="267"/>
      <c r="BY75" s="17"/>
      <c r="BZ75" s="267"/>
      <c r="CA75" s="267"/>
      <c r="CB75" s="267"/>
      <c r="CC75" s="267"/>
      <c r="CD75" s="17"/>
      <c r="CE75" s="267"/>
      <c r="CF75" s="267"/>
      <c r="CG75" s="267"/>
      <c r="CH75" s="267"/>
      <c r="CI75" s="17"/>
      <c r="CJ75" s="267"/>
      <c r="CK75" s="267"/>
      <c r="CL75" s="267"/>
      <c r="CM75" s="267"/>
      <c r="CN75" s="17"/>
      <c r="CO75" s="267"/>
      <c r="CP75" s="267"/>
      <c r="CQ75" s="267"/>
      <c r="CR75" s="267"/>
      <c r="CS75" s="17"/>
      <c r="CT75" s="267"/>
      <c r="CU75" s="267"/>
      <c r="CV75" s="267"/>
      <c r="CW75" s="267"/>
      <c r="CX75" s="17"/>
      <c r="CY75" s="267"/>
      <c r="CZ75" s="267"/>
      <c r="DA75" s="267"/>
      <c r="DB75" s="267"/>
      <c r="DC75" s="17"/>
      <c r="DD75" s="267"/>
      <c r="DE75" s="267"/>
      <c r="DF75" s="267"/>
      <c r="DG75" s="267"/>
      <c r="DH75" s="17"/>
      <c r="DI75" s="267"/>
      <c r="DJ75" s="267"/>
      <c r="DK75" s="267"/>
      <c r="DL75" s="267"/>
      <c r="DM75" s="17"/>
      <c r="DN75" s="267"/>
      <c r="DO75" s="267"/>
      <c r="DP75" s="267"/>
      <c r="DQ75" s="267"/>
      <c r="DR75" s="17"/>
      <c r="DS75" s="267"/>
      <c r="DT75" s="267"/>
      <c r="DU75" s="267"/>
      <c r="DV75" s="267"/>
      <c r="DW75" s="17"/>
      <c r="DX75" s="267"/>
      <c r="DY75" s="267"/>
      <c r="DZ75" s="267"/>
      <c r="EA75" s="267"/>
      <c r="EB75" s="17"/>
      <c r="EC75" s="267"/>
      <c r="ED75" s="267"/>
      <c r="EE75" s="267"/>
      <c r="EF75" s="267"/>
      <c r="EG75" s="17"/>
      <c r="EH75" s="267"/>
      <c r="EI75" s="267"/>
      <c r="EJ75" s="267"/>
      <c r="EK75" s="267"/>
      <c r="EL75" s="17"/>
    </row>
    <row r="76" spans="2:150" hidden="1" outlineLevel="2">
      <c r="B76" s="9" t="s">
        <v>192</v>
      </c>
      <c r="C76" s="145"/>
      <c r="D76" s="145"/>
      <c r="E76" s="145"/>
      <c r="F76" s="145">
        <v>-231.6</v>
      </c>
      <c r="G76" s="17">
        <v>-231.6</v>
      </c>
      <c r="H76" s="145">
        <v>-194.3</v>
      </c>
      <c r="I76" s="145">
        <v>-93.4</v>
      </c>
      <c r="J76" s="145">
        <v>-3.3</v>
      </c>
      <c r="K76" s="145">
        <f>+L76-SUM(H76:J76)</f>
        <v>-4.4999999999999432</v>
      </c>
      <c r="L76" s="17">
        <v>-295.5</v>
      </c>
      <c r="M76" s="145">
        <v>-9.3000000000000007</v>
      </c>
      <c r="N76" s="145">
        <v>-9</v>
      </c>
      <c r="O76" s="145">
        <v>-11.3</v>
      </c>
      <c r="P76" s="145">
        <f t="shared" ref="P76:P87" si="90">+Q76-SUM(M76:O76)</f>
        <v>-4.6000000000000014</v>
      </c>
      <c r="Q76" s="17">
        <v>-34.200000000000003</v>
      </c>
      <c r="R76" s="145">
        <v>-4</v>
      </c>
      <c r="S76" s="145">
        <v>-0.9</v>
      </c>
      <c r="T76" s="145">
        <v>-2.9</v>
      </c>
      <c r="U76" s="145"/>
      <c r="V76" s="17">
        <v>-7.8</v>
      </c>
      <c r="W76" s="145"/>
      <c r="X76" s="145"/>
      <c r="Y76" s="145"/>
      <c r="Z76" s="145"/>
      <c r="AA76" s="17"/>
      <c r="AB76" s="145"/>
      <c r="AC76" s="145"/>
      <c r="AD76" s="145"/>
      <c r="AE76" s="145"/>
      <c r="AF76" s="17"/>
      <c r="AG76" s="145"/>
      <c r="AH76" s="145"/>
      <c r="AI76" s="145"/>
      <c r="AJ76" s="145"/>
      <c r="AK76" s="17"/>
      <c r="AL76" s="145"/>
      <c r="AM76" s="145"/>
      <c r="AN76" s="145"/>
      <c r="AO76" s="145"/>
      <c r="AP76" s="17"/>
      <c r="AQ76" s="145"/>
      <c r="AR76" s="145"/>
      <c r="AS76" s="145"/>
      <c r="AT76" s="145"/>
      <c r="AU76" s="17"/>
      <c r="AV76" s="145"/>
      <c r="AW76" s="145"/>
      <c r="AX76" s="145"/>
      <c r="AY76" s="145"/>
      <c r="AZ76" s="17"/>
      <c r="BA76" s="267"/>
      <c r="BB76" s="267"/>
      <c r="BC76" s="267"/>
      <c r="BD76" s="267"/>
      <c r="BE76" s="17"/>
      <c r="BF76" s="267"/>
      <c r="BG76" s="267"/>
      <c r="BH76" s="267"/>
      <c r="BI76" s="267"/>
      <c r="BJ76" s="17"/>
      <c r="BK76" s="267"/>
      <c r="BL76" s="267"/>
      <c r="BM76" s="267"/>
      <c r="BN76" s="267"/>
      <c r="BO76" s="17"/>
      <c r="BP76" s="267"/>
      <c r="BQ76" s="267"/>
      <c r="BR76" s="267"/>
      <c r="BS76" s="267"/>
      <c r="BT76" s="17"/>
      <c r="BU76" s="267"/>
      <c r="BV76" s="267"/>
      <c r="BW76" s="267"/>
      <c r="BX76" s="267"/>
      <c r="BY76" s="17"/>
      <c r="BZ76" s="267"/>
      <c r="CA76" s="267"/>
      <c r="CB76" s="267"/>
      <c r="CC76" s="267"/>
      <c r="CD76" s="17"/>
      <c r="CE76" s="267"/>
      <c r="CF76" s="267"/>
      <c r="CG76" s="267"/>
      <c r="CH76" s="267"/>
      <c r="CI76" s="17"/>
      <c r="CJ76" s="267"/>
      <c r="CK76" s="267"/>
      <c r="CL76" s="267"/>
      <c r="CM76" s="267"/>
      <c r="CN76" s="17"/>
      <c r="CO76" s="267"/>
      <c r="CP76" s="267"/>
      <c r="CQ76" s="267"/>
      <c r="CR76" s="267"/>
      <c r="CS76" s="17"/>
      <c r="CT76" s="267"/>
      <c r="CU76" s="267"/>
      <c r="CV76" s="267"/>
      <c r="CW76" s="267"/>
      <c r="CX76" s="17"/>
      <c r="CY76" s="267"/>
      <c r="CZ76" s="267"/>
      <c r="DA76" s="267"/>
      <c r="DB76" s="267"/>
      <c r="DC76" s="17"/>
      <c r="DD76" s="267"/>
      <c r="DE76" s="267"/>
      <c r="DF76" s="267"/>
      <c r="DG76" s="267"/>
      <c r="DH76" s="17"/>
      <c r="DI76" s="267"/>
      <c r="DJ76" s="267"/>
      <c r="DK76" s="267"/>
      <c r="DL76" s="267"/>
      <c r="DM76" s="17"/>
      <c r="DN76" s="267"/>
      <c r="DO76" s="267"/>
      <c r="DP76" s="267"/>
      <c r="DQ76" s="267"/>
      <c r="DR76" s="17"/>
      <c r="DS76" s="267"/>
      <c r="DT76" s="267"/>
      <c r="DU76" s="267"/>
      <c r="DV76" s="267"/>
      <c r="DW76" s="17"/>
      <c r="DX76" s="267"/>
      <c r="DY76" s="267"/>
      <c r="DZ76" s="267"/>
      <c r="EA76" s="267"/>
      <c r="EB76" s="17"/>
      <c r="EC76" s="267"/>
      <c r="ED76" s="267"/>
      <c r="EE76" s="267"/>
      <c r="EF76" s="267"/>
      <c r="EG76" s="17"/>
      <c r="EH76" s="267"/>
      <c r="EI76" s="267"/>
      <c r="EJ76" s="267"/>
      <c r="EK76" s="267"/>
      <c r="EL76" s="17"/>
    </row>
    <row r="77" spans="2:150" hidden="1" outlineLevel="2">
      <c r="B77" s="9" t="s">
        <v>126</v>
      </c>
      <c r="C77" s="145"/>
      <c r="D77" s="145"/>
      <c r="E77" s="145"/>
      <c r="F77" s="145"/>
      <c r="G77" s="17"/>
      <c r="H77" s="145"/>
      <c r="I77" s="145"/>
      <c r="J77" s="145"/>
      <c r="K77" s="145"/>
      <c r="L77" s="17"/>
      <c r="M77" s="145"/>
      <c r="N77" s="145"/>
      <c r="O77" s="145"/>
      <c r="P77" s="145">
        <f t="shared" si="90"/>
        <v>-36.4</v>
      </c>
      <c r="Q77" s="17">
        <v>-36.4</v>
      </c>
      <c r="R77" s="145"/>
      <c r="S77" s="145"/>
      <c r="T77" s="145"/>
      <c r="U77" s="145"/>
      <c r="V77" s="17"/>
      <c r="W77" s="145"/>
      <c r="X77" s="145"/>
      <c r="Y77" s="145"/>
      <c r="Z77" s="145"/>
      <c r="AA77" s="17"/>
      <c r="AB77" s="145"/>
      <c r="AC77" s="145"/>
      <c r="AD77" s="145"/>
      <c r="AE77" s="145"/>
      <c r="AF77" s="17"/>
      <c r="AG77" s="145"/>
      <c r="AH77" s="145"/>
      <c r="AI77" s="145"/>
      <c r="AJ77" s="145"/>
      <c r="AK77" s="17"/>
      <c r="AL77" s="145"/>
      <c r="AM77" s="145"/>
      <c r="AN77" s="145"/>
      <c r="AO77" s="145"/>
      <c r="AP77" s="17"/>
      <c r="AQ77" s="145"/>
      <c r="AR77" s="145"/>
      <c r="AS77" s="145"/>
      <c r="AT77" s="145"/>
      <c r="AU77" s="17"/>
      <c r="AV77" s="145"/>
      <c r="AW77" s="145"/>
      <c r="AX77" s="145"/>
      <c r="AY77" s="145"/>
      <c r="AZ77" s="17"/>
      <c r="BA77" s="267"/>
      <c r="BB77" s="267"/>
      <c r="BC77" s="267"/>
      <c r="BD77" s="267"/>
      <c r="BE77" s="17"/>
      <c r="BF77" s="267"/>
      <c r="BG77" s="267"/>
      <c r="BH77" s="267"/>
      <c r="BI77" s="267"/>
      <c r="BJ77" s="17"/>
      <c r="BK77" s="267"/>
      <c r="BL77" s="267"/>
      <c r="BM77" s="267"/>
      <c r="BN77" s="267"/>
      <c r="BO77" s="17"/>
      <c r="BP77" s="267"/>
      <c r="BQ77" s="267"/>
      <c r="BR77" s="267"/>
      <c r="BS77" s="267"/>
      <c r="BT77" s="17"/>
      <c r="BU77" s="267"/>
      <c r="BV77" s="267"/>
      <c r="BW77" s="267"/>
      <c r="BX77" s="267"/>
      <c r="BY77" s="17"/>
      <c r="BZ77" s="267"/>
      <c r="CA77" s="267"/>
      <c r="CB77" s="267"/>
      <c r="CC77" s="267"/>
      <c r="CD77" s="17"/>
      <c r="CE77" s="267"/>
      <c r="CF77" s="267"/>
      <c r="CG77" s="267"/>
      <c r="CH77" s="267"/>
      <c r="CI77" s="17"/>
      <c r="CJ77" s="267"/>
      <c r="CK77" s="267"/>
      <c r="CL77" s="267"/>
      <c r="CM77" s="267"/>
      <c r="CN77" s="17"/>
      <c r="CO77" s="267"/>
      <c r="CP77" s="267"/>
      <c r="CQ77" s="267"/>
      <c r="CR77" s="267"/>
      <c r="CS77" s="17"/>
      <c r="CT77" s="267"/>
      <c r="CU77" s="267"/>
      <c r="CV77" s="267"/>
      <c r="CW77" s="267"/>
      <c r="CX77" s="17"/>
      <c r="CY77" s="267"/>
      <c r="CZ77" s="267"/>
      <c r="DA77" s="267"/>
      <c r="DB77" s="267"/>
      <c r="DC77" s="17"/>
      <c r="DD77" s="267"/>
      <c r="DE77" s="267"/>
      <c r="DF77" s="267"/>
      <c r="DG77" s="267"/>
      <c r="DH77" s="17"/>
      <c r="DI77" s="267"/>
      <c r="DJ77" s="267"/>
      <c r="DK77" s="267"/>
      <c r="DL77" s="267"/>
      <c r="DM77" s="17"/>
      <c r="DN77" s="267"/>
      <c r="DO77" s="267"/>
      <c r="DP77" s="267"/>
      <c r="DQ77" s="267"/>
      <c r="DR77" s="17"/>
      <c r="DS77" s="267"/>
      <c r="DT77" s="267"/>
      <c r="DU77" s="267"/>
      <c r="DV77" s="267"/>
      <c r="DW77" s="17"/>
      <c r="DX77" s="267"/>
      <c r="DY77" s="267"/>
      <c r="DZ77" s="267"/>
      <c r="EA77" s="267"/>
      <c r="EB77" s="17"/>
      <c r="EC77" s="267"/>
      <c r="ED77" s="267"/>
      <c r="EE77" s="267"/>
      <c r="EF77" s="267"/>
      <c r="EG77" s="17"/>
      <c r="EH77" s="267"/>
      <c r="EI77" s="267"/>
      <c r="EJ77" s="267"/>
      <c r="EK77" s="267"/>
      <c r="EL77" s="17"/>
    </row>
    <row r="78" spans="2:150" hidden="1" outlineLevel="2">
      <c r="B78" s="9" t="s">
        <v>127</v>
      </c>
      <c r="C78" s="145">
        <v>46.3</v>
      </c>
      <c r="D78" s="145">
        <v>45.6</v>
      </c>
      <c r="E78" s="145">
        <v>54.3</v>
      </c>
      <c r="F78" s="145">
        <v>33</v>
      </c>
      <c r="G78" s="17">
        <v>179.2</v>
      </c>
      <c r="H78" s="145"/>
      <c r="I78" s="145"/>
      <c r="J78" s="145"/>
      <c r="K78" s="145"/>
      <c r="L78" s="17"/>
      <c r="M78" s="145"/>
      <c r="N78" s="145"/>
      <c r="O78" s="145"/>
      <c r="P78" s="145"/>
      <c r="Q78" s="17"/>
      <c r="R78" s="145"/>
      <c r="S78" s="145"/>
      <c r="T78" s="145"/>
      <c r="U78" s="145"/>
      <c r="V78" s="17"/>
      <c r="W78" s="145"/>
      <c r="X78" s="145"/>
      <c r="Y78" s="145"/>
      <c r="Z78" s="145"/>
      <c r="AA78" s="17"/>
      <c r="AB78" s="145"/>
      <c r="AC78" s="145"/>
      <c r="AD78" s="145"/>
      <c r="AE78" s="145"/>
      <c r="AF78" s="17"/>
      <c r="AG78" s="145"/>
      <c r="AH78" s="145"/>
      <c r="AI78" s="145"/>
      <c r="AJ78" s="145"/>
      <c r="AK78" s="17"/>
      <c r="AL78" s="145"/>
      <c r="AM78" s="145"/>
      <c r="AN78" s="145"/>
      <c r="AO78" s="145"/>
      <c r="AP78" s="17"/>
      <c r="AQ78" s="145"/>
      <c r="AR78" s="145"/>
      <c r="AS78" s="145"/>
      <c r="AT78" s="145"/>
      <c r="AU78" s="17"/>
      <c r="AV78" s="145"/>
      <c r="AW78" s="145"/>
      <c r="AX78" s="145"/>
      <c r="AY78" s="145"/>
      <c r="AZ78" s="17"/>
      <c r="BA78" s="267"/>
      <c r="BB78" s="267"/>
      <c r="BC78" s="267"/>
      <c r="BD78" s="267"/>
      <c r="BE78" s="17"/>
      <c r="BF78" s="267"/>
      <c r="BG78" s="267"/>
      <c r="BH78" s="267"/>
      <c r="BI78" s="267"/>
      <c r="BJ78" s="17"/>
      <c r="BK78" s="267"/>
      <c r="BL78" s="267"/>
      <c r="BM78" s="267"/>
      <c r="BN78" s="267"/>
      <c r="BO78" s="17"/>
      <c r="BP78" s="267"/>
      <c r="BQ78" s="267"/>
      <c r="BR78" s="267"/>
      <c r="BS78" s="267"/>
      <c r="BT78" s="17"/>
      <c r="BU78" s="267"/>
      <c r="BV78" s="267"/>
      <c r="BW78" s="267"/>
      <c r="BX78" s="267"/>
      <c r="BY78" s="17"/>
      <c r="BZ78" s="267"/>
      <c r="CA78" s="267"/>
      <c r="CB78" s="267"/>
      <c r="CC78" s="267"/>
      <c r="CD78" s="17"/>
      <c r="CE78" s="267"/>
      <c r="CF78" s="267"/>
      <c r="CG78" s="267"/>
      <c r="CH78" s="267"/>
      <c r="CI78" s="17"/>
      <c r="CJ78" s="267"/>
      <c r="CK78" s="267"/>
      <c r="CL78" s="267"/>
      <c r="CM78" s="267"/>
      <c r="CN78" s="17"/>
      <c r="CO78" s="267"/>
      <c r="CP78" s="267"/>
      <c r="CQ78" s="267"/>
      <c r="CR78" s="267"/>
      <c r="CS78" s="17"/>
      <c r="CT78" s="267"/>
      <c r="CU78" s="267"/>
      <c r="CV78" s="267"/>
      <c r="CW78" s="267"/>
      <c r="CX78" s="17"/>
      <c r="CY78" s="267"/>
      <c r="CZ78" s="267"/>
      <c r="DA78" s="267"/>
      <c r="DB78" s="267"/>
      <c r="DC78" s="17"/>
      <c r="DD78" s="267"/>
      <c r="DE78" s="267"/>
      <c r="DF78" s="267"/>
      <c r="DG78" s="267"/>
      <c r="DH78" s="17"/>
      <c r="DI78" s="267"/>
      <c r="DJ78" s="267"/>
      <c r="DK78" s="267"/>
      <c r="DL78" s="267"/>
      <c r="DM78" s="17"/>
      <c r="DN78" s="267"/>
      <c r="DO78" s="267"/>
      <c r="DP78" s="267"/>
      <c r="DQ78" s="267"/>
      <c r="DR78" s="17"/>
      <c r="DS78" s="267"/>
      <c r="DT78" s="267"/>
      <c r="DU78" s="267"/>
      <c r="DV78" s="267"/>
      <c r="DW78" s="17"/>
      <c r="DX78" s="267"/>
      <c r="DY78" s="267"/>
      <c r="DZ78" s="267"/>
      <c r="EA78" s="267"/>
      <c r="EB78" s="17"/>
      <c r="EC78" s="267"/>
      <c r="ED78" s="267"/>
      <c r="EE78" s="267"/>
      <c r="EF78" s="267"/>
      <c r="EG78" s="17"/>
      <c r="EH78" s="267"/>
      <c r="EI78" s="267"/>
      <c r="EJ78" s="267"/>
      <c r="EK78" s="267"/>
      <c r="EL78" s="17"/>
    </row>
    <row r="79" spans="2:150" hidden="1" outlineLevel="2">
      <c r="B79" s="9" t="s">
        <v>128</v>
      </c>
      <c r="C79" s="145"/>
      <c r="D79" s="145"/>
      <c r="E79" s="145"/>
      <c r="F79" s="145">
        <v>-1.8</v>
      </c>
      <c r="G79" s="17">
        <v>-1.8</v>
      </c>
      <c r="H79" s="145"/>
      <c r="I79" s="145"/>
      <c r="J79" s="145"/>
      <c r="K79" s="145"/>
      <c r="L79" s="17"/>
      <c r="M79" s="145"/>
      <c r="N79" s="145"/>
      <c r="O79" s="145"/>
      <c r="P79" s="145"/>
      <c r="Q79" s="17"/>
      <c r="R79" s="145"/>
      <c r="S79" s="145"/>
      <c r="T79" s="145"/>
      <c r="U79" s="145"/>
      <c r="V79" s="17"/>
      <c r="W79" s="145"/>
      <c r="X79" s="145"/>
      <c r="Y79" s="145"/>
      <c r="Z79" s="145"/>
      <c r="AA79" s="17"/>
      <c r="AB79" s="145"/>
      <c r="AC79" s="145"/>
      <c r="AD79" s="145"/>
      <c r="AE79" s="145"/>
      <c r="AF79" s="17"/>
      <c r="AG79" s="145"/>
      <c r="AH79" s="145"/>
      <c r="AI79" s="145"/>
      <c r="AJ79" s="145"/>
      <c r="AK79" s="17"/>
      <c r="AL79" s="145"/>
      <c r="AM79" s="145"/>
      <c r="AN79" s="145"/>
      <c r="AO79" s="145"/>
      <c r="AP79" s="17"/>
      <c r="AQ79" s="145"/>
      <c r="AR79" s="145"/>
      <c r="AS79" s="145"/>
      <c r="AT79" s="145"/>
      <c r="AU79" s="17"/>
      <c r="AV79" s="145"/>
      <c r="AW79" s="145"/>
      <c r="AX79" s="145"/>
      <c r="AY79" s="145"/>
      <c r="AZ79" s="17"/>
      <c r="BA79" s="267"/>
      <c r="BB79" s="267"/>
      <c r="BC79" s="267"/>
      <c r="BD79" s="267"/>
      <c r="BE79" s="17"/>
      <c r="BF79" s="267"/>
      <c r="BG79" s="267"/>
      <c r="BH79" s="267"/>
      <c r="BI79" s="267"/>
      <c r="BJ79" s="17"/>
      <c r="BK79" s="267"/>
      <c r="BL79" s="267"/>
      <c r="BM79" s="267"/>
      <c r="BN79" s="267"/>
      <c r="BO79" s="17"/>
      <c r="BP79" s="267"/>
      <c r="BQ79" s="267"/>
      <c r="BR79" s="267"/>
      <c r="BS79" s="267"/>
      <c r="BT79" s="17"/>
      <c r="BU79" s="267"/>
      <c r="BV79" s="267"/>
      <c r="BW79" s="267"/>
      <c r="BX79" s="267"/>
      <c r="BY79" s="17"/>
      <c r="BZ79" s="267"/>
      <c r="CA79" s="267"/>
      <c r="CB79" s="267"/>
      <c r="CC79" s="267"/>
      <c r="CD79" s="17"/>
      <c r="CE79" s="267"/>
      <c r="CF79" s="267"/>
      <c r="CG79" s="267"/>
      <c r="CH79" s="267"/>
      <c r="CI79" s="17"/>
      <c r="CJ79" s="267"/>
      <c r="CK79" s="267"/>
      <c r="CL79" s="267"/>
      <c r="CM79" s="267"/>
      <c r="CN79" s="17"/>
      <c r="CO79" s="267"/>
      <c r="CP79" s="267"/>
      <c r="CQ79" s="267"/>
      <c r="CR79" s="267"/>
      <c r="CS79" s="17"/>
      <c r="CT79" s="267"/>
      <c r="CU79" s="267"/>
      <c r="CV79" s="267"/>
      <c r="CW79" s="267"/>
      <c r="CX79" s="17"/>
      <c r="CY79" s="267"/>
      <c r="CZ79" s="267"/>
      <c r="DA79" s="267"/>
      <c r="DB79" s="267"/>
      <c r="DC79" s="17"/>
      <c r="DD79" s="267"/>
      <c r="DE79" s="267"/>
      <c r="DF79" s="267"/>
      <c r="DG79" s="267"/>
      <c r="DH79" s="17"/>
      <c r="DI79" s="267"/>
      <c r="DJ79" s="267"/>
      <c r="DK79" s="267"/>
      <c r="DL79" s="267"/>
      <c r="DM79" s="17"/>
      <c r="DN79" s="267"/>
      <c r="DO79" s="267"/>
      <c r="DP79" s="267"/>
      <c r="DQ79" s="267"/>
      <c r="DR79" s="17"/>
      <c r="DS79" s="267"/>
      <c r="DT79" s="267"/>
      <c r="DU79" s="267"/>
      <c r="DV79" s="267"/>
      <c r="DW79" s="17"/>
      <c r="DX79" s="267"/>
      <c r="DY79" s="267"/>
      <c r="DZ79" s="267"/>
      <c r="EA79" s="267"/>
      <c r="EB79" s="17"/>
      <c r="EC79" s="267"/>
      <c r="ED79" s="267"/>
      <c r="EE79" s="267"/>
      <c r="EF79" s="267"/>
      <c r="EG79" s="17"/>
      <c r="EH79" s="267"/>
      <c r="EI79" s="267"/>
      <c r="EJ79" s="267"/>
      <c r="EK79" s="267"/>
      <c r="EL79" s="17"/>
    </row>
    <row r="80" spans="2:150" hidden="1" outlineLevel="2">
      <c r="B80" s="9" t="s">
        <v>129</v>
      </c>
      <c r="C80" s="145">
        <v>78.099999999999994</v>
      </c>
      <c r="D80" s="145">
        <v>87.3</v>
      </c>
      <c r="E80" s="145">
        <v>87.9</v>
      </c>
      <c r="F80" s="145">
        <v>47.8</v>
      </c>
      <c r="G80" s="17">
        <v>301.10000000000002</v>
      </c>
      <c r="H80" s="145"/>
      <c r="I80" s="145"/>
      <c r="J80" s="145"/>
      <c r="K80" s="145"/>
      <c r="L80" s="17"/>
      <c r="M80" s="145"/>
      <c r="N80" s="145"/>
      <c r="O80" s="145"/>
      <c r="P80" s="145"/>
      <c r="Q80" s="17"/>
      <c r="R80" s="145"/>
      <c r="S80" s="145"/>
      <c r="T80" s="145"/>
      <c r="U80" s="145"/>
      <c r="V80" s="17"/>
      <c r="W80" s="145"/>
      <c r="X80" s="145"/>
      <c r="Y80" s="145"/>
      <c r="Z80" s="145"/>
      <c r="AA80" s="17"/>
      <c r="AB80" s="145"/>
      <c r="AC80" s="145"/>
      <c r="AD80" s="145"/>
      <c r="AE80" s="145"/>
      <c r="AF80" s="17"/>
      <c r="AG80" s="145"/>
      <c r="AH80" s="145"/>
      <c r="AI80" s="145"/>
      <c r="AJ80" s="145"/>
      <c r="AK80" s="17"/>
      <c r="AL80" s="145"/>
      <c r="AM80" s="145"/>
      <c r="AN80" s="145"/>
      <c r="AO80" s="145"/>
      <c r="AP80" s="17"/>
      <c r="AQ80" s="145"/>
      <c r="AR80" s="145"/>
      <c r="AS80" s="145"/>
      <c r="AT80" s="145"/>
      <c r="AU80" s="17"/>
      <c r="AV80" s="145"/>
      <c r="AW80" s="145"/>
      <c r="AX80" s="145"/>
      <c r="AY80" s="145"/>
      <c r="AZ80" s="17"/>
      <c r="BA80" s="267"/>
      <c r="BB80" s="267"/>
      <c r="BC80" s="267"/>
      <c r="BD80" s="267"/>
      <c r="BE80" s="17"/>
      <c r="BF80" s="267"/>
      <c r="BG80" s="267"/>
      <c r="BH80" s="267"/>
      <c r="BI80" s="267"/>
      <c r="BJ80" s="17"/>
      <c r="BK80" s="267"/>
      <c r="BL80" s="267"/>
      <c r="BM80" s="267"/>
      <c r="BN80" s="267"/>
      <c r="BO80" s="17"/>
      <c r="BP80" s="267"/>
      <c r="BQ80" s="267"/>
      <c r="BR80" s="267"/>
      <c r="BS80" s="267"/>
      <c r="BT80" s="17"/>
      <c r="BU80" s="267"/>
      <c r="BV80" s="267"/>
      <c r="BW80" s="267"/>
      <c r="BX80" s="267"/>
      <c r="BY80" s="17"/>
      <c r="BZ80" s="267"/>
      <c r="CA80" s="267"/>
      <c r="CB80" s="267"/>
      <c r="CC80" s="267"/>
      <c r="CD80" s="17"/>
      <c r="CE80" s="267"/>
      <c r="CF80" s="267"/>
      <c r="CG80" s="267"/>
      <c r="CH80" s="267"/>
      <c r="CI80" s="17"/>
      <c r="CJ80" s="267"/>
      <c r="CK80" s="267"/>
      <c r="CL80" s="267"/>
      <c r="CM80" s="267"/>
      <c r="CN80" s="17"/>
      <c r="CO80" s="267"/>
      <c r="CP80" s="267"/>
      <c r="CQ80" s="267"/>
      <c r="CR80" s="267"/>
      <c r="CS80" s="17"/>
      <c r="CT80" s="267"/>
      <c r="CU80" s="267"/>
      <c r="CV80" s="267"/>
      <c r="CW80" s="267"/>
      <c r="CX80" s="17"/>
      <c r="CY80" s="267"/>
      <c r="CZ80" s="267"/>
      <c r="DA80" s="267"/>
      <c r="DB80" s="267"/>
      <c r="DC80" s="17"/>
      <c r="DD80" s="267"/>
      <c r="DE80" s="267"/>
      <c r="DF80" s="267"/>
      <c r="DG80" s="267"/>
      <c r="DH80" s="17"/>
      <c r="DI80" s="267"/>
      <c r="DJ80" s="267"/>
      <c r="DK80" s="267"/>
      <c r="DL80" s="267"/>
      <c r="DM80" s="17"/>
      <c r="DN80" s="267"/>
      <c r="DO80" s="267"/>
      <c r="DP80" s="267"/>
      <c r="DQ80" s="267"/>
      <c r="DR80" s="17"/>
      <c r="DS80" s="267"/>
      <c r="DT80" s="267"/>
      <c r="DU80" s="267"/>
      <c r="DV80" s="267"/>
      <c r="DW80" s="17"/>
      <c r="DX80" s="267"/>
      <c r="DY80" s="267"/>
      <c r="DZ80" s="267"/>
      <c r="EA80" s="267"/>
      <c r="EB80" s="17"/>
      <c r="EC80" s="267"/>
      <c r="ED80" s="267"/>
      <c r="EE80" s="267"/>
      <c r="EF80" s="267"/>
      <c r="EG80" s="17"/>
      <c r="EH80" s="267"/>
      <c r="EI80" s="267"/>
      <c r="EJ80" s="267"/>
      <c r="EK80" s="267"/>
      <c r="EL80" s="17"/>
    </row>
    <row r="81" spans="2:142" hidden="1" outlineLevel="2">
      <c r="B81" s="9" t="s">
        <v>130</v>
      </c>
      <c r="C81" s="145"/>
      <c r="D81" s="145"/>
      <c r="E81" s="145"/>
      <c r="F81" s="145"/>
      <c r="G81" s="17"/>
      <c r="H81" s="145"/>
      <c r="I81" s="145"/>
      <c r="J81" s="145"/>
      <c r="K81" s="145"/>
      <c r="L81" s="17"/>
      <c r="M81" s="145"/>
      <c r="N81" s="145">
        <v>-1.9</v>
      </c>
      <c r="O81" s="145"/>
      <c r="P81" s="145"/>
      <c r="Q81" s="17">
        <v>-1.9</v>
      </c>
      <c r="R81" s="145"/>
      <c r="S81" s="145"/>
      <c r="T81" s="145"/>
      <c r="U81" s="145"/>
      <c r="V81" s="17"/>
      <c r="W81" s="145"/>
      <c r="X81" s="145"/>
      <c r="Y81" s="145"/>
      <c r="Z81" s="145"/>
      <c r="AA81" s="17"/>
      <c r="AB81" s="145"/>
      <c r="AC81" s="145"/>
      <c r="AD81" s="145"/>
      <c r="AE81" s="145"/>
      <c r="AF81" s="17"/>
      <c r="AG81" s="145"/>
      <c r="AH81" s="145"/>
      <c r="AI81" s="145"/>
      <c r="AJ81" s="145"/>
      <c r="AK81" s="17"/>
      <c r="AL81" s="145"/>
      <c r="AM81" s="145"/>
      <c r="AN81" s="145"/>
      <c r="AO81" s="145"/>
      <c r="AP81" s="17"/>
      <c r="AQ81" s="145"/>
      <c r="AR81" s="145"/>
      <c r="AS81" s="145"/>
      <c r="AT81" s="145"/>
      <c r="AU81" s="17"/>
      <c r="AV81" s="145"/>
      <c r="AW81" s="145"/>
      <c r="AX81" s="145"/>
      <c r="AY81" s="145"/>
      <c r="AZ81" s="17"/>
      <c r="BA81" s="267"/>
      <c r="BB81" s="267"/>
      <c r="BC81" s="267"/>
      <c r="BD81" s="267"/>
      <c r="BE81" s="17"/>
      <c r="BF81" s="267"/>
      <c r="BG81" s="267"/>
      <c r="BH81" s="267"/>
      <c r="BI81" s="267"/>
      <c r="BJ81" s="17"/>
      <c r="BK81" s="267"/>
      <c r="BL81" s="267"/>
      <c r="BM81" s="267"/>
      <c r="BN81" s="267"/>
      <c r="BO81" s="17"/>
      <c r="BP81" s="267"/>
      <c r="BQ81" s="267"/>
      <c r="BR81" s="267"/>
      <c r="BS81" s="267"/>
      <c r="BT81" s="17"/>
      <c r="BU81" s="267"/>
      <c r="BV81" s="267"/>
      <c r="BW81" s="267"/>
      <c r="BX81" s="267"/>
      <c r="BY81" s="17"/>
      <c r="BZ81" s="267"/>
      <c r="CA81" s="267"/>
      <c r="CB81" s="267"/>
      <c r="CC81" s="267"/>
      <c r="CD81" s="17"/>
      <c r="CE81" s="267"/>
      <c r="CF81" s="267"/>
      <c r="CG81" s="267"/>
      <c r="CH81" s="267"/>
      <c r="CI81" s="17"/>
      <c r="CJ81" s="267"/>
      <c r="CK81" s="267"/>
      <c r="CL81" s="267"/>
      <c r="CM81" s="267"/>
      <c r="CN81" s="17"/>
      <c r="CO81" s="267"/>
      <c r="CP81" s="267"/>
      <c r="CQ81" s="267"/>
      <c r="CR81" s="267"/>
      <c r="CS81" s="17"/>
      <c r="CT81" s="267"/>
      <c r="CU81" s="267"/>
      <c r="CV81" s="267"/>
      <c r="CW81" s="267"/>
      <c r="CX81" s="17"/>
      <c r="CY81" s="267"/>
      <c r="CZ81" s="267"/>
      <c r="DA81" s="267"/>
      <c r="DB81" s="267"/>
      <c r="DC81" s="17"/>
      <c r="DD81" s="267"/>
      <c r="DE81" s="267"/>
      <c r="DF81" s="267"/>
      <c r="DG81" s="267"/>
      <c r="DH81" s="17"/>
      <c r="DI81" s="267"/>
      <c r="DJ81" s="267"/>
      <c r="DK81" s="267"/>
      <c r="DL81" s="267"/>
      <c r="DM81" s="17"/>
      <c r="DN81" s="267"/>
      <c r="DO81" s="267"/>
      <c r="DP81" s="267"/>
      <c r="DQ81" s="267"/>
      <c r="DR81" s="17"/>
      <c r="DS81" s="267"/>
      <c r="DT81" s="267"/>
      <c r="DU81" s="267"/>
      <c r="DV81" s="267"/>
      <c r="DW81" s="17"/>
      <c r="DX81" s="267"/>
      <c r="DY81" s="267"/>
      <c r="DZ81" s="267"/>
      <c r="EA81" s="267"/>
      <c r="EB81" s="17"/>
      <c r="EC81" s="267"/>
      <c r="ED81" s="267"/>
      <c r="EE81" s="267"/>
      <c r="EF81" s="267"/>
      <c r="EG81" s="17"/>
      <c r="EH81" s="267"/>
      <c r="EI81" s="267"/>
      <c r="EJ81" s="267"/>
      <c r="EK81" s="267"/>
      <c r="EL81" s="17"/>
    </row>
    <row r="82" spans="2:142" hidden="1" outlineLevel="2">
      <c r="B82" s="9" t="s">
        <v>131</v>
      </c>
      <c r="C82" s="145"/>
      <c r="D82" s="145"/>
      <c r="E82" s="145"/>
      <c r="F82" s="145"/>
      <c r="G82" s="17"/>
      <c r="H82" s="145">
        <v>-2.2000000000000002</v>
      </c>
      <c r="I82" s="145">
        <v>-0.7</v>
      </c>
      <c r="J82" s="145">
        <v>-0.1</v>
      </c>
      <c r="K82" s="145">
        <f>+L82-SUM(H82:J82)</f>
        <v>3.0000000000000004</v>
      </c>
      <c r="L82" s="17"/>
      <c r="M82" s="145"/>
      <c r="N82" s="145"/>
      <c r="O82" s="145">
        <v>-0.2</v>
      </c>
      <c r="P82" s="145">
        <f t="shared" si="90"/>
        <v>0.2</v>
      </c>
      <c r="Q82" s="17"/>
      <c r="R82" s="145"/>
      <c r="S82" s="145"/>
      <c r="T82" s="145"/>
      <c r="U82" s="145"/>
      <c r="V82" s="17"/>
      <c r="W82" s="145"/>
      <c r="X82" s="145"/>
      <c r="Y82" s="145"/>
      <c r="Z82" s="145"/>
      <c r="AA82" s="17"/>
      <c r="AB82" s="145"/>
      <c r="AC82" s="145"/>
      <c r="AD82" s="145"/>
      <c r="AE82" s="145"/>
      <c r="AF82" s="17"/>
      <c r="AG82" s="145"/>
      <c r="AH82" s="145"/>
      <c r="AI82" s="145"/>
      <c r="AJ82" s="145"/>
      <c r="AK82" s="17"/>
      <c r="AL82" s="145"/>
      <c r="AM82" s="145"/>
      <c r="AN82" s="145"/>
      <c r="AO82" s="145"/>
      <c r="AP82" s="17"/>
      <c r="AQ82" s="145"/>
      <c r="AR82" s="145"/>
      <c r="AS82" s="145"/>
      <c r="AT82" s="145"/>
      <c r="AU82" s="17"/>
      <c r="AV82" s="145"/>
      <c r="AW82" s="145"/>
      <c r="AX82" s="145"/>
      <c r="AY82" s="145"/>
      <c r="AZ82" s="17"/>
      <c r="BA82" s="267"/>
      <c r="BB82" s="267"/>
      <c r="BC82" s="267"/>
      <c r="BD82" s="267"/>
      <c r="BE82" s="17"/>
      <c r="BF82" s="267"/>
      <c r="BG82" s="267"/>
      <c r="BH82" s="267"/>
      <c r="BI82" s="267"/>
      <c r="BJ82" s="17"/>
      <c r="BK82" s="267"/>
      <c r="BL82" s="267"/>
      <c r="BM82" s="267"/>
      <c r="BN82" s="267"/>
      <c r="BO82" s="17"/>
      <c r="BP82" s="267"/>
      <c r="BQ82" s="267"/>
      <c r="BR82" s="267"/>
      <c r="BS82" s="267"/>
      <c r="BT82" s="17"/>
      <c r="BU82" s="267"/>
      <c r="BV82" s="267"/>
      <c r="BW82" s="267"/>
      <c r="BX82" s="267"/>
      <c r="BY82" s="17"/>
      <c r="BZ82" s="267"/>
      <c r="CA82" s="267"/>
      <c r="CB82" s="267"/>
      <c r="CC82" s="267"/>
      <c r="CD82" s="17"/>
      <c r="CE82" s="267"/>
      <c r="CF82" s="267"/>
      <c r="CG82" s="267"/>
      <c r="CH82" s="267"/>
      <c r="CI82" s="17"/>
      <c r="CJ82" s="267"/>
      <c r="CK82" s="267"/>
      <c r="CL82" s="267"/>
      <c r="CM82" s="267"/>
      <c r="CN82" s="17"/>
      <c r="CO82" s="267"/>
      <c r="CP82" s="267"/>
      <c r="CQ82" s="267"/>
      <c r="CR82" s="267"/>
      <c r="CS82" s="17"/>
      <c r="CT82" s="267"/>
      <c r="CU82" s="267"/>
      <c r="CV82" s="267"/>
      <c r="CW82" s="267"/>
      <c r="CX82" s="17"/>
      <c r="CY82" s="267"/>
      <c r="CZ82" s="267"/>
      <c r="DA82" s="267"/>
      <c r="DB82" s="267"/>
      <c r="DC82" s="17"/>
      <c r="DD82" s="267"/>
      <c r="DE82" s="267"/>
      <c r="DF82" s="267"/>
      <c r="DG82" s="267"/>
      <c r="DH82" s="17"/>
      <c r="DI82" s="267"/>
      <c r="DJ82" s="267"/>
      <c r="DK82" s="267"/>
      <c r="DL82" s="267"/>
      <c r="DM82" s="17"/>
      <c r="DN82" s="267"/>
      <c r="DO82" s="267"/>
      <c r="DP82" s="267"/>
      <c r="DQ82" s="267"/>
      <c r="DR82" s="17"/>
      <c r="DS82" s="267"/>
      <c r="DT82" s="267"/>
      <c r="DU82" s="267"/>
      <c r="DV82" s="267"/>
      <c r="DW82" s="17"/>
      <c r="DX82" s="267"/>
      <c r="DY82" s="267"/>
      <c r="DZ82" s="267"/>
      <c r="EA82" s="267"/>
      <c r="EB82" s="17"/>
      <c r="EC82" s="267"/>
      <c r="ED82" s="267"/>
      <c r="EE82" s="267"/>
      <c r="EF82" s="267"/>
      <c r="EG82" s="17"/>
      <c r="EH82" s="267"/>
      <c r="EI82" s="267"/>
      <c r="EJ82" s="267"/>
      <c r="EK82" s="267"/>
      <c r="EL82" s="17"/>
    </row>
    <row r="83" spans="2:142" hidden="1" outlineLevel="2">
      <c r="B83" s="9" t="s">
        <v>132</v>
      </c>
      <c r="C83" s="145"/>
      <c r="D83" s="145"/>
      <c r="E83" s="145"/>
      <c r="F83" s="145"/>
      <c r="G83" s="17"/>
      <c r="H83" s="145"/>
      <c r="I83" s="145"/>
      <c r="J83" s="145"/>
      <c r="K83" s="145">
        <f>+L83-SUM(H83:J83)</f>
        <v>-3.1</v>
      </c>
      <c r="L83" s="17">
        <v>-3.1</v>
      </c>
      <c r="M83" s="145"/>
      <c r="N83" s="145"/>
      <c r="O83" s="145">
        <v>-19.600000000000001</v>
      </c>
      <c r="P83" s="145">
        <f t="shared" si="90"/>
        <v>-0.69999999999999929</v>
      </c>
      <c r="Q83" s="17">
        <v>-20.3</v>
      </c>
      <c r="R83" s="145"/>
      <c r="S83" s="145">
        <v>-0.3</v>
      </c>
      <c r="T83" s="145"/>
      <c r="U83" s="145"/>
      <c r="V83" s="17">
        <v>-0.3</v>
      </c>
      <c r="W83" s="145"/>
      <c r="X83" s="145">
        <v>-0.4</v>
      </c>
      <c r="Y83" s="145">
        <v>-0.8</v>
      </c>
      <c r="Z83" s="145"/>
      <c r="AA83" s="17">
        <v>-1.2</v>
      </c>
      <c r="AB83" s="145"/>
      <c r="AC83" s="145"/>
      <c r="AD83" s="145">
        <v>-0.1</v>
      </c>
      <c r="AE83" s="145">
        <f>+AF83-SUM(AB83:AD83)</f>
        <v>-1.0999999999999999</v>
      </c>
      <c r="AF83" s="17">
        <v>-1.2</v>
      </c>
      <c r="AG83" s="145">
        <v>-1</v>
      </c>
      <c r="AH83" s="145">
        <v>-0.7</v>
      </c>
      <c r="AI83" s="145">
        <v>-0.7</v>
      </c>
      <c r="AJ83" s="145">
        <f>+AK83-SUM(AG83:AI83)</f>
        <v>-0.60000000000000009</v>
      </c>
      <c r="AK83" s="17">
        <v>-3</v>
      </c>
      <c r="AL83" s="145">
        <v>-0.6</v>
      </c>
      <c r="AM83" s="145">
        <v>-0.6</v>
      </c>
      <c r="AN83" s="145"/>
      <c r="AO83" s="145"/>
      <c r="AP83" s="17">
        <v>-1.2</v>
      </c>
      <c r="AQ83" s="145"/>
      <c r="AR83" s="145"/>
      <c r="AS83" s="145"/>
      <c r="AT83" s="145"/>
      <c r="AU83" s="17"/>
      <c r="AV83" s="145"/>
      <c r="AW83" s="145"/>
      <c r="AX83" s="145"/>
      <c r="AY83" s="145"/>
      <c r="AZ83" s="17"/>
      <c r="BA83" s="267"/>
      <c r="BB83" s="267"/>
      <c r="BC83" s="267"/>
      <c r="BD83" s="267"/>
      <c r="BE83" s="17"/>
      <c r="BF83" s="267"/>
      <c r="BG83" s="267"/>
      <c r="BH83" s="267"/>
      <c r="BI83" s="267"/>
      <c r="BJ83" s="17"/>
      <c r="BK83" s="267"/>
      <c r="BL83" s="267"/>
      <c r="BM83" s="267"/>
      <c r="BN83" s="267"/>
      <c r="BO83" s="17"/>
      <c r="BP83" s="267"/>
      <c r="BQ83" s="267"/>
      <c r="BR83" s="267"/>
      <c r="BS83" s="267"/>
      <c r="BT83" s="17"/>
      <c r="BU83" s="267"/>
      <c r="BV83" s="267"/>
      <c r="BW83" s="267"/>
      <c r="BX83" s="267"/>
      <c r="BY83" s="17"/>
      <c r="BZ83" s="267"/>
      <c r="CA83" s="267"/>
      <c r="CB83" s="267"/>
      <c r="CC83" s="267"/>
      <c r="CD83" s="17"/>
      <c r="CE83" s="267"/>
      <c r="CF83" s="267"/>
      <c r="CG83" s="267"/>
      <c r="CH83" s="267"/>
      <c r="CI83" s="17"/>
      <c r="CJ83" s="267"/>
      <c r="CK83" s="267"/>
      <c r="CL83" s="267"/>
      <c r="CM83" s="267"/>
      <c r="CN83" s="17"/>
      <c r="CO83" s="267"/>
      <c r="CP83" s="267"/>
      <c r="CQ83" s="267"/>
      <c r="CR83" s="267"/>
      <c r="CS83" s="17"/>
      <c r="CT83" s="267"/>
      <c r="CU83" s="267"/>
      <c r="CV83" s="267"/>
      <c r="CW83" s="267"/>
      <c r="CX83" s="17"/>
      <c r="CY83" s="267"/>
      <c r="CZ83" s="267"/>
      <c r="DA83" s="267"/>
      <c r="DB83" s="267"/>
      <c r="DC83" s="17"/>
      <c r="DD83" s="267"/>
      <c r="DE83" s="267"/>
      <c r="DF83" s="267"/>
      <c r="DG83" s="267"/>
      <c r="DH83" s="17"/>
      <c r="DI83" s="267"/>
      <c r="DJ83" s="267"/>
      <c r="DK83" s="267"/>
      <c r="DL83" s="267"/>
      <c r="DM83" s="17"/>
      <c r="DN83" s="267"/>
      <c r="DO83" s="267"/>
      <c r="DP83" s="267"/>
      <c r="DQ83" s="267"/>
      <c r="DR83" s="17"/>
      <c r="DS83" s="267"/>
      <c r="DT83" s="267"/>
      <c r="DU83" s="267"/>
      <c r="DV83" s="267"/>
      <c r="DW83" s="17"/>
      <c r="DX83" s="267"/>
      <c r="DY83" s="267"/>
      <c r="DZ83" s="267"/>
      <c r="EA83" s="267"/>
      <c r="EB83" s="17"/>
      <c r="EC83" s="267"/>
      <c r="ED83" s="267"/>
      <c r="EE83" s="267"/>
      <c r="EF83" s="267"/>
      <c r="EG83" s="17"/>
      <c r="EH83" s="267"/>
      <c r="EI83" s="267"/>
      <c r="EJ83" s="267"/>
      <c r="EK83" s="267"/>
      <c r="EL83" s="17"/>
    </row>
    <row r="84" spans="2:142" hidden="1" outlineLevel="2">
      <c r="B84" s="9" t="s">
        <v>177</v>
      </c>
      <c r="C84" s="145"/>
      <c r="D84" s="145"/>
      <c r="E84" s="145"/>
      <c r="F84" s="145"/>
      <c r="G84" s="17"/>
      <c r="H84" s="145"/>
      <c r="I84" s="145"/>
      <c r="J84" s="145"/>
      <c r="K84" s="145"/>
      <c r="L84" s="17"/>
      <c r="M84" s="145"/>
      <c r="N84" s="145"/>
      <c r="O84" s="145"/>
      <c r="P84" s="145"/>
      <c r="Q84" s="17"/>
      <c r="R84" s="145"/>
      <c r="S84" s="145"/>
      <c r="T84" s="145"/>
      <c r="U84" s="145"/>
      <c r="V84" s="17"/>
      <c r="W84" s="145"/>
      <c r="X84" s="145"/>
      <c r="Y84" s="145"/>
      <c r="Z84" s="145"/>
      <c r="AA84" s="17"/>
      <c r="AB84" s="145">
        <v>-0.8</v>
      </c>
      <c r="AC84" s="145">
        <v>-1.5</v>
      </c>
      <c r="AD84" s="145">
        <v>-1.7</v>
      </c>
      <c r="AE84" s="145">
        <f>+AF84-SUM(AB84:AD84)</f>
        <v>-1.2000000000000002</v>
      </c>
      <c r="AF84" s="17">
        <v>-5.2</v>
      </c>
      <c r="AG84" s="145">
        <v>-1.6</v>
      </c>
      <c r="AH84" s="145">
        <v>-2.2000000000000002</v>
      </c>
      <c r="AI84" s="145">
        <v>-2.2000000000000002</v>
      </c>
      <c r="AJ84" s="145">
        <f>+AK84-SUM(AG84:AI84)</f>
        <v>-1.9000000000000004</v>
      </c>
      <c r="AK84" s="17">
        <v>-7.9</v>
      </c>
      <c r="AL84" s="145"/>
      <c r="AM84" s="145">
        <v>-1.9</v>
      </c>
      <c r="AN84" s="145">
        <v>-1.1000000000000001</v>
      </c>
      <c r="AO84" s="145">
        <f>+AP84-SUM(AL84:AN84)</f>
        <v>-2.2000000000000002</v>
      </c>
      <c r="AP84" s="17">
        <v>-5.2</v>
      </c>
      <c r="AQ84" s="145"/>
      <c r="AR84" s="145"/>
      <c r="AS84" s="145"/>
      <c r="AT84" s="145"/>
      <c r="AU84" s="17"/>
      <c r="AV84" s="145"/>
      <c r="AW84" s="145"/>
      <c r="AX84" s="145"/>
      <c r="AY84" s="145"/>
      <c r="AZ84" s="17"/>
      <c r="BA84" s="267"/>
      <c r="BB84" s="267"/>
      <c r="BC84" s="267"/>
      <c r="BD84" s="267"/>
      <c r="BE84" s="17"/>
      <c r="BF84" s="267"/>
      <c r="BG84" s="267"/>
      <c r="BH84" s="267"/>
      <c r="BI84" s="267"/>
      <c r="BJ84" s="17"/>
      <c r="BK84" s="267"/>
      <c r="BL84" s="267"/>
      <c r="BM84" s="267"/>
      <c r="BN84" s="267"/>
      <c r="BO84" s="17"/>
      <c r="BP84" s="267"/>
      <c r="BQ84" s="267"/>
      <c r="BR84" s="267"/>
      <c r="BS84" s="267"/>
      <c r="BT84" s="17"/>
      <c r="BU84" s="267"/>
      <c r="BV84" s="267"/>
      <c r="BW84" s="267"/>
      <c r="BX84" s="267"/>
      <c r="BY84" s="17"/>
      <c r="BZ84" s="267"/>
      <c r="CA84" s="267"/>
      <c r="CB84" s="267"/>
      <c r="CC84" s="267"/>
      <c r="CD84" s="17"/>
      <c r="CE84" s="267"/>
      <c r="CF84" s="267"/>
      <c r="CG84" s="267"/>
      <c r="CH84" s="267"/>
      <c r="CI84" s="17"/>
      <c r="CJ84" s="267"/>
      <c r="CK84" s="267"/>
      <c r="CL84" s="267"/>
      <c r="CM84" s="267"/>
      <c r="CN84" s="17"/>
      <c r="CO84" s="267"/>
      <c r="CP84" s="267"/>
      <c r="CQ84" s="267"/>
      <c r="CR84" s="267"/>
      <c r="CS84" s="17"/>
      <c r="CT84" s="267"/>
      <c r="CU84" s="267"/>
      <c r="CV84" s="267"/>
      <c r="CW84" s="267"/>
      <c r="CX84" s="17"/>
      <c r="CY84" s="267"/>
      <c r="CZ84" s="267"/>
      <c r="DA84" s="267"/>
      <c r="DB84" s="267"/>
      <c r="DC84" s="17"/>
      <c r="DD84" s="267"/>
      <c r="DE84" s="267"/>
      <c r="DF84" s="267"/>
      <c r="DG84" s="267"/>
      <c r="DH84" s="17"/>
      <c r="DI84" s="267"/>
      <c r="DJ84" s="267"/>
      <c r="DK84" s="267"/>
      <c r="DL84" s="267"/>
      <c r="DM84" s="17"/>
      <c r="DN84" s="267"/>
      <c r="DO84" s="267"/>
      <c r="DP84" s="267"/>
      <c r="DQ84" s="267"/>
      <c r="DR84" s="17"/>
      <c r="DS84" s="267"/>
      <c r="DT84" s="267"/>
      <c r="DU84" s="267"/>
      <c r="DV84" s="267"/>
      <c r="DW84" s="17"/>
      <c r="DX84" s="267"/>
      <c r="DY84" s="267"/>
      <c r="DZ84" s="267"/>
      <c r="EA84" s="267"/>
      <c r="EB84" s="17"/>
      <c r="EC84" s="267"/>
      <c r="ED84" s="267"/>
      <c r="EE84" s="267"/>
      <c r="EF84" s="267"/>
      <c r="EG84" s="17"/>
      <c r="EH84" s="267"/>
      <c r="EI84" s="267"/>
      <c r="EJ84" s="267"/>
      <c r="EK84" s="267"/>
      <c r="EL84" s="17"/>
    </row>
    <row r="85" spans="2:142" hidden="1" outlineLevel="2">
      <c r="B85" s="9" t="s">
        <v>133</v>
      </c>
      <c r="C85" s="145">
        <v>101.3</v>
      </c>
      <c r="D85" s="145">
        <v>98.9</v>
      </c>
      <c r="E85" s="145">
        <v>96.1</v>
      </c>
      <c r="F85" s="145">
        <v>50.4</v>
      </c>
      <c r="G85" s="17">
        <v>346.7</v>
      </c>
      <c r="H85" s="145"/>
      <c r="I85" s="145"/>
      <c r="J85" s="145"/>
      <c r="K85" s="145"/>
      <c r="L85" s="17"/>
      <c r="M85" s="145"/>
      <c r="N85" s="145"/>
      <c r="O85" s="145"/>
      <c r="P85" s="145"/>
      <c r="Q85" s="17"/>
      <c r="R85" s="145"/>
      <c r="S85" s="145"/>
      <c r="T85" s="145"/>
      <c r="U85" s="145"/>
      <c r="V85" s="17"/>
      <c r="W85" s="145"/>
      <c r="X85" s="145"/>
      <c r="Y85" s="145"/>
      <c r="Z85" s="145"/>
      <c r="AA85" s="17"/>
      <c r="AB85" s="145"/>
      <c r="AC85" s="145"/>
      <c r="AD85" s="145"/>
      <c r="AE85" s="145"/>
      <c r="AF85" s="17"/>
      <c r="AG85" s="145"/>
      <c r="AH85" s="145"/>
      <c r="AI85" s="145"/>
      <c r="AJ85" s="145"/>
      <c r="AK85" s="17"/>
      <c r="AL85" s="145"/>
      <c r="AM85" s="145"/>
      <c r="AN85" s="145"/>
      <c r="AO85" s="145"/>
      <c r="AP85" s="17"/>
      <c r="AQ85" s="145"/>
      <c r="AR85" s="145"/>
      <c r="AS85" s="145"/>
      <c r="AT85" s="145"/>
      <c r="AU85" s="17"/>
      <c r="AV85" s="145"/>
      <c r="AW85" s="145"/>
      <c r="AX85" s="145"/>
      <c r="AY85" s="145"/>
      <c r="AZ85" s="17"/>
      <c r="BA85" s="267"/>
      <c r="BB85" s="267"/>
      <c r="BC85" s="267"/>
      <c r="BD85" s="267"/>
      <c r="BE85" s="17"/>
      <c r="BF85" s="267"/>
      <c r="BG85" s="267"/>
      <c r="BH85" s="267"/>
      <c r="BI85" s="267"/>
      <c r="BJ85" s="17"/>
      <c r="BK85" s="267"/>
      <c r="BL85" s="267"/>
      <c r="BM85" s="267"/>
      <c r="BN85" s="267"/>
      <c r="BO85" s="17"/>
      <c r="BP85" s="267"/>
      <c r="BQ85" s="267"/>
      <c r="BR85" s="267"/>
      <c r="BS85" s="267"/>
      <c r="BT85" s="17"/>
      <c r="BU85" s="267"/>
      <c r="BV85" s="267"/>
      <c r="BW85" s="267"/>
      <c r="BX85" s="267"/>
      <c r="BY85" s="17"/>
      <c r="BZ85" s="267"/>
      <c r="CA85" s="267"/>
      <c r="CB85" s="267"/>
      <c r="CC85" s="267"/>
      <c r="CD85" s="17"/>
      <c r="CE85" s="267"/>
      <c r="CF85" s="267"/>
      <c r="CG85" s="267"/>
      <c r="CH85" s="267"/>
      <c r="CI85" s="17"/>
      <c r="CJ85" s="267"/>
      <c r="CK85" s="267"/>
      <c r="CL85" s="267"/>
      <c r="CM85" s="267"/>
      <c r="CN85" s="17"/>
      <c r="CO85" s="267"/>
      <c r="CP85" s="267"/>
      <c r="CQ85" s="267"/>
      <c r="CR85" s="267"/>
      <c r="CS85" s="17"/>
      <c r="CT85" s="267"/>
      <c r="CU85" s="267"/>
      <c r="CV85" s="267"/>
      <c r="CW85" s="267"/>
      <c r="CX85" s="17"/>
      <c r="CY85" s="267"/>
      <c r="CZ85" s="267"/>
      <c r="DA85" s="267"/>
      <c r="DB85" s="267"/>
      <c r="DC85" s="17"/>
      <c r="DD85" s="267"/>
      <c r="DE85" s="267"/>
      <c r="DF85" s="267"/>
      <c r="DG85" s="267"/>
      <c r="DH85" s="17"/>
      <c r="DI85" s="267"/>
      <c r="DJ85" s="267"/>
      <c r="DK85" s="267"/>
      <c r="DL85" s="267"/>
      <c r="DM85" s="17"/>
      <c r="DN85" s="267"/>
      <c r="DO85" s="267"/>
      <c r="DP85" s="267"/>
      <c r="DQ85" s="267"/>
      <c r="DR85" s="17"/>
      <c r="DS85" s="267"/>
      <c r="DT85" s="267"/>
      <c r="DU85" s="267"/>
      <c r="DV85" s="267"/>
      <c r="DW85" s="17"/>
      <c r="DX85" s="267"/>
      <c r="DY85" s="267"/>
      <c r="DZ85" s="267"/>
      <c r="EA85" s="267"/>
      <c r="EB85" s="17"/>
      <c r="EC85" s="267"/>
      <c r="ED85" s="267"/>
      <c r="EE85" s="267"/>
      <c r="EF85" s="267"/>
      <c r="EG85" s="17"/>
      <c r="EH85" s="267"/>
      <c r="EI85" s="267"/>
      <c r="EJ85" s="267"/>
      <c r="EK85" s="267"/>
      <c r="EL85" s="17"/>
    </row>
    <row r="86" spans="2:142" hidden="1" outlineLevel="2">
      <c r="B86" s="9" t="s">
        <v>134</v>
      </c>
      <c r="C86" s="145"/>
      <c r="D86" s="145"/>
      <c r="E86" s="145"/>
      <c r="F86" s="145">
        <v>-13.2</v>
      </c>
      <c r="G86" s="17">
        <v>-13.2</v>
      </c>
      <c r="H86" s="145">
        <v>-4.4000000000000004</v>
      </c>
      <c r="I86" s="145">
        <v>-0.6</v>
      </c>
      <c r="J86" s="145">
        <v>-1.7</v>
      </c>
      <c r="K86" s="145">
        <f>+L86-SUM(H86:J86)</f>
        <v>6.7</v>
      </c>
      <c r="L86" s="17"/>
      <c r="M86" s="145"/>
      <c r="N86" s="145"/>
      <c r="O86" s="145">
        <v>-0.3</v>
      </c>
      <c r="P86" s="145">
        <f t="shared" si="90"/>
        <v>0.3</v>
      </c>
      <c r="Q86" s="17"/>
      <c r="R86" s="145"/>
      <c r="S86" s="145">
        <v>-0.1</v>
      </c>
      <c r="T86" s="145"/>
      <c r="U86" s="145"/>
      <c r="V86" s="17">
        <v>-0.1</v>
      </c>
      <c r="W86" s="145"/>
      <c r="X86" s="145"/>
      <c r="Y86" s="145"/>
      <c r="Z86" s="145"/>
      <c r="AA86" s="17"/>
      <c r="AB86" s="145"/>
      <c r="AC86" s="145"/>
      <c r="AD86" s="145"/>
      <c r="AE86" s="145"/>
      <c r="AF86" s="17"/>
      <c r="AG86" s="145"/>
      <c r="AH86" s="145"/>
      <c r="AI86" s="145"/>
      <c r="AJ86" s="145"/>
      <c r="AK86" s="17"/>
      <c r="AL86" s="145"/>
      <c r="AM86" s="145"/>
      <c r="AN86" s="145"/>
      <c r="AO86" s="145"/>
      <c r="AP86" s="17"/>
      <c r="AQ86" s="145"/>
      <c r="AR86" s="145"/>
      <c r="AS86" s="145"/>
      <c r="AT86" s="145"/>
      <c r="AU86" s="17"/>
      <c r="AV86" s="145"/>
      <c r="AW86" s="145"/>
      <c r="AX86" s="145"/>
      <c r="AY86" s="145"/>
      <c r="AZ86" s="17"/>
      <c r="BA86" s="267"/>
      <c r="BB86" s="267"/>
      <c r="BC86" s="267"/>
      <c r="BD86" s="267"/>
      <c r="BE86" s="17"/>
      <c r="BF86" s="267"/>
      <c r="BG86" s="267"/>
      <c r="BH86" s="267"/>
      <c r="BI86" s="267"/>
      <c r="BJ86" s="17"/>
      <c r="BK86" s="267"/>
      <c r="BL86" s="267"/>
      <c r="BM86" s="267"/>
      <c r="BN86" s="267"/>
      <c r="BO86" s="17"/>
      <c r="BP86" s="267"/>
      <c r="BQ86" s="267"/>
      <c r="BR86" s="267"/>
      <c r="BS86" s="267"/>
      <c r="BT86" s="17"/>
      <c r="BU86" s="267"/>
      <c r="BV86" s="267"/>
      <c r="BW86" s="267"/>
      <c r="BX86" s="267"/>
      <c r="BY86" s="17"/>
      <c r="BZ86" s="267"/>
      <c r="CA86" s="267"/>
      <c r="CB86" s="267"/>
      <c r="CC86" s="267"/>
      <c r="CD86" s="17"/>
      <c r="CE86" s="267"/>
      <c r="CF86" s="267"/>
      <c r="CG86" s="267"/>
      <c r="CH86" s="267"/>
      <c r="CI86" s="17"/>
      <c r="CJ86" s="267"/>
      <c r="CK86" s="267"/>
      <c r="CL86" s="267"/>
      <c r="CM86" s="267"/>
      <c r="CN86" s="17"/>
      <c r="CO86" s="267"/>
      <c r="CP86" s="267"/>
      <c r="CQ86" s="267"/>
      <c r="CR86" s="267"/>
      <c r="CS86" s="17"/>
      <c r="CT86" s="267"/>
      <c r="CU86" s="267"/>
      <c r="CV86" s="267"/>
      <c r="CW86" s="267"/>
      <c r="CX86" s="17"/>
      <c r="CY86" s="267"/>
      <c r="CZ86" s="267"/>
      <c r="DA86" s="267"/>
      <c r="DB86" s="267"/>
      <c r="DC86" s="17"/>
      <c r="DD86" s="267"/>
      <c r="DE86" s="267"/>
      <c r="DF86" s="267"/>
      <c r="DG86" s="267"/>
      <c r="DH86" s="17"/>
      <c r="DI86" s="267"/>
      <c r="DJ86" s="267"/>
      <c r="DK86" s="267"/>
      <c r="DL86" s="267"/>
      <c r="DM86" s="17"/>
      <c r="DN86" s="267"/>
      <c r="DO86" s="267"/>
      <c r="DP86" s="267"/>
      <c r="DQ86" s="267"/>
      <c r="DR86" s="17"/>
      <c r="DS86" s="267"/>
      <c r="DT86" s="267"/>
      <c r="DU86" s="267"/>
      <c r="DV86" s="267"/>
      <c r="DW86" s="17"/>
      <c r="DX86" s="267"/>
      <c r="DY86" s="267"/>
      <c r="DZ86" s="267"/>
      <c r="EA86" s="267"/>
      <c r="EB86" s="17"/>
      <c r="EC86" s="267"/>
      <c r="ED86" s="267"/>
      <c r="EE86" s="267"/>
      <c r="EF86" s="267"/>
      <c r="EG86" s="17"/>
      <c r="EH86" s="267"/>
      <c r="EI86" s="267"/>
      <c r="EJ86" s="267"/>
      <c r="EK86" s="267"/>
      <c r="EL86" s="17"/>
    </row>
    <row r="87" spans="2:142" hidden="1" outlineLevel="2">
      <c r="B87" s="9" t="s">
        <v>135</v>
      </c>
      <c r="C87" s="145"/>
      <c r="D87" s="145"/>
      <c r="E87" s="145"/>
      <c r="F87" s="145"/>
      <c r="G87" s="17"/>
      <c r="H87" s="145"/>
      <c r="I87" s="145"/>
      <c r="J87" s="145"/>
      <c r="K87" s="145">
        <f>+L87-SUM(H87:J87)</f>
        <v>-9.3000000000000007</v>
      </c>
      <c r="L87" s="17">
        <v>-9.3000000000000007</v>
      </c>
      <c r="M87" s="145">
        <v>-0.5</v>
      </c>
      <c r="N87" s="145"/>
      <c r="O87" s="145">
        <v>-7.6</v>
      </c>
      <c r="P87" s="145">
        <f t="shared" si="90"/>
        <v>-11.200000000000001</v>
      </c>
      <c r="Q87" s="17">
        <v>-19.3</v>
      </c>
      <c r="R87" s="145">
        <v>-0.7</v>
      </c>
      <c r="S87" s="145">
        <v>-0.9</v>
      </c>
      <c r="T87" s="145"/>
      <c r="U87" s="145">
        <f>+V87-SUM(R87:T87)</f>
        <v>-0.39999999999999991</v>
      </c>
      <c r="V87" s="17">
        <v>-2</v>
      </c>
      <c r="W87" s="145">
        <v>-0.1</v>
      </c>
      <c r="X87" s="145">
        <v>-0.5</v>
      </c>
      <c r="Y87" s="145"/>
      <c r="Z87" s="145"/>
      <c r="AA87" s="17">
        <v>-0.6</v>
      </c>
      <c r="AB87" s="145"/>
      <c r="AC87" s="145"/>
      <c r="AD87" s="145">
        <v>-2.9</v>
      </c>
      <c r="AE87" s="145">
        <f>+AF87-SUM(AB87:AD87)</f>
        <v>-0.89999999999999991</v>
      </c>
      <c r="AF87" s="17">
        <v>-3.8</v>
      </c>
      <c r="AG87" s="145">
        <v>-0.1</v>
      </c>
      <c r="AH87" s="145">
        <v>-0.2</v>
      </c>
      <c r="AI87" s="145">
        <v>-0.1</v>
      </c>
      <c r="AJ87" s="145"/>
      <c r="AK87" s="17">
        <v>-0.4</v>
      </c>
      <c r="AL87" s="145">
        <v>-4.3</v>
      </c>
      <c r="AM87" s="145">
        <v>-1.5</v>
      </c>
      <c r="AN87" s="145"/>
      <c r="AO87" s="145">
        <f>+AP87-SUM(AL87:AN87)</f>
        <v>9.9999999999999645E-2</v>
      </c>
      <c r="AP87" s="17">
        <v>-5.7</v>
      </c>
      <c r="AQ87" s="145"/>
      <c r="AR87" s="145"/>
      <c r="AS87" s="145"/>
      <c r="AT87" s="145"/>
      <c r="AU87" s="17"/>
      <c r="AV87" s="145"/>
      <c r="AW87" s="145"/>
      <c r="AX87" s="145"/>
      <c r="AY87" s="145"/>
      <c r="AZ87" s="17"/>
      <c r="BA87" s="267"/>
      <c r="BB87" s="267"/>
      <c r="BC87" s="267"/>
      <c r="BD87" s="267"/>
      <c r="BE87" s="17"/>
      <c r="BF87" s="267"/>
      <c r="BG87" s="267"/>
      <c r="BH87" s="267"/>
      <c r="BI87" s="267"/>
      <c r="BJ87" s="17"/>
      <c r="BK87" s="267"/>
      <c r="BL87" s="267"/>
      <c r="BM87" s="267"/>
      <c r="BN87" s="267"/>
      <c r="BO87" s="17"/>
      <c r="BP87" s="267"/>
      <c r="BQ87" s="267"/>
      <c r="BR87" s="267"/>
      <c r="BS87" s="267"/>
      <c r="BT87" s="17"/>
      <c r="BU87" s="267"/>
      <c r="BV87" s="267"/>
      <c r="BW87" s="267"/>
      <c r="BX87" s="267"/>
      <c r="BY87" s="17"/>
      <c r="BZ87" s="267"/>
      <c r="CA87" s="267"/>
      <c r="CB87" s="267"/>
      <c r="CC87" s="267"/>
      <c r="CD87" s="17"/>
      <c r="CE87" s="267"/>
      <c r="CF87" s="267"/>
      <c r="CG87" s="267"/>
      <c r="CH87" s="267"/>
      <c r="CI87" s="17"/>
      <c r="CJ87" s="267"/>
      <c r="CK87" s="267"/>
      <c r="CL87" s="267"/>
      <c r="CM87" s="267"/>
      <c r="CN87" s="17"/>
      <c r="CO87" s="267"/>
      <c r="CP87" s="267"/>
      <c r="CQ87" s="267"/>
      <c r="CR87" s="267"/>
      <c r="CS87" s="17"/>
      <c r="CT87" s="267"/>
      <c r="CU87" s="267"/>
      <c r="CV87" s="267"/>
      <c r="CW87" s="267"/>
      <c r="CX87" s="17"/>
      <c r="CY87" s="267"/>
      <c r="CZ87" s="267"/>
      <c r="DA87" s="267"/>
      <c r="DB87" s="267"/>
      <c r="DC87" s="17"/>
      <c r="DD87" s="267"/>
      <c r="DE87" s="267"/>
      <c r="DF87" s="267"/>
      <c r="DG87" s="267"/>
      <c r="DH87" s="17"/>
      <c r="DI87" s="267"/>
      <c r="DJ87" s="267"/>
      <c r="DK87" s="267"/>
      <c r="DL87" s="267"/>
      <c r="DM87" s="17"/>
      <c r="DN87" s="267"/>
      <c r="DO87" s="267"/>
      <c r="DP87" s="267"/>
      <c r="DQ87" s="267"/>
      <c r="DR87" s="17"/>
      <c r="DS87" s="267"/>
      <c r="DT87" s="267"/>
      <c r="DU87" s="267"/>
      <c r="DV87" s="267"/>
      <c r="DW87" s="17"/>
      <c r="DX87" s="267"/>
      <c r="DY87" s="267"/>
      <c r="DZ87" s="267"/>
      <c r="EA87" s="267"/>
      <c r="EB87" s="17"/>
      <c r="EC87" s="267"/>
      <c r="ED87" s="267"/>
      <c r="EE87" s="267"/>
      <c r="EF87" s="267"/>
      <c r="EG87" s="17"/>
      <c r="EH87" s="267"/>
      <c r="EI87" s="267"/>
      <c r="EJ87" s="267"/>
      <c r="EK87" s="267"/>
      <c r="EL87" s="17"/>
    </row>
    <row r="88" spans="2:142" hidden="1" outlineLevel="2">
      <c r="B88" s="9" t="s">
        <v>138</v>
      </c>
      <c r="C88" s="145"/>
      <c r="D88" s="145"/>
      <c r="E88" s="145"/>
      <c r="F88" s="145"/>
      <c r="G88" s="17"/>
      <c r="H88" s="145"/>
      <c r="I88" s="145"/>
      <c r="J88" s="145"/>
      <c r="K88" s="145"/>
      <c r="L88" s="17"/>
      <c r="M88" s="145"/>
      <c r="N88" s="145">
        <v>-75.564999999999998</v>
      </c>
      <c r="O88" s="145">
        <v>-21.045999999999999</v>
      </c>
      <c r="P88" s="145">
        <f>+Q88-SUM(M88:O88)</f>
        <v>-15.189000000000007</v>
      </c>
      <c r="Q88" s="17">
        <v>-111.8</v>
      </c>
      <c r="R88" s="145">
        <v>0.29799999999999999</v>
      </c>
      <c r="S88" s="145">
        <v>0.79900000000000004</v>
      </c>
      <c r="T88" s="145">
        <v>-0.17499999999999999</v>
      </c>
      <c r="U88" s="145">
        <f>+V88-SUM(R88:T88)</f>
        <v>15.585000000000001</v>
      </c>
      <c r="V88" s="17">
        <v>16.507000000000001</v>
      </c>
      <c r="W88" s="145"/>
      <c r="X88" s="145"/>
      <c r="Y88" s="145"/>
      <c r="Z88" s="145">
        <f>+AA88-SUM(W88:Y88)</f>
        <v>0.36</v>
      </c>
      <c r="AA88" s="17">
        <v>0.36</v>
      </c>
      <c r="AB88" s="145"/>
      <c r="AC88" s="145"/>
      <c r="AD88" s="145"/>
      <c r="AE88" s="145">
        <f>+AF88-SUM(AB88:AD88)</f>
        <v>9.2420000000000009</v>
      </c>
      <c r="AF88" s="17">
        <v>9.2420000000000009</v>
      </c>
      <c r="AG88" s="145"/>
      <c r="AH88" s="145"/>
      <c r="AI88" s="145"/>
      <c r="AJ88" s="145"/>
      <c r="AK88" s="17"/>
      <c r="AL88" s="145"/>
      <c r="AM88" s="145"/>
      <c r="AN88" s="145"/>
      <c r="AO88" s="145"/>
      <c r="AP88" s="17"/>
      <c r="AQ88" s="145"/>
      <c r="AR88" s="145"/>
      <c r="AS88" s="145"/>
      <c r="AT88" s="145"/>
      <c r="AU88" s="17"/>
      <c r="AV88" s="145"/>
      <c r="AW88" s="145"/>
      <c r="AX88" s="145"/>
      <c r="AY88" s="145"/>
      <c r="AZ88" s="17"/>
      <c r="BA88" s="267"/>
      <c r="BB88" s="267"/>
      <c r="BC88" s="267"/>
      <c r="BD88" s="267"/>
      <c r="BE88" s="17"/>
      <c r="BF88" s="267"/>
      <c r="BG88" s="267"/>
      <c r="BH88" s="267"/>
      <c r="BI88" s="267"/>
      <c r="BJ88" s="17"/>
      <c r="BK88" s="267"/>
      <c r="BL88" s="267"/>
      <c r="BM88" s="267"/>
      <c r="BN88" s="267"/>
      <c r="BO88" s="17"/>
      <c r="BP88" s="267"/>
      <c r="BQ88" s="267"/>
      <c r="BR88" s="267"/>
      <c r="BS88" s="267"/>
      <c r="BT88" s="17"/>
      <c r="BU88" s="267"/>
      <c r="BV88" s="267"/>
      <c r="BW88" s="267"/>
      <c r="BX88" s="267"/>
      <c r="BY88" s="17"/>
      <c r="BZ88" s="267"/>
      <c r="CA88" s="267"/>
      <c r="CB88" s="267"/>
      <c r="CC88" s="267"/>
      <c r="CD88" s="17"/>
      <c r="CE88" s="267"/>
      <c r="CF88" s="267"/>
      <c r="CG88" s="267"/>
      <c r="CH88" s="267"/>
      <c r="CI88" s="17"/>
      <c r="CJ88" s="267"/>
      <c r="CK88" s="267"/>
      <c r="CL88" s="267"/>
      <c r="CM88" s="267"/>
      <c r="CN88" s="17"/>
      <c r="CO88" s="267"/>
      <c r="CP88" s="267"/>
      <c r="CQ88" s="267"/>
      <c r="CR88" s="267"/>
      <c r="CS88" s="17"/>
      <c r="CT88" s="267"/>
      <c r="CU88" s="267"/>
      <c r="CV88" s="267"/>
      <c r="CW88" s="267"/>
      <c r="CX88" s="17"/>
      <c r="CY88" s="267"/>
      <c r="CZ88" s="267"/>
      <c r="DA88" s="267"/>
      <c r="DB88" s="267"/>
      <c r="DC88" s="17"/>
      <c r="DD88" s="267"/>
      <c r="DE88" s="267"/>
      <c r="DF88" s="267"/>
      <c r="DG88" s="267"/>
      <c r="DH88" s="17"/>
      <c r="DI88" s="267"/>
      <c r="DJ88" s="267"/>
      <c r="DK88" s="267"/>
      <c r="DL88" s="267"/>
      <c r="DM88" s="17"/>
      <c r="DN88" s="267"/>
      <c r="DO88" s="267"/>
      <c r="DP88" s="267"/>
      <c r="DQ88" s="267"/>
      <c r="DR88" s="17"/>
      <c r="DS88" s="267"/>
      <c r="DT88" s="267"/>
      <c r="DU88" s="267"/>
      <c r="DV88" s="267"/>
      <c r="DW88" s="17"/>
      <c r="DX88" s="267"/>
      <c r="DY88" s="267"/>
      <c r="DZ88" s="267"/>
      <c r="EA88" s="267"/>
      <c r="EB88" s="17"/>
      <c r="EC88" s="267"/>
      <c r="ED88" s="267"/>
      <c r="EE88" s="267"/>
      <c r="EF88" s="267"/>
      <c r="EG88" s="17"/>
      <c r="EH88" s="267"/>
      <c r="EI88" s="267"/>
      <c r="EJ88" s="267"/>
      <c r="EK88" s="267"/>
      <c r="EL88" s="17"/>
    </row>
    <row r="89" spans="2:142" hidden="1" outlineLevel="2">
      <c r="B89" s="9" t="s">
        <v>139</v>
      </c>
      <c r="C89" s="145"/>
      <c r="D89" s="145"/>
      <c r="E89" s="145"/>
      <c r="F89" s="145"/>
      <c r="G89" s="17"/>
      <c r="H89" s="145"/>
      <c r="I89" s="145"/>
      <c r="J89" s="145"/>
      <c r="K89" s="145"/>
      <c r="L89" s="17"/>
      <c r="M89" s="145"/>
      <c r="N89" s="145"/>
      <c r="O89" s="145"/>
      <c r="P89" s="145"/>
      <c r="Q89" s="17"/>
      <c r="R89" s="145"/>
      <c r="S89" s="145">
        <v>34.192</v>
      </c>
      <c r="T89" s="145"/>
      <c r="U89" s="145">
        <f>+V89-SUM(R89:T89)</f>
        <v>-28.052</v>
      </c>
      <c r="V89" s="17">
        <v>6.14</v>
      </c>
      <c r="W89" s="145"/>
      <c r="X89" s="145"/>
      <c r="Y89" s="145"/>
      <c r="Z89" s="145"/>
      <c r="AA89" s="17"/>
      <c r="AB89" s="145"/>
      <c r="AC89" s="145"/>
      <c r="AD89" s="145"/>
      <c r="AE89" s="145"/>
      <c r="AF89" s="17"/>
      <c r="AG89" s="145"/>
      <c r="AH89" s="145"/>
      <c r="AI89" s="145"/>
      <c r="AJ89" s="145"/>
      <c r="AK89" s="17"/>
      <c r="AL89" s="145"/>
      <c r="AM89" s="145"/>
      <c r="AN89" s="145"/>
      <c r="AO89" s="145"/>
      <c r="AP89" s="17"/>
      <c r="AQ89" s="145"/>
      <c r="AR89" s="145"/>
      <c r="AS89" s="145"/>
      <c r="AT89" s="145"/>
      <c r="AU89" s="17"/>
      <c r="AV89" s="145"/>
      <c r="AW89" s="145"/>
      <c r="AX89" s="145"/>
      <c r="AY89" s="145"/>
      <c r="AZ89" s="17"/>
      <c r="BA89" s="267"/>
      <c r="BB89" s="267"/>
      <c r="BC89" s="267"/>
      <c r="BD89" s="267"/>
      <c r="BE89" s="17"/>
      <c r="BF89" s="267"/>
      <c r="BG89" s="267"/>
      <c r="BH89" s="267"/>
      <c r="BI89" s="267"/>
      <c r="BJ89" s="17"/>
      <c r="BK89" s="267"/>
      <c r="BL89" s="267"/>
      <c r="BM89" s="267"/>
      <c r="BN89" s="267"/>
      <c r="BO89" s="17"/>
      <c r="BP89" s="267"/>
      <c r="BQ89" s="267"/>
      <c r="BR89" s="267"/>
      <c r="BS89" s="267"/>
      <c r="BT89" s="17"/>
      <c r="BU89" s="267"/>
      <c r="BV89" s="267"/>
      <c r="BW89" s="267"/>
      <c r="BX89" s="267"/>
      <c r="BY89" s="17"/>
      <c r="BZ89" s="267"/>
      <c r="CA89" s="267"/>
      <c r="CB89" s="267"/>
      <c r="CC89" s="267"/>
      <c r="CD89" s="17"/>
      <c r="CE89" s="267"/>
      <c r="CF89" s="267"/>
      <c r="CG89" s="267"/>
      <c r="CH89" s="267"/>
      <c r="CI89" s="17"/>
      <c r="CJ89" s="267"/>
      <c r="CK89" s="267"/>
      <c r="CL89" s="267"/>
      <c r="CM89" s="267"/>
      <c r="CN89" s="17"/>
      <c r="CO89" s="267"/>
      <c r="CP89" s="267"/>
      <c r="CQ89" s="267"/>
      <c r="CR89" s="267"/>
      <c r="CS89" s="17"/>
      <c r="CT89" s="267"/>
      <c r="CU89" s="267"/>
      <c r="CV89" s="267"/>
      <c r="CW89" s="267"/>
      <c r="CX89" s="17"/>
      <c r="CY89" s="267"/>
      <c r="CZ89" s="267"/>
      <c r="DA89" s="267"/>
      <c r="DB89" s="267"/>
      <c r="DC89" s="17"/>
      <c r="DD89" s="267"/>
      <c r="DE89" s="267"/>
      <c r="DF89" s="267"/>
      <c r="DG89" s="267"/>
      <c r="DH89" s="17"/>
      <c r="DI89" s="267"/>
      <c r="DJ89" s="267"/>
      <c r="DK89" s="267"/>
      <c r="DL89" s="267"/>
      <c r="DM89" s="17"/>
      <c r="DN89" s="267"/>
      <c r="DO89" s="267"/>
      <c r="DP89" s="267"/>
      <c r="DQ89" s="267"/>
      <c r="DR89" s="17"/>
      <c r="DS89" s="267"/>
      <c r="DT89" s="267"/>
      <c r="DU89" s="267"/>
      <c r="DV89" s="267"/>
      <c r="DW89" s="17"/>
      <c r="DX89" s="267"/>
      <c r="DY89" s="267"/>
      <c r="DZ89" s="267"/>
      <c r="EA89" s="267"/>
      <c r="EB89" s="17"/>
      <c r="EC89" s="267"/>
      <c r="ED89" s="267"/>
      <c r="EE89" s="267"/>
      <c r="EF89" s="267"/>
      <c r="EG89" s="17"/>
      <c r="EH89" s="267"/>
      <c r="EI89" s="267"/>
      <c r="EJ89" s="267"/>
      <c r="EK89" s="267"/>
      <c r="EL89" s="17"/>
    </row>
    <row r="90" spans="2:142" hidden="1" outlineLevel="2">
      <c r="B90" s="9" t="s">
        <v>195</v>
      </c>
      <c r="C90" s="145">
        <v>-10.3</v>
      </c>
      <c r="D90" s="145">
        <v>-11</v>
      </c>
      <c r="E90" s="145">
        <v>-6.9</v>
      </c>
      <c r="F90" s="145">
        <v>-4.7</v>
      </c>
      <c r="G90" s="17">
        <v>-32.9</v>
      </c>
      <c r="H90" s="145"/>
      <c r="I90" s="145"/>
      <c r="J90" s="145"/>
      <c r="K90" s="145"/>
      <c r="L90" s="17"/>
      <c r="M90" s="145"/>
      <c r="N90" s="145"/>
      <c r="O90" s="145"/>
      <c r="P90" s="145"/>
      <c r="Q90" s="17"/>
      <c r="R90" s="145"/>
      <c r="S90" s="145"/>
      <c r="T90" s="145"/>
      <c r="U90" s="145"/>
      <c r="V90" s="17"/>
      <c r="W90" s="145"/>
      <c r="X90" s="145"/>
      <c r="Y90" s="145"/>
      <c r="Z90" s="145"/>
      <c r="AA90" s="17"/>
      <c r="AB90" s="145"/>
      <c r="AC90" s="145"/>
      <c r="AD90" s="145"/>
      <c r="AE90" s="145"/>
      <c r="AF90" s="17"/>
      <c r="AG90" s="145"/>
      <c r="AH90" s="145"/>
      <c r="AI90" s="145"/>
      <c r="AJ90" s="145"/>
      <c r="AK90" s="17"/>
      <c r="AL90" s="145"/>
      <c r="AM90" s="145"/>
      <c r="AN90" s="145"/>
      <c r="AO90" s="145"/>
      <c r="AP90" s="17"/>
      <c r="AQ90" s="145"/>
      <c r="AR90" s="145"/>
      <c r="AS90" s="145"/>
      <c r="AT90" s="145"/>
      <c r="AU90" s="17"/>
      <c r="AV90" s="145"/>
      <c r="AW90" s="145"/>
      <c r="AX90" s="145"/>
      <c r="AY90" s="145"/>
      <c r="AZ90" s="17"/>
      <c r="BA90" s="267"/>
      <c r="BB90" s="267"/>
      <c r="BC90" s="267"/>
      <c r="BD90" s="267"/>
      <c r="BE90" s="17"/>
      <c r="BF90" s="267"/>
      <c r="BG90" s="267"/>
      <c r="BH90" s="267"/>
      <c r="BI90" s="267"/>
      <c r="BJ90" s="17"/>
      <c r="BK90" s="267"/>
      <c r="BL90" s="267"/>
      <c r="BM90" s="267"/>
      <c r="BN90" s="267"/>
      <c r="BO90" s="17"/>
      <c r="BP90" s="267"/>
      <c r="BQ90" s="267"/>
      <c r="BR90" s="267"/>
      <c r="BS90" s="267"/>
      <c r="BT90" s="17"/>
      <c r="BU90" s="267"/>
      <c r="BV90" s="267"/>
      <c r="BW90" s="267"/>
      <c r="BX90" s="267"/>
      <c r="BY90" s="17"/>
      <c r="BZ90" s="267"/>
      <c r="CA90" s="267"/>
      <c r="CB90" s="267"/>
      <c r="CC90" s="267"/>
      <c r="CD90" s="17"/>
      <c r="CE90" s="267"/>
      <c r="CF90" s="267"/>
      <c r="CG90" s="267"/>
      <c r="CH90" s="267"/>
      <c r="CI90" s="17"/>
      <c r="CJ90" s="267"/>
      <c r="CK90" s="267"/>
      <c r="CL90" s="267"/>
      <c r="CM90" s="267"/>
      <c r="CN90" s="17"/>
      <c r="CO90" s="267"/>
      <c r="CP90" s="267"/>
      <c r="CQ90" s="267"/>
      <c r="CR90" s="267"/>
      <c r="CS90" s="17"/>
      <c r="CT90" s="267"/>
      <c r="CU90" s="267"/>
      <c r="CV90" s="267"/>
      <c r="CW90" s="267"/>
      <c r="CX90" s="17"/>
      <c r="CY90" s="267"/>
      <c r="CZ90" s="267"/>
      <c r="DA90" s="267"/>
      <c r="DB90" s="267"/>
      <c r="DC90" s="17"/>
      <c r="DD90" s="267"/>
      <c r="DE90" s="267"/>
      <c r="DF90" s="267"/>
      <c r="DG90" s="267"/>
      <c r="DH90" s="17"/>
      <c r="DI90" s="267"/>
      <c r="DJ90" s="267"/>
      <c r="DK90" s="267"/>
      <c r="DL90" s="267"/>
      <c r="DM90" s="17"/>
      <c r="DN90" s="267"/>
      <c r="DO90" s="267"/>
      <c r="DP90" s="267"/>
      <c r="DQ90" s="267"/>
      <c r="DR90" s="17"/>
      <c r="DS90" s="267"/>
      <c r="DT90" s="267"/>
      <c r="DU90" s="267"/>
      <c r="DV90" s="267"/>
      <c r="DW90" s="17"/>
      <c r="DX90" s="267"/>
      <c r="DY90" s="267"/>
      <c r="DZ90" s="267"/>
      <c r="EA90" s="267"/>
      <c r="EB90" s="17"/>
      <c r="EC90" s="267"/>
      <c r="ED90" s="267"/>
      <c r="EE90" s="267"/>
      <c r="EF90" s="267"/>
      <c r="EG90" s="17"/>
      <c r="EH90" s="267"/>
      <c r="EI90" s="267"/>
      <c r="EJ90" s="267"/>
      <c r="EK90" s="267"/>
      <c r="EL90" s="17"/>
    </row>
    <row r="91" spans="2:142" hidden="1" outlineLevel="2">
      <c r="B91" s="9" t="s">
        <v>140</v>
      </c>
      <c r="C91" s="145"/>
      <c r="D91" s="145"/>
      <c r="E91" s="145"/>
      <c r="F91" s="145"/>
      <c r="G91" s="17"/>
      <c r="H91" s="145"/>
      <c r="I91" s="145"/>
      <c r="J91" s="145">
        <v>-12.7</v>
      </c>
      <c r="K91" s="145"/>
      <c r="L91" s="17">
        <v>-12.7</v>
      </c>
      <c r="M91" s="145"/>
      <c r="N91" s="145"/>
      <c r="O91" s="145"/>
      <c r="P91" s="145"/>
      <c r="Q91" s="17"/>
      <c r="R91" s="145">
        <v>3.7789999999999999</v>
      </c>
      <c r="S91" s="145"/>
      <c r="T91" s="145"/>
      <c r="U91" s="145"/>
      <c r="V91" s="17">
        <v>3.7789999999999999</v>
      </c>
      <c r="W91" s="145"/>
      <c r="X91" s="145"/>
      <c r="Y91" s="145"/>
      <c r="Z91" s="145"/>
      <c r="AA91" s="17"/>
      <c r="AB91" s="145"/>
      <c r="AC91" s="145"/>
      <c r="AD91" s="145"/>
      <c r="AE91" s="145"/>
      <c r="AF91" s="17"/>
      <c r="AG91" s="145"/>
      <c r="AH91" s="145"/>
      <c r="AI91" s="145"/>
      <c r="AJ91" s="145"/>
      <c r="AK91" s="17"/>
      <c r="AL91" s="145"/>
      <c r="AM91" s="145"/>
      <c r="AN91" s="145"/>
      <c r="AO91" s="145"/>
      <c r="AP91" s="17"/>
      <c r="AQ91" s="145"/>
      <c r="AR91" s="145"/>
      <c r="AS91" s="145"/>
      <c r="AT91" s="145"/>
      <c r="AU91" s="17"/>
      <c r="AV91" s="145"/>
      <c r="AW91" s="145"/>
      <c r="AX91" s="145"/>
      <c r="AY91" s="145"/>
      <c r="AZ91" s="17"/>
      <c r="BA91" s="267"/>
      <c r="BB91" s="267"/>
      <c r="BC91" s="267"/>
      <c r="BD91" s="267"/>
      <c r="BE91" s="17"/>
      <c r="BF91" s="267"/>
      <c r="BG91" s="267"/>
      <c r="BH91" s="267"/>
      <c r="BI91" s="267"/>
      <c r="BJ91" s="17"/>
      <c r="BK91" s="267"/>
      <c r="BL91" s="267"/>
      <c r="BM91" s="267"/>
      <c r="BN91" s="267"/>
      <c r="BO91" s="17"/>
      <c r="BP91" s="267"/>
      <c r="BQ91" s="267"/>
      <c r="BR91" s="267"/>
      <c r="BS91" s="267"/>
      <c r="BT91" s="17"/>
      <c r="BU91" s="267"/>
      <c r="BV91" s="267"/>
      <c r="BW91" s="267"/>
      <c r="BX91" s="267"/>
      <c r="BY91" s="17"/>
      <c r="BZ91" s="267"/>
      <c r="CA91" s="267"/>
      <c r="CB91" s="267"/>
      <c r="CC91" s="267"/>
      <c r="CD91" s="17"/>
      <c r="CE91" s="267"/>
      <c r="CF91" s="267"/>
      <c r="CG91" s="267"/>
      <c r="CH91" s="267"/>
      <c r="CI91" s="17"/>
      <c r="CJ91" s="267"/>
      <c r="CK91" s="267"/>
      <c r="CL91" s="267"/>
      <c r="CM91" s="267"/>
      <c r="CN91" s="17"/>
      <c r="CO91" s="267"/>
      <c r="CP91" s="267"/>
      <c r="CQ91" s="267"/>
      <c r="CR91" s="267"/>
      <c r="CS91" s="17"/>
      <c r="CT91" s="267"/>
      <c r="CU91" s="267"/>
      <c r="CV91" s="267"/>
      <c r="CW91" s="267"/>
      <c r="CX91" s="17"/>
      <c r="CY91" s="267"/>
      <c r="CZ91" s="267"/>
      <c r="DA91" s="267"/>
      <c r="DB91" s="267"/>
      <c r="DC91" s="17"/>
      <c r="DD91" s="267"/>
      <c r="DE91" s="267"/>
      <c r="DF91" s="267"/>
      <c r="DG91" s="267"/>
      <c r="DH91" s="17"/>
      <c r="DI91" s="267"/>
      <c r="DJ91" s="267"/>
      <c r="DK91" s="267"/>
      <c r="DL91" s="267"/>
      <c r="DM91" s="17"/>
      <c r="DN91" s="267"/>
      <c r="DO91" s="267"/>
      <c r="DP91" s="267"/>
      <c r="DQ91" s="267"/>
      <c r="DR91" s="17"/>
      <c r="DS91" s="267"/>
      <c r="DT91" s="267"/>
      <c r="DU91" s="267"/>
      <c r="DV91" s="267"/>
      <c r="DW91" s="17"/>
      <c r="DX91" s="267"/>
      <c r="DY91" s="267"/>
      <c r="DZ91" s="267"/>
      <c r="EA91" s="267"/>
      <c r="EB91" s="17"/>
      <c r="EC91" s="267"/>
      <c r="ED91" s="267"/>
      <c r="EE91" s="267"/>
      <c r="EF91" s="267"/>
      <c r="EG91" s="17"/>
      <c r="EH91" s="267"/>
      <c r="EI91" s="267"/>
      <c r="EJ91" s="267"/>
      <c r="EK91" s="267"/>
      <c r="EL91" s="17"/>
    </row>
    <row r="92" spans="2:142" hidden="1" outlineLevel="2">
      <c r="B92" s="9" t="s">
        <v>175</v>
      </c>
      <c r="C92" s="145"/>
      <c r="D92" s="145"/>
      <c r="E92" s="145"/>
      <c r="F92" s="145"/>
      <c r="G92" s="17"/>
      <c r="H92" s="145"/>
      <c r="I92" s="145"/>
      <c r="J92" s="145"/>
      <c r="K92" s="145"/>
      <c r="L92" s="17"/>
      <c r="M92" s="145"/>
      <c r="N92" s="145"/>
      <c r="O92" s="145"/>
      <c r="P92" s="145"/>
      <c r="Q92" s="17"/>
      <c r="R92" s="145"/>
      <c r="S92" s="145"/>
      <c r="T92" s="145"/>
      <c r="U92" s="145"/>
      <c r="V92" s="17"/>
      <c r="W92" s="145"/>
      <c r="X92" s="145"/>
      <c r="Y92" s="145">
        <v>38</v>
      </c>
      <c r="Z92" s="145">
        <f>+AA92-SUM(W92:Y92)</f>
        <v>34.299999999999997</v>
      </c>
      <c r="AA92" s="17">
        <v>72.3</v>
      </c>
      <c r="AB92" s="145"/>
      <c r="AC92" s="145"/>
      <c r="AD92" s="145"/>
      <c r="AE92" s="145"/>
      <c r="AF92" s="17"/>
      <c r="AG92" s="145"/>
      <c r="AH92" s="145"/>
      <c r="AI92" s="145"/>
      <c r="AJ92" s="145"/>
      <c r="AK92" s="17"/>
      <c r="AL92" s="145"/>
      <c r="AM92" s="145"/>
      <c r="AN92" s="145"/>
      <c r="AO92" s="145"/>
      <c r="AP92" s="17"/>
      <c r="AQ92" s="145"/>
      <c r="AR92" s="145"/>
      <c r="AS92" s="145"/>
      <c r="AT92" s="145"/>
      <c r="AU92" s="17"/>
      <c r="AV92" s="145"/>
      <c r="AW92" s="145"/>
      <c r="AX92" s="145"/>
      <c r="AY92" s="145"/>
      <c r="AZ92" s="17"/>
      <c r="BA92" s="267"/>
      <c r="BB92" s="267"/>
      <c r="BC92" s="267"/>
      <c r="BD92" s="267"/>
      <c r="BE92" s="17"/>
      <c r="BF92" s="267"/>
      <c r="BG92" s="267"/>
      <c r="BH92" s="267"/>
      <c r="BI92" s="267"/>
      <c r="BJ92" s="17"/>
      <c r="BK92" s="267"/>
      <c r="BL92" s="267"/>
      <c r="BM92" s="267"/>
      <c r="BN92" s="267"/>
      <c r="BO92" s="17"/>
      <c r="BP92" s="267"/>
      <c r="BQ92" s="267"/>
      <c r="BR92" s="267"/>
      <c r="BS92" s="267"/>
      <c r="BT92" s="17"/>
      <c r="BU92" s="267"/>
      <c r="BV92" s="267"/>
      <c r="BW92" s="267"/>
      <c r="BX92" s="267"/>
      <c r="BY92" s="17"/>
      <c r="BZ92" s="267"/>
      <c r="CA92" s="267"/>
      <c r="CB92" s="267"/>
      <c r="CC92" s="267"/>
      <c r="CD92" s="17"/>
      <c r="CE92" s="267"/>
      <c r="CF92" s="267"/>
      <c r="CG92" s="267"/>
      <c r="CH92" s="267"/>
      <c r="CI92" s="17"/>
      <c r="CJ92" s="267"/>
      <c r="CK92" s="267"/>
      <c r="CL92" s="267"/>
      <c r="CM92" s="267"/>
      <c r="CN92" s="17"/>
      <c r="CO92" s="267"/>
      <c r="CP92" s="267"/>
      <c r="CQ92" s="267"/>
      <c r="CR92" s="267"/>
      <c r="CS92" s="17"/>
      <c r="CT92" s="267"/>
      <c r="CU92" s="267"/>
      <c r="CV92" s="267"/>
      <c r="CW92" s="267"/>
      <c r="CX92" s="17"/>
      <c r="CY92" s="267"/>
      <c r="CZ92" s="267"/>
      <c r="DA92" s="267"/>
      <c r="DB92" s="267"/>
      <c r="DC92" s="17"/>
      <c r="DD92" s="267"/>
      <c r="DE92" s="267"/>
      <c r="DF92" s="267"/>
      <c r="DG92" s="267"/>
      <c r="DH92" s="17"/>
      <c r="DI92" s="267"/>
      <c r="DJ92" s="267"/>
      <c r="DK92" s="267"/>
      <c r="DL92" s="267"/>
      <c r="DM92" s="17"/>
      <c r="DN92" s="267"/>
      <c r="DO92" s="267"/>
      <c r="DP92" s="267"/>
      <c r="DQ92" s="267"/>
      <c r="DR92" s="17"/>
      <c r="DS92" s="267"/>
      <c r="DT92" s="267"/>
      <c r="DU92" s="267"/>
      <c r="DV92" s="267"/>
      <c r="DW92" s="17"/>
      <c r="DX92" s="267"/>
      <c r="DY92" s="267"/>
      <c r="DZ92" s="267"/>
      <c r="EA92" s="267"/>
      <c r="EB92" s="17"/>
      <c r="EC92" s="267"/>
      <c r="ED92" s="267"/>
      <c r="EE92" s="267"/>
      <c r="EF92" s="267"/>
      <c r="EG92" s="17"/>
      <c r="EH92" s="267"/>
      <c r="EI92" s="267"/>
      <c r="EJ92" s="267"/>
      <c r="EK92" s="267"/>
      <c r="EL92" s="17"/>
    </row>
    <row r="93" spans="2:142" hidden="1" outlineLevel="2">
      <c r="B93" s="9" t="s">
        <v>141</v>
      </c>
      <c r="C93" s="145"/>
      <c r="D93" s="145"/>
      <c r="E93" s="145"/>
      <c r="F93" s="145">
        <v>-30.7</v>
      </c>
      <c r="G93" s="17">
        <v>-30.7</v>
      </c>
      <c r="H93" s="145"/>
      <c r="I93" s="145"/>
      <c r="J93" s="145"/>
      <c r="K93" s="145"/>
      <c r="L93" s="17"/>
      <c r="M93" s="145"/>
      <c r="N93" s="145"/>
      <c r="O93" s="145"/>
      <c r="P93" s="145"/>
      <c r="Q93" s="17"/>
      <c r="R93" s="145"/>
      <c r="S93" s="145"/>
      <c r="T93" s="145"/>
      <c r="U93" s="145"/>
      <c r="V93" s="17"/>
      <c r="W93" s="145"/>
      <c r="X93" s="145"/>
      <c r="Y93" s="145"/>
      <c r="Z93" s="145"/>
      <c r="AA93" s="17"/>
      <c r="AB93" s="145"/>
      <c r="AC93" s="145"/>
      <c r="AD93" s="145"/>
      <c r="AE93" s="145"/>
      <c r="AF93" s="17"/>
      <c r="AG93" s="145"/>
      <c r="AH93" s="145"/>
      <c r="AI93" s="145"/>
      <c r="AJ93" s="145"/>
      <c r="AK93" s="17"/>
      <c r="AL93" s="145"/>
      <c r="AM93" s="145"/>
      <c r="AN93" s="145"/>
      <c r="AO93" s="145"/>
      <c r="AP93" s="17"/>
      <c r="AQ93" s="145"/>
      <c r="AR93" s="145"/>
      <c r="AS93" s="145"/>
      <c r="AT93" s="145"/>
      <c r="AU93" s="17"/>
      <c r="AV93" s="145"/>
      <c r="AW93" s="145"/>
      <c r="AX93" s="145"/>
      <c r="AY93" s="145"/>
      <c r="AZ93" s="17"/>
      <c r="BA93" s="267"/>
      <c r="BB93" s="267"/>
      <c r="BC93" s="267"/>
      <c r="BD93" s="267"/>
      <c r="BE93" s="17"/>
      <c r="BF93" s="267"/>
      <c r="BG93" s="267"/>
      <c r="BH93" s="267"/>
      <c r="BI93" s="267"/>
      <c r="BJ93" s="17"/>
      <c r="BK93" s="267"/>
      <c r="BL93" s="267"/>
      <c r="BM93" s="267"/>
      <c r="BN93" s="267"/>
      <c r="BO93" s="17"/>
      <c r="BP93" s="267"/>
      <c r="BQ93" s="267"/>
      <c r="BR93" s="267"/>
      <c r="BS93" s="267"/>
      <c r="BT93" s="17"/>
      <c r="BU93" s="267"/>
      <c r="BV93" s="267"/>
      <c r="BW93" s="267"/>
      <c r="BX93" s="267"/>
      <c r="BY93" s="17"/>
      <c r="BZ93" s="267"/>
      <c r="CA93" s="267"/>
      <c r="CB93" s="267"/>
      <c r="CC93" s="267"/>
      <c r="CD93" s="17"/>
      <c r="CE93" s="267"/>
      <c r="CF93" s="267"/>
      <c r="CG93" s="267"/>
      <c r="CH93" s="267"/>
      <c r="CI93" s="17"/>
      <c r="CJ93" s="267"/>
      <c r="CK93" s="267"/>
      <c r="CL93" s="267"/>
      <c r="CM93" s="267"/>
      <c r="CN93" s="17"/>
      <c r="CO93" s="267"/>
      <c r="CP93" s="267"/>
      <c r="CQ93" s="267"/>
      <c r="CR93" s="267"/>
      <c r="CS93" s="17"/>
      <c r="CT93" s="267"/>
      <c r="CU93" s="267"/>
      <c r="CV93" s="267"/>
      <c r="CW93" s="267"/>
      <c r="CX93" s="17"/>
      <c r="CY93" s="267"/>
      <c r="CZ93" s="267"/>
      <c r="DA93" s="267"/>
      <c r="DB93" s="267"/>
      <c r="DC93" s="17"/>
      <c r="DD93" s="267"/>
      <c r="DE93" s="267"/>
      <c r="DF93" s="267"/>
      <c r="DG93" s="267"/>
      <c r="DH93" s="17"/>
      <c r="DI93" s="267"/>
      <c r="DJ93" s="267"/>
      <c r="DK93" s="267"/>
      <c r="DL93" s="267"/>
      <c r="DM93" s="17"/>
      <c r="DN93" s="267"/>
      <c r="DO93" s="267"/>
      <c r="DP93" s="267"/>
      <c r="DQ93" s="267"/>
      <c r="DR93" s="17"/>
      <c r="DS93" s="267"/>
      <c r="DT93" s="267"/>
      <c r="DU93" s="267"/>
      <c r="DV93" s="267"/>
      <c r="DW93" s="17"/>
      <c r="DX93" s="267"/>
      <c r="DY93" s="267"/>
      <c r="DZ93" s="267"/>
      <c r="EA93" s="267"/>
      <c r="EB93" s="17"/>
      <c r="EC93" s="267"/>
      <c r="ED93" s="267"/>
      <c r="EE93" s="267"/>
      <c r="EF93" s="267"/>
      <c r="EG93" s="17"/>
      <c r="EH93" s="267"/>
      <c r="EI93" s="267"/>
      <c r="EJ93" s="267"/>
      <c r="EK93" s="267"/>
      <c r="EL93" s="17"/>
    </row>
    <row r="94" spans="2:142" hidden="1" outlineLevel="2">
      <c r="B94" s="9" t="s">
        <v>142</v>
      </c>
      <c r="C94" s="145"/>
      <c r="D94" s="145"/>
      <c r="E94" s="145"/>
      <c r="F94" s="145"/>
      <c r="G94" s="17"/>
      <c r="H94" s="145"/>
      <c r="I94" s="145"/>
      <c r="J94" s="145"/>
      <c r="K94" s="145"/>
      <c r="L94" s="17"/>
      <c r="M94" s="145"/>
      <c r="N94" s="145"/>
      <c r="O94" s="145"/>
      <c r="P94" s="145"/>
      <c r="Q94" s="17"/>
      <c r="R94" s="145"/>
      <c r="S94" s="145"/>
      <c r="T94" s="145"/>
      <c r="U94" s="145"/>
      <c r="V94" s="17"/>
      <c r="W94" s="145"/>
      <c r="X94" s="145"/>
      <c r="Y94" s="145"/>
      <c r="Z94" s="145"/>
      <c r="AA94" s="17"/>
      <c r="AB94" s="145">
        <v>0.8</v>
      </c>
      <c r="AC94" s="145">
        <v>1.5</v>
      </c>
      <c r="AD94" s="145">
        <v>1.7</v>
      </c>
      <c r="AE94" s="145">
        <f>+AF94-SUM(AB94:AD94)</f>
        <v>1.2000000000000002</v>
      </c>
      <c r="AF94" s="17">
        <v>5.2</v>
      </c>
      <c r="AG94" s="145">
        <v>1.6</v>
      </c>
      <c r="AH94" s="145">
        <v>2.2000000000000002</v>
      </c>
      <c r="AI94" s="145">
        <v>2.2000000000000002</v>
      </c>
      <c r="AJ94" s="145">
        <f>+AK94-SUM(AG94:AI94)</f>
        <v>1.9000000000000004</v>
      </c>
      <c r="AK94" s="17">
        <v>7.9</v>
      </c>
      <c r="AL94" s="145"/>
      <c r="AM94" s="145">
        <v>1.9</v>
      </c>
      <c r="AN94" s="145">
        <v>146.1</v>
      </c>
      <c r="AO94" s="145">
        <f>+AP94-SUM(AL94:AN94)</f>
        <v>1.0999999999999943</v>
      </c>
      <c r="AP94" s="17">
        <v>149.1</v>
      </c>
      <c r="AQ94" s="145"/>
      <c r="AR94" s="145"/>
      <c r="AS94" s="145"/>
      <c r="AT94" s="145"/>
      <c r="AU94" s="17"/>
      <c r="AV94" s="145"/>
      <c r="AW94" s="145">
        <v>-0.3</v>
      </c>
      <c r="AX94" s="145"/>
      <c r="AY94" s="145"/>
      <c r="AZ94" s="17">
        <f>SUM(AV94:AY94)</f>
        <v>-0.3</v>
      </c>
      <c r="BA94" s="267"/>
      <c r="BB94" s="267"/>
      <c r="BC94" s="267"/>
      <c r="BD94" s="267"/>
      <c r="BE94" s="17"/>
      <c r="BF94" s="267"/>
      <c r="BG94" s="267"/>
      <c r="BH94" s="267"/>
      <c r="BI94" s="267"/>
      <c r="BJ94" s="17"/>
      <c r="BK94" s="267"/>
      <c r="BL94" s="267"/>
      <c r="BM94" s="267"/>
      <c r="BN94" s="267"/>
      <c r="BO94" s="17"/>
      <c r="BP94" s="267"/>
      <c r="BQ94" s="267"/>
      <c r="BR94" s="267"/>
      <c r="BS94" s="267"/>
      <c r="BT94" s="17"/>
      <c r="BU94" s="267"/>
      <c r="BV94" s="267"/>
      <c r="BW94" s="267"/>
      <c r="BX94" s="267"/>
      <c r="BY94" s="17"/>
      <c r="BZ94" s="267"/>
      <c r="CA94" s="267"/>
      <c r="CB94" s="267"/>
      <c r="CC94" s="267"/>
      <c r="CD94" s="17"/>
      <c r="CE94" s="267"/>
      <c r="CF94" s="267"/>
      <c r="CG94" s="267"/>
      <c r="CH94" s="267"/>
      <c r="CI94" s="17"/>
      <c r="CJ94" s="267"/>
      <c r="CK94" s="267"/>
      <c r="CL94" s="267"/>
      <c r="CM94" s="267"/>
      <c r="CN94" s="17"/>
      <c r="CO94" s="267"/>
      <c r="CP94" s="267"/>
      <c r="CQ94" s="267"/>
      <c r="CR94" s="267"/>
      <c r="CS94" s="17"/>
      <c r="CT94" s="267"/>
      <c r="CU94" s="267"/>
      <c r="CV94" s="267"/>
      <c r="CW94" s="267"/>
      <c r="CX94" s="17"/>
      <c r="CY94" s="267"/>
      <c r="CZ94" s="267"/>
      <c r="DA94" s="267"/>
      <c r="DB94" s="267"/>
      <c r="DC94" s="17"/>
      <c r="DD94" s="267"/>
      <c r="DE94" s="267"/>
      <c r="DF94" s="267"/>
      <c r="DG94" s="267"/>
      <c r="DH94" s="17"/>
      <c r="DI94" s="267"/>
      <c r="DJ94" s="267"/>
      <c r="DK94" s="267"/>
      <c r="DL94" s="267"/>
      <c r="DM94" s="17"/>
      <c r="DN94" s="267"/>
      <c r="DO94" s="267"/>
      <c r="DP94" s="267"/>
      <c r="DQ94" s="267"/>
      <c r="DR94" s="17"/>
      <c r="DS94" s="267"/>
      <c r="DT94" s="267"/>
      <c r="DU94" s="267"/>
      <c r="DV94" s="267"/>
      <c r="DW94" s="17"/>
      <c r="DX94" s="267"/>
      <c r="DY94" s="267"/>
      <c r="DZ94" s="267"/>
      <c r="EA94" s="267"/>
      <c r="EB94" s="17"/>
      <c r="EC94" s="267"/>
      <c r="ED94" s="267"/>
      <c r="EE94" s="267"/>
      <c r="EF94" s="267"/>
      <c r="EG94" s="17"/>
      <c r="EH94" s="267"/>
      <c r="EI94" s="267"/>
      <c r="EJ94" s="267"/>
      <c r="EK94" s="267"/>
      <c r="EL94" s="17"/>
    </row>
    <row r="95" spans="2:142" hidden="1" outlineLevel="2">
      <c r="B95" s="9" t="s">
        <v>196</v>
      </c>
      <c r="C95" s="145"/>
      <c r="D95" s="145"/>
      <c r="E95" s="145"/>
      <c r="F95" s="145"/>
      <c r="G95" s="17"/>
      <c r="H95" s="145"/>
      <c r="I95" s="145"/>
      <c r="J95" s="145"/>
      <c r="K95" s="145"/>
      <c r="L95" s="17"/>
      <c r="M95" s="145"/>
      <c r="N95" s="145"/>
      <c r="O95" s="145"/>
      <c r="P95" s="145"/>
      <c r="Q95" s="17"/>
      <c r="R95" s="145"/>
      <c r="S95" s="145">
        <v>-0.1</v>
      </c>
      <c r="T95" s="145"/>
      <c r="U95" s="145"/>
      <c r="V95" s="17">
        <v>-0.1</v>
      </c>
      <c r="W95" s="145">
        <v>-3</v>
      </c>
      <c r="X95" s="145">
        <v>-0.1</v>
      </c>
      <c r="Y95" s="145"/>
      <c r="Z95" s="145">
        <f>+AA95-SUM(W95:Y95)</f>
        <v>3</v>
      </c>
      <c r="AA95" s="17">
        <v>-0.1</v>
      </c>
      <c r="AB95" s="145"/>
      <c r="AC95" s="145"/>
      <c r="AD95" s="145"/>
      <c r="AE95" s="145"/>
      <c r="AF95" s="17"/>
      <c r="AG95" s="145"/>
      <c r="AH95" s="145"/>
      <c r="AI95" s="145"/>
      <c r="AJ95" s="145"/>
      <c r="AK95" s="17"/>
      <c r="AL95" s="145"/>
      <c r="AM95" s="145"/>
      <c r="AN95" s="145"/>
      <c r="AO95" s="145"/>
      <c r="AP95" s="17"/>
      <c r="AQ95" s="145"/>
      <c r="AR95" s="145"/>
      <c r="AS95" s="145"/>
      <c r="AT95" s="145"/>
      <c r="AU95" s="17"/>
      <c r="AV95" s="145"/>
      <c r="AW95" s="145"/>
      <c r="AX95" s="145"/>
      <c r="AY95" s="145"/>
      <c r="AZ95" s="17"/>
      <c r="BA95" s="267"/>
      <c r="BB95" s="267"/>
      <c r="BC95" s="267"/>
      <c r="BD95" s="267"/>
      <c r="BE95" s="17"/>
      <c r="BF95" s="267"/>
      <c r="BG95" s="267"/>
      <c r="BH95" s="267"/>
      <c r="BI95" s="267"/>
      <c r="BJ95" s="17"/>
      <c r="BK95" s="267"/>
      <c r="BL95" s="267"/>
      <c r="BM95" s="267"/>
      <c r="BN95" s="267"/>
      <c r="BO95" s="17"/>
      <c r="BP95" s="267"/>
      <c r="BQ95" s="267"/>
      <c r="BR95" s="267"/>
      <c r="BS95" s="267"/>
      <c r="BT95" s="17"/>
      <c r="BU95" s="267"/>
      <c r="BV95" s="267"/>
      <c r="BW95" s="267"/>
      <c r="BX95" s="267"/>
      <c r="BY95" s="17"/>
      <c r="BZ95" s="267"/>
      <c r="CA95" s="267"/>
      <c r="CB95" s="267"/>
      <c r="CC95" s="267"/>
      <c r="CD95" s="17"/>
      <c r="CE95" s="267"/>
      <c r="CF95" s="267"/>
      <c r="CG95" s="267"/>
      <c r="CH95" s="267"/>
      <c r="CI95" s="17"/>
      <c r="CJ95" s="267"/>
      <c r="CK95" s="267"/>
      <c r="CL95" s="267"/>
      <c r="CM95" s="267"/>
      <c r="CN95" s="17"/>
      <c r="CO95" s="267"/>
      <c r="CP95" s="267"/>
      <c r="CQ95" s="267"/>
      <c r="CR95" s="267"/>
      <c r="CS95" s="17"/>
      <c r="CT95" s="267"/>
      <c r="CU95" s="267"/>
      <c r="CV95" s="267"/>
      <c r="CW95" s="267"/>
      <c r="CX95" s="17"/>
      <c r="CY95" s="267"/>
      <c r="CZ95" s="267"/>
      <c r="DA95" s="267"/>
      <c r="DB95" s="267"/>
      <c r="DC95" s="17"/>
      <c r="DD95" s="267"/>
      <c r="DE95" s="267"/>
      <c r="DF95" s="267"/>
      <c r="DG95" s="267"/>
      <c r="DH95" s="17"/>
      <c r="DI95" s="267"/>
      <c r="DJ95" s="267"/>
      <c r="DK95" s="267"/>
      <c r="DL95" s="267"/>
      <c r="DM95" s="17"/>
      <c r="DN95" s="267"/>
      <c r="DO95" s="267"/>
      <c r="DP95" s="267"/>
      <c r="DQ95" s="267"/>
      <c r="DR95" s="17"/>
      <c r="DS95" s="267"/>
      <c r="DT95" s="267"/>
      <c r="DU95" s="267"/>
      <c r="DV95" s="267"/>
      <c r="DW95" s="17"/>
      <c r="DX95" s="267"/>
      <c r="DY95" s="267"/>
      <c r="DZ95" s="267"/>
      <c r="EA95" s="267"/>
      <c r="EB95" s="17"/>
      <c r="EC95" s="267"/>
      <c r="ED95" s="267"/>
      <c r="EE95" s="267"/>
      <c r="EF95" s="267"/>
      <c r="EG95" s="17"/>
      <c r="EH95" s="267"/>
      <c r="EI95" s="267"/>
      <c r="EJ95" s="267"/>
      <c r="EK95" s="267"/>
      <c r="EL95" s="17"/>
    </row>
    <row r="96" spans="2:142" hidden="1" outlineLevel="2">
      <c r="B96" s="9" t="s">
        <v>144</v>
      </c>
      <c r="C96" s="145"/>
      <c r="D96" s="145">
        <v>-0.4</v>
      </c>
      <c r="E96" s="145">
        <v>-0.6</v>
      </c>
      <c r="F96" s="145">
        <f>+G96-SUM(C96:E96)</f>
        <v>1</v>
      </c>
      <c r="G96" s="17"/>
      <c r="H96" s="145"/>
      <c r="I96" s="145"/>
      <c r="J96" s="145">
        <v>-5.3999999999999999E-2</v>
      </c>
      <c r="K96" s="145">
        <f>+L96-SUM(H96:J96)</f>
        <v>1.7000000000000001E-2</v>
      </c>
      <c r="L96" s="17">
        <v>-3.6999999999999998E-2</v>
      </c>
      <c r="M96" s="145">
        <v>-6.4000000000000001E-2</v>
      </c>
      <c r="N96" s="145">
        <v>-5.0999999999999997E-2</v>
      </c>
      <c r="O96" s="145">
        <v>-0.04</v>
      </c>
      <c r="P96" s="145">
        <f>+Q96-SUM(M96:O96)</f>
        <v>-8.0999999999999989E-2</v>
      </c>
      <c r="Q96" s="17">
        <v>-0.23599999999999999</v>
      </c>
      <c r="R96" s="145">
        <v>-0.17899999999999999</v>
      </c>
      <c r="S96" s="145"/>
      <c r="T96" s="145">
        <v>-0.2</v>
      </c>
      <c r="U96" s="145">
        <f>+V96-SUM(R96:T96)</f>
        <v>7.9000000000000015E-2</v>
      </c>
      <c r="V96" s="17">
        <v>-0.3</v>
      </c>
      <c r="W96" s="145">
        <v>-0.2</v>
      </c>
      <c r="X96" s="145">
        <v>-0.2</v>
      </c>
      <c r="Y96" s="145">
        <v>-0.2</v>
      </c>
      <c r="Z96" s="145">
        <f>+AA96-SUM(W96:Y96)</f>
        <v>-0.39999999999999991</v>
      </c>
      <c r="AA96" s="17">
        <v>-1</v>
      </c>
      <c r="AB96" s="145">
        <v>-0.3</v>
      </c>
      <c r="AC96" s="145">
        <v>-0.3</v>
      </c>
      <c r="AD96" s="145">
        <v>-0.4</v>
      </c>
      <c r="AE96" s="145">
        <f>+AF96-SUM(AB96:AD96)</f>
        <v>-0.30000000000000004</v>
      </c>
      <c r="AF96" s="17">
        <v>-1.3</v>
      </c>
      <c r="AG96" s="145">
        <v>-0.4</v>
      </c>
      <c r="AH96" s="145">
        <v>-0.2</v>
      </c>
      <c r="AI96" s="145">
        <v>-0.5</v>
      </c>
      <c r="AJ96" s="145">
        <f>+AK96-SUM(AG96:AI96)</f>
        <v>-0.59999999999999987</v>
      </c>
      <c r="AK96" s="17">
        <v>-1.7</v>
      </c>
      <c r="AL96" s="145">
        <v>-0.4</v>
      </c>
      <c r="AM96" s="145">
        <v>-0.6</v>
      </c>
      <c r="AN96" s="145">
        <v>-0.5</v>
      </c>
      <c r="AO96" s="145">
        <f>+AP96-SUM(AL96:AN96)</f>
        <v>-0.5</v>
      </c>
      <c r="AP96" s="17">
        <v>-2</v>
      </c>
      <c r="AQ96" s="145">
        <v>-0.5</v>
      </c>
      <c r="AR96" s="145"/>
      <c r="AS96" s="145">
        <v>-0.5</v>
      </c>
      <c r="AT96" s="145"/>
      <c r="AU96" s="17">
        <f>SUM(AQ96:AT96)</f>
        <v>-1</v>
      </c>
      <c r="AV96" s="145"/>
      <c r="AW96" s="145"/>
      <c r="AX96" s="145"/>
      <c r="AY96" s="145"/>
      <c r="AZ96" s="17"/>
      <c r="BA96" s="267"/>
      <c r="BB96" s="267"/>
      <c r="BC96" s="267"/>
      <c r="BD96" s="267"/>
      <c r="BE96" s="3"/>
      <c r="BF96" s="267"/>
      <c r="BG96" s="267"/>
      <c r="BH96" s="267"/>
      <c r="BI96" s="267"/>
      <c r="BJ96" s="3"/>
      <c r="BK96" s="267"/>
      <c r="BL96" s="267"/>
      <c r="BM96" s="267"/>
      <c r="BN96" s="267"/>
      <c r="BO96" s="3"/>
      <c r="BP96" s="267"/>
      <c r="BQ96" s="267"/>
      <c r="BR96" s="267"/>
      <c r="BS96" s="267"/>
      <c r="BT96" s="3"/>
      <c r="BU96" s="267"/>
      <c r="BV96" s="267"/>
      <c r="BW96" s="267"/>
      <c r="BX96" s="267"/>
      <c r="BY96" s="3"/>
      <c r="BZ96" s="267"/>
      <c r="CA96" s="267"/>
      <c r="CB96" s="267"/>
      <c r="CC96" s="267"/>
      <c r="CD96" s="3"/>
      <c r="CE96" s="267"/>
      <c r="CF96" s="267"/>
      <c r="CG96" s="267"/>
      <c r="CH96" s="267"/>
      <c r="CI96" s="3"/>
      <c r="CJ96" s="267"/>
      <c r="CK96" s="267"/>
      <c r="CL96" s="267"/>
      <c r="CM96" s="267"/>
      <c r="CN96" s="3"/>
      <c r="CO96" s="267"/>
      <c r="CP96" s="267"/>
      <c r="CQ96" s="267"/>
      <c r="CR96" s="267"/>
      <c r="CS96" s="3"/>
      <c r="CT96" s="267"/>
      <c r="CU96" s="267"/>
      <c r="CV96" s="267"/>
      <c r="CW96" s="267"/>
      <c r="CX96" s="3"/>
      <c r="CY96" s="267"/>
      <c r="CZ96" s="267"/>
      <c r="DA96" s="267"/>
      <c r="DB96" s="267"/>
      <c r="DC96" s="3"/>
      <c r="DD96" s="267"/>
      <c r="DE96" s="267"/>
      <c r="DF96" s="267"/>
      <c r="DG96" s="267"/>
      <c r="DH96" s="3"/>
      <c r="DI96" s="267"/>
      <c r="DJ96" s="267"/>
      <c r="DK96" s="267"/>
      <c r="DL96" s="267"/>
      <c r="DM96" s="3"/>
      <c r="DN96" s="267"/>
      <c r="DO96" s="267"/>
      <c r="DP96" s="267"/>
      <c r="DQ96" s="267"/>
      <c r="DR96" s="3"/>
      <c r="DS96" s="267"/>
      <c r="DT96" s="267"/>
      <c r="DU96" s="267"/>
      <c r="DV96" s="267"/>
      <c r="DW96" s="3"/>
      <c r="DX96" s="267"/>
      <c r="DY96" s="267"/>
      <c r="DZ96" s="267"/>
      <c r="EA96" s="267"/>
      <c r="EB96" s="3"/>
      <c r="EC96" s="267"/>
      <c r="ED96" s="267"/>
      <c r="EE96" s="267"/>
      <c r="EF96" s="267"/>
      <c r="EG96" s="3"/>
      <c r="EH96" s="267"/>
      <c r="EI96" s="267"/>
      <c r="EJ96" s="267"/>
      <c r="EK96" s="267"/>
      <c r="EL96" s="3"/>
    </row>
    <row r="97" spans="2:150" hidden="1" outlineLevel="2">
      <c r="B97" s="9" t="s">
        <v>145</v>
      </c>
      <c r="C97" s="145">
        <v>1.3</v>
      </c>
      <c r="D97" s="145">
        <v>1.3</v>
      </c>
      <c r="E97" s="145">
        <v>2.9</v>
      </c>
      <c r="F97" s="145"/>
      <c r="G97" s="17"/>
      <c r="H97" s="145"/>
      <c r="I97" s="145"/>
      <c r="J97" s="145">
        <v>0.46200000000000002</v>
      </c>
      <c r="K97" s="145"/>
      <c r="L97" s="17"/>
      <c r="M97" s="145">
        <v>0.53500000000000003</v>
      </c>
      <c r="N97" s="145">
        <v>0.51900000000000002</v>
      </c>
      <c r="O97" s="145"/>
      <c r="P97" s="145"/>
      <c r="Q97" s="17">
        <v>1.3220000000000001</v>
      </c>
      <c r="R97" s="145"/>
      <c r="S97" s="145"/>
      <c r="T97" s="145"/>
      <c r="U97" s="145"/>
      <c r="V97" s="17"/>
      <c r="W97" s="145"/>
      <c r="X97" s="145"/>
      <c r="Y97" s="145"/>
      <c r="Z97" s="145"/>
      <c r="AA97" s="17"/>
      <c r="AB97" s="145"/>
      <c r="AC97" s="145"/>
      <c r="AD97" s="145"/>
      <c r="AE97" s="145"/>
      <c r="AF97" s="17"/>
      <c r="AG97" s="145"/>
      <c r="AH97" s="145"/>
      <c r="AI97" s="145"/>
      <c r="AJ97" s="145"/>
      <c r="AK97" s="17"/>
      <c r="AL97" s="145"/>
      <c r="AM97" s="145"/>
      <c r="AN97" s="145"/>
      <c r="AO97" s="145"/>
      <c r="AP97" s="17"/>
      <c r="AQ97" s="145"/>
      <c r="AR97" s="145"/>
      <c r="AS97" s="145"/>
      <c r="AT97" s="145"/>
      <c r="AU97" s="17"/>
      <c r="AV97" s="145"/>
      <c r="AW97" s="145"/>
      <c r="AX97" s="145"/>
      <c r="AY97" s="145"/>
      <c r="AZ97" s="17"/>
      <c r="BA97" s="267"/>
      <c r="BB97" s="267"/>
      <c r="BC97" s="267"/>
      <c r="BD97" s="267"/>
      <c r="BE97" s="3"/>
      <c r="BF97" s="267"/>
      <c r="BG97" s="267"/>
      <c r="BH97" s="267"/>
      <c r="BI97" s="267"/>
      <c r="BJ97" s="3"/>
      <c r="BK97" s="267"/>
      <c r="BL97" s="267"/>
      <c r="BM97" s="267"/>
      <c r="BN97" s="267"/>
      <c r="BO97" s="3"/>
      <c r="BP97" s="267"/>
      <c r="BQ97" s="267"/>
      <c r="BR97" s="267"/>
      <c r="BS97" s="267"/>
      <c r="BT97" s="3"/>
      <c r="BU97" s="267"/>
      <c r="BV97" s="267"/>
      <c r="BW97" s="267"/>
      <c r="BX97" s="267"/>
      <c r="BY97" s="3"/>
      <c r="BZ97" s="267"/>
      <c r="CA97" s="267"/>
      <c r="CB97" s="267"/>
      <c r="CC97" s="267"/>
      <c r="CD97" s="3"/>
      <c r="CE97" s="267"/>
      <c r="CF97" s="267"/>
      <c r="CG97" s="267"/>
      <c r="CH97" s="267"/>
      <c r="CI97" s="3"/>
      <c r="CJ97" s="267"/>
      <c r="CK97" s="267"/>
      <c r="CL97" s="267"/>
      <c r="CM97" s="267"/>
      <c r="CN97" s="3"/>
      <c r="CO97" s="267"/>
      <c r="CP97" s="267"/>
      <c r="CQ97" s="267"/>
      <c r="CR97" s="267"/>
      <c r="CS97" s="3"/>
      <c r="CT97" s="267"/>
      <c r="CU97" s="267"/>
      <c r="CV97" s="267"/>
      <c r="CW97" s="267"/>
      <c r="CX97" s="3"/>
      <c r="CY97" s="267"/>
      <c r="CZ97" s="267"/>
      <c r="DA97" s="267"/>
      <c r="DB97" s="267"/>
      <c r="DC97" s="3"/>
      <c r="DD97" s="267"/>
      <c r="DE97" s="267"/>
      <c r="DF97" s="267"/>
      <c r="DG97" s="267"/>
      <c r="DH97" s="3"/>
      <c r="DI97" s="267"/>
      <c r="DJ97" s="267"/>
      <c r="DK97" s="267"/>
      <c r="DL97" s="267"/>
      <c r="DM97" s="3"/>
      <c r="DN97" s="267"/>
      <c r="DO97" s="267"/>
      <c r="DP97" s="267"/>
      <c r="DQ97" s="267"/>
      <c r="DR97" s="3"/>
      <c r="DS97" s="267"/>
      <c r="DT97" s="267"/>
      <c r="DU97" s="267"/>
      <c r="DV97" s="267"/>
      <c r="DW97" s="3"/>
      <c r="DX97" s="267"/>
      <c r="DY97" s="267"/>
      <c r="DZ97" s="267"/>
      <c r="EA97" s="267"/>
      <c r="EB97" s="3"/>
      <c r="EC97" s="267"/>
      <c r="ED97" s="267"/>
      <c r="EE97" s="267"/>
      <c r="EF97" s="267"/>
      <c r="EG97" s="3"/>
      <c r="EH97" s="267"/>
      <c r="EI97" s="267"/>
      <c r="EJ97" s="267"/>
      <c r="EK97" s="267"/>
      <c r="EL97" s="3"/>
    </row>
    <row r="98" spans="2:150" hidden="1" outlineLevel="1" collapsed="1">
      <c r="B98" s="9"/>
      <c r="C98" s="145"/>
      <c r="D98" s="145"/>
      <c r="E98" s="145"/>
      <c r="F98" s="145"/>
      <c r="G98" s="17"/>
      <c r="H98" s="145"/>
      <c r="I98" s="145"/>
      <c r="J98" s="145"/>
      <c r="K98" s="145"/>
      <c r="L98" s="17"/>
      <c r="M98" s="145"/>
      <c r="N98" s="145"/>
      <c r="O98" s="145"/>
      <c r="P98" s="145"/>
      <c r="Q98" s="17"/>
      <c r="R98" s="145"/>
      <c r="S98" s="145"/>
      <c r="T98" s="145"/>
      <c r="U98" s="145"/>
      <c r="V98" s="17"/>
      <c r="W98" s="145"/>
      <c r="X98" s="145"/>
      <c r="Y98" s="145"/>
      <c r="Z98" s="145"/>
      <c r="AA98" s="17"/>
      <c r="AB98" s="145"/>
      <c r="AC98" s="145"/>
      <c r="AD98" s="145"/>
      <c r="AE98" s="145"/>
      <c r="AF98" s="17"/>
      <c r="AG98" s="145"/>
      <c r="AH98" s="145"/>
      <c r="AI98" s="145"/>
      <c r="AJ98" s="145"/>
      <c r="AK98" s="17"/>
      <c r="AL98" s="145"/>
      <c r="AM98" s="145"/>
      <c r="AN98" s="145"/>
      <c r="AO98" s="145"/>
      <c r="AP98" s="17"/>
      <c r="AQ98" s="145"/>
      <c r="AR98" s="145"/>
      <c r="AS98" s="145"/>
      <c r="AT98" s="145"/>
      <c r="AU98" s="17"/>
      <c r="AV98" s="145"/>
      <c r="AW98" s="145"/>
      <c r="AX98" s="145"/>
      <c r="AY98" s="145"/>
      <c r="AZ98" s="17"/>
      <c r="BA98" s="267"/>
      <c r="BB98" s="267"/>
      <c r="BC98" s="267"/>
      <c r="BD98" s="267"/>
      <c r="BE98" s="3"/>
      <c r="BF98" s="267"/>
      <c r="BG98" s="267"/>
      <c r="BH98" s="267"/>
      <c r="BI98" s="267"/>
      <c r="BJ98" s="3"/>
      <c r="BK98" s="267"/>
      <c r="BL98" s="267"/>
      <c r="BM98" s="267"/>
      <c r="BN98" s="267"/>
      <c r="BO98" s="3"/>
      <c r="BP98" s="267"/>
      <c r="BQ98" s="267"/>
      <c r="BR98" s="267"/>
      <c r="BS98" s="267"/>
      <c r="BT98" s="3"/>
      <c r="BU98" s="267"/>
      <c r="BV98" s="267"/>
      <c r="BW98" s="267"/>
      <c r="BX98" s="267"/>
      <c r="BY98" s="3"/>
      <c r="BZ98" s="267"/>
      <c r="CA98" s="267"/>
      <c r="CB98" s="267"/>
      <c r="CC98" s="267"/>
      <c r="CD98" s="3"/>
      <c r="CE98" s="267"/>
      <c r="CF98" s="267"/>
      <c r="CG98" s="267"/>
      <c r="CH98" s="267"/>
      <c r="CI98" s="3"/>
      <c r="CJ98" s="267"/>
      <c r="CK98" s="267"/>
      <c r="CL98" s="267"/>
      <c r="CM98" s="267"/>
      <c r="CN98" s="3"/>
      <c r="CO98" s="267"/>
      <c r="CP98" s="267"/>
      <c r="CQ98" s="267"/>
      <c r="CR98" s="267"/>
      <c r="CS98" s="3"/>
      <c r="CT98" s="267"/>
      <c r="CU98" s="267"/>
      <c r="CV98" s="267"/>
      <c r="CW98" s="267"/>
      <c r="CX98" s="3"/>
      <c r="CY98" s="267"/>
      <c r="CZ98" s="267"/>
      <c r="DA98" s="267"/>
      <c r="DB98" s="267"/>
      <c r="DC98" s="3"/>
      <c r="DD98" s="267"/>
      <c r="DE98" s="267"/>
      <c r="DF98" s="267"/>
      <c r="DG98" s="267"/>
      <c r="DH98" s="3"/>
      <c r="DI98" s="267"/>
      <c r="DJ98" s="267"/>
      <c r="DK98" s="267"/>
      <c r="DL98" s="267"/>
      <c r="DM98" s="3"/>
      <c r="DN98" s="267"/>
      <c r="DO98" s="267"/>
      <c r="DP98" s="267"/>
      <c r="DQ98" s="267"/>
      <c r="DR98" s="3"/>
      <c r="DS98" s="267"/>
      <c r="DT98" s="267"/>
      <c r="DU98" s="267"/>
      <c r="DV98" s="267"/>
      <c r="DW98" s="3"/>
      <c r="DX98" s="267"/>
      <c r="DY98" s="267"/>
      <c r="DZ98" s="267"/>
      <c r="EA98" s="267"/>
      <c r="EB98" s="3"/>
      <c r="EC98" s="267"/>
      <c r="ED98" s="267"/>
      <c r="EE98" s="267"/>
      <c r="EF98" s="267"/>
      <c r="EG98" s="3"/>
      <c r="EH98" s="267"/>
      <c r="EI98" s="267"/>
      <c r="EJ98" s="267"/>
      <c r="EK98" s="267"/>
      <c r="EL98" s="3"/>
    </row>
    <row r="99" spans="2:150" collapsed="1">
      <c r="C99" s="159"/>
      <c r="D99" s="159"/>
      <c r="E99" s="159"/>
      <c r="F99" s="159"/>
      <c r="G99" s="3"/>
      <c r="H99" s="159"/>
      <c r="I99" s="159"/>
      <c r="J99" s="159"/>
      <c r="K99" s="159"/>
      <c r="L99" s="3"/>
      <c r="M99" s="159"/>
      <c r="N99" s="159"/>
      <c r="O99" s="159"/>
      <c r="P99" s="159"/>
      <c r="Q99" s="3"/>
      <c r="R99" s="159"/>
      <c r="S99" s="159"/>
      <c r="T99" s="159"/>
      <c r="U99" s="159"/>
      <c r="V99" s="3"/>
      <c r="W99" s="159"/>
      <c r="X99" s="159"/>
      <c r="Y99" s="159"/>
      <c r="Z99" s="159"/>
      <c r="AA99" s="3"/>
      <c r="AB99" s="159"/>
      <c r="AC99" s="159"/>
      <c r="AD99" s="159"/>
      <c r="AE99" s="159"/>
      <c r="AF99" s="3"/>
      <c r="AG99" s="159"/>
      <c r="AH99" s="159"/>
      <c r="AI99" s="159"/>
      <c r="AJ99" s="159"/>
      <c r="AK99" s="3"/>
      <c r="AL99" s="159"/>
      <c r="AM99" s="159"/>
      <c r="AN99" s="159"/>
      <c r="AO99" s="159"/>
      <c r="AP99" s="3"/>
      <c r="AQ99" s="159"/>
      <c r="AR99" s="159"/>
      <c r="AS99" s="159"/>
      <c r="AT99" s="159"/>
      <c r="AU99" s="3"/>
      <c r="AV99" s="159"/>
      <c r="AW99" s="159"/>
      <c r="AX99" s="159"/>
      <c r="AY99" s="159"/>
      <c r="AZ99" s="3"/>
      <c r="BA99" s="265"/>
      <c r="BB99" s="265"/>
      <c r="BC99" s="265"/>
      <c r="BD99" s="265"/>
      <c r="BE99" s="3"/>
      <c r="BF99" s="265"/>
      <c r="BG99" s="265"/>
      <c r="BH99" s="265"/>
      <c r="BI99" s="265"/>
      <c r="BJ99" s="3"/>
      <c r="BK99" s="265"/>
      <c r="BL99" s="265"/>
      <c r="BM99" s="265"/>
      <c r="BN99" s="265"/>
      <c r="BO99" s="3"/>
      <c r="BP99" s="265"/>
      <c r="BQ99" s="265"/>
      <c r="BR99" s="265"/>
      <c r="BS99" s="265"/>
      <c r="BT99" s="3"/>
      <c r="BU99" s="265"/>
      <c r="BV99" s="265"/>
      <c r="BW99" s="265"/>
      <c r="BX99" s="265"/>
      <c r="BY99" s="3"/>
      <c r="BZ99" s="265"/>
      <c r="CA99" s="265"/>
      <c r="CB99" s="265"/>
      <c r="CC99" s="265"/>
      <c r="CD99" s="3"/>
      <c r="CE99" s="265"/>
      <c r="CF99" s="265"/>
      <c r="CG99" s="265"/>
      <c r="CH99" s="265"/>
      <c r="CI99" s="3"/>
      <c r="CJ99" s="265"/>
      <c r="CK99" s="265"/>
      <c r="CL99" s="265"/>
      <c r="CM99" s="265"/>
      <c r="CN99" s="3"/>
      <c r="CO99" s="265"/>
      <c r="CP99" s="265"/>
      <c r="CQ99" s="265"/>
      <c r="CR99" s="265"/>
      <c r="CS99" s="3"/>
      <c r="CT99" s="265"/>
      <c r="CU99" s="265"/>
      <c r="CV99" s="265"/>
      <c r="CW99" s="265"/>
      <c r="CX99" s="3"/>
      <c r="CY99" s="265"/>
      <c r="CZ99" s="265"/>
      <c r="DA99" s="265"/>
      <c r="DB99" s="265"/>
      <c r="DC99" s="3"/>
      <c r="DD99" s="265"/>
      <c r="DE99" s="265"/>
      <c r="DF99" s="265"/>
      <c r="DG99" s="265"/>
      <c r="DH99" s="3"/>
      <c r="DI99" s="265"/>
      <c r="DJ99" s="265"/>
      <c r="DK99" s="265"/>
      <c r="DL99" s="265"/>
      <c r="DM99" s="3"/>
      <c r="DN99" s="265"/>
      <c r="DO99" s="265"/>
      <c r="DP99" s="265"/>
      <c r="DQ99" s="265"/>
      <c r="DR99" s="3"/>
      <c r="DS99" s="265"/>
      <c r="DT99" s="265"/>
      <c r="DU99" s="265"/>
      <c r="DV99" s="265"/>
      <c r="DW99" s="3"/>
      <c r="DX99" s="265"/>
      <c r="DY99" s="265"/>
      <c r="DZ99" s="265"/>
      <c r="EA99" s="265"/>
      <c r="EB99" s="3"/>
      <c r="EC99" s="265"/>
      <c r="ED99" s="265"/>
      <c r="EE99" s="265"/>
      <c r="EF99" s="265"/>
      <c r="EG99" s="3"/>
      <c r="EH99" s="265"/>
      <c r="EI99" s="265"/>
      <c r="EJ99" s="265"/>
      <c r="EK99" s="265"/>
      <c r="EL99" s="3"/>
    </row>
    <row r="100" spans="2:150" s="4" customFormat="1" ht="15.75" thickBot="1">
      <c r="B100" s="26" t="s">
        <v>147</v>
      </c>
      <c r="C100" s="152">
        <f t="shared" ref="C100:AH100" si="91">C44+SUM(C71:C94)+C96+C97+SUM(C59:C64)+C67</f>
        <v>42.500000000000014</v>
      </c>
      <c r="D100" s="152">
        <f t="shared" si="91"/>
        <v>29.8</v>
      </c>
      <c r="E100" s="152">
        <f t="shared" si="91"/>
        <v>47.899999999999977</v>
      </c>
      <c r="F100" s="152">
        <f t="shared" si="91"/>
        <v>-989.89999999999986</v>
      </c>
      <c r="G100" s="27">
        <f t="shared" si="91"/>
        <v>-875.10000000000082</v>
      </c>
      <c r="H100" s="152">
        <f t="shared" si="91"/>
        <v>-41.197999999999922</v>
      </c>
      <c r="I100" s="152">
        <f t="shared" si="91"/>
        <v>0.82700000000009766</v>
      </c>
      <c r="J100" s="152">
        <f t="shared" si="91"/>
        <v>37.175999999999995</v>
      </c>
      <c r="K100" s="152">
        <f t="shared" si="91"/>
        <v>28.705999999999975</v>
      </c>
      <c r="L100" s="27">
        <f t="shared" si="91"/>
        <v>25.049000000000262</v>
      </c>
      <c r="M100" s="152">
        <f t="shared" si="91"/>
        <v>43.929000000000066</v>
      </c>
      <c r="N100" s="152">
        <f t="shared" si="91"/>
        <v>34.972000000000072</v>
      </c>
      <c r="O100" s="152">
        <f t="shared" si="91"/>
        <v>27.144999999999918</v>
      </c>
      <c r="P100" s="152">
        <f t="shared" si="91"/>
        <v>55.482999999999606</v>
      </c>
      <c r="Q100" s="27">
        <f t="shared" si="91"/>
        <v>161.79700000000025</v>
      </c>
      <c r="R100" s="152">
        <f t="shared" si="91"/>
        <v>122.79000000000013</v>
      </c>
      <c r="S100" s="152">
        <f t="shared" si="91"/>
        <v>-170.51299999999995</v>
      </c>
      <c r="T100" s="152">
        <f t="shared" si="91"/>
        <v>156.39899999999983</v>
      </c>
      <c r="U100" s="152">
        <f t="shared" si="91"/>
        <v>108.63499999999995</v>
      </c>
      <c r="V100" s="27">
        <f t="shared" si="91"/>
        <v>217.31099999999986</v>
      </c>
      <c r="W100" s="152">
        <f t="shared" si="91"/>
        <v>134.3009999999999</v>
      </c>
      <c r="X100" s="152">
        <f t="shared" si="91"/>
        <v>186.04000000000013</v>
      </c>
      <c r="Y100" s="152">
        <f t="shared" si="91"/>
        <v>119.18100000000018</v>
      </c>
      <c r="Z100" s="152">
        <f t="shared" si="91"/>
        <v>197.75000000000034</v>
      </c>
      <c r="AA100" s="27">
        <f t="shared" si="91"/>
        <v>637.27199999999993</v>
      </c>
      <c r="AB100" s="152">
        <f t="shared" si="91"/>
        <v>162.79700000000017</v>
      </c>
      <c r="AC100" s="152">
        <f t="shared" si="91"/>
        <v>206.32800000000012</v>
      </c>
      <c r="AD100" s="152">
        <f t="shared" si="91"/>
        <v>206.38800000000018</v>
      </c>
      <c r="AE100" s="152">
        <f t="shared" si="91"/>
        <v>206.35399999999939</v>
      </c>
      <c r="AF100" s="27">
        <f t="shared" si="91"/>
        <v>781.86700000000053</v>
      </c>
      <c r="AG100" s="152">
        <f t="shared" si="91"/>
        <v>243.5870000000001</v>
      </c>
      <c r="AH100" s="152">
        <f t="shared" si="91"/>
        <v>142.64499999999995</v>
      </c>
      <c r="AI100" s="152">
        <f t="shared" ref="AI100:AZ100" si="92">AI44+SUM(AI71:AI94)+AI96+AI97+SUM(AI59:AI64)+AI67</f>
        <v>277.16300000000001</v>
      </c>
      <c r="AJ100" s="152">
        <f t="shared" si="92"/>
        <v>305.03699999999998</v>
      </c>
      <c r="AK100" s="27">
        <f t="shared" si="92"/>
        <v>968.43200000000013</v>
      </c>
      <c r="AL100" s="152">
        <f t="shared" si="92"/>
        <v>217.04200000000014</v>
      </c>
      <c r="AM100" s="152">
        <f t="shared" si="92"/>
        <v>292.83800000000036</v>
      </c>
      <c r="AN100" s="152">
        <f t="shared" si="92"/>
        <v>253.61500000000021</v>
      </c>
      <c r="AO100" s="152">
        <f t="shared" si="92"/>
        <v>239.77799999999999</v>
      </c>
      <c r="AP100" s="27">
        <f t="shared" si="92"/>
        <v>1003.2730000000005</v>
      </c>
      <c r="AQ100" s="152">
        <f t="shared" si="92"/>
        <v>293.83100000000013</v>
      </c>
      <c r="AR100" s="152">
        <f t="shared" si="92"/>
        <v>288.03399999999999</v>
      </c>
      <c r="AS100" s="152">
        <f t="shared" si="92"/>
        <v>351.60299999999995</v>
      </c>
      <c r="AT100" s="152">
        <f t="shared" si="92"/>
        <v>302.56799999999998</v>
      </c>
      <c r="AU100" s="27">
        <f t="shared" si="92"/>
        <v>1223.8849999999993</v>
      </c>
      <c r="AV100" s="152">
        <f t="shared" si="92"/>
        <v>302.66099999999994</v>
      </c>
      <c r="AW100" s="152">
        <f t="shared" si="92"/>
        <v>386.84600000000023</v>
      </c>
      <c r="AX100" s="152">
        <f t="shared" si="92"/>
        <v>398.40000000000009</v>
      </c>
      <c r="AY100" s="152">
        <f t="shared" si="92"/>
        <v>292.12700000000012</v>
      </c>
      <c r="AZ100" s="27">
        <f t="shared" si="92"/>
        <v>1380.0340000000003</v>
      </c>
      <c r="BA100" s="269">
        <f>BA44+SUM(BA59:BA64)+BA67</f>
        <v>426.74899999999991</v>
      </c>
      <c r="BB100" s="269">
        <f>BB44+SUM(BB59:BB64)+BB67</f>
        <v>490.67000000000036</v>
      </c>
      <c r="BC100" s="269">
        <f>BC44+SUM(BC59:BC64)+BC67</f>
        <v>487.51900000000029</v>
      </c>
      <c r="BD100" s="269">
        <f>BD44+SUM(BD59:BD65)+BD67</f>
        <v>457.34200000000016</v>
      </c>
      <c r="BE100" s="27">
        <f t="shared" ref="BE100:CI100" si="93">BE44+SUM(BE59:BE64)+BE67</f>
        <v>1890.0459999999989</v>
      </c>
      <c r="BF100" s="269">
        <f>BF44+SUM(BF59:BF65)+BF67</f>
        <v>479.95800000000031</v>
      </c>
      <c r="BG100" s="269">
        <f>BG44+SUM(BG59:BG65)+BG67</f>
        <v>714.54399999999953</v>
      </c>
      <c r="BH100" s="269">
        <f t="shared" si="93"/>
        <v>856.79200000000003</v>
      </c>
      <c r="BI100" s="269">
        <f>BI44+SUM(BI59:BI64)+BI67</f>
        <v>883.50400000000013</v>
      </c>
      <c r="BJ100" s="27">
        <f>BJ44+SUM(BJ59:BJ65)+BJ67</f>
        <v>2934.7979999999984</v>
      </c>
      <c r="BK100" s="269">
        <f>BK44+SUM(BK59:BK65)+BK67</f>
        <v>822.4109999999996</v>
      </c>
      <c r="BL100" s="269">
        <f>BL44+SUM(BL59:BL65)+BL67</f>
        <v>927.63399999999979</v>
      </c>
      <c r="BM100" s="269">
        <f t="shared" ref="BM100" si="94">BM44+SUM(BM59:BM65)+BM67</f>
        <v>965.96299999999951</v>
      </c>
      <c r="BN100" s="269">
        <f>BN44+SUM(BN59:BN65)+BN67</f>
        <v>830.96599999999967</v>
      </c>
      <c r="BO100" s="27">
        <f>BO44+SUM(BO59:BO65)+BO67</f>
        <v>3547.1489999999999</v>
      </c>
      <c r="BP100" s="269">
        <f>BP44+SUM(BP59:BP65)+BP67</f>
        <v>970.90000000000055</v>
      </c>
      <c r="BQ100" s="269">
        <f>BQ44+SUM(BQ59:BQ65)+BQ67</f>
        <v>1049.7999999999995</v>
      </c>
      <c r="BR100" s="269">
        <f t="shared" ref="BR100" si="95">BR44+SUM(BR59:BR65)+BR67</f>
        <v>1032.8999999999996</v>
      </c>
      <c r="BS100" s="269">
        <f>BS44+SUM(BS58:BS65)+BS67</f>
        <v>649.20000000000005</v>
      </c>
      <c r="BT100" s="27">
        <f>BT44+SUM(BT58:BT64)+BT67</f>
        <v>3638.0333900438927</v>
      </c>
      <c r="BU100" s="269">
        <f>BU44+SUM(BU58:BU65)+BU67</f>
        <v>747.50000000000057</v>
      </c>
      <c r="BV100" s="269">
        <f t="shared" ref="BV100:BY100" si="96">BV44+SUM(BV58:BV65)+BV67</f>
        <v>862.79999999999961</v>
      </c>
      <c r="BW100" s="269">
        <f t="shared" si="96"/>
        <v>1226.0999999999997</v>
      </c>
      <c r="BX100" s="269">
        <f t="shared" si="96"/>
        <v>-297.46902880340679</v>
      </c>
      <c r="BY100" s="27">
        <f t="shared" si="96"/>
        <v>2538.9309711965957</v>
      </c>
      <c r="BZ100" s="269">
        <f>BZ44-SUM(BZ58:BZ65)-BZ67</f>
        <v>1172.9000000000003</v>
      </c>
      <c r="CA100" s="269">
        <f t="shared" ref="CA100:CC100" si="97">CA44+SUM(CA58:CA65)+CA67</f>
        <v>941.29728906981211</v>
      </c>
      <c r="CB100" s="269">
        <f t="shared" si="97"/>
        <v>1236.5166067313614</v>
      </c>
      <c r="CC100" s="269">
        <f t="shared" si="97"/>
        <v>1089.7902949198469</v>
      </c>
      <c r="CD100" s="27">
        <f t="shared" si="93"/>
        <v>4630.4014500630337</v>
      </c>
      <c r="CE100" s="269"/>
      <c r="CF100" s="269"/>
      <c r="CG100" s="269"/>
      <c r="CH100" s="269"/>
      <c r="CI100" s="27">
        <f t="shared" si="93"/>
        <v>5135.5833053289616</v>
      </c>
      <c r="CJ100" s="269"/>
      <c r="CK100" s="269"/>
      <c r="CL100" s="269"/>
      <c r="CM100" s="269"/>
      <c r="CN100" s="27">
        <f>CN44+SUM(CN59:CN64)+CN67</f>
        <v>5398.042238633564</v>
      </c>
      <c r="CO100" s="269"/>
      <c r="CP100" s="269"/>
      <c r="CQ100" s="269"/>
      <c r="CR100" s="269"/>
      <c r="CS100" s="27">
        <f>CS44+SUM(CS59:CS64)+CS67</f>
        <v>5670.2109366533541</v>
      </c>
      <c r="CT100" s="269"/>
      <c r="CU100" s="269"/>
      <c r="CV100" s="269"/>
      <c r="CW100" s="269"/>
      <c r="CX100" s="27">
        <f>CX44+SUM(CX59:CX64)+CX67</f>
        <v>5805.2369332914022</v>
      </c>
      <c r="CY100" s="269"/>
      <c r="CZ100" s="269"/>
      <c r="DA100" s="269"/>
      <c r="DB100" s="269"/>
      <c r="DC100" s="27">
        <f>DC44+SUM(DC59:DC64)+DC67</f>
        <v>5896.541869038957</v>
      </c>
      <c r="DD100" s="269"/>
      <c r="DE100" s="269"/>
      <c r="DF100" s="269"/>
      <c r="DG100" s="269"/>
      <c r="DH100" s="27">
        <f>DH44+SUM(DH59:DH64)+DH67</f>
        <v>6000.2053995441374</v>
      </c>
      <c r="DI100" s="269"/>
      <c r="DJ100" s="269"/>
      <c r="DK100" s="269"/>
      <c r="DL100" s="269"/>
      <c r="DM100" s="27">
        <f>DM44+SUM(DM59:DM64)+DM67</f>
        <v>5493.2203608474192</v>
      </c>
      <c r="DN100" s="269"/>
      <c r="DO100" s="269"/>
      <c r="DP100" s="269"/>
      <c r="DQ100" s="269"/>
      <c r="DR100" s="27">
        <f>DR44+SUM(DR59:DR64)+DR67</f>
        <v>4755.367313035973</v>
      </c>
      <c r="DS100" s="269"/>
      <c r="DT100" s="269"/>
      <c r="DU100" s="269"/>
      <c r="DV100" s="269"/>
      <c r="DW100" s="27">
        <f>DW44+SUM(DW59:DW64)+DW67</f>
        <v>3555.4497838534558</v>
      </c>
      <c r="DX100" s="269"/>
      <c r="DY100" s="269"/>
      <c r="DZ100" s="269"/>
      <c r="EA100" s="269"/>
      <c r="EB100" s="27">
        <f>EB44+SUM(EB59:EB64)+EB67</f>
        <v>3285.0660129257972</v>
      </c>
      <c r="EC100" s="269"/>
      <c r="ED100" s="269"/>
      <c r="EE100" s="269"/>
      <c r="EF100" s="269"/>
      <c r="EG100" s="27">
        <f>EG44+SUM(EG59:EG64)+EG67</f>
        <v>3154.3935674859745</v>
      </c>
      <c r="EH100" s="269"/>
      <c r="EI100" s="269"/>
      <c r="EJ100" s="269"/>
      <c r="EK100" s="269"/>
      <c r="EL100" s="27">
        <f>EL44+SUM(EL59:EL64)+EL67</f>
        <v>3224.8042304382038</v>
      </c>
      <c r="EO100"/>
      <c r="EP100"/>
      <c r="EQ100"/>
      <c r="ER100"/>
      <c r="ES100"/>
      <c r="ET100"/>
    </row>
    <row r="101" spans="2:150" s="4" customFormat="1">
      <c r="C101" s="163"/>
      <c r="D101" s="163"/>
      <c r="E101" s="163"/>
      <c r="F101" s="163"/>
      <c r="G101" s="35"/>
      <c r="H101" s="163"/>
      <c r="I101" s="163"/>
      <c r="J101" s="163"/>
      <c r="K101" s="163"/>
      <c r="L101" s="35"/>
      <c r="M101" s="163"/>
      <c r="N101" s="163"/>
      <c r="O101" s="163"/>
      <c r="P101" s="163"/>
      <c r="Q101" s="35"/>
      <c r="R101" s="163"/>
      <c r="S101" s="163"/>
      <c r="T101" s="163"/>
      <c r="U101" s="163"/>
      <c r="V101" s="35"/>
      <c r="W101" s="163"/>
      <c r="X101" s="163"/>
      <c r="Y101" s="163"/>
      <c r="Z101" s="163"/>
      <c r="AA101" s="35"/>
      <c r="AB101" s="163"/>
      <c r="AC101" s="163"/>
      <c r="AD101" s="163"/>
      <c r="AE101" s="163"/>
      <c r="AF101" s="35"/>
      <c r="AG101" s="163"/>
      <c r="AH101" s="163"/>
      <c r="AI101" s="163"/>
      <c r="AJ101" s="163"/>
      <c r="AK101" s="35"/>
      <c r="AL101" s="163"/>
      <c r="AM101" s="163"/>
      <c r="AN101" s="163"/>
      <c r="AO101" s="163"/>
      <c r="AP101" s="35"/>
      <c r="AQ101" s="163"/>
      <c r="AR101" s="163"/>
      <c r="AS101" s="163"/>
      <c r="AT101" s="163"/>
      <c r="AU101" s="35"/>
      <c r="AV101" s="163"/>
      <c r="AW101" s="163"/>
      <c r="AX101" s="163"/>
      <c r="AY101" s="163"/>
      <c r="AZ101" s="35"/>
      <c r="BA101" s="270"/>
      <c r="BB101" s="270"/>
      <c r="BC101" s="270"/>
      <c r="BD101" s="270"/>
      <c r="BE101" s="35"/>
      <c r="BF101" s="270"/>
      <c r="BG101" s="270"/>
      <c r="BH101" s="270"/>
      <c r="BI101" s="270"/>
      <c r="BJ101" s="35"/>
      <c r="BK101" s="270"/>
      <c r="BL101" s="270"/>
      <c r="BM101" s="270"/>
      <c r="BN101" s="270"/>
      <c r="BO101" s="35"/>
      <c r="BP101" s="270"/>
      <c r="BQ101" s="270"/>
      <c r="BR101" s="270"/>
      <c r="BS101" s="447"/>
      <c r="BT101" s="415"/>
      <c r="BU101" s="270"/>
      <c r="BV101" s="270"/>
      <c r="BW101" s="270"/>
      <c r="BX101" s="447"/>
      <c r="BY101" s="415"/>
      <c r="BZ101" s="447"/>
      <c r="CA101" s="270"/>
      <c r="CB101" s="270"/>
      <c r="CC101" s="447"/>
      <c r="CD101" s="415"/>
      <c r="CE101" s="270"/>
      <c r="CF101" s="270"/>
      <c r="CG101" s="270"/>
      <c r="CH101" s="270"/>
      <c r="CI101" s="35"/>
      <c r="CJ101" s="270"/>
      <c r="CK101" s="270"/>
      <c r="CL101" s="270"/>
      <c r="CM101" s="270"/>
      <c r="CN101" s="35"/>
      <c r="CO101" s="270"/>
      <c r="CP101" s="270"/>
      <c r="CQ101" s="270"/>
      <c r="CR101" s="270"/>
      <c r="CS101" s="35"/>
      <c r="CT101" s="270"/>
      <c r="CU101" s="270"/>
      <c r="CV101" s="270"/>
      <c r="CW101" s="270"/>
      <c r="CX101" s="35"/>
      <c r="CY101" s="270"/>
      <c r="CZ101" s="270"/>
      <c r="DA101" s="270"/>
      <c r="DB101" s="270"/>
      <c r="DC101" s="35"/>
      <c r="DD101" s="270"/>
      <c r="DE101" s="270"/>
      <c r="DF101" s="270"/>
      <c r="DG101" s="270"/>
      <c r="DH101" s="35"/>
      <c r="DI101" s="270"/>
      <c r="DJ101" s="270"/>
      <c r="DK101" s="270"/>
      <c r="DL101" s="270"/>
      <c r="DM101" s="35"/>
      <c r="DN101" s="270"/>
      <c r="DO101" s="270"/>
      <c r="DP101" s="270"/>
      <c r="DQ101" s="270"/>
      <c r="DR101" s="35"/>
      <c r="DS101" s="270"/>
      <c r="DT101" s="270"/>
      <c r="DU101" s="270"/>
      <c r="DV101" s="270"/>
      <c r="DW101" s="35"/>
      <c r="DX101" s="270"/>
      <c r="DY101" s="270"/>
      <c r="DZ101" s="270"/>
      <c r="EA101" s="270"/>
      <c r="EB101" s="35"/>
      <c r="EC101" s="270"/>
      <c r="ED101" s="270"/>
      <c r="EE101" s="270"/>
      <c r="EF101" s="270"/>
      <c r="EG101" s="35"/>
      <c r="EH101" s="270"/>
      <c r="EI101" s="270"/>
      <c r="EJ101" s="270"/>
      <c r="EK101" s="270"/>
      <c r="EL101" s="35"/>
      <c r="EO101"/>
      <c r="EP101"/>
      <c r="EQ101"/>
      <c r="ER101"/>
      <c r="ES101"/>
      <c r="ET101"/>
    </row>
    <row r="102" spans="2:150" s="383" customFormat="1">
      <c r="B102" s="383" t="s">
        <v>171</v>
      </c>
      <c r="C102" s="384">
        <f>C100/C106</f>
        <v>0.11950219602859059</v>
      </c>
      <c r="D102" s="384">
        <f t="shared" ref="D102:BE102" si="98">D100/D106</f>
        <v>8.4594203309961119E-2</v>
      </c>
      <c r="E102" s="384">
        <f t="shared" si="98"/>
        <v>0.12957292331663398</v>
      </c>
      <c r="F102" s="384">
        <f t="shared" si="98"/>
        <v>-4.0267500844075803</v>
      </c>
      <c r="G102" s="385">
        <f t="shared" si="98"/>
        <v>-2.4583946691238463</v>
      </c>
      <c r="H102" s="384">
        <f t="shared" si="98"/>
        <v>-0.12345856595314916</v>
      </c>
      <c r="I102" s="384">
        <f t="shared" si="98"/>
        <v>2.3609751084138577E-3</v>
      </c>
      <c r="J102" s="384">
        <f t="shared" si="98"/>
        <v>0.10465273398792899</v>
      </c>
      <c r="K102" s="384">
        <f t="shared" si="98"/>
        <v>8.1219566712030636E-2</v>
      </c>
      <c r="L102" s="385">
        <f t="shared" si="98"/>
        <v>7.2928160710387255E-2</v>
      </c>
      <c r="M102" s="384">
        <f t="shared" si="98"/>
        <v>0.12473699005886331</v>
      </c>
      <c r="N102" s="384">
        <f t="shared" si="98"/>
        <v>0.10144603826127335</v>
      </c>
      <c r="O102" s="384">
        <f t="shared" si="98"/>
        <v>7.9637034668293694E-2</v>
      </c>
      <c r="P102" s="384">
        <f t="shared" si="98"/>
        <v>0.16079046205921105</v>
      </c>
      <c r="Q102" s="385">
        <f t="shared" si="98"/>
        <v>0.46740119539061148</v>
      </c>
      <c r="R102" s="384">
        <f t="shared" si="98"/>
        <v>0.35507424489973</v>
      </c>
      <c r="S102" s="384">
        <f t="shared" si="98"/>
        <v>-0.49802993793355221</v>
      </c>
      <c r="T102" s="384">
        <f t="shared" si="98"/>
        <v>0.45365390974433895</v>
      </c>
      <c r="U102" s="384">
        <f t="shared" si="98"/>
        <v>0.31665549304806584</v>
      </c>
      <c r="V102" s="385">
        <f t="shared" si="98"/>
        <v>0.62937433568600609</v>
      </c>
      <c r="W102" s="384">
        <f t="shared" si="98"/>
        <v>0.39034406989519183</v>
      </c>
      <c r="X102" s="384">
        <f t="shared" si="98"/>
        <v>0.54177623628013749</v>
      </c>
      <c r="Y102" s="384">
        <f t="shared" si="98"/>
        <v>0.40621208196430825</v>
      </c>
      <c r="Z102" s="384">
        <f t="shared" si="98"/>
        <v>0.65990355897418895</v>
      </c>
      <c r="AA102" s="385">
        <f t="shared" si="98"/>
        <v>1.9904113739220601</v>
      </c>
      <c r="AB102" s="384">
        <f t="shared" si="98"/>
        <v>0.54356260434056813</v>
      </c>
      <c r="AC102" s="384">
        <f t="shared" si="98"/>
        <v>0.70304897163652269</v>
      </c>
      <c r="AD102" s="384">
        <f t="shared" si="98"/>
        <v>0.70218868335369089</v>
      </c>
      <c r="AE102" s="384">
        <f t="shared" si="98"/>
        <v>0.70241713953100271</v>
      </c>
      <c r="AF102" s="385">
        <f t="shared" si="98"/>
        <v>2.6505403682911637</v>
      </c>
      <c r="AG102" s="384">
        <f t="shared" si="98"/>
        <v>0.84069730520735575</v>
      </c>
      <c r="AH102" s="384">
        <f t="shared" si="98"/>
        <v>0.49127115054122644</v>
      </c>
      <c r="AI102" s="384">
        <f t="shared" si="98"/>
        <v>0.95232908530530491</v>
      </c>
      <c r="AJ102" s="384">
        <f t="shared" si="98"/>
        <v>1.0640330682293846</v>
      </c>
      <c r="AK102" s="385">
        <f t="shared" si="98"/>
        <v>3.3454655999115648</v>
      </c>
      <c r="AL102" s="384">
        <f t="shared" si="98"/>
        <v>0.79589150101025719</v>
      </c>
      <c r="AM102" s="384">
        <f t="shared" si="98"/>
        <v>1.1191631824748349</v>
      </c>
      <c r="AN102" s="384">
        <f t="shared" si="98"/>
        <v>1.0466421529179211</v>
      </c>
      <c r="AO102" s="384">
        <f t="shared" si="98"/>
        <v>0.98699662875560323</v>
      </c>
      <c r="AP102" s="385">
        <f t="shared" si="98"/>
        <v>3.9364570540713411</v>
      </c>
      <c r="AQ102" s="384">
        <f t="shared" si="98"/>
        <v>1.201512159017956</v>
      </c>
      <c r="AR102" s="384">
        <f t="shared" si="98"/>
        <v>1.1758121535233461</v>
      </c>
      <c r="AS102" s="384">
        <f t="shared" si="98"/>
        <v>1.4329735986240959</v>
      </c>
      <c r="AT102" s="384">
        <f t="shared" si="98"/>
        <v>1.233048878890872</v>
      </c>
      <c r="AU102" s="385">
        <f t="shared" si="98"/>
        <v>4.9947762138160954</v>
      </c>
      <c r="AV102" s="384">
        <f t="shared" si="98"/>
        <v>1.2515548240898486</v>
      </c>
      <c r="AW102" s="384">
        <f t="shared" si="98"/>
        <v>1.6076917322605588</v>
      </c>
      <c r="AX102" s="384">
        <f t="shared" si="98"/>
        <v>1.6730708661417326</v>
      </c>
      <c r="AY102" s="384">
        <f t="shared" si="98"/>
        <v>1.2257556939292733</v>
      </c>
      <c r="AZ102" s="385">
        <f t="shared" si="98"/>
        <v>5.7563777425544354</v>
      </c>
      <c r="BA102" s="386">
        <f t="shared" si="98"/>
        <v>1.7907756479119104</v>
      </c>
      <c r="BB102" s="386">
        <f t="shared" si="98"/>
        <v>2.0552225614991868</v>
      </c>
      <c r="BC102" s="386">
        <f t="shared" si="98"/>
        <v>2.0453998128794346</v>
      </c>
      <c r="BD102" s="386">
        <f t="shared" si="98"/>
        <v>1.9246213603672988</v>
      </c>
      <c r="BE102" s="385">
        <f t="shared" si="98"/>
        <v>7.9328452723596348</v>
      </c>
      <c r="BF102" s="386">
        <f t="shared" ref="BF102:BX102" si="99">BF100/BF106</f>
        <v>2.017910523062953</v>
      </c>
      <c r="BG102" s="386">
        <f t="shared" si="99"/>
        <v>3.0098609525654885</v>
      </c>
      <c r="BH102" s="386">
        <f t="shared" si="99"/>
        <v>3.6155832756612596</v>
      </c>
      <c r="BI102" s="386">
        <f t="shared" si="99"/>
        <v>3.7390347536099409</v>
      </c>
      <c r="BJ102" s="385">
        <f>BJ100/BJ106</f>
        <v>12.373924849057234</v>
      </c>
      <c r="BK102" s="386">
        <f t="shared" si="99"/>
        <v>3.4902643975724637</v>
      </c>
      <c r="BL102" s="386">
        <f t="shared" si="99"/>
        <v>3.9353549580430847</v>
      </c>
      <c r="BM102" s="386">
        <f t="shared" si="99"/>
        <v>4.152679139511287</v>
      </c>
      <c r="BN102" s="386">
        <f t="shared" si="99"/>
        <v>3.7634329710144909</v>
      </c>
      <c r="BO102" s="385">
        <f>BO100/BO106</f>
        <v>15.342339965397924</v>
      </c>
      <c r="BP102" s="386">
        <f t="shared" si="99"/>
        <v>4.4272685818513473</v>
      </c>
      <c r="BQ102" s="386">
        <f t="shared" si="99"/>
        <v>4.7859585137907432</v>
      </c>
      <c r="BR102" s="386">
        <f t="shared" si="99"/>
        <v>4.7078395624430245</v>
      </c>
      <c r="BS102" s="386">
        <f t="shared" si="99"/>
        <v>2.991705069124424</v>
      </c>
      <c r="BT102" s="385">
        <f t="shared" ref="BT102:CN102" si="100">BT100/BT106</f>
        <v>16.627209278079949</v>
      </c>
      <c r="BU102" s="386">
        <f t="shared" si="99"/>
        <v>3.4622510421491457</v>
      </c>
      <c r="BV102" s="386">
        <f t="shared" si="99"/>
        <v>4.0659754948162092</v>
      </c>
      <c r="BW102" s="386">
        <f t="shared" si="99"/>
        <v>5.7889518413597711</v>
      </c>
      <c r="BX102" s="386">
        <f t="shared" si="99"/>
        <v>-1.4031557962424848</v>
      </c>
      <c r="BY102" s="385">
        <f t="shared" si="100"/>
        <v>11.921262923801363</v>
      </c>
      <c r="BZ102" s="386">
        <f t="shared" si="100"/>
        <v>5.5351580934403035</v>
      </c>
      <c r="CA102" s="386">
        <f t="shared" si="100"/>
        <v>4.4527083954977167</v>
      </c>
      <c r="CB102" s="386">
        <f t="shared" si="100"/>
        <v>5.8631127267644052</v>
      </c>
      <c r="CC102" s="386">
        <f t="shared" si="100"/>
        <v>5.179699008248285</v>
      </c>
      <c r="CD102" s="385">
        <f t="shared" si="100"/>
        <v>21.929625151645283</v>
      </c>
      <c r="CE102" s="386"/>
      <c r="CF102" s="386"/>
      <c r="CG102" s="386"/>
      <c r="CH102" s="386"/>
      <c r="CI102" s="385">
        <f t="shared" si="100"/>
        <v>25.084022028084323</v>
      </c>
      <c r="CJ102" s="386"/>
      <c r="CK102" s="386"/>
      <c r="CL102" s="386"/>
      <c r="CM102" s="386"/>
      <c r="CN102" s="385">
        <f t="shared" si="100"/>
        <v>27.32705915025419</v>
      </c>
      <c r="CO102" s="386"/>
      <c r="CP102" s="386"/>
      <c r="CQ102" s="386"/>
      <c r="CR102" s="386"/>
      <c r="CS102" s="385">
        <f t="shared" ref="CS102" si="101">CS100/CS106</f>
        <v>29.786422631408229</v>
      </c>
      <c r="CT102" s="386"/>
      <c r="CU102" s="386"/>
      <c r="CV102" s="386"/>
      <c r="CW102" s="386"/>
      <c r="CX102" s="385">
        <f t="shared" ref="CX102" si="102">CX100/CX106</f>
        <v>31.645931455168192</v>
      </c>
      <c r="CY102" s="386"/>
      <c r="CZ102" s="386"/>
      <c r="DA102" s="386"/>
      <c r="DB102" s="386"/>
      <c r="DC102" s="385">
        <f t="shared" ref="DC102" si="103">DC100/DC106</f>
        <v>33.340173545335809</v>
      </c>
      <c r="DD102" s="386"/>
      <c r="DE102" s="386"/>
      <c r="DF102" s="386"/>
      <c r="DG102" s="386"/>
      <c r="DH102" s="385">
        <f t="shared" ref="DH102" si="104">DH100/DH106</f>
        <v>35.159704636233037</v>
      </c>
      <c r="DI102" s="386"/>
      <c r="DJ102" s="386"/>
      <c r="DK102" s="386"/>
      <c r="DL102" s="386"/>
      <c r="DM102" s="385">
        <f t="shared" ref="DM102" si="105">DM100/DM106</f>
        <v>33.304549048936252</v>
      </c>
      <c r="DN102" s="386"/>
      <c r="DO102" s="386"/>
      <c r="DP102" s="386"/>
      <c r="DQ102" s="386"/>
      <c r="DR102" s="385">
        <f t="shared" ref="DR102" si="106">DR100/DR106</f>
        <v>29.730807964984759</v>
      </c>
      <c r="DS102" s="386"/>
      <c r="DT102" s="386"/>
      <c r="DU102" s="386"/>
      <c r="DV102" s="386"/>
      <c r="DW102" s="385">
        <f t="shared" ref="DW102" si="107">DW100/DW106</f>
        <v>22.816151147454878</v>
      </c>
      <c r="DX102" s="386"/>
      <c r="DY102" s="386"/>
      <c r="DZ102" s="386"/>
      <c r="EA102" s="386"/>
      <c r="EB102" s="385">
        <f t="shared" ref="EB102" si="108">EB100/EB106</f>
        <v>21.546302530825887</v>
      </c>
      <c r="EC102" s="386"/>
      <c r="ED102" s="386"/>
      <c r="EE102" s="386"/>
      <c r="EF102" s="386"/>
      <c r="EG102" s="385">
        <f t="shared" ref="EG102" si="109">EG100/EG106</f>
        <v>21.096540001774677</v>
      </c>
      <c r="EH102" s="386"/>
      <c r="EI102" s="386"/>
      <c r="EJ102" s="386"/>
      <c r="EK102" s="386"/>
      <c r="EL102" s="385">
        <f t="shared" ref="EL102" si="110">EL100/EL106</f>
        <v>21.969498399067849</v>
      </c>
      <c r="EO102"/>
      <c r="EP102"/>
      <c r="EQ102"/>
      <c r="ER102"/>
      <c r="ES102"/>
      <c r="ET102"/>
    </row>
    <row r="103" spans="2:150" s="38" customFormat="1">
      <c r="C103" s="162"/>
      <c r="D103" s="162"/>
      <c r="E103" s="162"/>
      <c r="F103" s="162"/>
      <c r="G103" s="51"/>
      <c r="H103" s="162"/>
      <c r="I103" s="162"/>
      <c r="J103" s="162"/>
      <c r="K103" s="162"/>
      <c r="L103" s="51"/>
      <c r="M103" s="162"/>
      <c r="N103" s="162"/>
      <c r="O103" s="162"/>
      <c r="P103" s="162"/>
      <c r="Q103" s="51"/>
      <c r="R103" s="162"/>
      <c r="S103" s="162"/>
      <c r="T103" s="162"/>
      <c r="U103" s="162"/>
      <c r="V103" s="51"/>
      <c r="W103" s="162"/>
      <c r="X103" s="162"/>
      <c r="Y103" s="162"/>
      <c r="Z103" s="162"/>
      <c r="AA103" s="51"/>
      <c r="AB103" s="162"/>
      <c r="AC103" s="162"/>
      <c r="AD103" s="162"/>
      <c r="AE103" s="162"/>
      <c r="AF103" s="51"/>
      <c r="AG103" s="162"/>
      <c r="AH103" s="162"/>
      <c r="AI103" s="162"/>
      <c r="AJ103" s="162"/>
      <c r="AK103" s="51"/>
      <c r="AL103" s="162"/>
      <c r="AM103" s="162"/>
      <c r="AN103" s="162"/>
      <c r="AO103" s="162"/>
      <c r="AP103" s="51"/>
      <c r="AQ103" s="162"/>
      <c r="AR103" s="162"/>
      <c r="AS103" s="162"/>
      <c r="AT103" s="162"/>
      <c r="AU103" s="51"/>
      <c r="AV103" s="162"/>
      <c r="AW103" s="162"/>
      <c r="AX103" s="162"/>
      <c r="AY103" s="162"/>
      <c r="AZ103" s="51"/>
      <c r="BA103" s="268"/>
      <c r="BB103" s="268"/>
      <c r="BC103" s="268"/>
      <c r="BD103" s="268"/>
      <c r="BE103" s="51"/>
      <c r="BF103" s="268"/>
      <c r="BG103" s="268"/>
      <c r="BH103" s="255"/>
      <c r="BI103" s="255"/>
      <c r="BJ103" s="401"/>
      <c r="BK103" s="268"/>
      <c r="BL103" s="268"/>
      <c r="BM103" s="255"/>
      <c r="BN103" s="255"/>
      <c r="BO103" s="401"/>
      <c r="BP103" s="268"/>
      <c r="BQ103" s="268"/>
      <c r="BR103" s="268"/>
      <c r="BS103" s="268"/>
      <c r="BT103" s="21"/>
      <c r="BU103" s="268"/>
      <c r="BV103" s="268"/>
      <c r="BW103" s="268"/>
      <c r="BX103" s="268"/>
      <c r="BY103" s="21"/>
      <c r="BZ103" s="268"/>
      <c r="CA103" s="268"/>
      <c r="CB103" s="268"/>
      <c r="CC103" s="268"/>
      <c r="CD103" s="51"/>
      <c r="CE103" s="268"/>
      <c r="CF103" s="268"/>
      <c r="CG103" s="268"/>
      <c r="CH103" s="268"/>
      <c r="CI103" s="51"/>
      <c r="CJ103" s="268"/>
      <c r="CK103" s="268"/>
      <c r="CL103" s="268"/>
      <c r="CM103" s="268"/>
      <c r="CN103" s="51"/>
      <c r="CO103" s="268"/>
      <c r="CP103" s="268"/>
      <c r="CQ103" s="268"/>
      <c r="CR103" s="268"/>
      <c r="CS103" s="51"/>
      <c r="CT103" s="268"/>
      <c r="CU103" s="268"/>
      <c r="CV103" s="268"/>
      <c r="CW103" s="268"/>
      <c r="CX103" s="51"/>
      <c r="CY103" s="268"/>
      <c r="CZ103" s="268"/>
      <c r="DA103" s="268"/>
      <c r="DB103" s="268"/>
      <c r="DC103" s="51"/>
      <c r="DD103" s="268"/>
      <c r="DE103" s="268"/>
      <c r="DF103" s="268"/>
      <c r="DG103" s="268"/>
      <c r="DH103" s="51"/>
      <c r="DI103" s="268"/>
      <c r="DJ103" s="268"/>
      <c r="DK103" s="268"/>
      <c r="DL103" s="268"/>
      <c r="DM103" s="51"/>
      <c r="DN103" s="268"/>
      <c r="DO103" s="268"/>
      <c r="DP103" s="268"/>
      <c r="DQ103" s="268"/>
      <c r="DR103" s="51"/>
      <c r="DS103" s="268"/>
      <c r="DT103" s="268"/>
      <c r="DU103" s="268"/>
      <c r="DV103" s="268"/>
      <c r="DW103" s="51"/>
      <c r="DX103" s="268"/>
      <c r="DY103" s="268"/>
      <c r="DZ103" s="268"/>
      <c r="EA103" s="268"/>
      <c r="EB103" s="51"/>
      <c r="EC103" s="268"/>
      <c r="ED103" s="268"/>
      <c r="EE103" s="268"/>
      <c r="EF103" s="268"/>
      <c r="EG103" s="51"/>
      <c r="EH103" s="268"/>
      <c r="EI103" s="268"/>
      <c r="EJ103" s="268"/>
      <c r="EK103" s="268"/>
      <c r="EL103" s="51"/>
      <c r="EO103"/>
      <c r="EP103"/>
      <c r="EQ103"/>
      <c r="ER103"/>
      <c r="ES103"/>
      <c r="ET103"/>
    </row>
    <row r="104" spans="2:150" s="36" customFormat="1">
      <c r="C104" s="156"/>
      <c r="D104" s="156"/>
      <c r="E104" s="156"/>
      <c r="F104" s="156"/>
      <c r="G104" s="40"/>
      <c r="H104" s="156"/>
      <c r="I104" s="156"/>
      <c r="J104" s="156"/>
      <c r="K104" s="156"/>
      <c r="L104" s="40"/>
      <c r="M104" s="156"/>
      <c r="N104" s="156"/>
      <c r="O104" s="156"/>
      <c r="P104" s="156"/>
      <c r="Q104" s="40"/>
      <c r="R104" s="156"/>
      <c r="S104" s="156"/>
      <c r="T104" s="156"/>
      <c r="U104" s="156"/>
      <c r="V104" s="40"/>
      <c r="W104" s="156"/>
      <c r="X104" s="156"/>
      <c r="Y104" s="156"/>
      <c r="Z104" s="156"/>
      <c r="AA104" s="40"/>
      <c r="AB104" s="156"/>
      <c r="AC104" s="156"/>
      <c r="AD104" s="156"/>
      <c r="AE104" s="156"/>
      <c r="AF104" s="40"/>
      <c r="AG104" s="156"/>
      <c r="AH104" s="156"/>
      <c r="AI104" s="156"/>
      <c r="AJ104" s="156"/>
      <c r="AK104" s="40"/>
      <c r="AL104" s="156"/>
      <c r="AM104" s="156"/>
      <c r="AN104" s="156"/>
      <c r="AO104" s="156"/>
      <c r="AP104" s="40"/>
      <c r="AQ104" s="156"/>
      <c r="AR104" s="156"/>
      <c r="AS104" s="156"/>
      <c r="AT104" s="156"/>
      <c r="AU104" s="40"/>
      <c r="AV104" s="156"/>
      <c r="AW104" s="156"/>
      <c r="AX104" s="156"/>
      <c r="AY104" s="156"/>
      <c r="AZ104" s="40"/>
      <c r="BA104" s="264"/>
      <c r="BB104" s="264"/>
      <c r="BC104" s="264"/>
      <c r="BD104" s="264"/>
      <c r="BE104" s="95"/>
      <c r="BF104" s="264"/>
      <c r="BG104" s="264"/>
      <c r="BH104" s="264"/>
      <c r="BI104" s="264"/>
      <c r="BJ104" s="96"/>
      <c r="BK104" s="264"/>
      <c r="BL104" s="264"/>
      <c r="BM104" s="264"/>
      <c r="BN104" s="264"/>
      <c r="BO104" s="95"/>
      <c r="BP104" s="264"/>
      <c r="BQ104" s="264"/>
      <c r="BR104" s="264"/>
      <c r="BS104" s="264"/>
      <c r="BT104" s="95"/>
      <c r="BU104" s="264"/>
      <c r="BV104" s="264"/>
      <c r="BW104" s="264"/>
      <c r="BX104" s="264"/>
      <c r="BY104" s="95"/>
      <c r="BZ104" s="264"/>
      <c r="CA104" s="264"/>
      <c r="CB104" s="264"/>
      <c r="CC104" s="264"/>
      <c r="CD104" s="95"/>
      <c r="CE104" s="264"/>
      <c r="CF104" s="264"/>
      <c r="CG104" s="264"/>
      <c r="CH104" s="264"/>
      <c r="CI104" s="95"/>
      <c r="CJ104" s="264"/>
      <c r="CK104" s="264"/>
      <c r="CL104" s="264"/>
      <c r="CM104" s="264"/>
      <c r="CN104" s="95"/>
      <c r="CO104" s="264"/>
      <c r="CP104" s="264"/>
      <c r="CQ104" s="264"/>
      <c r="CR104" s="264"/>
      <c r="CS104" s="95"/>
      <c r="CT104" s="264"/>
      <c r="CU104" s="264"/>
      <c r="CV104" s="264"/>
      <c r="CW104" s="264"/>
      <c r="CX104" s="95"/>
      <c r="CY104" s="264"/>
      <c r="CZ104" s="264"/>
      <c r="DA104" s="264"/>
      <c r="DB104" s="264"/>
      <c r="DC104" s="95"/>
      <c r="DD104" s="264"/>
      <c r="DE104" s="264"/>
      <c r="DF104" s="264"/>
      <c r="DG104" s="264"/>
      <c r="DH104" s="95"/>
      <c r="DI104" s="264"/>
      <c r="DJ104" s="264"/>
      <c r="DK104" s="264"/>
      <c r="DL104" s="264"/>
      <c r="DM104" s="95"/>
      <c r="DN104" s="264"/>
      <c r="DO104" s="264"/>
      <c r="DP104" s="264"/>
      <c r="DQ104" s="264"/>
      <c r="DR104" s="95"/>
      <c r="DS104" s="264"/>
      <c r="DT104" s="264"/>
      <c r="DU104" s="264"/>
      <c r="DV104" s="264"/>
      <c r="DW104" s="95"/>
      <c r="DX104" s="264"/>
      <c r="DY104" s="264"/>
      <c r="DZ104" s="264"/>
      <c r="EA104" s="264"/>
      <c r="EB104" s="95"/>
      <c r="EC104" s="264"/>
      <c r="ED104" s="264"/>
      <c r="EE104" s="264"/>
      <c r="EF104" s="264"/>
      <c r="EG104" s="95"/>
      <c r="EH104" s="264"/>
      <c r="EI104" s="264"/>
      <c r="EJ104" s="264"/>
      <c r="EK104" s="264"/>
      <c r="EL104" s="95"/>
      <c r="EO104"/>
      <c r="EP104"/>
      <c r="EQ104"/>
      <c r="ER104"/>
      <c r="ES104"/>
      <c r="ET104"/>
    </row>
    <row r="105" spans="2:150" s="3" customFormat="1">
      <c r="B105" s="3" t="s">
        <v>172</v>
      </c>
      <c r="C105" s="145">
        <f>154.673*2</f>
        <v>309.346</v>
      </c>
      <c r="D105" s="145">
        <f>155.171*2</f>
        <v>310.34199999999998</v>
      </c>
      <c r="E105" s="145">
        <f>155.498*2</f>
        <v>310.99599999999998</v>
      </c>
      <c r="F105" s="145">
        <v>245.83099999999999</v>
      </c>
      <c r="G105" s="17">
        <f>177.982*2</f>
        <v>355.964</v>
      </c>
      <c r="H105" s="145">
        <v>333.69900000000001</v>
      </c>
      <c r="I105" s="145">
        <v>337.01799999999997</v>
      </c>
      <c r="J105" s="145">
        <v>334.77699999999999</v>
      </c>
      <c r="K105" s="145">
        <v>334.49099999999999</v>
      </c>
      <c r="L105" s="17">
        <v>334.99599999999998</v>
      </c>
      <c r="M105" s="145">
        <v>335.279</v>
      </c>
      <c r="N105" s="145">
        <v>332.62900000000002</v>
      </c>
      <c r="O105" s="145">
        <v>336.536</v>
      </c>
      <c r="P105" s="145">
        <v>337.88400000000001</v>
      </c>
      <c r="Q105" s="17">
        <v>335.58600000000001</v>
      </c>
      <c r="R105" s="145">
        <v>339.65300000000002</v>
      </c>
      <c r="S105" s="145">
        <v>342.375</v>
      </c>
      <c r="T105" s="145">
        <v>338.02100000000002</v>
      </c>
      <c r="U105" s="145">
        <v>335.64499999999998</v>
      </c>
      <c r="V105" s="17">
        <v>338.58499999999998</v>
      </c>
      <c r="W105" s="145">
        <v>340.31</v>
      </c>
      <c r="X105" s="145">
        <v>340.315</v>
      </c>
      <c r="Y105" s="145">
        <v>288.95800000000003</v>
      </c>
      <c r="Z105" s="145">
        <v>294.56099999999998</v>
      </c>
      <c r="AA105" s="17">
        <v>315.83600000000001</v>
      </c>
      <c r="AB105" s="145">
        <v>296.17099999999999</v>
      </c>
      <c r="AC105" s="145">
        <v>290.35599999999999</v>
      </c>
      <c r="AD105" s="145">
        <v>291.40800000000002</v>
      </c>
      <c r="AE105" s="145">
        <v>291.53199999999998</v>
      </c>
      <c r="AF105" s="17">
        <v>292.33199999999999</v>
      </c>
      <c r="AG105" s="145">
        <v>287.70299999999997</v>
      </c>
      <c r="AH105" s="145">
        <v>288.61500000000001</v>
      </c>
      <c r="AI105" s="145">
        <v>288.91699999999997</v>
      </c>
      <c r="AJ105" s="145">
        <v>284.02800000000002</v>
      </c>
      <c r="AK105" s="17">
        <v>287.35599999999999</v>
      </c>
      <c r="AL105" s="145">
        <v>269.92200000000003</v>
      </c>
      <c r="AM105" s="145">
        <v>259.93799999999999</v>
      </c>
      <c r="AN105" s="145">
        <v>239.864</v>
      </c>
      <c r="AO105" s="145">
        <v>239.68199999999999</v>
      </c>
      <c r="AP105" s="17">
        <v>252.30699999999999</v>
      </c>
      <c r="AQ105" s="145">
        <v>241.536</v>
      </c>
      <c r="AR105" s="145">
        <v>242.375</v>
      </c>
      <c r="AS105" s="145">
        <v>242.88300000000001</v>
      </c>
      <c r="AT105" s="145">
        <v>242.959</v>
      </c>
      <c r="AU105" s="17">
        <v>242.39500000000001</v>
      </c>
      <c r="AV105" s="145">
        <v>239.75399999999999</v>
      </c>
      <c r="AW105" s="145">
        <v>238.988</v>
      </c>
      <c r="AX105" s="145">
        <v>236.47399999999999</v>
      </c>
      <c r="AY105" s="145">
        <v>236.61199999999999</v>
      </c>
      <c r="AZ105" s="17">
        <v>237.93799999999999</v>
      </c>
      <c r="BA105" s="267">
        <f>236.837</f>
        <v>236.83699999999999</v>
      </c>
      <c r="BB105" s="267">
        <v>237.48400000000001</v>
      </c>
      <c r="BC105" s="267">
        <v>237.07</v>
      </c>
      <c r="BD105" s="267">
        <v>236.28299999999999</v>
      </c>
      <c r="BE105" s="519">
        <f>AVERAGE(CF!M84,CF!M85)</f>
        <v>236.45699999999999</v>
      </c>
      <c r="BF105" s="339">
        <v>236.786</v>
      </c>
      <c r="BG105" s="339">
        <v>236.661</v>
      </c>
      <c r="BH105" s="339">
        <v>236.21700000000001</v>
      </c>
      <c r="BI105" s="339">
        <v>235.48099999999999</v>
      </c>
      <c r="BJ105" s="406">
        <v>236.35900000000001</v>
      </c>
      <c r="BK105" s="339">
        <v>234.995</v>
      </c>
      <c r="BL105" s="339">
        <v>235.286</v>
      </c>
      <c r="BM105" s="339">
        <v>232.191</v>
      </c>
      <c r="BN105" s="339">
        <v>220.4</v>
      </c>
      <c r="BO105" s="406">
        <v>230.7</v>
      </c>
      <c r="BP105" s="434">
        <v>218.9</v>
      </c>
      <c r="BQ105" s="434">
        <v>219.1</v>
      </c>
      <c r="BR105" s="434">
        <v>218.9</v>
      </c>
      <c r="BS105" s="434">
        <v>216.6</v>
      </c>
      <c r="BT105" s="406">
        <v>218.4</v>
      </c>
      <c r="BU105" s="256">
        <v>215.6</v>
      </c>
      <c r="BV105" s="256">
        <v>211.9</v>
      </c>
      <c r="BW105" s="256">
        <v>211.4</v>
      </c>
      <c r="BX105" s="256">
        <v>211.5</v>
      </c>
      <c r="BY105" s="17">
        <f>AVERAGE(BU105:BX105)</f>
        <v>212.6</v>
      </c>
      <c r="BZ105" s="391">
        <v>211.4</v>
      </c>
      <c r="CA105" s="506">
        <f>BZ105-0.5</f>
        <v>210.9</v>
      </c>
      <c r="CB105" s="506">
        <f>CA105-0.5</f>
        <v>210.4</v>
      </c>
      <c r="CC105" s="506">
        <f>CB105-0.5</f>
        <v>209.9</v>
      </c>
      <c r="CD105" s="17">
        <f>AVERAGE(CF!R84,CF!R85)</f>
        <v>209.18486574497842</v>
      </c>
      <c r="CE105" s="268"/>
      <c r="CF105" s="268"/>
      <c r="CG105" s="268"/>
      <c r="CH105" s="268"/>
      <c r="CI105" s="17">
        <f>AVERAGE(CF!S84,CF!S85)</f>
        <v>202.83151213372605</v>
      </c>
      <c r="CJ105" s="264"/>
      <c r="CK105" s="264"/>
      <c r="CL105" s="264"/>
      <c r="CM105" s="264"/>
      <c r="CN105" s="17">
        <f>AVERAGE(CF!T84,CF!T85)</f>
        <v>195.69791793614854</v>
      </c>
      <c r="CO105" s="264"/>
      <c r="CP105" s="264"/>
      <c r="CQ105" s="264"/>
      <c r="CR105" s="264"/>
      <c r="CS105" s="17">
        <f>AVERAGE(CF!U84,CF!U85)</f>
        <v>188.59218469233224</v>
      </c>
      <c r="CT105" s="264"/>
      <c r="CU105" s="264"/>
      <c r="CV105" s="264"/>
      <c r="CW105" s="264"/>
      <c r="CX105" s="17">
        <f>AVERAGE(CF!V84,CF!V85)</f>
        <v>181.73764247345576</v>
      </c>
      <c r="CY105" s="264"/>
      <c r="CZ105" s="264"/>
      <c r="DA105" s="264"/>
      <c r="DB105" s="264"/>
      <c r="DC105" s="17">
        <f>AVERAGE(CF!W84,CF!W85)</f>
        <v>175.21543209753219</v>
      </c>
      <c r="DD105" s="264"/>
      <c r="DE105" s="264"/>
      <c r="DF105" s="264"/>
      <c r="DG105" s="264"/>
      <c r="DH105" s="17">
        <f>AVERAGE(CF!X84,CF!X85)</f>
        <v>169.06889836861006</v>
      </c>
      <c r="DI105" s="264"/>
      <c r="DJ105" s="264"/>
      <c r="DK105" s="264"/>
      <c r="DL105" s="264"/>
      <c r="DM105" s="17">
        <f>AVERAGE(CF!Y84,CF!Y85)</f>
        <v>163.40535583016108</v>
      </c>
      <c r="DN105" s="264"/>
      <c r="DO105" s="264"/>
      <c r="DP105" s="264"/>
      <c r="DQ105" s="264"/>
      <c r="DR105" s="17">
        <f>AVERAGE(CF!Z84,CF!Z85)</f>
        <v>158.4601927894457</v>
      </c>
      <c r="DS105" s="264"/>
      <c r="DT105" s="264"/>
      <c r="DU105" s="264"/>
      <c r="DV105" s="264"/>
      <c r="DW105" s="17">
        <f>AVERAGE(CF!AA84,CF!AA85)</f>
        <v>154.38140443062304</v>
      </c>
      <c r="DX105" s="264"/>
      <c r="DY105" s="264"/>
      <c r="DZ105" s="264"/>
      <c r="EA105" s="264"/>
      <c r="EB105" s="17">
        <f>AVERAGE(CF!AB84,CF!AB85)</f>
        <v>151.04771892741729</v>
      </c>
      <c r="EC105" s="264"/>
      <c r="ED105" s="264"/>
      <c r="EE105" s="264"/>
      <c r="EF105" s="264"/>
      <c r="EG105" s="17">
        <f>AVERAGE(CF!AC84,CF!AC85)</f>
        <v>148.13151634142491</v>
      </c>
      <c r="EH105" s="264"/>
      <c r="EI105" s="264"/>
      <c r="EJ105" s="264"/>
      <c r="EK105" s="264"/>
      <c r="EL105" s="17">
        <f>AVERAGE(CF!AD84,CF!AD85)</f>
        <v>145.42063509425412</v>
      </c>
      <c r="EO105"/>
      <c r="EP105"/>
      <c r="EQ105"/>
      <c r="ER105"/>
      <c r="ES105"/>
      <c r="ET105"/>
    </row>
    <row r="106" spans="2:150" s="3" customFormat="1">
      <c r="B106" s="3" t="s">
        <v>173</v>
      </c>
      <c r="C106" s="145">
        <f>177.821*2</f>
        <v>355.642</v>
      </c>
      <c r="D106" s="145">
        <f>176.135*2</f>
        <v>352.27</v>
      </c>
      <c r="E106" s="145">
        <f>184.838*2</f>
        <v>369.67599999999999</v>
      </c>
      <c r="F106" s="145">
        <v>245.83099999999999</v>
      </c>
      <c r="G106" s="17">
        <f>177.982*2</f>
        <v>355.964</v>
      </c>
      <c r="H106" s="145">
        <v>333.69900000000001</v>
      </c>
      <c r="I106" s="145">
        <v>350.279</v>
      </c>
      <c r="J106" s="145">
        <v>355.23200000000003</v>
      </c>
      <c r="K106" s="145">
        <v>353.43700000000001</v>
      </c>
      <c r="L106" s="17">
        <v>343.47500000000002</v>
      </c>
      <c r="M106" s="145">
        <v>352.173</v>
      </c>
      <c r="N106" s="145">
        <v>344.73500000000001</v>
      </c>
      <c r="O106" s="145">
        <v>340.85899999999998</v>
      </c>
      <c r="P106" s="145">
        <v>345.06400000000002</v>
      </c>
      <c r="Q106" s="17">
        <v>346.16300000000001</v>
      </c>
      <c r="R106" s="145">
        <v>345.815</v>
      </c>
      <c r="S106" s="145">
        <v>342.375</v>
      </c>
      <c r="T106" s="145">
        <v>344.75400000000002</v>
      </c>
      <c r="U106" s="145">
        <v>343.07</v>
      </c>
      <c r="V106" s="17">
        <v>345.28100000000001</v>
      </c>
      <c r="W106" s="145">
        <v>344.05799999999999</v>
      </c>
      <c r="X106" s="145">
        <v>343.38900000000001</v>
      </c>
      <c r="Y106" s="145">
        <v>293.39600000000002</v>
      </c>
      <c r="Z106" s="145">
        <v>299.66500000000002</v>
      </c>
      <c r="AA106" s="17">
        <v>320.17099999999999</v>
      </c>
      <c r="AB106" s="145">
        <v>299.5</v>
      </c>
      <c r="AC106" s="145">
        <v>293.476</v>
      </c>
      <c r="AD106" s="145">
        <v>293.92099999999999</v>
      </c>
      <c r="AE106" s="145">
        <v>293.77699999999999</v>
      </c>
      <c r="AF106" s="17">
        <v>294.98399999999998</v>
      </c>
      <c r="AG106" s="145">
        <v>289.74400000000003</v>
      </c>
      <c r="AH106" s="145">
        <v>290.35899999999998</v>
      </c>
      <c r="AI106" s="145">
        <v>291.03699999999998</v>
      </c>
      <c r="AJ106" s="145">
        <v>286.68</v>
      </c>
      <c r="AK106" s="17">
        <v>289.476</v>
      </c>
      <c r="AL106" s="145">
        <v>272.70299999999997</v>
      </c>
      <c r="AM106" s="145">
        <v>261.65800000000002</v>
      </c>
      <c r="AN106" s="145">
        <v>242.31299999999999</v>
      </c>
      <c r="AO106" s="145">
        <v>242.93700000000001</v>
      </c>
      <c r="AP106" s="17">
        <v>254.86699999999999</v>
      </c>
      <c r="AQ106" s="145">
        <v>244.55099999999999</v>
      </c>
      <c r="AR106" s="145">
        <v>244.96600000000001</v>
      </c>
      <c r="AS106" s="145">
        <v>245.36600000000001</v>
      </c>
      <c r="AT106" s="145">
        <v>245.38200000000001</v>
      </c>
      <c r="AU106" s="17">
        <v>245.03299999999999</v>
      </c>
      <c r="AV106" s="145">
        <v>241.828</v>
      </c>
      <c r="AW106" s="145">
        <v>240.62200000000001</v>
      </c>
      <c r="AX106" s="145">
        <v>238.125</v>
      </c>
      <c r="AY106" s="145">
        <v>238.32400000000001</v>
      </c>
      <c r="AZ106" s="17">
        <v>239.74</v>
      </c>
      <c r="BA106" s="267">
        <f>238.304</f>
        <v>238.304</v>
      </c>
      <c r="BB106" s="267">
        <v>238.74299999999999</v>
      </c>
      <c r="BC106" s="267">
        <v>238.34899999999999</v>
      </c>
      <c r="BD106" s="267">
        <v>237.62700000000001</v>
      </c>
      <c r="BE106" s="17">
        <f>AVERAGE(BA106:BD106)</f>
        <v>238.25574999999998</v>
      </c>
      <c r="BF106" s="339">
        <v>237.84899999999999</v>
      </c>
      <c r="BG106" s="339">
        <v>237.40100000000001</v>
      </c>
      <c r="BH106" s="339">
        <v>236.97200000000001</v>
      </c>
      <c r="BI106" s="339">
        <v>236.292</v>
      </c>
      <c r="BJ106" s="406">
        <v>237.17599999999999</v>
      </c>
      <c r="BK106" s="339">
        <v>235.63</v>
      </c>
      <c r="BL106" s="339">
        <v>235.71799999999999</v>
      </c>
      <c r="BM106" s="339">
        <v>232.61199999999999</v>
      </c>
      <c r="BN106" s="339">
        <v>220.8</v>
      </c>
      <c r="BO106" s="406">
        <v>231.2</v>
      </c>
      <c r="BP106" s="435">
        <v>219.3</v>
      </c>
      <c r="BQ106" s="435">
        <v>219.35</v>
      </c>
      <c r="BR106" s="435">
        <v>219.4</v>
      </c>
      <c r="BS106" s="435">
        <v>217</v>
      </c>
      <c r="BT106" s="406">
        <v>218.8</v>
      </c>
      <c r="BU106" s="256">
        <v>215.9</v>
      </c>
      <c r="BV106" s="256">
        <v>212.2</v>
      </c>
      <c r="BW106" s="256">
        <v>211.8</v>
      </c>
      <c r="BX106" s="256">
        <v>212</v>
      </c>
      <c r="BY106" s="17">
        <f>AVERAGE(BU106:BX106)</f>
        <v>212.97500000000002</v>
      </c>
      <c r="BZ106" s="391">
        <v>211.9</v>
      </c>
      <c r="CA106" s="267">
        <f t="shared" ref="CA106" si="111">BZ106/BZ105*CA105</f>
        <v>211.3988174077578</v>
      </c>
      <c r="CB106" s="267">
        <f t="shared" ref="CB106" si="112">CA106/CA105*CB105</f>
        <v>210.8976348155156</v>
      </c>
      <c r="CC106" s="267">
        <f t="shared" ref="CC106" si="113">CB106/CB105*CC105</f>
        <v>210.3964522232734</v>
      </c>
      <c r="CD106" s="17">
        <f>AVERAGE(BZ106:CC106)</f>
        <v>211.14822611163672</v>
      </c>
      <c r="CE106" s="268"/>
      <c r="CF106" s="268"/>
      <c r="CG106" s="268"/>
      <c r="CH106" s="268"/>
      <c r="CI106" s="17">
        <f>CI105*CD106/CD105</f>
        <v>204.7352414050311</v>
      </c>
      <c r="CJ106" s="264"/>
      <c r="CK106" s="264"/>
      <c r="CL106" s="264"/>
      <c r="CM106" s="264"/>
      <c r="CN106" s="17">
        <f>CN105*CI106/CI105</f>
        <v>197.5346929559141</v>
      </c>
      <c r="CO106" s="264"/>
      <c r="CP106" s="264"/>
      <c r="CQ106" s="264"/>
      <c r="CR106" s="264"/>
      <c r="CS106" s="17">
        <f>CS105*CN106/CN105</f>
        <v>190.36226695697295</v>
      </c>
      <c r="CT106" s="264"/>
      <c r="CU106" s="264"/>
      <c r="CV106" s="264"/>
      <c r="CW106" s="264"/>
      <c r="CX106" s="17">
        <f>CX105*CS106/CS105</f>
        <v>183.44338960335236</v>
      </c>
      <c r="CY106" s="264"/>
      <c r="CZ106" s="264"/>
      <c r="DA106" s="264"/>
      <c r="DB106" s="264"/>
      <c r="DC106" s="17">
        <f>DC105*CX106/CX105</f>
        <v>176.85996328186076</v>
      </c>
      <c r="DD106" s="264"/>
      <c r="DE106" s="264"/>
      <c r="DF106" s="264"/>
      <c r="DG106" s="264"/>
      <c r="DH106" s="17">
        <f>DH105*DC106/DC105</f>
        <v>170.65573962076922</v>
      </c>
      <c r="DI106" s="264"/>
      <c r="DJ106" s="264"/>
      <c r="DK106" s="264"/>
      <c r="DL106" s="264"/>
      <c r="DM106" s="17">
        <f>DM105*DH106/DH105</f>
        <v>164.93904039282805</v>
      </c>
      <c r="DN106" s="264"/>
      <c r="DO106" s="264"/>
      <c r="DP106" s="264"/>
      <c r="DQ106" s="264"/>
      <c r="DR106" s="17">
        <f>DR105*DM106/DM105</f>
        <v>159.94746320505558</v>
      </c>
      <c r="DS106" s="264"/>
      <c r="DT106" s="264"/>
      <c r="DU106" s="264"/>
      <c r="DV106" s="264"/>
      <c r="DW106" s="17">
        <f>DW105*DR106/DR105</f>
        <v>155.83039228989605</v>
      </c>
      <c r="DX106" s="264"/>
      <c r="DY106" s="264"/>
      <c r="DZ106" s="264"/>
      <c r="EA106" s="264"/>
      <c r="EB106" s="17">
        <f>EB105*DW106/DW105</f>
        <v>152.4654175919936</v>
      </c>
      <c r="EC106" s="264"/>
      <c r="ED106" s="264"/>
      <c r="EE106" s="264"/>
      <c r="EF106" s="264"/>
      <c r="EG106" s="17">
        <f>EG105*EB106/EB105</f>
        <v>149.52184420860584</v>
      </c>
      <c r="EH106" s="264"/>
      <c r="EI106" s="264"/>
      <c r="EJ106" s="264"/>
      <c r="EK106" s="264"/>
      <c r="EL106" s="17">
        <f>EL105*EG106/EG105</f>
        <v>146.78551926224361</v>
      </c>
      <c r="EO106"/>
      <c r="EP106"/>
      <c r="EQ106"/>
      <c r="ER106"/>
      <c r="ES106"/>
      <c r="ET106"/>
    </row>
    <row r="107" spans="2:150" s="3" customFormat="1">
      <c r="B107" s="3" t="s">
        <v>174</v>
      </c>
      <c r="C107" s="145">
        <v>360.9</v>
      </c>
      <c r="D107" s="145">
        <v>358.7</v>
      </c>
      <c r="E107" s="145">
        <v>357.8</v>
      </c>
      <c r="F107" s="145">
        <v>358.3</v>
      </c>
      <c r="G107" s="17">
        <v>357.8</v>
      </c>
      <c r="H107" s="145">
        <f t="shared" ref="H107:BC107" si="114">+H106</f>
        <v>333.69900000000001</v>
      </c>
      <c r="I107" s="145">
        <f t="shared" si="114"/>
        <v>350.279</v>
      </c>
      <c r="J107" s="145">
        <f t="shared" si="114"/>
        <v>355.23200000000003</v>
      </c>
      <c r="K107" s="145">
        <f t="shared" si="114"/>
        <v>353.43700000000001</v>
      </c>
      <c r="L107" s="17">
        <f t="shared" si="114"/>
        <v>343.47500000000002</v>
      </c>
      <c r="M107" s="145">
        <f t="shared" si="114"/>
        <v>352.173</v>
      </c>
      <c r="N107" s="145">
        <f t="shared" si="114"/>
        <v>344.73500000000001</v>
      </c>
      <c r="O107" s="145">
        <f t="shared" si="114"/>
        <v>340.85899999999998</v>
      </c>
      <c r="P107" s="145">
        <f t="shared" si="114"/>
        <v>345.06400000000002</v>
      </c>
      <c r="Q107" s="17">
        <f t="shared" si="114"/>
        <v>346.16300000000001</v>
      </c>
      <c r="R107" s="145">
        <f t="shared" si="114"/>
        <v>345.815</v>
      </c>
      <c r="S107" s="145">
        <f t="shared" si="114"/>
        <v>342.375</v>
      </c>
      <c r="T107" s="145">
        <f t="shared" si="114"/>
        <v>344.75400000000002</v>
      </c>
      <c r="U107" s="145">
        <f t="shared" si="114"/>
        <v>343.07</v>
      </c>
      <c r="V107" s="17">
        <f t="shared" si="114"/>
        <v>345.28100000000001</v>
      </c>
      <c r="W107" s="145">
        <f t="shared" si="114"/>
        <v>344.05799999999999</v>
      </c>
      <c r="X107" s="145">
        <f t="shared" si="114"/>
        <v>343.38900000000001</v>
      </c>
      <c r="Y107" s="145">
        <f t="shared" si="114"/>
        <v>293.39600000000002</v>
      </c>
      <c r="Z107" s="145">
        <f t="shared" si="114"/>
        <v>299.66500000000002</v>
      </c>
      <c r="AA107" s="17">
        <f t="shared" si="114"/>
        <v>320.17099999999999</v>
      </c>
      <c r="AB107" s="145">
        <f t="shared" si="114"/>
        <v>299.5</v>
      </c>
      <c r="AC107" s="145">
        <f t="shared" si="114"/>
        <v>293.476</v>
      </c>
      <c r="AD107" s="145">
        <f t="shared" si="114"/>
        <v>293.92099999999999</v>
      </c>
      <c r="AE107" s="145">
        <f t="shared" si="114"/>
        <v>293.77699999999999</v>
      </c>
      <c r="AF107" s="17">
        <f t="shared" si="114"/>
        <v>294.98399999999998</v>
      </c>
      <c r="AG107" s="145">
        <f t="shared" si="114"/>
        <v>289.74400000000003</v>
      </c>
      <c r="AH107" s="145">
        <f t="shared" si="114"/>
        <v>290.35899999999998</v>
      </c>
      <c r="AI107" s="145">
        <f t="shared" si="114"/>
        <v>291.03699999999998</v>
      </c>
      <c r="AJ107" s="145">
        <f t="shared" si="114"/>
        <v>286.68</v>
      </c>
      <c r="AK107" s="17">
        <f t="shared" si="114"/>
        <v>289.476</v>
      </c>
      <c r="AL107" s="145">
        <f t="shared" si="114"/>
        <v>272.70299999999997</v>
      </c>
      <c r="AM107" s="145">
        <f t="shared" si="114"/>
        <v>261.65800000000002</v>
      </c>
      <c r="AN107" s="145">
        <f t="shared" si="114"/>
        <v>242.31299999999999</v>
      </c>
      <c r="AO107" s="145">
        <f t="shared" si="114"/>
        <v>242.93700000000001</v>
      </c>
      <c r="AP107" s="17">
        <f t="shared" si="114"/>
        <v>254.86699999999999</v>
      </c>
      <c r="AQ107" s="145">
        <f t="shared" si="114"/>
        <v>244.55099999999999</v>
      </c>
      <c r="AR107" s="145">
        <f t="shared" si="114"/>
        <v>244.96600000000001</v>
      </c>
      <c r="AS107" s="145">
        <f t="shared" si="114"/>
        <v>245.36600000000001</v>
      </c>
      <c r="AT107" s="145">
        <f t="shared" si="114"/>
        <v>245.38200000000001</v>
      </c>
      <c r="AU107" s="17">
        <f t="shared" si="114"/>
        <v>245.03299999999999</v>
      </c>
      <c r="AV107" s="145">
        <f t="shared" si="114"/>
        <v>241.828</v>
      </c>
      <c r="AW107" s="145">
        <f t="shared" si="114"/>
        <v>240.62200000000001</v>
      </c>
      <c r="AX107" s="145">
        <f t="shared" si="114"/>
        <v>238.125</v>
      </c>
      <c r="AY107" s="145">
        <f t="shared" si="114"/>
        <v>238.32400000000001</v>
      </c>
      <c r="AZ107" s="17">
        <f t="shared" si="114"/>
        <v>239.74</v>
      </c>
      <c r="BA107" s="267">
        <f t="shared" si="114"/>
        <v>238.304</v>
      </c>
      <c r="BB107" s="267">
        <f t="shared" si="114"/>
        <v>238.74299999999999</v>
      </c>
      <c r="BC107" s="267">
        <f t="shared" si="114"/>
        <v>238.34899999999999</v>
      </c>
      <c r="BD107" s="267">
        <f>BD106</f>
        <v>237.62700000000001</v>
      </c>
      <c r="BE107" s="17">
        <f>BE106</f>
        <v>238.25574999999998</v>
      </c>
      <c r="BF107" s="267">
        <f>+BF106</f>
        <v>237.84899999999999</v>
      </c>
      <c r="BG107" s="267">
        <f>+BG106</f>
        <v>237.40100000000001</v>
      </c>
      <c r="BH107" s="267">
        <f>+BH106</f>
        <v>236.97200000000001</v>
      </c>
      <c r="BI107" s="267">
        <f>BI106</f>
        <v>236.292</v>
      </c>
      <c r="BJ107" s="17">
        <f>BJ106</f>
        <v>237.17599999999999</v>
      </c>
      <c r="BK107" s="267">
        <f>+BK106</f>
        <v>235.63</v>
      </c>
      <c r="BL107" s="267">
        <f>+BL106</f>
        <v>235.71799999999999</v>
      </c>
      <c r="BM107" s="267">
        <f>+BM106</f>
        <v>232.61199999999999</v>
      </c>
      <c r="BN107" s="267">
        <f>BN106</f>
        <v>220.8</v>
      </c>
      <c r="BO107" s="17">
        <f>AVERAGE(BK107:BN107)</f>
        <v>231.19</v>
      </c>
      <c r="BP107" s="429">
        <f>BP106</f>
        <v>219.3</v>
      </c>
      <c r="BQ107" s="429">
        <f t="shared" ref="BQ107:BS107" si="115">BQ106</f>
        <v>219.35</v>
      </c>
      <c r="BR107" s="429">
        <f t="shared" si="115"/>
        <v>219.4</v>
      </c>
      <c r="BS107" s="429">
        <f t="shared" si="115"/>
        <v>217</v>
      </c>
      <c r="BT107" s="17">
        <f>BT106</f>
        <v>218.8</v>
      </c>
      <c r="BU107" s="255">
        <f>BU106</f>
        <v>215.9</v>
      </c>
      <c r="BV107" s="255">
        <f t="shared" ref="BV107:BX107" si="116">BV106</f>
        <v>212.2</v>
      </c>
      <c r="BW107" s="255">
        <f t="shared" si="116"/>
        <v>211.8</v>
      </c>
      <c r="BX107" s="255">
        <f t="shared" si="116"/>
        <v>212</v>
      </c>
      <c r="BY107" s="17">
        <f>BY106</f>
        <v>212.97500000000002</v>
      </c>
      <c r="BZ107" s="255">
        <f>BZ106</f>
        <v>211.9</v>
      </c>
      <c r="CA107" s="528">
        <f t="shared" ref="CA107:CC107" si="117">CA106</f>
        <v>211.3988174077578</v>
      </c>
      <c r="CB107" s="528">
        <f t="shared" si="117"/>
        <v>210.8976348155156</v>
      </c>
      <c r="CC107" s="528">
        <f t="shared" si="117"/>
        <v>210.3964522232734</v>
      </c>
      <c r="CD107" s="17">
        <f>CD106</f>
        <v>211.14822611163672</v>
      </c>
      <c r="CE107" s="268"/>
      <c r="CF107" s="268"/>
      <c r="CG107" s="268"/>
      <c r="CH107" s="268"/>
      <c r="CI107" s="17">
        <f>CI106</f>
        <v>204.7352414050311</v>
      </c>
      <c r="CJ107" s="264"/>
      <c r="CK107" s="264"/>
      <c r="CL107" s="264"/>
      <c r="CM107" s="264"/>
      <c r="CN107" s="17">
        <f>CN106</f>
        <v>197.5346929559141</v>
      </c>
      <c r="CO107" s="264"/>
      <c r="CP107" s="264"/>
      <c r="CQ107" s="264"/>
      <c r="CR107" s="264"/>
      <c r="CS107" s="17">
        <f>CS106</f>
        <v>190.36226695697295</v>
      </c>
      <c r="CT107" s="264"/>
      <c r="CU107" s="264"/>
      <c r="CV107" s="264"/>
      <c r="CW107" s="264"/>
      <c r="CX107" s="17">
        <f>CX106</f>
        <v>183.44338960335236</v>
      </c>
      <c r="CY107" s="264"/>
      <c r="CZ107" s="264"/>
      <c r="DA107" s="264"/>
      <c r="DB107" s="264"/>
      <c r="DC107" s="17">
        <f>DC106</f>
        <v>176.85996328186076</v>
      </c>
      <c r="DD107" s="264"/>
      <c r="DE107" s="264"/>
      <c r="DF107" s="264"/>
      <c r="DG107" s="264"/>
      <c r="DH107" s="17">
        <f>DH106</f>
        <v>170.65573962076922</v>
      </c>
      <c r="DI107" s="264"/>
      <c r="DJ107" s="264"/>
      <c r="DK107" s="264"/>
      <c r="DL107" s="264"/>
      <c r="DM107" s="17">
        <f>DM106</f>
        <v>164.93904039282805</v>
      </c>
      <c r="DN107" s="264"/>
      <c r="DO107" s="264"/>
      <c r="DP107" s="264"/>
      <c r="DQ107" s="264"/>
      <c r="DR107" s="17">
        <f>DR106</f>
        <v>159.94746320505558</v>
      </c>
      <c r="DS107" s="264"/>
      <c r="DT107" s="264"/>
      <c r="DU107" s="264"/>
      <c r="DV107" s="264"/>
      <c r="DW107" s="17">
        <f>DW106</f>
        <v>155.83039228989605</v>
      </c>
      <c r="DX107" s="264"/>
      <c r="DY107" s="264"/>
      <c r="DZ107" s="264"/>
      <c r="EA107" s="264"/>
      <c r="EB107" s="17">
        <f>EB106</f>
        <v>152.4654175919936</v>
      </c>
      <c r="EC107" s="264"/>
      <c r="ED107" s="264"/>
      <c r="EE107" s="264"/>
      <c r="EF107" s="264"/>
      <c r="EG107" s="17">
        <f>EG106</f>
        <v>149.52184420860584</v>
      </c>
      <c r="EH107" s="264"/>
      <c r="EI107" s="264"/>
      <c r="EJ107" s="264"/>
      <c r="EK107" s="264"/>
      <c r="EL107" s="17">
        <f>EL106</f>
        <v>146.78551926224361</v>
      </c>
      <c r="EO107"/>
      <c r="EP107"/>
      <c r="EQ107"/>
      <c r="ER107"/>
      <c r="ES107"/>
      <c r="ET107"/>
    </row>
    <row r="108" spans="2:150" s="4" customFormat="1" ht="15.75" thickBot="1">
      <c r="C108" s="163"/>
      <c r="D108" s="163"/>
      <c r="E108" s="163"/>
      <c r="F108" s="163"/>
      <c r="G108" s="35"/>
      <c r="H108" s="163"/>
      <c r="I108" s="163"/>
      <c r="J108" s="163"/>
      <c r="K108" s="163"/>
      <c r="L108" s="35"/>
      <c r="M108" s="163"/>
      <c r="N108" s="163"/>
      <c r="O108" s="163"/>
      <c r="P108" s="163"/>
      <c r="Q108" s="35"/>
      <c r="R108" s="163"/>
      <c r="S108" s="163"/>
      <c r="T108" s="163"/>
      <c r="U108" s="163"/>
      <c r="V108" s="35"/>
      <c r="W108" s="163"/>
      <c r="X108" s="163"/>
      <c r="Y108" s="163"/>
      <c r="Z108" s="163"/>
      <c r="AA108" s="35"/>
      <c r="AB108" s="163"/>
      <c r="AC108" s="163"/>
      <c r="AD108" s="163"/>
      <c r="AE108" s="163"/>
      <c r="AF108" s="35"/>
      <c r="AG108" s="163"/>
      <c r="AH108" s="163"/>
      <c r="AI108" s="163"/>
      <c r="AJ108" s="163"/>
      <c r="AK108" s="35"/>
      <c r="AL108" s="163"/>
      <c r="AM108" s="163"/>
      <c r="AN108" s="163"/>
      <c r="AO108" s="163"/>
      <c r="AP108" s="35"/>
      <c r="AQ108" s="163"/>
      <c r="AR108" s="163"/>
      <c r="AS108" s="163"/>
      <c r="AT108" s="163"/>
      <c r="AU108" s="35"/>
      <c r="AV108" s="163"/>
      <c r="AW108" s="163"/>
      <c r="AX108" s="163"/>
      <c r="AY108" s="163"/>
      <c r="AZ108" s="35"/>
      <c r="BA108" s="35"/>
      <c r="BB108" s="35"/>
      <c r="BC108" s="35"/>
      <c r="BD108" s="35"/>
      <c r="BE108" s="35"/>
      <c r="BF108" s="35"/>
      <c r="BG108" s="35"/>
      <c r="BH108" s="35"/>
      <c r="BI108" s="35"/>
      <c r="BJ108" s="35"/>
      <c r="BK108" s="35"/>
      <c r="BL108" s="35"/>
      <c r="BM108" s="35"/>
      <c r="BN108" s="35"/>
      <c r="BO108" s="35"/>
      <c r="BP108" s="35"/>
      <c r="BQ108" s="35"/>
      <c r="BR108" s="35"/>
      <c r="BS108" s="35"/>
      <c r="BT108" s="35"/>
      <c r="BU108" s="35"/>
      <c r="BV108" s="35"/>
      <c r="BW108" s="35"/>
      <c r="BX108" s="35"/>
      <c r="BY108" s="35"/>
      <c r="BZ108" s="35"/>
      <c r="CA108" s="35"/>
      <c r="CB108" s="35"/>
      <c r="CC108" s="35"/>
      <c r="CD108" s="35"/>
      <c r="CE108" s="35"/>
      <c r="CF108" s="35"/>
      <c r="CG108" s="35"/>
      <c r="CH108" s="35"/>
      <c r="CI108" s="35"/>
      <c r="CJ108" s="35"/>
      <c r="CK108" s="35"/>
      <c r="CL108" s="35"/>
      <c r="CM108" s="35"/>
      <c r="CN108" s="164"/>
      <c r="CO108" s="35"/>
      <c r="CP108" s="35"/>
      <c r="CQ108" s="35"/>
      <c r="CR108" s="35"/>
      <c r="CS108" s="164"/>
      <c r="CT108" s="35"/>
      <c r="CU108" s="35"/>
      <c r="CV108" s="35"/>
      <c r="CW108" s="35"/>
      <c r="CX108" s="164"/>
      <c r="CY108" s="35"/>
      <c r="CZ108" s="35"/>
      <c r="DA108" s="35"/>
      <c r="DB108" s="35"/>
      <c r="DC108" s="164"/>
      <c r="DD108" s="35"/>
      <c r="DE108" s="35"/>
      <c r="DF108" s="35"/>
      <c r="DG108" s="35"/>
      <c r="DH108" s="164"/>
      <c r="DI108" s="35"/>
      <c r="DJ108" s="35"/>
      <c r="DK108" s="35"/>
      <c r="DL108" s="35"/>
      <c r="DM108" s="164"/>
      <c r="DN108" s="35"/>
      <c r="DO108" s="35"/>
      <c r="DP108" s="35"/>
      <c r="DQ108" s="35"/>
      <c r="DR108" s="164"/>
      <c r="DS108" s="35"/>
      <c r="DT108" s="35"/>
      <c r="DU108" s="35"/>
      <c r="DV108" s="35"/>
      <c r="DW108" s="164"/>
      <c r="DX108" s="35"/>
      <c r="DY108" s="35"/>
      <c r="DZ108" s="35"/>
      <c r="EA108" s="35"/>
      <c r="EB108" s="164"/>
      <c r="EC108" s="35"/>
      <c r="ED108" s="35"/>
      <c r="EE108" s="35"/>
      <c r="EF108" s="35"/>
      <c r="EG108" s="164"/>
      <c r="EH108" s="35"/>
      <c r="EI108" s="35"/>
      <c r="EJ108" s="35"/>
      <c r="EK108" s="35"/>
      <c r="EL108" s="164"/>
      <c r="EO108"/>
      <c r="EP108"/>
      <c r="EQ108"/>
      <c r="ER108"/>
      <c r="ES108"/>
      <c r="ET108"/>
    </row>
    <row r="109" spans="2:150" ht="12.75" customHeight="1">
      <c r="B109" s="52" t="s">
        <v>642</v>
      </c>
      <c r="C109" s="52"/>
      <c r="D109" s="52"/>
      <c r="E109" s="52"/>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c r="BY109" s="52"/>
      <c r="BZ109" s="52"/>
      <c r="CA109" s="52"/>
      <c r="CB109" s="52"/>
      <c r="CC109" s="52"/>
      <c r="CD109" s="52"/>
      <c r="CE109" s="52"/>
      <c r="CF109" s="52"/>
      <c r="CG109" s="52"/>
      <c r="CH109" s="52"/>
      <c r="CI109" s="52"/>
      <c r="CJ109" s="52"/>
      <c r="CK109" s="52"/>
      <c r="CL109" s="52"/>
      <c r="CM109" s="52"/>
      <c r="CN109" s="52"/>
      <c r="CO109" s="52"/>
      <c r="CP109" s="52"/>
      <c r="CQ109" s="52"/>
      <c r="CR109" s="52"/>
      <c r="CS109" s="52"/>
      <c r="CT109" s="52"/>
      <c r="CU109" s="52"/>
      <c r="CV109" s="52"/>
      <c r="CW109" s="52"/>
      <c r="CX109" s="52"/>
      <c r="CY109" s="52"/>
      <c r="CZ109" s="52"/>
      <c r="DA109" s="52"/>
      <c r="DB109" s="52"/>
      <c r="DC109" s="52"/>
      <c r="DD109" s="52"/>
      <c r="DE109" s="52"/>
      <c r="DF109" s="52"/>
      <c r="DG109" s="52"/>
      <c r="DH109" s="52"/>
      <c r="DI109" s="52"/>
      <c r="DJ109" s="52"/>
      <c r="DK109" s="52"/>
      <c r="DL109" s="52"/>
      <c r="DM109" s="52"/>
      <c r="DN109" s="52"/>
      <c r="DO109" s="52"/>
      <c r="DP109" s="52"/>
      <c r="DQ109" s="52"/>
      <c r="DR109" s="52"/>
      <c r="DS109" s="52"/>
      <c r="DT109" s="52"/>
      <c r="DU109" s="52"/>
      <c r="DV109" s="52"/>
      <c r="DW109" s="52"/>
      <c r="DX109" s="52"/>
      <c r="DY109" s="52"/>
      <c r="DZ109" s="52"/>
      <c r="EA109" s="52"/>
      <c r="EB109" s="52"/>
      <c r="EC109" s="52"/>
      <c r="ED109" s="52"/>
      <c r="EE109" s="52"/>
      <c r="EF109" s="52"/>
      <c r="EG109" s="52"/>
      <c r="EH109" s="52"/>
      <c r="EI109" s="52"/>
      <c r="EJ109" s="52"/>
      <c r="EK109" s="52"/>
      <c r="EL109" s="52"/>
    </row>
    <row r="110" spans="2:150" ht="12.75" customHeight="1">
      <c r="B110" s="165" t="s">
        <v>179</v>
      </c>
      <c r="C110" s="166">
        <f t="shared" ref="C110:AH110" si="118">C11/C3</f>
        <v>0.16629086809470123</v>
      </c>
      <c r="D110" s="166">
        <f t="shared" si="118"/>
        <v>0.1657000828500414</v>
      </c>
      <c r="E110" s="166">
        <f t="shared" si="118"/>
        <v>0.17454281862807433</v>
      </c>
      <c r="F110" s="166">
        <f t="shared" si="118"/>
        <v>0.23812107401646954</v>
      </c>
      <c r="G110" s="53">
        <f t="shared" si="118"/>
        <v>0.18762825673406358</v>
      </c>
      <c r="H110" s="166">
        <f t="shared" si="118"/>
        <v>0.16231139457288801</v>
      </c>
      <c r="I110" s="166">
        <f t="shared" si="118"/>
        <v>0.16060365762997467</v>
      </c>
      <c r="J110" s="166">
        <f t="shared" si="118"/>
        <v>0.17003436273256009</v>
      </c>
      <c r="K110" s="166">
        <f t="shared" si="118"/>
        <v>0.20173228386740311</v>
      </c>
      <c r="L110" s="53">
        <f t="shared" si="118"/>
        <v>0.17413129127577462</v>
      </c>
      <c r="M110" s="166">
        <f t="shared" si="118"/>
        <v>0.22714445249305804</v>
      </c>
      <c r="N110" s="166">
        <f t="shared" si="118"/>
        <v>0.15569101002452224</v>
      </c>
      <c r="O110" s="166">
        <f t="shared" si="118"/>
        <v>0.19996882713368053</v>
      </c>
      <c r="P110" s="166">
        <f t="shared" si="118"/>
        <v>0.1685591940955008</v>
      </c>
      <c r="Q110" s="53">
        <f t="shared" si="118"/>
        <v>0.18739223898023752</v>
      </c>
      <c r="R110" s="166">
        <f t="shared" si="118"/>
        <v>0.15618950159771131</v>
      </c>
      <c r="S110" s="166">
        <f t="shared" si="118"/>
        <v>0.1765566488794513</v>
      </c>
      <c r="T110" s="166">
        <f t="shared" si="118"/>
        <v>0.13448229410477042</v>
      </c>
      <c r="U110" s="166">
        <f t="shared" si="118"/>
        <v>0.13395539852938945</v>
      </c>
      <c r="V110" s="53">
        <f t="shared" si="118"/>
        <v>0.14959920014057046</v>
      </c>
      <c r="W110" s="166">
        <f t="shared" si="118"/>
        <v>0.16298917396797608</v>
      </c>
      <c r="X110" s="166">
        <f t="shared" si="118"/>
        <v>0.16189539648107978</v>
      </c>
      <c r="Y110" s="166">
        <f t="shared" si="118"/>
        <v>0.15410862549827126</v>
      </c>
      <c r="Z110" s="166">
        <f t="shared" si="118"/>
        <v>0.14988737676403066</v>
      </c>
      <c r="AA110" s="53">
        <f t="shared" si="118"/>
        <v>0.15681800206942931</v>
      </c>
      <c r="AB110" s="166">
        <f t="shared" si="118"/>
        <v>0.15176447591982797</v>
      </c>
      <c r="AC110" s="166">
        <f t="shared" si="118"/>
        <v>0.13499326501929912</v>
      </c>
      <c r="AD110" s="166">
        <f t="shared" si="118"/>
        <v>0.14176271991137604</v>
      </c>
      <c r="AE110" s="166">
        <f t="shared" si="118"/>
        <v>0.13822924566329847</v>
      </c>
      <c r="AF110" s="53">
        <f t="shared" si="118"/>
        <v>0.1415628188111849</v>
      </c>
      <c r="AG110" s="166">
        <f t="shared" si="118"/>
        <v>0.1338911848641072</v>
      </c>
      <c r="AH110" s="166">
        <f t="shared" si="118"/>
        <v>0.11469587974259456</v>
      </c>
      <c r="AI110" s="166">
        <f t="shared" ref="AI110:BN110" si="119">AI11/AI3</f>
        <v>0.11661130438362008</v>
      </c>
      <c r="AJ110" s="166">
        <f t="shared" si="119"/>
        <v>0.12057474364261501</v>
      </c>
      <c r="AK110" s="53">
        <f t="shared" si="119"/>
        <v>0.12118970827554337</v>
      </c>
      <c r="AL110" s="166">
        <f t="shared" si="119"/>
        <v>0.11775375506539516</v>
      </c>
      <c r="AM110" s="166">
        <f t="shared" si="119"/>
        <v>0.12451192048741029</v>
      </c>
      <c r="AN110" s="166">
        <f t="shared" si="119"/>
        <v>0.10938929121286423</v>
      </c>
      <c r="AO110" s="166">
        <f t="shared" si="119"/>
        <v>0.11025434432058878</v>
      </c>
      <c r="AP110" s="53">
        <f t="shared" si="119"/>
        <v>0.1153474180243777</v>
      </c>
      <c r="AQ110" s="166">
        <f t="shared" si="119"/>
        <v>0.11367299377578266</v>
      </c>
      <c r="AR110" s="166">
        <f t="shared" si="119"/>
        <v>0.10505141093944516</v>
      </c>
      <c r="AS110" s="166">
        <f t="shared" si="119"/>
        <v>0.12659606848836341</v>
      </c>
      <c r="AT110" s="166">
        <f t="shared" si="119"/>
        <v>0.1401207158661589</v>
      </c>
      <c r="AU110" s="53">
        <f t="shared" si="119"/>
        <v>0.12211252808336219</v>
      </c>
      <c r="AV110" s="166">
        <f t="shared" si="119"/>
        <v>0.13654396568691773</v>
      </c>
      <c r="AW110" s="166">
        <f t="shared" si="119"/>
        <v>0.1291901931649331</v>
      </c>
      <c r="AX110" s="166">
        <f t="shared" si="119"/>
        <v>0.13411284657062295</v>
      </c>
      <c r="AY110" s="166">
        <f t="shared" si="119"/>
        <v>0.12452869516021571</v>
      </c>
      <c r="AZ110" s="53">
        <f t="shared" si="119"/>
        <v>0.13093742453926649</v>
      </c>
      <c r="BA110" s="271">
        <f t="shared" si="119"/>
        <v>0.12205837125916813</v>
      </c>
      <c r="BB110" s="271">
        <f t="shared" si="119"/>
        <v>0.16648026795236082</v>
      </c>
      <c r="BC110" s="271">
        <f t="shared" si="119"/>
        <v>0.16146355759744735</v>
      </c>
      <c r="BD110" s="271">
        <f t="shared" si="119"/>
        <v>0.16088371456305847</v>
      </c>
      <c r="BE110" s="53">
        <f t="shared" si="119"/>
        <v>0.15476130546956463</v>
      </c>
      <c r="BF110" s="271">
        <f t="shared" si="119"/>
        <v>0.16023101221335062</v>
      </c>
      <c r="BG110" s="271">
        <f t="shared" si="119"/>
        <v>0.14194822525205564</v>
      </c>
      <c r="BH110" s="271">
        <f t="shared" si="119"/>
        <v>0.14293183134139303</v>
      </c>
      <c r="BI110" s="271">
        <f t="shared" si="119"/>
        <v>0.1299814034309861</v>
      </c>
      <c r="BJ110" s="53">
        <f t="shared" si="119"/>
        <v>0.14275000963014869</v>
      </c>
      <c r="BK110" s="271">
        <f t="shared" si="119"/>
        <v>0.14383014259131893</v>
      </c>
      <c r="BL110" s="271">
        <f t="shared" si="119"/>
        <v>0.13011960525717406</v>
      </c>
      <c r="BM110" s="271">
        <f t="shared" si="119"/>
        <v>0.12961036789297659</v>
      </c>
      <c r="BN110" s="271">
        <f t="shared" si="119"/>
        <v>0.13680905859039666</v>
      </c>
      <c r="BO110" s="53">
        <f t="shared" ref="BO110:BY110" si="120">BO11/BO3</f>
        <v>0.13499401419180709</v>
      </c>
      <c r="BP110" s="271">
        <f t="shared" si="120"/>
        <v>0.13553303888455875</v>
      </c>
      <c r="BQ110" s="271">
        <f t="shared" si="120"/>
        <v>0.15016220600162206</v>
      </c>
      <c r="BR110" s="271">
        <f t="shared" si="120"/>
        <v>0.1641597101905812</v>
      </c>
      <c r="BS110" s="271">
        <f t="shared" si="120"/>
        <v>0.15122457948779416</v>
      </c>
      <c r="BT110" s="53">
        <f t="shared" si="120"/>
        <v>0.15061265647439878</v>
      </c>
      <c r="BU110" s="271">
        <f t="shared" si="120"/>
        <v>0.16158984916600141</v>
      </c>
      <c r="BV110" s="271">
        <f t="shared" si="120"/>
        <v>0.13872788574459219</v>
      </c>
      <c r="BW110" s="271">
        <f t="shared" si="120"/>
        <v>0.14108674928503337</v>
      </c>
      <c r="BX110" s="271">
        <f t="shared" ref="BX110" si="121">BX11/BX3</f>
        <v>0.18773042324140984</v>
      </c>
      <c r="BY110" s="53">
        <f t="shared" si="120"/>
        <v>0.15741643891179846</v>
      </c>
      <c r="BZ110" s="271">
        <f t="shared" ref="BZ110:CC110" si="122">BZ11/BZ3</f>
        <v>0.17673865662769958</v>
      </c>
      <c r="CA110" s="271">
        <f t="shared" si="122"/>
        <v>0.15581227841057751</v>
      </c>
      <c r="CB110" s="271">
        <f t="shared" si="122"/>
        <v>0.15678154236728312</v>
      </c>
      <c r="CC110" s="271">
        <f t="shared" si="122"/>
        <v>0.15770927876892965</v>
      </c>
      <c r="CD110" s="53">
        <f>CD11/CD3</f>
        <v>0.15648037904786219</v>
      </c>
      <c r="CE110" s="271"/>
      <c r="CF110" s="271"/>
      <c r="CG110" s="271"/>
      <c r="CH110" s="271"/>
      <c r="CI110" s="53">
        <f>CI11/CI3</f>
        <v>0.15629783296799793</v>
      </c>
      <c r="CJ110" s="271"/>
      <c r="CK110" s="271"/>
      <c r="CL110" s="271"/>
      <c r="CM110" s="271"/>
      <c r="CN110" s="53">
        <f>CN11/CN3</f>
        <v>0.16158915136596619</v>
      </c>
      <c r="CO110" s="271"/>
      <c r="CP110" s="271"/>
      <c r="CQ110" s="271"/>
      <c r="CR110" s="271"/>
      <c r="CS110" s="53">
        <f>CS11/CS3</f>
        <v>0.16348250263778494</v>
      </c>
      <c r="CT110" s="271"/>
      <c r="CU110" s="271"/>
      <c r="CV110" s="271"/>
      <c r="CW110" s="271"/>
      <c r="CX110" s="53">
        <f>CX11/CX3</f>
        <v>0.16603407013076446</v>
      </c>
      <c r="CY110" s="271"/>
      <c r="CZ110" s="271"/>
      <c r="DA110" s="271"/>
      <c r="DB110" s="271"/>
      <c r="DC110" s="53">
        <f>DC11/DC3</f>
        <v>0.16845244257843897</v>
      </c>
      <c r="DD110" s="271"/>
      <c r="DE110" s="271"/>
      <c r="DF110" s="271"/>
      <c r="DG110" s="271"/>
      <c r="DH110" s="53">
        <f>DH11/DH3</f>
        <v>0.17062618688913905</v>
      </c>
      <c r="DI110" s="271"/>
      <c r="DJ110" s="271"/>
      <c r="DK110" s="271"/>
      <c r="DL110" s="271"/>
      <c r="DM110" s="53">
        <f>DM11/DM3</f>
        <v>0.17894681151502401</v>
      </c>
      <c r="DN110" s="271"/>
      <c r="DO110" s="271"/>
      <c r="DP110" s="271"/>
      <c r="DQ110" s="271"/>
      <c r="DR110" s="53">
        <f>DR11/DR3</f>
        <v>0.19233601475138165</v>
      </c>
      <c r="DS110" s="271"/>
      <c r="DT110" s="271"/>
      <c r="DU110" s="271"/>
      <c r="DV110" s="271"/>
      <c r="DW110" s="53">
        <f>DW11/DW3</f>
        <v>0.21347865428918292</v>
      </c>
      <c r="DX110" s="271"/>
      <c r="DY110" s="271"/>
      <c r="DZ110" s="271"/>
      <c r="EA110" s="271"/>
      <c r="EB110" s="53">
        <f>EB11/EB3</f>
        <v>0.22506418115054161</v>
      </c>
      <c r="EC110" s="271"/>
      <c r="ED110" s="271"/>
      <c r="EE110" s="271"/>
      <c r="EF110" s="271"/>
      <c r="EG110" s="53">
        <f>EG11/EG3</f>
        <v>0.2307879362255256</v>
      </c>
      <c r="EH110" s="271"/>
      <c r="EI110" s="271"/>
      <c r="EJ110" s="271"/>
      <c r="EK110" s="271"/>
      <c r="EL110" s="53">
        <f>EL11/EL3</f>
        <v>0.23238025657456787</v>
      </c>
    </row>
    <row r="111" spans="2:150" ht="12.75" customHeight="1">
      <c r="B111" s="165" t="s">
        <v>180</v>
      </c>
      <c r="C111" s="166">
        <f t="shared" ref="C111:AH111" si="123">C12/C7</f>
        <v>0.89194139194139199</v>
      </c>
      <c r="D111" s="166">
        <f t="shared" si="123"/>
        <v>0.88953488372093026</v>
      </c>
      <c r="E111" s="166">
        <f t="shared" si="123"/>
        <v>0.884953897736798</v>
      </c>
      <c r="F111" s="166">
        <f t="shared" si="123"/>
        <v>0.83913663205049893</v>
      </c>
      <c r="G111" s="53">
        <f t="shared" si="123"/>
        <v>0.87556683221766363</v>
      </c>
      <c r="H111" s="166">
        <f t="shared" si="123"/>
        <v>0.88838413857518894</v>
      </c>
      <c r="I111" s="166">
        <f t="shared" si="123"/>
        <v>0.89173532703619229</v>
      </c>
      <c r="J111" s="166">
        <f t="shared" si="123"/>
        <v>0.88742370360553391</v>
      </c>
      <c r="K111" s="166">
        <f t="shared" si="123"/>
        <v>0.86582927995290759</v>
      </c>
      <c r="L111" s="53">
        <f t="shared" si="123"/>
        <v>0.88297004560577552</v>
      </c>
      <c r="M111" s="166">
        <f t="shared" si="123"/>
        <v>0.84636152990292657</v>
      </c>
      <c r="N111" s="166">
        <f t="shared" si="123"/>
        <v>0.89747438221764309</v>
      </c>
      <c r="O111" s="166">
        <f t="shared" si="123"/>
        <v>0.86873606827113226</v>
      </c>
      <c r="P111" s="166">
        <f t="shared" si="123"/>
        <v>0.88567487236372422</v>
      </c>
      <c r="Q111" s="53">
        <f t="shared" si="123"/>
        <v>0.87491682146542826</v>
      </c>
      <c r="R111" s="166">
        <f t="shared" si="123"/>
        <v>0.89611158833394688</v>
      </c>
      <c r="S111" s="166">
        <f t="shared" si="123"/>
        <v>0.88335118575967264</v>
      </c>
      <c r="T111" s="166">
        <f t="shared" si="123"/>
        <v>0.90917878241685757</v>
      </c>
      <c r="U111" s="166">
        <f t="shared" si="123"/>
        <v>0.9123247136619228</v>
      </c>
      <c r="V111" s="53">
        <f t="shared" si="123"/>
        <v>0.90067904089712869</v>
      </c>
      <c r="W111" s="166">
        <f t="shared" si="123"/>
        <v>0.88972077495774604</v>
      </c>
      <c r="X111" s="166">
        <f t="shared" si="123"/>
        <v>0.89140506171945333</v>
      </c>
      <c r="Y111" s="166">
        <f t="shared" si="123"/>
        <v>0.89659174563594191</v>
      </c>
      <c r="Z111" s="166">
        <f t="shared" si="123"/>
        <v>0.89861636628232411</v>
      </c>
      <c r="AA111" s="53">
        <f t="shared" si="123"/>
        <v>0.8943466376930127</v>
      </c>
      <c r="AB111" s="166">
        <f t="shared" si="123"/>
        <v>0.89287253259972033</v>
      </c>
      <c r="AC111" s="166">
        <f t="shared" si="123"/>
        <v>0.90698922133507276</v>
      </c>
      <c r="AD111" s="166">
        <f t="shared" si="123"/>
        <v>0.90165000860046629</v>
      </c>
      <c r="AE111" s="166">
        <f t="shared" si="123"/>
        <v>0.90536086659999448</v>
      </c>
      <c r="AF111" s="53">
        <f t="shared" si="123"/>
        <v>0.90189424935698703</v>
      </c>
      <c r="AG111" s="166">
        <f t="shared" si="123"/>
        <v>0.9052595119654524</v>
      </c>
      <c r="AH111" s="166">
        <f t="shared" si="123"/>
        <v>0.91702011087644708</v>
      </c>
      <c r="AI111" s="166">
        <f t="shared" ref="AI111:BN111" si="124">AI12/AI7</f>
        <v>0.91656894400625422</v>
      </c>
      <c r="AJ111" s="166">
        <f t="shared" si="124"/>
        <v>0.91153952284578332</v>
      </c>
      <c r="AK111" s="53">
        <f t="shared" si="124"/>
        <v>0.9127087908021021</v>
      </c>
      <c r="AL111" s="166">
        <f t="shared" si="124"/>
        <v>0.91247317064372413</v>
      </c>
      <c r="AM111" s="166">
        <f t="shared" si="124"/>
        <v>0.9117796457827233</v>
      </c>
      <c r="AN111" s="166">
        <f t="shared" si="124"/>
        <v>0.9184224380394781</v>
      </c>
      <c r="AO111" s="166">
        <f t="shared" si="124"/>
        <v>0.91772102057958838</v>
      </c>
      <c r="AP111" s="53">
        <f t="shared" si="124"/>
        <v>0.91513441436444531</v>
      </c>
      <c r="AQ111" s="166">
        <f t="shared" si="124"/>
        <v>0.91431114346544873</v>
      </c>
      <c r="AR111" s="166">
        <f t="shared" si="124"/>
        <v>0.91684668890089505</v>
      </c>
      <c r="AS111" s="166">
        <f t="shared" si="124"/>
        <v>0.90569982915169767</v>
      </c>
      <c r="AT111" s="166">
        <f t="shared" si="124"/>
        <v>0.89474525257656978</v>
      </c>
      <c r="AU111" s="53">
        <f t="shared" si="124"/>
        <v>0.90729313740697404</v>
      </c>
      <c r="AV111" s="166">
        <f t="shared" si="124"/>
        <v>0.89690746385101094</v>
      </c>
      <c r="AW111" s="166">
        <f t="shared" si="124"/>
        <v>0.90209936866225504</v>
      </c>
      <c r="AX111" s="166">
        <f t="shared" si="124"/>
        <v>0.90167173155771685</v>
      </c>
      <c r="AY111" s="166">
        <f t="shared" si="124"/>
        <v>0.90661082166678064</v>
      </c>
      <c r="AZ111" s="53">
        <f t="shared" si="124"/>
        <v>0.9019467390655681</v>
      </c>
      <c r="BA111" s="271">
        <f t="shared" si="124"/>
        <v>0.90548415089859624</v>
      </c>
      <c r="BB111" s="271">
        <f t="shared" si="124"/>
        <v>0.86612613020337426</v>
      </c>
      <c r="BC111" s="271">
        <f t="shared" si="124"/>
        <v>0.87159504973246238</v>
      </c>
      <c r="BD111" s="271">
        <f t="shared" si="124"/>
        <v>0.86847775771294866</v>
      </c>
      <c r="BE111" s="53">
        <f t="shared" si="124"/>
        <v>0.87627937770860553</v>
      </c>
      <c r="BF111" s="271">
        <f t="shared" si="124"/>
        <v>0.8688837333566225</v>
      </c>
      <c r="BG111" s="271">
        <f t="shared" si="124"/>
        <v>0.87945786247259905</v>
      </c>
      <c r="BH111" s="271">
        <f t="shared" si="124"/>
        <v>0.87949611498714286</v>
      </c>
      <c r="BI111" s="271">
        <f t="shared" si="124"/>
        <v>0.88742840372253307</v>
      </c>
      <c r="BJ111" s="53">
        <f t="shared" si="124"/>
        <v>0.87931599521978243</v>
      </c>
      <c r="BK111" s="271">
        <f t="shared" si="124"/>
        <v>0.87770981508380386</v>
      </c>
      <c r="BL111" s="271">
        <f t="shared" si="124"/>
        <v>0.88961419753086424</v>
      </c>
      <c r="BM111" s="271">
        <f t="shared" si="124"/>
        <v>0.8884068821539125</v>
      </c>
      <c r="BN111" s="271">
        <f t="shared" si="124"/>
        <v>0.88311460475615755</v>
      </c>
      <c r="BO111" s="53">
        <f t="shared" ref="BO111:BY111" si="125">BO12/BO7</f>
        <v>0.8847628852168179</v>
      </c>
      <c r="BP111" s="271">
        <f t="shared" si="125"/>
        <v>0.88521343699574595</v>
      </c>
      <c r="BQ111" s="271">
        <f t="shared" si="125"/>
        <v>0.8720544537350563</v>
      </c>
      <c r="BR111" s="271">
        <f t="shared" si="125"/>
        <v>0.85895527437580343</v>
      </c>
      <c r="BS111" s="271">
        <f t="shared" si="125"/>
        <v>0.86821030640668528</v>
      </c>
      <c r="BT111" s="53">
        <f t="shared" si="125"/>
        <v>0.87084235902452656</v>
      </c>
      <c r="BU111" s="271">
        <f t="shared" si="125"/>
        <v>0.8631657594193618</v>
      </c>
      <c r="BV111" s="271">
        <f t="shared" si="125"/>
        <v>0.8810420997920998</v>
      </c>
      <c r="BW111" s="271">
        <f t="shared" si="125"/>
        <v>0.87978426148547662</v>
      </c>
      <c r="BX111" s="271">
        <f t="shared" ref="BX111" si="126">BX12/BX7</f>
        <v>0.84602358633202301</v>
      </c>
      <c r="BY111" s="53">
        <f t="shared" si="125"/>
        <v>0.86719787516600266</v>
      </c>
      <c r="BZ111" s="271">
        <f t="shared" ref="BZ111:CC111" si="127">BZ12/BZ7</f>
        <v>0.85755804669285551</v>
      </c>
      <c r="CA111" s="271">
        <f t="shared" si="127"/>
        <v>0.86714486243727895</v>
      </c>
      <c r="CB111" s="271">
        <f t="shared" si="127"/>
        <v>0.86741309012092904</v>
      </c>
      <c r="CC111" s="271">
        <f t="shared" si="127"/>
        <v>0.86443401411577692</v>
      </c>
      <c r="CD111" s="53">
        <f>CD12/CD7</f>
        <v>0.86834955568367544</v>
      </c>
      <c r="CE111" s="271"/>
      <c r="CF111" s="271"/>
      <c r="CG111" s="271"/>
      <c r="CH111" s="271"/>
      <c r="CI111" s="53">
        <f>CI12/CI7</f>
        <v>0.86963097820914725</v>
      </c>
      <c r="CJ111" s="271"/>
      <c r="CK111" s="271"/>
      <c r="CL111" s="271"/>
      <c r="CM111" s="271"/>
      <c r="CN111" s="53">
        <f>CN12/CN7</f>
        <v>0.8663523672203105</v>
      </c>
      <c r="CO111" s="271"/>
      <c r="CP111" s="271"/>
      <c r="CQ111" s="271"/>
      <c r="CR111" s="271"/>
      <c r="CS111" s="53">
        <f>CS12/CS7</f>
        <v>0.86572696511854752</v>
      </c>
      <c r="CT111" s="271"/>
      <c r="CU111" s="271"/>
      <c r="CV111" s="271"/>
      <c r="CW111" s="271"/>
      <c r="CX111" s="53">
        <f>CX12/CX7</f>
        <v>0.86347183678777117</v>
      </c>
      <c r="CY111" s="271"/>
      <c r="CZ111" s="271"/>
      <c r="DA111" s="271"/>
      <c r="DB111" s="271"/>
      <c r="DC111" s="53">
        <f>DC12/DC7</f>
        <v>0.86142316036893696</v>
      </c>
      <c r="DD111" s="271"/>
      <c r="DE111" s="271"/>
      <c r="DF111" s="271"/>
      <c r="DG111" s="271"/>
      <c r="DH111" s="53">
        <f>DH12/DH7</f>
        <v>0.8593218382076534</v>
      </c>
      <c r="DI111" s="271"/>
      <c r="DJ111" s="271"/>
      <c r="DK111" s="271"/>
      <c r="DL111" s="271"/>
      <c r="DM111" s="53">
        <f>DM12/DM7</f>
        <v>0.85356981212459171</v>
      </c>
      <c r="DN111" s="271"/>
      <c r="DO111" s="271"/>
      <c r="DP111" s="271"/>
      <c r="DQ111" s="271"/>
      <c r="DR111" s="53">
        <f>DR12/DR7</f>
        <v>0.84552649515736489</v>
      </c>
      <c r="DS111" s="271"/>
      <c r="DT111" s="271"/>
      <c r="DU111" s="271"/>
      <c r="DV111" s="271"/>
      <c r="DW111" s="53">
        <f>DW12/DW7</f>
        <v>0.83493301375525431</v>
      </c>
      <c r="DX111" s="271"/>
      <c r="DY111" s="271"/>
      <c r="DZ111" s="271"/>
      <c r="EA111" s="271"/>
      <c r="EB111" s="53">
        <f>EB12/EB7</f>
        <v>0.82839079149811934</v>
      </c>
      <c r="EC111" s="271"/>
      <c r="ED111" s="271"/>
      <c r="EE111" s="271"/>
      <c r="EF111" s="271"/>
      <c r="EG111" s="53">
        <f>EG12/EG7</f>
        <v>0.82593580513041331</v>
      </c>
      <c r="EH111" s="271"/>
      <c r="EI111" s="271"/>
      <c r="EJ111" s="271"/>
      <c r="EK111" s="271"/>
      <c r="EL111" s="53">
        <f>EL12/EL7</f>
        <v>0.82537143317959138</v>
      </c>
    </row>
    <row r="112" spans="2:150" ht="12.75" customHeight="1" thickBot="1">
      <c r="B112" s="165" t="s">
        <v>181</v>
      </c>
      <c r="C112" s="166">
        <f t="shared" ref="C112:AH112" si="128">C21/C7</f>
        <v>0.28067765567765568</v>
      </c>
      <c r="D112" s="166">
        <f t="shared" si="128"/>
        <v>0.28041144901610021</v>
      </c>
      <c r="E112" s="166">
        <f t="shared" si="128"/>
        <v>0.25838222967309304</v>
      </c>
      <c r="F112" s="166">
        <f t="shared" si="128"/>
        <v>0.27855833842394623</v>
      </c>
      <c r="G112" s="53">
        <f t="shared" si="128"/>
        <v>0.2742928093284388</v>
      </c>
      <c r="H112" s="166">
        <f t="shared" si="128"/>
        <v>0.23380132978428841</v>
      </c>
      <c r="I112" s="166">
        <f t="shared" si="128"/>
        <v>0.25765317959845052</v>
      </c>
      <c r="J112" s="166">
        <f t="shared" si="128"/>
        <v>0.24098616541131954</v>
      </c>
      <c r="K112" s="166">
        <f t="shared" si="128"/>
        <v>0.29701878760967104</v>
      </c>
      <c r="L112" s="53">
        <f t="shared" si="128"/>
        <v>0.25817860860333103</v>
      </c>
      <c r="M112" s="166">
        <f t="shared" si="128"/>
        <v>0.27945634754560211</v>
      </c>
      <c r="N112" s="166">
        <f t="shared" si="128"/>
        <v>0.25717512557088934</v>
      </c>
      <c r="O112" s="166">
        <f t="shared" si="128"/>
        <v>0.25747596069176854</v>
      </c>
      <c r="P112" s="166">
        <f t="shared" si="128"/>
        <v>0.25004384904551313</v>
      </c>
      <c r="Q112" s="53">
        <f t="shared" si="128"/>
        <v>0.2607925696594427</v>
      </c>
      <c r="R112" s="166">
        <f t="shared" si="128"/>
        <v>0.23788767537939212</v>
      </c>
      <c r="S112" s="166">
        <f t="shared" si="128"/>
        <v>0.24390757543849548</v>
      </c>
      <c r="T112" s="166">
        <f t="shared" si="128"/>
        <v>0.23559898335730906</v>
      </c>
      <c r="U112" s="166">
        <f t="shared" si="128"/>
        <v>0.25686074927189023</v>
      </c>
      <c r="V112" s="53">
        <f t="shared" si="128"/>
        <v>0.24377750834964257</v>
      </c>
      <c r="W112" s="166">
        <f t="shared" si="128"/>
        <v>0.25402774091715441</v>
      </c>
      <c r="X112" s="166">
        <f t="shared" si="128"/>
        <v>0.2559158587436754</v>
      </c>
      <c r="Y112" s="166">
        <f t="shared" si="128"/>
        <v>0.23408102317319007</v>
      </c>
      <c r="Z112" s="166">
        <f t="shared" si="128"/>
        <v>0.21093697526027069</v>
      </c>
      <c r="AA112" s="53">
        <f t="shared" si="128"/>
        <v>0.2373877425931315</v>
      </c>
      <c r="AB112" s="166">
        <f t="shared" si="128"/>
        <v>0.22578238267178666</v>
      </c>
      <c r="AC112" s="166">
        <f t="shared" si="128"/>
        <v>0.24348528955834448</v>
      </c>
      <c r="AD112" s="166">
        <f t="shared" si="128"/>
        <v>0.20551820554016414</v>
      </c>
      <c r="AE112" s="166">
        <f t="shared" si="128"/>
        <v>0.21008538580782546</v>
      </c>
      <c r="AF112" s="53">
        <f t="shared" si="128"/>
        <v>0.2205743638754003</v>
      </c>
      <c r="AG112" s="166">
        <f t="shared" si="128"/>
        <v>0.20958355362938549</v>
      </c>
      <c r="AH112" s="166">
        <f t="shared" si="128"/>
        <v>0.19722964376299407</v>
      </c>
      <c r="AI112" s="166">
        <f t="shared" ref="AI112:BN112" si="129">AI21/AI7</f>
        <v>0.1971008051633262</v>
      </c>
      <c r="AJ112" s="166">
        <f t="shared" si="129"/>
        <v>0.20985628943345366</v>
      </c>
      <c r="AK112" s="53">
        <f t="shared" si="129"/>
        <v>0.20337290980749076</v>
      </c>
      <c r="AL112" s="166">
        <f t="shared" si="129"/>
        <v>0.2106343451833414</v>
      </c>
      <c r="AM112" s="166">
        <f t="shared" si="129"/>
        <v>0.20781857373039703</v>
      </c>
      <c r="AN112" s="166">
        <f t="shared" si="129"/>
        <v>0.2026383985562035</v>
      </c>
      <c r="AO112" s="166">
        <f t="shared" si="129"/>
        <v>0.22574056331373368</v>
      </c>
      <c r="AP112" s="53">
        <f t="shared" si="129"/>
        <v>0.21182154357232166</v>
      </c>
      <c r="AQ112" s="166">
        <f t="shared" si="129"/>
        <v>0.20203400197117691</v>
      </c>
      <c r="AR112" s="166">
        <f t="shared" si="129"/>
        <v>0.2193369941761325</v>
      </c>
      <c r="AS112" s="166">
        <f t="shared" si="129"/>
        <v>0.19733665970957315</v>
      </c>
      <c r="AT112" s="166">
        <f t="shared" si="129"/>
        <v>0.21249944409561708</v>
      </c>
      <c r="AU112" s="53">
        <f t="shared" si="129"/>
        <v>0.20826745310496228</v>
      </c>
      <c r="AV112" s="166">
        <f t="shared" si="129"/>
        <v>0.23401449210302677</v>
      </c>
      <c r="AW112" s="166">
        <f t="shared" si="129"/>
        <v>0.21263857796644639</v>
      </c>
      <c r="AX112" s="166">
        <f t="shared" si="129"/>
        <v>0.2119168290089489</v>
      </c>
      <c r="AY112" s="166">
        <f t="shared" si="129"/>
        <v>0.26275039880978124</v>
      </c>
      <c r="AZ112" s="53">
        <f t="shared" si="129"/>
        <v>0.23032715397397066</v>
      </c>
      <c r="BA112" s="271">
        <f t="shared" si="129"/>
        <v>0.24782629588381286</v>
      </c>
      <c r="BB112" s="271">
        <f t="shared" si="129"/>
        <v>0.24950318339770911</v>
      </c>
      <c r="BC112" s="271">
        <f t="shared" si="129"/>
        <v>0.22118854566742166</v>
      </c>
      <c r="BD112" s="271">
        <f t="shared" si="129"/>
        <v>0.25157412823969272</v>
      </c>
      <c r="BE112" s="53">
        <f t="shared" si="129"/>
        <v>0.24226279125284073</v>
      </c>
      <c r="BF112" s="271">
        <f t="shared" si="129"/>
        <v>0.23902982085699215</v>
      </c>
      <c r="BG112" s="271">
        <f t="shared" si="129"/>
        <v>0.22305707484600149</v>
      </c>
      <c r="BH112" s="271">
        <f t="shared" si="129"/>
        <v>0.22657703968152215</v>
      </c>
      <c r="BI112" s="271">
        <f t="shared" si="129"/>
        <v>0.21680441553769397</v>
      </c>
      <c r="BJ112" s="305">
        <f t="shared" si="129"/>
        <v>0.22577232296891256</v>
      </c>
      <c r="BK112" s="271">
        <f t="shared" si="129"/>
        <v>0.21933370987457892</v>
      </c>
      <c r="BL112" s="271">
        <f t="shared" si="129"/>
        <v>0.18977430555555558</v>
      </c>
      <c r="BM112" s="271">
        <f t="shared" si="129"/>
        <v>0.17199157728025341</v>
      </c>
      <c r="BN112" s="271">
        <f t="shared" si="129"/>
        <v>0.20537729182387013</v>
      </c>
      <c r="BO112" s="53">
        <f t="shared" ref="BO112:BW112" si="130">BO21/BO7</f>
        <v>0.19631547149491474</v>
      </c>
      <c r="BP112" s="513">
        <f t="shared" si="130"/>
        <v>0.182374944990465</v>
      </c>
      <c r="BQ112" s="513">
        <f t="shared" si="130"/>
        <v>0.17013337018865318</v>
      </c>
      <c r="BR112" s="513">
        <f t="shared" si="130"/>
        <v>0.15653968468773261</v>
      </c>
      <c r="BS112" s="513">
        <f t="shared" si="130"/>
        <v>0.17252785515320335</v>
      </c>
      <c r="BT112" s="440">
        <f t="shared" si="130"/>
        <v>0.17014010201942564</v>
      </c>
      <c r="BU112" s="515">
        <f t="shared" si="130"/>
        <v>0.17757142348881061</v>
      </c>
      <c r="BV112" s="515">
        <f t="shared" si="130"/>
        <v>0.13974792099792102</v>
      </c>
      <c r="BW112" s="515">
        <f t="shared" si="130"/>
        <v>0.1409448307232439</v>
      </c>
      <c r="BX112" s="515">
        <f t="shared" ref="BX112" si="131">BX21/BX7</f>
        <v>0.16752343513758697</v>
      </c>
      <c r="BY112" s="440">
        <f>BY21/BY7</f>
        <v>0.15619322301794861</v>
      </c>
      <c r="BZ112" s="515">
        <v>0.15</v>
      </c>
      <c r="CA112" s="529">
        <v>0.15</v>
      </c>
      <c r="CB112" s="529">
        <v>0.14499999999999999</v>
      </c>
      <c r="CC112" s="271">
        <f>CC21/CC7</f>
        <v>0.15098327145670884</v>
      </c>
      <c r="CD112" s="440">
        <f>CD21/CD7</f>
        <v>0.15152981414748948</v>
      </c>
      <c r="CE112" s="271"/>
      <c r="CF112" s="271"/>
      <c r="CG112" s="271"/>
      <c r="CH112" s="271"/>
      <c r="CI112" s="53">
        <f>CI21/CI7</f>
        <v>0.15260499696041818</v>
      </c>
      <c r="CJ112" s="271"/>
      <c r="CK112" s="271"/>
      <c r="CL112" s="271"/>
      <c r="CM112" s="271"/>
      <c r="CN112" s="53">
        <f>CN21/CN7</f>
        <v>0.15261645043343322</v>
      </c>
      <c r="CO112" s="271"/>
      <c r="CP112" s="271"/>
      <c r="CQ112" s="271"/>
      <c r="CR112" s="271"/>
      <c r="CS112" s="53">
        <f>CS21/CS7</f>
        <v>0.15085561721944207</v>
      </c>
      <c r="CT112" s="271"/>
      <c r="CU112" s="271"/>
      <c r="CV112" s="271"/>
      <c r="CW112" s="271"/>
      <c r="CX112" s="53">
        <f>CX21/CX7</f>
        <v>0.15106019111642677</v>
      </c>
      <c r="CY112" s="271"/>
      <c r="CZ112" s="271"/>
      <c r="DA112" s="271"/>
      <c r="DB112" s="271"/>
      <c r="DC112" s="53">
        <f>DC21/DC7</f>
        <v>0.15129019377179698</v>
      </c>
      <c r="DD112" s="271"/>
      <c r="DE112" s="271"/>
      <c r="DF112" s="271"/>
      <c r="DG112" s="271"/>
      <c r="DH112" s="53">
        <f>DH21/DH7</f>
        <v>0.15152886508370997</v>
      </c>
      <c r="DI112" s="271"/>
      <c r="DJ112" s="271"/>
      <c r="DK112" s="271"/>
      <c r="DL112" s="271"/>
      <c r="DM112" s="53">
        <f>DM21/DM7</f>
        <v>0.16039166760840656</v>
      </c>
      <c r="DN112" s="271"/>
      <c r="DO112" s="271"/>
      <c r="DP112" s="271"/>
      <c r="DQ112" s="271"/>
      <c r="DR112" s="53">
        <f>DR21/DR7</f>
        <v>0.17489781747517075</v>
      </c>
      <c r="DS112" s="271"/>
      <c r="DT112" s="271"/>
      <c r="DU112" s="271"/>
      <c r="DV112" s="271"/>
      <c r="DW112" s="53">
        <f>DW21/DW7</f>
        <v>0.20108393294545265</v>
      </c>
      <c r="DX112" s="271"/>
      <c r="DY112" s="271"/>
      <c r="DZ112" s="271"/>
      <c r="EA112" s="271"/>
      <c r="EB112" s="53">
        <f>EB21/EB7</f>
        <v>0.20570379228444688</v>
      </c>
      <c r="EC112" s="271"/>
      <c r="ED112" s="271"/>
      <c r="EE112" s="271"/>
      <c r="EF112" s="271"/>
      <c r="EG112" s="53">
        <f>EG21/EG7</f>
        <v>0.20799047872074333</v>
      </c>
      <c r="EH112" s="271"/>
      <c r="EI112" s="271"/>
      <c r="EJ112" s="271"/>
      <c r="EK112" s="271"/>
      <c r="EL112" s="53">
        <f>EL21/EL7</f>
        <v>0.20555665829045594</v>
      </c>
    </row>
    <row r="113" spans="2:142" ht="12.75" customHeight="1" thickBot="1">
      <c r="B113" s="165"/>
      <c r="C113" s="170"/>
      <c r="D113" s="170"/>
      <c r="E113" s="170"/>
      <c r="F113" s="170"/>
      <c r="G113" s="38"/>
      <c r="H113" s="171"/>
      <c r="I113" s="166"/>
      <c r="J113" s="166"/>
      <c r="K113" s="166"/>
      <c r="L113" s="53"/>
      <c r="M113" s="171"/>
      <c r="N113" s="171"/>
      <c r="O113" s="171"/>
      <c r="P113" s="171"/>
      <c r="Q113" s="21"/>
      <c r="R113" s="171"/>
      <c r="S113" s="171"/>
      <c r="T113" s="171"/>
      <c r="U113" s="171"/>
      <c r="V113" s="21"/>
      <c r="W113" s="171"/>
      <c r="X113" s="171"/>
      <c r="Y113" s="171"/>
      <c r="Z113" s="171"/>
      <c r="AA113" s="21"/>
      <c r="AB113" s="171"/>
      <c r="AC113" s="171"/>
      <c r="AD113" s="171"/>
      <c r="AE113" s="171"/>
      <c r="AF113" s="21"/>
      <c r="AG113" s="171"/>
      <c r="AH113" s="171"/>
      <c r="AI113" s="171"/>
      <c r="AJ113" s="171"/>
      <c r="AK113" s="21"/>
      <c r="AL113" s="171"/>
      <c r="AM113" s="171"/>
      <c r="AN113" s="171"/>
      <c r="AO113" s="171"/>
      <c r="AP113" s="21"/>
      <c r="AQ113" s="171"/>
      <c r="AR113" s="171"/>
      <c r="AS113" s="171"/>
      <c r="AT113" s="171"/>
      <c r="AU113" s="21"/>
      <c r="AV113" s="171"/>
      <c r="AW113" s="171"/>
      <c r="AX113" s="171"/>
      <c r="AY113" s="171"/>
      <c r="AZ113" s="21"/>
      <c r="BA113" s="274"/>
      <c r="BB113" s="274"/>
      <c r="BC113" s="274"/>
      <c r="BD113" s="274"/>
      <c r="BE113" s="21"/>
      <c r="BF113" s="274"/>
      <c r="BG113" s="274"/>
      <c r="BH113" s="255"/>
      <c r="BI113" s="255"/>
      <c r="BJ113" s="401"/>
      <c r="BK113" s="274"/>
      <c r="BL113" s="274"/>
      <c r="BM113" s="255"/>
      <c r="BN113" s="255"/>
      <c r="BO113" s="401"/>
      <c r="BP113" s="274"/>
      <c r="BQ113" s="274"/>
      <c r="BR113" s="274"/>
      <c r="BS113" s="274"/>
      <c r="BT113" s="401"/>
      <c r="BU113" s="449"/>
      <c r="BV113" s="449"/>
      <c r="BW113" s="449"/>
      <c r="BX113" s="449"/>
      <c r="BY113" s="401"/>
      <c r="BZ113" s="449"/>
      <c r="CA113" s="274"/>
      <c r="CB113" s="139" t="s">
        <v>558</v>
      </c>
      <c r="CC113" s="140"/>
      <c r="CD113" s="158" t="s">
        <v>934</v>
      </c>
      <c r="CE113" s="274"/>
      <c r="CF113" s="274"/>
      <c r="CG113" s="274"/>
      <c r="CH113" s="274"/>
      <c r="CI113" s="21"/>
      <c r="CJ113" s="274"/>
      <c r="CK113" s="274"/>
      <c r="CL113" s="274"/>
      <c r="CM113" s="274"/>
      <c r="CN113" s="21"/>
      <c r="CO113" s="274"/>
      <c r="CP113" s="274"/>
      <c r="CQ113" s="274"/>
      <c r="CR113" s="274"/>
      <c r="CS113" s="21"/>
      <c r="CT113" s="274"/>
      <c r="CU113" s="274"/>
      <c r="CV113" s="274"/>
      <c r="CW113" s="274"/>
      <c r="CX113" s="21"/>
      <c r="CY113" s="274"/>
      <c r="CZ113" s="274"/>
      <c r="DA113" s="274"/>
      <c r="DB113" s="274"/>
      <c r="DC113" s="21"/>
      <c r="DD113" s="274"/>
      <c r="DE113" s="274"/>
      <c r="DF113" s="274"/>
      <c r="DG113" s="274"/>
      <c r="DH113" s="21"/>
      <c r="DI113" s="274"/>
      <c r="DJ113" s="274"/>
      <c r="DK113" s="274"/>
      <c r="DL113" s="274"/>
      <c r="DM113" s="21"/>
      <c r="DN113" s="274"/>
      <c r="DO113" s="274"/>
      <c r="DP113" s="274"/>
      <c r="DQ113" s="274"/>
      <c r="DR113" s="21"/>
      <c r="DS113" s="274"/>
      <c r="DT113" s="274"/>
      <c r="DU113" s="274"/>
      <c r="DV113" s="274"/>
      <c r="DW113" s="21"/>
      <c r="DX113" s="274"/>
      <c r="DY113" s="274"/>
      <c r="DZ113" s="274"/>
      <c r="EA113" s="274"/>
      <c r="EB113" s="21"/>
      <c r="EC113" s="274"/>
      <c r="ED113" s="274"/>
      <c r="EE113" s="274"/>
      <c r="EF113" s="274"/>
      <c r="EG113" s="21"/>
      <c r="EH113" s="274"/>
      <c r="EI113" s="274"/>
      <c r="EJ113" s="274"/>
      <c r="EK113" s="274"/>
      <c r="EL113" s="21"/>
    </row>
    <row r="114" spans="2:142" ht="12.75" customHeight="1" thickBot="1">
      <c r="B114" s="165" t="s">
        <v>182</v>
      </c>
      <c r="C114" s="166">
        <f t="shared" ref="C114:AH114" si="132">C14/C7</f>
        <v>0.25183150183150188</v>
      </c>
      <c r="D114" s="166">
        <f t="shared" si="132"/>
        <v>0.3072450805008945</v>
      </c>
      <c r="E114" s="166">
        <f t="shared" si="132"/>
        <v>0.26655490360435879</v>
      </c>
      <c r="F114" s="166">
        <f t="shared" si="132"/>
        <v>0.32539197719405405</v>
      </c>
      <c r="G114" s="53">
        <f t="shared" si="132"/>
        <v>0.28849060678039296</v>
      </c>
      <c r="H114" s="166">
        <f t="shared" si="132"/>
        <v>0.28928899734559987</v>
      </c>
      <c r="I114" s="166">
        <f t="shared" si="132"/>
        <v>0.31383372651796804</v>
      </c>
      <c r="J114" s="166">
        <f t="shared" si="132"/>
        <v>0.30961610673028078</v>
      </c>
      <c r="K114" s="166">
        <f t="shared" si="132"/>
        <v>0.32114512037646664</v>
      </c>
      <c r="L114" s="53">
        <f t="shared" si="132"/>
        <v>0.30872840101249699</v>
      </c>
      <c r="M114" s="166">
        <f t="shared" si="132"/>
        <v>0.29342703835645334</v>
      </c>
      <c r="N114" s="166">
        <f t="shared" si="132"/>
        <v>0.29381276480514629</v>
      </c>
      <c r="O114" s="166">
        <f t="shared" si="132"/>
        <v>0.34759338556316477</v>
      </c>
      <c r="P114" s="166">
        <f t="shared" si="132"/>
        <v>0.26516742434657048</v>
      </c>
      <c r="Q114" s="53">
        <f t="shared" si="132"/>
        <v>0.29947203302373582</v>
      </c>
      <c r="R114" s="166">
        <f t="shared" si="132"/>
        <v>0.23085368347854537</v>
      </c>
      <c r="S114" s="166">
        <f t="shared" si="132"/>
        <v>0.23526568804059145</v>
      </c>
      <c r="T114" s="166">
        <f t="shared" si="132"/>
        <v>0.29258754896999545</v>
      </c>
      <c r="U114" s="166">
        <f t="shared" si="132"/>
        <v>0.27752170211804789</v>
      </c>
      <c r="V114" s="53">
        <f t="shared" si="132"/>
        <v>0.26044623113480231</v>
      </c>
      <c r="W114" s="166">
        <f t="shared" si="132"/>
        <v>0.26742048581525613</v>
      </c>
      <c r="X114" s="166">
        <f t="shared" si="132"/>
        <v>0.27787851666373503</v>
      </c>
      <c r="Y114" s="166">
        <f t="shared" si="132"/>
        <v>0.35727689358375425</v>
      </c>
      <c r="Z114" s="166">
        <f t="shared" si="132"/>
        <v>0.24940333594537112</v>
      </c>
      <c r="AA114" s="53">
        <f t="shared" si="132"/>
        <v>0.28725536532311435</v>
      </c>
      <c r="AB114" s="166">
        <f t="shared" si="132"/>
        <v>0.2703627521529719</v>
      </c>
      <c r="AC114" s="166">
        <f t="shared" si="132"/>
        <v>0.25100458606625031</v>
      </c>
      <c r="AD114" s="166">
        <f t="shared" si="132"/>
        <v>0.24209397564787127</v>
      </c>
      <c r="AE114" s="166">
        <f t="shared" si="132"/>
        <v>0.26986948423304802</v>
      </c>
      <c r="AF114" s="53">
        <f t="shared" si="132"/>
        <v>0.25800029139669556</v>
      </c>
      <c r="AG114" s="166">
        <f t="shared" si="132"/>
        <v>0.26500939715422522</v>
      </c>
      <c r="AH114" s="166">
        <f t="shared" si="132"/>
        <v>0.37698449357855063</v>
      </c>
      <c r="AI114" s="166">
        <f t="shared" ref="AI114:BN114" si="133">AI14/AI7</f>
        <v>0.26644373405871208</v>
      </c>
      <c r="AJ114" s="166">
        <f t="shared" si="133"/>
        <v>0.24708776929649517</v>
      </c>
      <c r="AK114" s="53">
        <f t="shared" si="133"/>
        <v>0.28872915747160149</v>
      </c>
      <c r="AL114" s="166">
        <f t="shared" si="133"/>
        <v>0.27490395541366802</v>
      </c>
      <c r="AM114" s="166">
        <f t="shared" si="133"/>
        <v>0.27077963093983515</v>
      </c>
      <c r="AN114" s="166">
        <f t="shared" si="133"/>
        <v>0.27041756641710368</v>
      </c>
      <c r="AO114" s="166">
        <f t="shared" si="133"/>
        <v>0.23341115208945826</v>
      </c>
      <c r="AP114" s="53">
        <f t="shared" si="133"/>
        <v>0.26200024891745294</v>
      </c>
      <c r="AQ114" s="166">
        <f t="shared" si="133"/>
        <v>0.24301736330984872</v>
      </c>
      <c r="AR114" s="166">
        <f t="shared" si="133"/>
        <v>0.23591999980143089</v>
      </c>
      <c r="AS114" s="166">
        <f t="shared" si="133"/>
        <v>0.22870694248717871</v>
      </c>
      <c r="AT114" s="166">
        <f t="shared" si="133"/>
        <v>0.25449717223689139</v>
      </c>
      <c r="AU114" s="53">
        <f t="shared" si="133"/>
        <v>0.2412702946025449</v>
      </c>
      <c r="AV114" s="166">
        <f t="shared" si="133"/>
        <v>0.27372923203618538</v>
      </c>
      <c r="AW114" s="166">
        <f t="shared" si="133"/>
        <v>0.23157659905232481</v>
      </c>
      <c r="AX114" s="166">
        <f t="shared" si="133"/>
        <v>0.20865210866219847</v>
      </c>
      <c r="AY114" s="166">
        <f t="shared" si="133"/>
        <v>0.24031865704033595</v>
      </c>
      <c r="AZ114" s="53">
        <f t="shared" si="133"/>
        <v>0.23777783210251852</v>
      </c>
      <c r="BA114" s="271">
        <f t="shared" si="133"/>
        <v>0.1998026988981666</v>
      </c>
      <c r="BB114" s="271">
        <f t="shared" si="133"/>
        <v>0.1895376370851182</v>
      </c>
      <c r="BC114" s="271">
        <f t="shared" si="133"/>
        <v>0.22366860344242739</v>
      </c>
      <c r="BD114" s="271">
        <f t="shared" si="133"/>
        <v>0.21437698705394614</v>
      </c>
      <c r="BE114" s="53">
        <f t="shared" si="133"/>
        <v>0.20765928168631131</v>
      </c>
      <c r="BF114" s="271">
        <f t="shared" si="133"/>
        <v>0.24725143925275772</v>
      </c>
      <c r="BG114" s="271">
        <f t="shared" si="133"/>
        <v>0.18421715565701904</v>
      </c>
      <c r="BH114" s="271">
        <f t="shared" si="133"/>
        <v>0.16563127377614331</v>
      </c>
      <c r="BI114" s="271">
        <f t="shared" si="133"/>
        <v>0.18900129701686125</v>
      </c>
      <c r="BJ114" s="53">
        <f t="shared" si="133"/>
        <v>0.19454384909748457</v>
      </c>
      <c r="BK114" s="271">
        <f t="shared" si="133"/>
        <v>0.18026579428087866</v>
      </c>
      <c r="BL114" s="271">
        <f t="shared" si="133"/>
        <v>0.18932407407407412</v>
      </c>
      <c r="BM114" s="271">
        <f t="shared" si="133"/>
        <v>0.18712223741991221</v>
      </c>
      <c r="BN114" s="271">
        <f t="shared" si="133"/>
        <v>0.19082826583360285</v>
      </c>
      <c r="BO114" s="53">
        <f t="shared" ref="BO114:BW114" si="134">BO14/BO7</f>
        <v>0.18700241951869578</v>
      </c>
      <c r="BP114" s="513">
        <f t="shared" si="134"/>
        <v>0.16037113099603931</v>
      </c>
      <c r="BQ114" s="513">
        <f t="shared" si="134"/>
        <v>0.16346486075599476</v>
      </c>
      <c r="BR114" s="513">
        <f t="shared" si="134"/>
        <v>0.17897016036267679</v>
      </c>
      <c r="BS114" s="513">
        <f t="shared" si="134"/>
        <v>0.1858983286908078</v>
      </c>
      <c r="BT114" s="440">
        <f t="shared" si="134"/>
        <v>0.1723586751449934</v>
      </c>
      <c r="BU114" s="515">
        <f t="shared" si="134"/>
        <v>0.15063863094602767</v>
      </c>
      <c r="BV114" s="515">
        <f t="shared" si="134"/>
        <v>0.25864085239085244</v>
      </c>
      <c r="BW114" s="515">
        <f t="shared" si="134"/>
        <v>0.14503866398076548</v>
      </c>
      <c r="BX114" s="515">
        <f t="shared" ref="BX114" si="135">BX14/BX7</f>
        <v>0.17768370123979441</v>
      </c>
      <c r="BY114" s="440">
        <f>BY14/BY7</f>
        <v>0.18360912179502842</v>
      </c>
      <c r="BZ114" s="515">
        <v>0.155</v>
      </c>
      <c r="CA114" s="529">
        <v>0.16</v>
      </c>
      <c r="CB114" s="529">
        <v>0.16300000000000001</v>
      </c>
      <c r="CC114" s="271">
        <f>CC14/CC7</f>
        <v>0.1849296009597334</v>
      </c>
      <c r="CD114" s="440">
        <f>CD14/CD7</f>
        <v>0.19621168242174919</v>
      </c>
      <c r="CE114" s="271"/>
      <c r="CF114" s="271"/>
      <c r="CG114" s="271"/>
      <c r="CH114" s="271"/>
      <c r="CI114" s="53">
        <f>CI14/CI7</f>
        <v>0.16825679152046105</v>
      </c>
      <c r="CJ114" s="271"/>
      <c r="CK114" s="271"/>
      <c r="CL114" s="271"/>
      <c r="CM114" s="271"/>
      <c r="CN114" s="53">
        <f>CN14/CN7</f>
        <v>0.16826941970865714</v>
      </c>
      <c r="CO114" s="271"/>
      <c r="CP114" s="271"/>
      <c r="CQ114" s="271"/>
      <c r="CR114" s="271"/>
      <c r="CS114" s="53">
        <f>CS14/CS7</f>
        <v>0.16632798821630793</v>
      </c>
      <c r="CT114" s="271"/>
      <c r="CU114" s="271"/>
      <c r="CV114" s="271"/>
      <c r="CW114" s="271"/>
      <c r="CX114" s="53">
        <f>CX14/CX7</f>
        <v>0.16655354405144487</v>
      </c>
      <c r="CY114" s="271"/>
      <c r="CZ114" s="271"/>
      <c r="DA114" s="271"/>
      <c r="DB114" s="271"/>
      <c r="DC114" s="53">
        <f>DC14/DC7</f>
        <v>0.16680713672275052</v>
      </c>
      <c r="DD114" s="271"/>
      <c r="DE114" s="271"/>
      <c r="DF114" s="271"/>
      <c r="DG114" s="271"/>
      <c r="DH114" s="53">
        <f>DH14/DH7</f>
        <v>0.16707028714357766</v>
      </c>
      <c r="DI114" s="271"/>
      <c r="DJ114" s="271"/>
      <c r="DK114" s="271"/>
      <c r="DL114" s="271"/>
      <c r="DM114" s="53">
        <f>DM14/DM7</f>
        <v>0.17684209505542264</v>
      </c>
      <c r="DN114" s="271"/>
      <c r="DO114" s="271"/>
      <c r="DP114" s="271"/>
      <c r="DQ114" s="271"/>
      <c r="DR114" s="53">
        <f>DR14/DR7</f>
        <v>0.18813273674627501</v>
      </c>
      <c r="DS114" s="271"/>
      <c r="DT114" s="271"/>
      <c r="DU114" s="271"/>
      <c r="DV114" s="271"/>
      <c r="DW114" s="53">
        <f>DW14/DW7</f>
        <v>0.21102479578161878</v>
      </c>
      <c r="DX114" s="271"/>
      <c r="DY114" s="271"/>
      <c r="DZ114" s="271"/>
      <c r="EA114" s="271"/>
      <c r="EB114" s="53">
        <f>EB14/EB7</f>
        <v>0.21587304426806311</v>
      </c>
      <c r="EC114" s="271"/>
      <c r="ED114" s="271"/>
      <c r="EE114" s="271"/>
      <c r="EF114" s="271"/>
      <c r="EG114" s="53">
        <f>EG14/EG7</f>
        <v>0.21827277621664673</v>
      </c>
      <c r="EH114" s="271"/>
      <c r="EI114" s="271"/>
      <c r="EJ114" s="271"/>
      <c r="EK114" s="271"/>
      <c r="EL114" s="53">
        <f>EL14/EL7</f>
        <v>0.21571863650121831</v>
      </c>
    </row>
    <row r="115" spans="2:142" ht="12.75" customHeight="1" thickBot="1">
      <c r="B115" s="165"/>
      <c r="C115" s="170"/>
      <c r="D115" s="170"/>
      <c r="E115" s="170"/>
      <c r="F115" s="170"/>
      <c r="G115" s="38"/>
      <c r="H115" s="171"/>
      <c r="I115" s="166"/>
      <c r="J115" s="166"/>
      <c r="K115" s="166"/>
      <c r="L115" s="53"/>
      <c r="M115" s="171"/>
      <c r="N115" s="171"/>
      <c r="O115" s="171"/>
      <c r="P115" s="171"/>
      <c r="Q115" s="21"/>
      <c r="R115" s="171"/>
      <c r="S115" s="171"/>
      <c r="T115" s="171"/>
      <c r="U115" s="171"/>
      <c r="V115" s="21"/>
      <c r="W115" s="171"/>
      <c r="X115" s="171"/>
      <c r="Y115" s="171"/>
      <c r="Z115" s="171"/>
      <c r="AA115" s="21"/>
      <c r="AB115" s="171"/>
      <c r="AC115" s="171"/>
      <c r="AD115" s="171"/>
      <c r="AE115" s="171"/>
      <c r="AF115" s="21"/>
      <c r="AG115" s="171"/>
      <c r="AH115" s="171"/>
      <c r="AI115" s="171"/>
      <c r="AJ115" s="171"/>
      <c r="AK115" s="21"/>
      <c r="AL115" s="171"/>
      <c r="AM115" s="171"/>
      <c r="AN115" s="171"/>
      <c r="AO115" s="171"/>
      <c r="AP115" s="21"/>
      <c r="AQ115" s="171"/>
      <c r="AR115" s="171"/>
      <c r="AS115" s="171"/>
      <c r="AT115" s="171"/>
      <c r="AU115" s="21"/>
      <c r="AV115" s="171"/>
      <c r="AW115" s="171"/>
      <c r="AX115" s="171"/>
      <c r="AY115" s="171"/>
      <c r="AZ115" s="21"/>
      <c r="BA115" s="274"/>
      <c r="BB115" s="274"/>
      <c r="BC115" s="274"/>
      <c r="BD115" s="274"/>
      <c r="BE115" s="21"/>
      <c r="BF115" s="274"/>
      <c r="BG115" s="274"/>
      <c r="BH115" s="255"/>
      <c r="BI115" s="255"/>
      <c r="BJ115" s="401"/>
      <c r="BK115" s="274"/>
      <c r="BL115" s="274"/>
      <c r="BM115" s="255"/>
      <c r="BN115" s="255"/>
      <c r="BO115" s="401"/>
      <c r="BP115" s="274"/>
      <c r="BQ115" s="274"/>
      <c r="BR115" s="274"/>
      <c r="BS115" s="274"/>
      <c r="BT115" s="401"/>
      <c r="BU115" s="274"/>
      <c r="BV115" s="274"/>
      <c r="BW115" s="274"/>
      <c r="BX115" s="274"/>
      <c r="BY115" s="533"/>
      <c r="BZ115" s="274"/>
      <c r="CA115" s="274"/>
      <c r="CB115" s="139" t="s">
        <v>558</v>
      </c>
      <c r="CC115" s="140"/>
      <c r="CD115" s="158" t="s">
        <v>935</v>
      </c>
      <c r="CE115" s="274"/>
      <c r="CF115" s="274"/>
      <c r="CG115" s="274"/>
      <c r="CH115" s="274"/>
      <c r="CI115" s="21"/>
      <c r="CJ115" s="274"/>
      <c r="CK115" s="274"/>
      <c r="CL115" s="274"/>
      <c r="CM115" s="274"/>
      <c r="CN115" s="21"/>
      <c r="CO115" s="274"/>
      <c r="CP115" s="274"/>
      <c r="CQ115" s="274"/>
      <c r="CR115" s="274"/>
      <c r="CS115" s="21"/>
      <c r="CT115" s="274"/>
      <c r="CU115" s="274"/>
      <c r="CV115" s="274"/>
      <c r="CW115" s="274"/>
      <c r="CX115" s="21"/>
      <c r="CY115" s="274"/>
      <c r="CZ115" s="274"/>
      <c r="DA115" s="274"/>
      <c r="DB115" s="274"/>
      <c r="DC115" s="21"/>
      <c r="DD115" s="274"/>
      <c r="DE115" s="274"/>
      <c r="DF115" s="274"/>
      <c r="DG115" s="274"/>
      <c r="DH115" s="21"/>
      <c r="DI115" s="274"/>
      <c r="DJ115" s="274"/>
      <c r="DK115" s="274"/>
      <c r="DL115" s="274"/>
      <c r="DM115" s="21"/>
      <c r="DN115" s="274"/>
      <c r="DO115" s="274"/>
      <c r="DP115" s="274"/>
      <c r="DQ115" s="274"/>
      <c r="DR115" s="21"/>
      <c r="DS115" s="274"/>
      <c r="DT115" s="274"/>
      <c r="DU115" s="274"/>
      <c r="DV115" s="274"/>
      <c r="DW115" s="21"/>
      <c r="DX115" s="274"/>
      <c r="DY115" s="274"/>
      <c r="DZ115" s="274"/>
      <c r="EA115" s="274"/>
      <c r="EB115" s="21"/>
      <c r="EC115" s="274"/>
      <c r="ED115" s="274"/>
      <c r="EE115" s="274"/>
      <c r="EF115" s="274"/>
      <c r="EG115" s="21"/>
      <c r="EH115" s="274"/>
      <c r="EI115" s="274"/>
      <c r="EJ115" s="274"/>
      <c r="EK115" s="274"/>
      <c r="EL115" s="21"/>
    </row>
    <row r="116" spans="2:142" ht="12.75" customHeight="1">
      <c r="B116" s="165" t="s">
        <v>183</v>
      </c>
      <c r="C116" s="166">
        <f t="shared" ref="C116:AH116" si="136">C33/C7</f>
        <v>0.35943223443223443</v>
      </c>
      <c r="D116" s="166">
        <f t="shared" si="136"/>
        <v>0.30187835420393561</v>
      </c>
      <c r="E116" s="166">
        <f t="shared" si="136"/>
        <v>0.36001676445934622</v>
      </c>
      <c r="F116" s="166">
        <f t="shared" si="136"/>
        <v>0.23518631643249857</v>
      </c>
      <c r="G116" s="53">
        <f t="shared" si="136"/>
        <v>0.31278341610883176</v>
      </c>
      <c r="H116" s="166">
        <f t="shared" si="136"/>
        <v>0.3652938114453006</v>
      </c>
      <c r="I116" s="166">
        <f t="shared" si="136"/>
        <v>0.32024842091977379</v>
      </c>
      <c r="J116" s="166">
        <f t="shared" si="136"/>
        <v>0.33682143146393356</v>
      </c>
      <c r="K116" s="166">
        <f t="shared" si="136"/>
        <v>0.24766537196676991</v>
      </c>
      <c r="L116" s="53">
        <f t="shared" si="136"/>
        <v>0.31606303598994751</v>
      </c>
      <c r="M116" s="166">
        <f t="shared" si="136"/>
        <v>0.27347814400087112</v>
      </c>
      <c r="N116" s="166">
        <f t="shared" si="136"/>
        <v>0.3464864918416074</v>
      </c>
      <c r="O116" s="166">
        <f t="shared" si="136"/>
        <v>0.26366672201619884</v>
      </c>
      <c r="P116" s="166">
        <f t="shared" si="136"/>
        <v>0.37046359897164061</v>
      </c>
      <c r="Q116" s="53">
        <f t="shared" si="136"/>
        <v>0.3146522187822498</v>
      </c>
      <c r="R116" s="166">
        <f t="shared" si="136"/>
        <v>0.42737022947600944</v>
      </c>
      <c r="S116" s="166">
        <f t="shared" si="136"/>
        <v>0.40417792228058574</v>
      </c>
      <c r="T116" s="166">
        <f t="shared" si="136"/>
        <v>0.3885104592518463</v>
      </c>
      <c r="U116" s="166">
        <f t="shared" si="136"/>
        <v>0.38414407749939633</v>
      </c>
      <c r="V116" s="53">
        <f t="shared" si="136"/>
        <v>0.40006388254556663</v>
      </c>
      <c r="W116" s="166">
        <f t="shared" si="136"/>
        <v>0.37604866533502801</v>
      </c>
      <c r="X116" s="166">
        <f t="shared" si="136"/>
        <v>0.35774648980309798</v>
      </c>
      <c r="Y116" s="166">
        <f t="shared" si="136"/>
        <v>0.29783168679385391</v>
      </c>
      <c r="Z116" s="166">
        <f t="shared" si="136"/>
        <v>0.42270569797380531</v>
      </c>
      <c r="AA116" s="53">
        <f t="shared" si="136"/>
        <v>0.36526446919662753</v>
      </c>
      <c r="AB116" s="166">
        <f t="shared" si="136"/>
        <v>0.3740078922845384</v>
      </c>
      <c r="AC116" s="166">
        <f t="shared" si="136"/>
        <v>0.37884973888815088</v>
      </c>
      <c r="AD116" s="166">
        <f t="shared" si="136"/>
        <v>0.41420760427607872</v>
      </c>
      <c r="AE116" s="166">
        <f t="shared" si="136"/>
        <v>0.39016178117395867</v>
      </c>
      <c r="AF116" s="53">
        <f t="shared" si="136"/>
        <v>0.39011867459896971</v>
      </c>
      <c r="AG116" s="166">
        <f t="shared" si="136"/>
        <v>0.38939916100972138</v>
      </c>
      <c r="AH116" s="166">
        <f t="shared" si="136"/>
        <v>0.29786085838236731</v>
      </c>
      <c r="AI116" s="166">
        <f t="shared" ref="AI116:BR116" si="137">AI33/AI7</f>
        <v>0.39885570780656798</v>
      </c>
      <c r="AJ116" s="166">
        <f t="shared" si="137"/>
        <v>0.39843503922161883</v>
      </c>
      <c r="AK116" s="53">
        <f t="shared" si="137"/>
        <v>0.37128370876612971</v>
      </c>
      <c r="AL116" s="166">
        <f t="shared" si="137"/>
        <v>0.36961744494345555</v>
      </c>
      <c r="AM116" s="166">
        <f t="shared" si="137"/>
        <v>0.38148531131308461</v>
      </c>
      <c r="AN116" s="166">
        <f t="shared" si="137"/>
        <v>0.39094259259101766</v>
      </c>
      <c r="AO116" s="166">
        <f t="shared" si="137"/>
        <v>0.40292780081898355</v>
      </c>
      <c r="AP116" s="53">
        <f t="shared" si="137"/>
        <v>0.38659509547807747</v>
      </c>
      <c r="AQ116" s="166">
        <f t="shared" si="137"/>
        <v>0.40710454716946642</v>
      </c>
      <c r="AR116" s="166">
        <f t="shared" si="137"/>
        <v>0.38873964027544849</v>
      </c>
      <c r="AS116" s="166">
        <f t="shared" si="137"/>
        <v>0.41745843683727579</v>
      </c>
      <c r="AT116" s="166">
        <f t="shared" si="137"/>
        <v>0.37238206724068668</v>
      </c>
      <c r="AU116" s="53">
        <f t="shared" si="137"/>
        <v>0.39464304121075156</v>
      </c>
      <c r="AV116" s="166">
        <f t="shared" si="137"/>
        <v>0.32268303594233499</v>
      </c>
      <c r="AW116" s="166">
        <f t="shared" si="137"/>
        <v>0.4026317585898459</v>
      </c>
      <c r="AX116" s="166">
        <f t="shared" si="137"/>
        <v>0.42779972524700616</v>
      </c>
      <c r="AY116" s="166">
        <f t="shared" si="137"/>
        <v>0.34915011297865906</v>
      </c>
      <c r="AZ116" s="53">
        <f t="shared" si="137"/>
        <v>0.37669999489507205</v>
      </c>
      <c r="BA116" s="271">
        <f t="shared" si="137"/>
        <v>0.39919694494225122</v>
      </c>
      <c r="BB116" s="271">
        <f t="shared" si="137"/>
        <v>0.4285904101775892</v>
      </c>
      <c r="BC116" s="271">
        <f t="shared" si="137"/>
        <v>0.42890118066725763</v>
      </c>
      <c r="BD116" s="271">
        <f t="shared" si="137"/>
        <v>0.40438588905562478</v>
      </c>
      <c r="BE116" s="53">
        <f t="shared" si="137"/>
        <v>0.41585586703140798</v>
      </c>
      <c r="BF116" s="271">
        <f t="shared" si="137"/>
        <v>0.38279122770690105</v>
      </c>
      <c r="BG116" s="271">
        <f t="shared" si="137"/>
        <v>0.47222203867761969</v>
      </c>
      <c r="BH116" s="271">
        <f t="shared" si="137"/>
        <v>0.48753268037616571</v>
      </c>
      <c r="BI116" s="271">
        <f t="shared" si="137"/>
        <v>0.48116598975640706</v>
      </c>
      <c r="BJ116" s="53">
        <f t="shared" si="137"/>
        <v>0.45898992963648333</v>
      </c>
      <c r="BK116" s="271">
        <f t="shared" si="137"/>
        <v>0.47676110336761729</v>
      </c>
      <c r="BL116" s="271">
        <f t="shared" si="137"/>
        <v>0.50850848765432088</v>
      </c>
      <c r="BM116" s="271">
        <f t="shared" si="137"/>
        <v>0.52781405226405564</v>
      </c>
      <c r="BN116" s="271">
        <f t="shared" si="137"/>
        <v>0.48528857447022866</v>
      </c>
      <c r="BO116" s="53">
        <f t="shared" si="137"/>
        <v>0.49984842588211448</v>
      </c>
      <c r="BP116" s="271">
        <f t="shared" si="137"/>
        <v>0.54133049728619642</v>
      </c>
      <c r="BQ116" s="271">
        <f t="shared" si="137"/>
        <v>0.54598852878170123</v>
      </c>
      <c r="BR116" s="271">
        <f t="shared" si="137"/>
        <v>0.52862169294268879</v>
      </c>
      <c r="BS116" s="271">
        <f t="shared" ref="BS116:BS118" si="138">BT116</f>
        <v>0.5323876738173432</v>
      </c>
      <c r="BT116" s="53">
        <f t="shared" ref="BT116:CB116" si="139">BT33/BT7</f>
        <v>0.5323876738173432</v>
      </c>
      <c r="BU116" s="271">
        <f t="shared" si="139"/>
        <v>0.53438645177357968</v>
      </c>
      <c r="BV116" s="271">
        <f t="shared" si="139"/>
        <v>0.47404495841995836</v>
      </c>
      <c r="BW116" s="271">
        <f t="shared" si="139"/>
        <v>0.58236402625251793</v>
      </c>
      <c r="BX116" s="271">
        <f t="shared" si="139"/>
        <v>0.49180526156637439</v>
      </c>
      <c r="BY116" s="53">
        <f t="shared" si="139"/>
        <v>0.51981032923520643</v>
      </c>
      <c r="BZ116" s="271">
        <f t="shared" si="139"/>
        <v>0.52850435949027508</v>
      </c>
      <c r="CA116" s="271">
        <f t="shared" si="139"/>
        <v>0.42546504222618436</v>
      </c>
      <c r="CB116" s="271">
        <f t="shared" si="139"/>
        <v>0.54643768229568213</v>
      </c>
      <c r="CC116" s="271">
        <f t="shared" ref="CC116:CC118" si="140">CD116</f>
        <v>0.50785701952291806</v>
      </c>
      <c r="CD116" s="53">
        <f>CD33/CD7</f>
        <v>0.50785701952291806</v>
      </c>
      <c r="CE116" s="271"/>
      <c r="CF116" s="271"/>
      <c r="CG116" s="271"/>
      <c r="CH116" s="271"/>
      <c r="CI116" s="53">
        <f>CI33/CI7</f>
        <v>0.53350600686744454</v>
      </c>
      <c r="CJ116" s="271"/>
      <c r="CK116" s="271"/>
      <c r="CL116" s="271"/>
      <c r="CM116" s="271"/>
      <c r="CN116" s="53">
        <f>CN33/CN7</f>
        <v>0.52774018021556945</v>
      </c>
      <c r="CO116" s="271"/>
      <c r="CP116" s="271"/>
      <c r="CQ116" s="271"/>
      <c r="CR116" s="271"/>
      <c r="CS116" s="53">
        <f>CS33/CS7</f>
        <v>0.52788187121625629</v>
      </c>
      <c r="CT116" s="271"/>
      <c r="CU116" s="271"/>
      <c r="CV116" s="271"/>
      <c r="CW116" s="271"/>
      <c r="CX116" s="53">
        <f>CX33/CX7</f>
        <v>0.52228278649701243</v>
      </c>
      <c r="CY116" s="271"/>
      <c r="CZ116" s="271"/>
      <c r="DA116" s="271"/>
      <c r="DB116" s="271"/>
      <c r="DC116" s="53">
        <f>DC33/DC7</f>
        <v>0.51775946514304227</v>
      </c>
      <c r="DD116" s="271"/>
      <c r="DE116" s="271"/>
      <c r="DF116" s="271"/>
      <c r="DG116" s="271"/>
      <c r="DH116" s="53">
        <f>DH33/DH7</f>
        <v>0.51298667599902692</v>
      </c>
      <c r="DI116" s="271"/>
      <c r="DJ116" s="271"/>
      <c r="DK116" s="271"/>
      <c r="DL116" s="271"/>
      <c r="DM116" s="53">
        <f>DM33/DM7</f>
        <v>0.48482961648090001</v>
      </c>
      <c r="DN116" s="271"/>
      <c r="DO116" s="271"/>
      <c r="DP116" s="271"/>
      <c r="DQ116" s="271"/>
      <c r="DR116" s="53">
        <f>DR33/DR7</f>
        <v>0.44694676420309926</v>
      </c>
      <c r="DS116" s="271"/>
      <c r="DT116" s="271"/>
      <c r="DU116" s="271"/>
      <c r="DV116" s="271"/>
      <c r="DW116" s="53">
        <f>DW33/DW7</f>
        <v>0.3805173596219566</v>
      </c>
      <c r="DX116" s="271"/>
      <c r="DY116" s="271"/>
      <c r="DZ116" s="271"/>
      <c r="EA116" s="271"/>
      <c r="EB116" s="53">
        <f>EB33/EB7</f>
        <v>0.36087780412316106</v>
      </c>
      <c r="EC116" s="271"/>
      <c r="ED116" s="271"/>
      <c r="EE116" s="271"/>
      <c r="EF116" s="271"/>
      <c r="EG116" s="53">
        <f>EG33/EG7</f>
        <v>0.35090341478357717</v>
      </c>
      <c r="EH116" s="271"/>
      <c r="EI116" s="271"/>
      <c r="EJ116" s="271"/>
      <c r="EK116" s="271"/>
      <c r="EL116" s="53">
        <f>EL33/EL7</f>
        <v>0.35348775673340282</v>
      </c>
    </row>
    <row r="117" spans="2:142" ht="12.75" customHeight="1">
      <c r="B117" s="167" t="s">
        <v>184</v>
      </c>
      <c r="C117" s="166">
        <f t="shared" ref="C117:AH117" si="141">C132/C7</f>
        <v>0.366529304029304</v>
      </c>
      <c r="D117" s="166">
        <f t="shared" si="141"/>
        <v>0.30859347048300534</v>
      </c>
      <c r="E117" s="166">
        <f t="shared" si="141"/>
        <v>0.36809932942162621</v>
      </c>
      <c r="F117" s="166">
        <f t="shared" si="141"/>
        <v>0.33974343310934652</v>
      </c>
      <c r="G117" s="53">
        <f t="shared" si="141"/>
        <v>0.34587993953789675</v>
      </c>
      <c r="H117" s="166">
        <f t="shared" si="141"/>
        <v>0.55318029615573461</v>
      </c>
      <c r="I117" s="166">
        <f t="shared" si="141"/>
        <v>0.50874688870616591</v>
      </c>
      <c r="J117" s="166">
        <f t="shared" si="141"/>
        <v>0.57543679455746255</v>
      </c>
      <c r="K117" s="166">
        <f t="shared" si="141"/>
        <v>0.42878555108109995</v>
      </c>
      <c r="L117" s="53">
        <f t="shared" si="141"/>
        <v>0.51476196462048096</v>
      </c>
      <c r="M117" s="166">
        <f t="shared" si="141"/>
        <v>0.43698728483400884</v>
      </c>
      <c r="N117" s="166">
        <f t="shared" si="141"/>
        <v>0.50965764801844027</v>
      </c>
      <c r="O117" s="166">
        <f t="shared" si="141"/>
        <v>0.44774752562431752</v>
      </c>
      <c r="P117" s="166">
        <f t="shared" si="141"/>
        <v>0.52456573643484306</v>
      </c>
      <c r="Q117" s="53">
        <f t="shared" si="141"/>
        <v>0.48068235294117645</v>
      </c>
      <c r="R117" s="166">
        <f t="shared" si="141"/>
        <v>0.62899824109297675</v>
      </c>
      <c r="S117" s="166">
        <f t="shared" si="141"/>
        <v>0.51885564684618091</v>
      </c>
      <c r="T117" s="166">
        <f t="shared" si="141"/>
        <v>0.51606130560120067</v>
      </c>
      <c r="U117" s="166">
        <f t="shared" si="141"/>
        <v>0.50727262716685873</v>
      </c>
      <c r="V117" s="53">
        <f t="shared" si="141"/>
        <v>0.54015450332811676</v>
      </c>
      <c r="W117" s="166">
        <f t="shared" si="141"/>
        <v>0.50010755541897711</v>
      </c>
      <c r="X117" s="166">
        <f t="shared" si="141"/>
        <v>0.47733116392645419</v>
      </c>
      <c r="Y117" s="166">
        <f t="shared" si="141"/>
        <v>0.42042570552854619</v>
      </c>
      <c r="Z117" s="166">
        <f t="shared" si="141"/>
        <v>0.53718347699541058</v>
      </c>
      <c r="AA117" s="53">
        <f t="shared" si="141"/>
        <v>0.48516955231353598</v>
      </c>
      <c r="AB117" s="166">
        <f t="shared" si="141"/>
        <v>0.48750140630406319</v>
      </c>
      <c r="AC117" s="166">
        <f t="shared" si="141"/>
        <v>0.48508521869375643</v>
      </c>
      <c r="AD117" s="166">
        <f t="shared" si="141"/>
        <v>0.5309278256191422</v>
      </c>
      <c r="AE117" s="166">
        <f t="shared" si="141"/>
        <v>0.50431232476356802</v>
      </c>
      <c r="AF117" s="53">
        <f t="shared" si="141"/>
        <v>0.50288455883052807</v>
      </c>
      <c r="AG117" s="166">
        <f t="shared" si="141"/>
        <v>0.5072456497157698</v>
      </c>
      <c r="AH117" s="166">
        <f t="shared" si="141"/>
        <v>0.41377805868347706</v>
      </c>
      <c r="AI117" s="166">
        <f t="shared" ref="AI117:BR117" si="142">AI132/AI7</f>
        <v>0.47550240156784629</v>
      </c>
      <c r="AJ117" s="166">
        <f t="shared" si="142"/>
        <v>0.48112828366267191</v>
      </c>
      <c r="AK117" s="53">
        <f t="shared" si="142"/>
        <v>0.46905089565645697</v>
      </c>
      <c r="AL117" s="166">
        <f t="shared" si="142"/>
        <v>0.44402719910538757</v>
      </c>
      <c r="AM117" s="166">
        <f t="shared" si="142"/>
        <v>0.45359783359803174</v>
      </c>
      <c r="AN117" s="166">
        <f t="shared" si="142"/>
        <v>0.467595801627673</v>
      </c>
      <c r="AO117" s="166">
        <f t="shared" si="142"/>
        <v>0.48004547721545565</v>
      </c>
      <c r="AP117" s="53">
        <f t="shared" si="142"/>
        <v>0.46167339104232186</v>
      </c>
      <c r="AQ117" s="166">
        <f t="shared" si="142"/>
        <v>0.4840111954872347</v>
      </c>
      <c r="AR117" s="166">
        <f t="shared" si="142"/>
        <v>0.46345128064687213</v>
      </c>
      <c r="AS117" s="166">
        <f t="shared" si="142"/>
        <v>0.48415416349220641</v>
      </c>
      <c r="AT117" s="166">
        <f t="shared" si="142"/>
        <v>0.43874687468671497</v>
      </c>
      <c r="AU117" s="53">
        <f t="shared" si="142"/>
        <v>0.4659303307771705</v>
      </c>
      <c r="AV117" s="166">
        <f t="shared" si="142"/>
        <v>0.38765524212585928</v>
      </c>
      <c r="AW117" s="166">
        <f t="shared" si="142"/>
        <v>0.46640876427125222</v>
      </c>
      <c r="AX117" s="166">
        <f t="shared" si="142"/>
        <v>0.494267512328253</v>
      </c>
      <c r="AY117" s="166">
        <f t="shared" si="142"/>
        <v>0.4129401387564951</v>
      </c>
      <c r="AZ117" s="53">
        <f t="shared" si="142"/>
        <v>0.44242558129669474</v>
      </c>
      <c r="BA117" s="271">
        <f t="shared" si="142"/>
        <v>0.49313756805192016</v>
      </c>
      <c r="BB117" s="271">
        <f t="shared" si="142"/>
        <v>0.50572245692273687</v>
      </c>
      <c r="BC117" s="271">
        <f t="shared" si="142"/>
        <v>0.5016314873781309</v>
      </c>
      <c r="BD117" s="271">
        <f t="shared" si="142"/>
        <v>0.47200803723580131</v>
      </c>
      <c r="BE117" s="53">
        <f t="shared" si="142"/>
        <v>0.49255542341331332</v>
      </c>
      <c r="BF117" s="271">
        <f t="shared" si="142"/>
        <v>0.46356945013759837</v>
      </c>
      <c r="BG117" s="271">
        <f t="shared" si="142"/>
        <v>0.54326928636206684</v>
      </c>
      <c r="BH117" s="271">
        <f t="shared" si="142"/>
        <v>0.55603405368859204</v>
      </c>
      <c r="BI117" s="271">
        <f t="shared" si="142"/>
        <v>0.5463150520226836</v>
      </c>
      <c r="BJ117" s="53">
        <f t="shared" si="142"/>
        <v>0.52990892605461792</v>
      </c>
      <c r="BK117" s="271">
        <f t="shared" si="142"/>
        <v>0.53551249729434358</v>
      </c>
      <c r="BL117" s="271">
        <f t="shared" si="142"/>
        <v>0.56641743827160485</v>
      </c>
      <c r="BM117" s="271">
        <f t="shared" si="142"/>
        <v>0.5818418400403137</v>
      </c>
      <c r="BN117" s="271">
        <f t="shared" si="142"/>
        <v>0.53816530089006209</v>
      </c>
      <c r="BO117" s="53">
        <f t="shared" si="142"/>
        <v>0.5556284445020867</v>
      </c>
      <c r="BP117" s="271">
        <f t="shared" si="142"/>
        <v>0.60392217984450647</v>
      </c>
      <c r="BQ117" s="271">
        <f t="shared" si="142"/>
        <v>0.60495991983967923</v>
      </c>
      <c r="BR117" s="271">
        <f t="shared" si="142"/>
        <v>0.58636409770620468</v>
      </c>
      <c r="BS117" s="271">
        <f t="shared" si="138"/>
        <v>0.59201837747187458</v>
      </c>
      <c r="BT117" s="53">
        <f t="shared" ref="BT117:CB117" si="143">BT132/BT7</f>
        <v>0.59201837747187458</v>
      </c>
      <c r="BU117" s="271">
        <f t="shared" si="143"/>
        <v>0.63053687693457161</v>
      </c>
      <c r="BV117" s="271">
        <f t="shared" si="143"/>
        <v>0.56183406964656968</v>
      </c>
      <c r="BW117" s="271">
        <f t="shared" si="143"/>
        <v>0.67017025147832865</v>
      </c>
      <c r="BX117" s="271">
        <f t="shared" si="143"/>
        <v>0.57352585424856373</v>
      </c>
      <c r="BY117" s="53">
        <f t="shared" si="143"/>
        <v>0.60788339484597398</v>
      </c>
      <c r="BZ117" s="271">
        <f t="shared" si="143"/>
        <v>0.59254885412852443</v>
      </c>
      <c r="CA117" s="271">
        <f t="shared" si="143"/>
        <v>0.48893689075084462</v>
      </c>
      <c r="CB117" s="271">
        <f t="shared" si="143"/>
        <v>0.60986518820721991</v>
      </c>
      <c r="CC117" s="271">
        <f t="shared" si="140"/>
        <v>0.5701877493128249</v>
      </c>
      <c r="CD117" s="53">
        <f>CD132/CD7</f>
        <v>0.5701877493128249</v>
      </c>
      <c r="CE117" s="271"/>
      <c r="CF117" s="271"/>
      <c r="CG117" s="271"/>
      <c r="CH117" s="271"/>
      <c r="CI117" s="53">
        <f>CI132/CI7</f>
        <v>0.59866241178132518</v>
      </c>
      <c r="CJ117" s="271"/>
      <c r="CK117" s="271"/>
      <c r="CL117" s="271"/>
      <c r="CM117" s="271"/>
      <c r="CN117" s="53">
        <f>CN132/CN7</f>
        <v>0.59508871642349936</v>
      </c>
      <c r="CO117" s="271"/>
      <c r="CP117" s="271"/>
      <c r="CQ117" s="271"/>
      <c r="CR117" s="271"/>
      <c r="CS117" s="53">
        <f>CS132/CS7</f>
        <v>0.5979348194816394</v>
      </c>
      <c r="CT117" s="271"/>
      <c r="CU117" s="271"/>
      <c r="CV117" s="271"/>
      <c r="CW117" s="271"/>
      <c r="CX117" s="53">
        <f>CX132/CX7</f>
        <v>0.59571033074041513</v>
      </c>
      <c r="CY117" s="271"/>
      <c r="CZ117" s="271"/>
      <c r="DA117" s="271"/>
      <c r="DB117" s="271"/>
      <c r="DC117" s="53">
        <f>DC132/DC7</f>
        <v>0.59438414020622887</v>
      </c>
      <c r="DD117" s="271"/>
      <c r="DE117" s="271"/>
      <c r="DF117" s="271"/>
      <c r="DG117" s="271"/>
      <c r="DH117" s="53">
        <f>DH132/DH7</f>
        <v>0.59263029696810632</v>
      </c>
      <c r="DI117" s="271"/>
      <c r="DJ117" s="271"/>
      <c r="DK117" s="271"/>
      <c r="DL117" s="271"/>
      <c r="DM117" s="53">
        <f>DM132/DM7</f>
        <v>0.57200339051343019</v>
      </c>
      <c r="DN117" s="271"/>
      <c r="DO117" s="271"/>
      <c r="DP117" s="271"/>
      <c r="DQ117" s="271"/>
      <c r="DR117" s="53">
        <f>DR132/DR7</f>
        <v>0.5449310215773131</v>
      </c>
      <c r="DS117" s="271"/>
      <c r="DT117" s="271"/>
      <c r="DU117" s="271"/>
      <c r="DV117" s="271"/>
      <c r="DW117" s="53">
        <f>DW132/DW7</f>
        <v>0.49630953910250841</v>
      </c>
      <c r="DX117" s="271"/>
      <c r="DY117" s="271"/>
      <c r="DZ117" s="271"/>
      <c r="EA117" s="271"/>
      <c r="EB117" s="53">
        <f>EB132/EB7</f>
        <v>0.48535266159945611</v>
      </c>
      <c r="EC117" s="271"/>
      <c r="ED117" s="271"/>
      <c r="EE117" s="271"/>
      <c r="EF117" s="271"/>
      <c r="EG117" s="53">
        <f>EG132/EG7</f>
        <v>0.48285313504876887</v>
      </c>
      <c r="EH117" s="271"/>
      <c r="EI117" s="271"/>
      <c r="EJ117" s="271"/>
      <c r="EK117" s="271"/>
      <c r="EL117" s="53">
        <f>EL132/EL7</f>
        <v>0.4899149516796607</v>
      </c>
    </row>
    <row r="118" spans="2:142" ht="12.75" customHeight="1" thickBot="1">
      <c r="B118" s="168" t="s">
        <v>185</v>
      </c>
      <c r="C118" s="169">
        <f t="shared" ref="C118:AH118" si="144">C44/C7</f>
        <v>0.26556776556776551</v>
      </c>
      <c r="D118" s="169">
        <f t="shared" si="144"/>
        <v>0.22696779964221825</v>
      </c>
      <c r="E118" s="169">
        <f t="shared" si="144"/>
        <v>0.25754400670578381</v>
      </c>
      <c r="F118" s="169">
        <f t="shared" si="144"/>
        <v>0.18550193443290583</v>
      </c>
      <c r="G118" s="54">
        <f t="shared" si="144"/>
        <v>0.23299503347009284</v>
      </c>
      <c r="H118" s="169">
        <f t="shared" si="144"/>
        <v>0.2631547858574747</v>
      </c>
      <c r="I118" s="169">
        <f t="shared" si="144"/>
        <v>0.22576717406354946</v>
      </c>
      <c r="J118" s="169">
        <f t="shared" si="144"/>
        <v>0.24301091894359406</v>
      </c>
      <c r="K118" s="169">
        <f t="shared" si="144"/>
        <v>0.17309848395916158</v>
      </c>
      <c r="L118" s="54">
        <f t="shared" si="144"/>
        <v>0.22516348173824666</v>
      </c>
      <c r="M118" s="169">
        <f t="shared" si="144"/>
        <v>0.18005212639630361</v>
      </c>
      <c r="N118" s="169">
        <f t="shared" si="144"/>
        <v>0.24610078033928096</v>
      </c>
      <c r="O118" s="169">
        <f t="shared" si="144"/>
        <v>0.20516394363740342</v>
      </c>
      <c r="P118" s="169">
        <f t="shared" si="144"/>
        <v>0.25995452340432879</v>
      </c>
      <c r="Q118" s="54">
        <f t="shared" si="144"/>
        <v>0.22361857585139325</v>
      </c>
      <c r="R118" s="169">
        <f t="shared" si="144"/>
        <v>0.30923876140221718</v>
      </c>
      <c r="S118" s="169">
        <f t="shared" si="144"/>
        <v>0.29888446323788986</v>
      </c>
      <c r="T118" s="169">
        <f t="shared" si="144"/>
        <v>0.29422509424414189</v>
      </c>
      <c r="U118" s="169">
        <f t="shared" si="144"/>
        <v>0.25911672485427212</v>
      </c>
      <c r="V118" s="54">
        <f t="shared" si="144"/>
        <v>0.28952247983544094</v>
      </c>
      <c r="W118" s="169">
        <f t="shared" si="144"/>
        <v>0.28275341872581733</v>
      </c>
      <c r="X118" s="169">
        <f t="shared" si="144"/>
        <v>0.3107972828954858</v>
      </c>
      <c r="Y118" s="169">
        <f t="shared" si="144"/>
        <v>0.21581640863067994</v>
      </c>
      <c r="Z118" s="169">
        <f t="shared" si="144"/>
        <v>0.29779805216612593</v>
      </c>
      <c r="AA118" s="54">
        <f t="shared" si="144"/>
        <v>0.27717060414293404</v>
      </c>
      <c r="AB118" s="169">
        <f t="shared" si="144"/>
        <v>0.26563544777782744</v>
      </c>
      <c r="AC118" s="169">
        <f t="shared" si="144"/>
        <v>0.27036954272208613</v>
      </c>
      <c r="AD118" s="169">
        <f t="shared" si="144"/>
        <v>0.26336823536731319</v>
      </c>
      <c r="AE118" s="169">
        <f t="shared" si="144"/>
        <v>0.25656250789353252</v>
      </c>
      <c r="AF118" s="54">
        <f t="shared" si="144"/>
        <v>0.26381162985200524</v>
      </c>
      <c r="AG118" s="169">
        <f t="shared" si="144"/>
        <v>0.29487671782680686</v>
      </c>
      <c r="AH118" s="169">
        <f t="shared" si="144"/>
        <v>0.19992792390667055</v>
      </c>
      <c r="AI118" s="169">
        <f t="shared" ref="AI118:BR118" si="145">AI44/AI7</f>
        <v>0.29067806139660401</v>
      </c>
      <c r="AJ118" s="169">
        <f t="shared" si="145"/>
        <v>0.30630127846240252</v>
      </c>
      <c r="AK118" s="54">
        <f t="shared" si="145"/>
        <v>0.27302901208677038</v>
      </c>
      <c r="AL118" s="169">
        <f t="shared" si="145"/>
        <v>0.2673078657359812</v>
      </c>
      <c r="AM118" s="169">
        <f t="shared" si="145"/>
        <v>0.28299285397401863</v>
      </c>
      <c r="AN118" s="169">
        <f t="shared" si="145"/>
        <v>0.27908578835148151</v>
      </c>
      <c r="AO118" s="169">
        <f t="shared" si="145"/>
        <v>0.28447130276144472</v>
      </c>
      <c r="AP118" s="54">
        <f t="shared" si="145"/>
        <v>0.27871333847706209</v>
      </c>
      <c r="AQ118" s="169">
        <f t="shared" si="145"/>
        <v>0.29030317233172287</v>
      </c>
      <c r="AR118" s="169">
        <f t="shared" si="145"/>
        <v>0.2749107059381275</v>
      </c>
      <c r="AS118" s="169">
        <f t="shared" si="145"/>
        <v>0.30139152048881845</v>
      </c>
      <c r="AT118" s="169">
        <f t="shared" si="145"/>
        <v>0.28186048194460256</v>
      </c>
      <c r="AU118" s="54">
        <f t="shared" si="145"/>
        <v>0.28535591013423767</v>
      </c>
      <c r="AV118" s="169">
        <f t="shared" si="145"/>
        <v>0.26207301159275365</v>
      </c>
      <c r="AW118" s="169">
        <f t="shared" si="145"/>
        <v>0.30904865825774447</v>
      </c>
      <c r="AX118" s="169">
        <f t="shared" si="145"/>
        <v>0.32079846296373393</v>
      </c>
      <c r="AY118" s="169">
        <f t="shared" si="145"/>
        <v>0.23353365703335771</v>
      </c>
      <c r="AZ118" s="54">
        <f t="shared" si="145"/>
        <v>0.28168075075513399</v>
      </c>
      <c r="BA118" s="272">
        <f t="shared" si="145"/>
        <v>0.33172731743994749</v>
      </c>
      <c r="BB118" s="272">
        <f t="shared" si="145"/>
        <v>0.31843086604780013</v>
      </c>
      <c r="BC118" s="272">
        <f t="shared" si="145"/>
        <v>0.30694175447811017</v>
      </c>
      <c r="BD118" s="272">
        <f t="shared" si="145"/>
        <v>0.28335936109062249</v>
      </c>
      <c r="BE118" s="54">
        <f t="shared" si="145"/>
        <v>0.30822665992572934</v>
      </c>
      <c r="BF118" s="272">
        <f t="shared" si="145"/>
        <v>0.27555240025711936</v>
      </c>
      <c r="BG118" s="272">
        <f t="shared" si="145"/>
        <v>0.34241603798051734</v>
      </c>
      <c r="BH118" s="272">
        <f t="shared" si="145"/>
        <v>0.35815701392743465</v>
      </c>
      <c r="BI118" s="272">
        <f t="shared" si="145"/>
        <v>0.36566559686443811</v>
      </c>
      <c r="BJ118" s="54">
        <f t="shared" si="145"/>
        <v>0.33814165125270462</v>
      </c>
      <c r="BK118" s="272">
        <f t="shared" si="145"/>
        <v>0.35231696161745196</v>
      </c>
      <c r="BL118" s="272">
        <f t="shared" si="145"/>
        <v>0.38392515432098762</v>
      </c>
      <c r="BM118" s="272">
        <f t="shared" si="145"/>
        <v>0.37522964509394557</v>
      </c>
      <c r="BN118" s="272">
        <f t="shared" si="145"/>
        <v>0.35018624866927484</v>
      </c>
      <c r="BO118" s="54">
        <f t="shared" si="145"/>
        <v>0.36529678286605805</v>
      </c>
      <c r="BP118" s="272">
        <f t="shared" si="145"/>
        <v>0.38484670676250565</v>
      </c>
      <c r="BQ118" s="272">
        <f t="shared" si="145"/>
        <v>0.39472047543362576</v>
      </c>
      <c r="BR118" s="272">
        <f t="shared" si="145"/>
        <v>0.3849042560389741</v>
      </c>
      <c r="BS118" s="272">
        <f t="shared" si="138"/>
        <v>0.38630249458458521</v>
      </c>
      <c r="BT118" s="54">
        <f t="shared" ref="BT118:CB118" si="146">BT44/BT7</f>
        <v>0.38630249458458521</v>
      </c>
      <c r="BU118" s="272">
        <f t="shared" si="146"/>
        <v>0.39947344077987706</v>
      </c>
      <c r="BV118" s="272">
        <f t="shared" si="146"/>
        <v>0.34729080041580035</v>
      </c>
      <c r="BW118" s="272">
        <f t="shared" si="146"/>
        <v>0.43449866787965424</v>
      </c>
      <c r="BX118" s="272">
        <f t="shared" si="146"/>
        <v>0.33747534659709505</v>
      </c>
      <c r="BY118" s="54">
        <f t="shared" si="146"/>
        <v>0.3784641370058901</v>
      </c>
      <c r="BZ118" s="272">
        <f t="shared" si="146"/>
        <v>0.40934495864073339</v>
      </c>
      <c r="CA118" s="272">
        <f t="shared" si="146"/>
        <v>0.31795753147914718</v>
      </c>
      <c r="CB118" s="272">
        <f t="shared" si="146"/>
        <v>0.41111320638698712</v>
      </c>
      <c r="CC118" s="272">
        <f t="shared" si="140"/>
        <v>0.37990991234932153</v>
      </c>
      <c r="CD118" s="54">
        <f>CD44/CD7</f>
        <v>0.37990991234932153</v>
      </c>
      <c r="CE118" s="272"/>
      <c r="CF118" s="272"/>
      <c r="CG118" s="272"/>
      <c r="CH118" s="272"/>
      <c r="CI118" s="54">
        <f>CI44/CI7</f>
        <v>0.40328438498801678</v>
      </c>
      <c r="CJ118" s="272"/>
      <c r="CK118" s="272"/>
      <c r="CL118" s="272"/>
      <c r="CM118" s="272"/>
      <c r="CN118" s="54">
        <f>CN44/CN7</f>
        <v>0.40425111684387949</v>
      </c>
      <c r="CO118" s="272"/>
      <c r="CP118" s="272"/>
      <c r="CQ118" s="272"/>
      <c r="CR118" s="272"/>
      <c r="CS118" s="54">
        <f>CS44/CS7</f>
        <v>0.40994675052845314</v>
      </c>
      <c r="CT118" s="272"/>
      <c r="CU118" s="272"/>
      <c r="CV118" s="272"/>
      <c r="CW118" s="272"/>
      <c r="CX118" s="54">
        <f>CX44/CX7</f>
        <v>0.41097715940349905</v>
      </c>
      <c r="CY118" s="272"/>
      <c r="CZ118" s="272"/>
      <c r="DA118" s="272"/>
      <c r="DB118" s="272"/>
      <c r="DC118" s="54">
        <f>DC44/DC7</f>
        <v>0.40882092577397022</v>
      </c>
      <c r="DD118" s="272"/>
      <c r="DE118" s="272"/>
      <c r="DF118" s="272"/>
      <c r="DG118" s="272"/>
      <c r="DH118" s="54">
        <f>DH44/DH7</f>
        <v>0.40735932015876586</v>
      </c>
      <c r="DI118" s="272"/>
      <c r="DJ118" s="272"/>
      <c r="DK118" s="272"/>
      <c r="DL118" s="272"/>
      <c r="DM118" s="54">
        <f>DM44/DM7</f>
        <v>0.38854042157469393</v>
      </c>
      <c r="DN118" s="272"/>
      <c r="DO118" s="272"/>
      <c r="DP118" s="272"/>
      <c r="DQ118" s="272"/>
      <c r="DR118" s="54">
        <f>DR44/DR7</f>
        <v>0.36297216713657637</v>
      </c>
      <c r="DS118" s="272"/>
      <c r="DT118" s="272"/>
      <c r="DU118" s="272"/>
      <c r="DV118" s="272"/>
      <c r="DW118" s="54">
        <f>DW44/DW7</f>
        <v>0.31427616673144426</v>
      </c>
      <c r="DX118" s="272"/>
      <c r="DY118" s="272"/>
      <c r="DZ118" s="272"/>
      <c r="EA118" s="272"/>
      <c r="EB118" s="54">
        <f>EB44/EB7</f>
        <v>0.30132214677994507</v>
      </c>
      <c r="EC118" s="272"/>
      <c r="ED118" s="272"/>
      <c r="EE118" s="272"/>
      <c r="EF118" s="272"/>
      <c r="EG118" s="54">
        <f>EG44/EG7</f>
        <v>0.29564395104453056</v>
      </c>
      <c r="EH118" s="272"/>
      <c r="EI118" s="272"/>
      <c r="EJ118" s="272"/>
      <c r="EK118" s="272"/>
      <c r="EL118" s="54">
        <f>EL44/EL7</f>
        <v>0.29943662185844505</v>
      </c>
    </row>
    <row r="119" spans="2:142" ht="12.75" customHeight="1" thickBot="1">
      <c r="B119" s="116"/>
      <c r="C119" s="170"/>
      <c r="D119" s="170"/>
      <c r="E119" s="170"/>
      <c r="F119" s="170"/>
      <c r="G119" s="38"/>
      <c r="H119" s="170"/>
      <c r="I119" s="170"/>
      <c r="J119" s="170"/>
      <c r="K119" s="170"/>
      <c r="L119" s="38"/>
      <c r="M119" s="170"/>
      <c r="N119" s="170"/>
      <c r="O119" s="170"/>
      <c r="P119" s="170"/>
      <c r="Q119" s="38"/>
      <c r="R119" s="170"/>
      <c r="S119" s="170"/>
      <c r="T119" s="170"/>
      <c r="U119" s="170"/>
      <c r="V119" s="38"/>
      <c r="W119" s="170"/>
      <c r="X119" s="170"/>
      <c r="Y119" s="170"/>
      <c r="Z119" s="170"/>
      <c r="AA119" s="38"/>
      <c r="AB119" s="170"/>
      <c r="AC119" s="170"/>
      <c r="AD119" s="170"/>
      <c r="AE119" s="170"/>
      <c r="AF119" s="38"/>
      <c r="AG119" s="170"/>
      <c r="AH119" s="170"/>
      <c r="AI119" s="170"/>
      <c r="AJ119" s="170"/>
      <c r="AK119" s="38"/>
      <c r="AL119" s="170"/>
      <c r="AM119" s="170"/>
      <c r="AN119" s="170"/>
      <c r="AO119" s="170"/>
      <c r="AP119" s="38"/>
      <c r="AQ119" s="170"/>
      <c r="AR119" s="170"/>
      <c r="AS119" s="170"/>
      <c r="AT119" s="170"/>
      <c r="AU119" s="38"/>
      <c r="AV119" s="170"/>
      <c r="AW119" s="170"/>
      <c r="AX119" s="170"/>
      <c r="AY119" s="170"/>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row>
    <row r="120" spans="2:142" ht="12.75" customHeight="1">
      <c r="B120" s="52" t="s">
        <v>643</v>
      </c>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c r="BY120" s="52"/>
      <c r="BZ120" s="52"/>
      <c r="CA120" s="52"/>
      <c r="CB120" s="52"/>
      <c r="CC120" s="52"/>
      <c r="CD120" s="52"/>
      <c r="CE120" s="52"/>
      <c r="CF120" s="52"/>
      <c r="CG120" s="52"/>
      <c r="CH120" s="52"/>
      <c r="CI120" s="52"/>
      <c r="CJ120" s="52"/>
      <c r="CK120" s="52"/>
      <c r="CL120" s="52"/>
      <c r="CM120" s="52"/>
      <c r="CN120" s="52"/>
      <c r="CO120" s="52"/>
      <c r="CP120" s="52"/>
      <c r="CQ120" s="52"/>
      <c r="CR120" s="52"/>
      <c r="CS120" s="52"/>
      <c r="CT120" s="52"/>
      <c r="CU120" s="52"/>
      <c r="CV120" s="52"/>
      <c r="CW120" s="52"/>
      <c r="CX120" s="52"/>
      <c r="CY120" s="52"/>
      <c r="CZ120" s="52"/>
      <c r="DA120" s="52"/>
      <c r="DB120" s="52"/>
      <c r="DC120" s="52"/>
      <c r="DD120" s="52"/>
      <c r="DE120" s="52"/>
      <c r="DF120" s="52"/>
      <c r="DG120" s="52"/>
      <c r="DH120" s="52"/>
      <c r="DI120" s="52"/>
      <c r="DJ120" s="52"/>
      <c r="DK120" s="52"/>
      <c r="DL120" s="52"/>
      <c r="DM120" s="52"/>
      <c r="DN120" s="52"/>
      <c r="DO120" s="52"/>
      <c r="DP120" s="52"/>
      <c r="DQ120" s="52"/>
      <c r="DR120" s="52"/>
      <c r="DS120" s="52"/>
      <c r="DT120" s="52"/>
      <c r="DU120" s="52"/>
      <c r="DV120" s="52"/>
      <c r="DW120" s="52"/>
      <c r="DX120" s="52"/>
      <c r="DY120" s="52"/>
      <c r="DZ120" s="52"/>
      <c r="EA120" s="52"/>
      <c r="EB120" s="52"/>
      <c r="EC120" s="52"/>
      <c r="ED120" s="52"/>
      <c r="EE120" s="52"/>
      <c r="EF120" s="52"/>
      <c r="EG120" s="52"/>
      <c r="EH120" s="52"/>
      <c r="EI120" s="52"/>
      <c r="EJ120" s="52"/>
      <c r="EK120" s="52"/>
      <c r="EL120" s="52"/>
    </row>
    <row r="121" spans="2:142" ht="12.75" customHeight="1">
      <c r="B121" s="165" t="s">
        <v>186</v>
      </c>
      <c r="C121" s="170"/>
      <c r="D121" s="170"/>
      <c r="E121" s="170"/>
      <c r="F121" s="170"/>
      <c r="G121" s="38"/>
      <c r="H121" s="171">
        <f t="shared" ref="H121:AM121" si="147">H3/C3-1</f>
        <v>0.31248943066516355</v>
      </c>
      <c r="I121" s="166">
        <f t="shared" si="147"/>
        <v>0.21821761720597443</v>
      </c>
      <c r="J121" s="166">
        <f t="shared" si="147"/>
        <v>0.14356385278632611</v>
      </c>
      <c r="K121" s="166">
        <f t="shared" si="147"/>
        <v>0.17833459929347328</v>
      </c>
      <c r="L121" s="53">
        <f t="shared" si="147"/>
        <v>0.20989211985741862</v>
      </c>
      <c r="M121" s="171">
        <f t="shared" si="147"/>
        <v>6.723359022056874E-2</v>
      </c>
      <c r="N121" s="171">
        <f t="shared" si="147"/>
        <v>9.8120522266827548E-2</v>
      </c>
      <c r="O121" s="171">
        <f t="shared" si="147"/>
        <v>8.8058672419736972E-2</v>
      </c>
      <c r="P121" s="171">
        <f t="shared" si="147"/>
        <v>9.7979428489572529E-2</v>
      </c>
      <c r="Q121" s="21">
        <f t="shared" si="147"/>
        <v>8.7906971737363726E-2</v>
      </c>
      <c r="R121" s="171">
        <f t="shared" si="147"/>
        <v>2.2473238359692393E-2</v>
      </c>
      <c r="S121" s="171">
        <f t="shared" si="147"/>
        <v>9.3422629644302368E-2</v>
      </c>
      <c r="T121" s="171">
        <f t="shared" si="147"/>
        <v>0.21394295876494129</v>
      </c>
      <c r="U121" s="171">
        <f t="shared" si="147"/>
        <v>8.0108193238155767E-2</v>
      </c>
      <c r="V121" s="21">
        <f t="shared" si="147"/>
        <v>0.10161323039398762</v>
      </c>
      <c r="W121" s="171">
        <f t="shared" si="147"/>
        <v>0.19155070242719296</v>
      </c>
      <c r="X121" s="171">
        <f t="shared" si="147"/>
        <v>0.18928593541108207</v>
      </c>
      <c r="Y121" s="171">
        <f t="shared" si="147"/>
        <v>0.11468208530486468</v>
      </c>
      <c r="Z121" s="171">
        <f t="shared" si="147"/>
        <v>0.30328913736985474</v>
      </c>
      <c r="AA121" s="21">
        <f t="shared" si="147"/>
        <v>0.19957637989505495</v>
      </c>
      <c r="AB121" s="171">
        <f t="shared" si="147"/>
        <v>0.37301089209476701</v>
      </c>
      <c r="AC121" s="171">
        <f t="shared" si="147"/>
        <v>0.31980911062906747</v>
      </c>
      <c r="AD121" s="171">
        <f t="shared" si="147"/>
        <v>0.43181118657957884</v>
      </c>
      <c r="AE121" s="171">
        <f t="shared" si="147"/>
        <v>0.21119215129413216</v>
      </c>
      <c r="AF121" s="21">
        <f t="shared" si="147"/>
        <v>0.32891383976477195</v>
      </c>
      <c r="AG121" s="171">
        <f t="shared" si="147"/>
        <v>0.1027545972604389</v>
      </c>
      <c r="AH121" s="171">
        <f t="shared" si="147"/>
        <v>0.15556782753774345</v>
      </c>
      <c r="AI121" s="171">
        <f t="shared" si="147"/>
        <v>5.7274549626777249E-2</v>
      </c>
      <c r="AJ121" s="171">
        <f t="shared" si="147"/>
        <v>0.12986260564198226</v>
      </c>
      <c r="AK121" s="21">
        <f t="shared" si="147"/>
        <v>0.11032693806386762</v>
      </c>
      <c r="AL121" s="171">
        <f t="shared" si="147"/>
        <v>0.12382040580358278</v>
      </c>
      <c r="AM121" s="171">
        <f t="shared" si="147"/>
        <v>8.6305422455972058E-2</v>
      </c>
      <c r="AN121" s="171">
        <f t="shared" ref="AN121:BP121" si="148">AN3/AI3-1</f>
        <v>9.3753313317259002E-2</v>
      </c>
      <c r="AO121" s="171">
        <f t="shared" si="148"/>
        <v>0.10023062791988657</v>
      </c>
      <c r="AP121" s="21">
        <f t="shared" si="148"/>
        <v>0.1005775242860556</v>
      </c>
      <c r="AQ121" s="171">
        <f t="shared" si="148"/>
        <v>0.10055810341898996</v>
      </c>
      <c r="AR121" s="171">
        <f t="shared" si="148"/>
        <v>0.11343578881214089</v>
      </c>
      <c r="AS121" s="171">
        <f t="shared" si="148"/>
        <v>0.11279808405086356</v>
      </c>
      <c r="AT121" s="171">
        <f t="shared" si="148"/>
        <v>9.5415119082034483E-2</v>
      </c>
      <c r="AU121" s="21">
        <f t="shared" si="148"/>
        <v>0.10158106958504409</v>
      </c>
      <c r="AV121" s="171">
        <f t="shared" si="148"/>
        <v>7.5389537229550774E-2</v>
      </c>
      <c r="AW121" s="171">
        <f t="shared" si="148"/>
        <v>0.12553216619995977</v>
      </c>
      <c r="AX121" s="171">
        <f t="shared" si="148"/>
        <v>6.4927025888617651E-2</v>
      </c>
      <c r="AY121" s="171">
        <f t="shared" si="148"/>
        <v>7.8391057192026548E-2</v>
      </c>
      <c r="AZ121" s="21">
        <f t="shared" si="148"/>
        <v>8.9868328664545194E-2</v>
      </c>
      <c r="BA121" s="274">
        <f t="shared" si="148"/>
        <v>0.12331366454533521</v>
      </c>
      <c r="BB121" s="274">
        <f t="shared" si="148"/>
        <v>0.28707095096582447</v>
      </c>
      <c r="BC121" s="274">
        <f t="shared" si="148"/>
        <v>0.3988451655743861</v>
      </c>
      <c r="BD121" s="274">
        <f t="shared" si="148"/>
        <v>0.4954088488065238</v>
      </c>
      <c r="BE121" s="21">
        <f t="shared" si="148"/>
        <v>0.33032946606325297</v>
      </c>
      <c r="BF121" s="274">
        <f t="shared" si="148"/>
        <v>0.59043475007277935</v>
      </c>
      <c r="BG121" s="274">
        <f t="shared" si="148"/>
        <v>0.48370394208026712</v>
      </c>
      <c r="BH121" s="274">
        <f t="shared" si="148"/>
        <v>0.45668203589271528</v>
      </c>
      <c r="BI121" s="274">
        <f t="shared" si="148"/>
        <v>0.42306605769470096</v>
      </c>
      <c r="BJ121" s="21">
        <f t="shared" si="148"/>
        <v>0.48015743061799232</v>
      </c>
      <c r="BK121" s="274">
        <f t="shared" si="148"/>
        <v>0.24642278218807445</v>
      </c>
      <c r="BL121" s="274">
        <f t="shared" si="148"/>
        <v>6.9352018098596702E-2</v>
      </c>
      <c r="BM121" s="274">
        <f t="shared" si="148"/>
        <v>0.12970549257898734</v>
      </c>
      <c r="BN121" s="274">
        <f t="shared" si="148"/>
        <v>6.0471424992162071E-2</v>
      </c>
      <c r="BO121" s="21">
        <f t="shared" si="148"/>
        <v>0.12007161904984809</v>
      </c>
      <c r="BP121" s="274">
        <f t="shared" si="148"/>
        <v>6.315100390291617E-2</v>
      </c>
      <c r="BQ121" s="274">
        <f>BT121</f>
        <v>6.851029559009203E-2</v>
      </c>
      <c r="BR121" s="274">
        <f>BT121</f>
        <v>6.851029559009203E-2</v>
      </c>
      <c r="BS121" s="274">
        <f>BT121</f>
        <v>6.851029559009203E-2</v>
      </c>
      <c r="BT121" s="21">
        <f t="shared" ref="BT121:BY121" si="149">BT3/BO3-1</f>
        <v>6.851029559009203E-2</v>
      </c>
      <c r="BU121" s="274">
        <f t="shared" si="149"/>
        <v>3.0614012297566662E-2</v>
      </c>
      <c r="BV121" s="274">
        <f t="shared" si="149"/>
        <v>7.0437956204379537E-2</v>
      </c>
      <c r="BW121" s="274">
        <f t="shared" si="149"/>
        <v>3.2642935895416558E-2</v>
      </c>
      <c r="BX121" s="274">
        <f t="shared" si="149"/>
        <v>8.370290463062835E-2</v>
      </c>
      <c r="BY121" s="21">
        <f t="shared" si="149"/>
        <v>5.4675643467544166E-2</v>
      </c>
      <c r="BZ121" s="274">
        <f t="shared" ref="BZ121" si="150">BZ3/BU3-1</f>
        <v>6.0249569345825815E-2</v>
      </c>
      <c r="CA121" s="274">
        <f t="shared" ref="CA121" si="151">CA3/BV3-1</f>
        <v>2.0515716215787405E-2</v>
      </c>
      <c r="CB121" s="274">
        <f t="shared" ref="CB121" si="152">CB3/BW3-1</f>
        <v>1.9509615658625634E-2</v>
      </c>
      <c r="CC121" s="274">
        <f t="shared" ref="CC121" si="153">CC3/BX3-1</f>
        <v>8.3860626019207185E-2</v>
      </c>
      <c r="CD121" s="21">
        <f>CD3/BY3-1</f>
        <v>4.5590044854707079E-2</v>
      </c>
      <c r="CE121" s="274"/>
      <c r="CF121" s="274"/>
      <c r="CG121" s="274"/>
      <c r="CH121" s="274"/>
      <c r="CI121" s="21">
        <f>CI3/CD3-1</f>
        <v>3.36598453410073E-2</v>
      </c>
      <c r="CJ121" s="274"/>
      <c r="CK121" s="274"/>
      <c r="CL121" s="274"/>
      <c r="CM121" s="274"/>
      <c r="CN121" s="21">
        <f>CN3/CI3-1</f>
        <v>4.1080532665647596E-2</v>
      </c>
      <c r="CO121" s="274"/>
      <c r="CP121" s="274"/>
      <c r="CQ121" s="274"/>
      <c r="CR121" s="274"/>
      <c r="CS121" s="21">
        <f>CS3/CN3-1</f>
        <v>2.9750910996305446E-2</v>
      </c>
      <c r="CT121" s="274"/>
      <c r="CU121" s="274"/>
      <c r="CV121" s="274"/>
      <c r="CW121" s="274"/>
      <c r="CX121" s="21">
        <f>CX3/CS3-1</f>
        <v>2.4808755529248439E-2</v>
      </c>
      <c r="CY121" s="274"/>
      <c r="CZ121" s="274"/>
      <c r="DA121" s="274"/>
      <c r="DB121" s="274"/>
      <c r="DC121" s="21">
        <f>DC3/CX3-1</f>
        <v>2.3885571095876523E-2</v>
      </c>
      <c r="DD121" s="274"/>
      <c r="DE121" s="274"/>
      <c r="DF121" s="274"/>
      <c r="DG121" s="274"/>
      <c r="DH121" s="21">
        <f>DH3/DC3-1</f>
        <v>2.5668301022969464E-2</v>
      </c>
      <c r="DI121" s="274"/>
      <c r="DJ121" s="274"/>
      <c r="DK121" s="274"/>
      <c r="DL121" s="274"/>
      <c r="DM121" s="21">
        <f>DM3/DH3-1</f>
        <v>-3.8912146257607416E-2</v>
      </c>
      <c r="DN121" s="274"/>
      <c r="DO121" s="274"/>
      <c r="DP121" s="274"/>
      <c r="DQ121" s="274"/>
      <c r="DR121" s="21">
        <f>DR3/DM3-1</f>
        <v>-7.7411556326884345E-2</v>
      </c>
      <c r="DS121" s="274"/>
      <c r="DT121" s="274"/>
      <c r="DU121" s="274"/>
      <c r="DV121" s="274"/>
      <c r="DW121" s="21">
        <f>DW3/DR3-1</f>
        <v>-0.1416917974750459</v>
      </c>
      <c r="DX121" s="274"/>
      <c r="DY121" s="274"/>
      <c r="DZ121" s="274"/>
      <c r="EA121" s="274"/>
      <c r="EB121" s="21">
        <f>EB3/DW3-1</f>
        <v>-3.6030012941445144E-2</v>
      </c>
      <c r="EC121" s="274"/>
      <c r="ED121" s="274"/>
      <c r="EE121" s="274"/>
      <c r="EF121" s="274"/>
      <c r="EG121" s="21">
        <f>EG3/EB3-1</f>
        <v>-2.1724943464657143E-2</v>
      </c>
      <c r="EH121" s="274"/>
      <c r="EI121" s="274"/>
      <c r="EJ121" s="274"/>
      <c r="EK121" s="274"/>
      <c r="EL121" s="21">
        <f>EL3/EG3-1</f>
        <v>8.1650241330759599E-3</v>
      </c>
    </row>
    <row r="122" spans="2:142" ht="12.75" customHeight="1">
      <c r="B122" s="165" t="s">
        <v>148</v>
      </c>
      <c r="C122" s="170"/>
      <c r="D122" s="170"/>
      <c r="E122" s="170"/>
      <c r="F122" s="170"/>
      <c r="G122" s="38"/>
      <c r="H122" s="171">
        <f t="shared" ref="H122:AM122" si="154">H7/C7-1</f>
        <v>0.24025183150183183</v>
      </c>
      <c r="I122" s="166">
        <f t="shared" si="154"/>
        <v>0.20474731663685186</v>
      </c>
      <c r="J122" s="166">
        <f t="shared" si="154"/>
        <v>0.13846605196982398</v>
      </c>
      <c r="K122" s="166">
        <f t="shared" si="154"/>
        <v>0.19686621869273035</v>
      </c>
      <c r="L122" s="53">
        <f t="shared" si="154"/>
        <v>0.19389008853379419</v>
      </c>
      <c r="M122" s="171">
        <f t="shared" si="154"/>
        <v>8.5022021552694671E-2</v>
      </c>
      <c r="N122" s="171">
        <f t="shared" si="154"/>
        <v>0.1241195108053077</v>
      </c>
      <c r="O122" s="171">
        <f t="shared" si="154"/>
        <v>9.7436662028140386E-2</v>
      </c>
      <c r="P122" s="171">
        <f t="shared" si="154"/>
        <v>7.6681621216065032E-2</v>
      </c>
      <c r="Q122" s="21">
        <f t="shared" si="154"/>
        <v>9.5379645698379756E-2</v>
      </c>
      <c r="R122" s="171">
        <f t="shared" si="154"/>
        <v>3.976338971286264E-2</v>
      </c>
      <c r="S122" s="171">
        <f t="shared" si="154"/>
        <v>8.9834784704953652E-2</v>
      </c>
      <c r="T122" s="171">
        <f t="shared" si="154"/>
        <v>0.17993797497865693</v>
      </c>
      <c r="U122" s="171">
        <f t="shared" si="154"/>
        <v>0.11928204496146844</v>
      </c>
      <c r="V122" s="21">
        <f t="shared" si="154"/>
        <v>0.10755376676986539</v>
      </c>
      <c r="W122" s="171">
        <f t="shared" si="154"/>
        <v>0.17136662985233353</v>
      </c>
      <c r="X122" s="171">
        <f t="shared" si="154"/>
        <v>0.17140601871701922</v>
      </c>
      <c r="Y122" s="171">
        <f t="shared" si="154"/>
        <v>0.12187629710074921</v>
      </c>
      <c r="Z122" s="171">
        <f t="shared" si="154"/>
        <v>0.26111576204116393</v>
      </c>
      <c r="AA122" s="21">
        <f t="shared" si="154"/>
        <v>0.1820943262683612</v>
      </c>
      <c r="AB122" s="171">
        <f t="shared" si="154"/>
        <v>0.31606766213630233</v>
      </c>
      <c r="AC122" s="171">
        <f t="shared" si="154"/>
        <v>0.28488727016875859</v>
      </c>
      <c r="AD122" s="171">
        <f t="shared" si="154"/>
        <v>0.38484676856332301</v>
      </c>
      <c r="AE122" s="171">
        <f t="shared" si="154"/>
        <v>0.19658905183029129</v>
      </c>
      <c r="AF122" s="21">
        <f t="shared" si="154"/>
        <v>0.29192995245012265</v>
      </c>
      <c r="AG122" s="171">
        <f t="shared" si="154"/>
        <v>0.10008427210763049</v>
      </c>
      <c r="AH122" s="171">
        <f t="shared" si="154"/>
        <v>0.10050390359194883</v>
      </c>
      <c r="AI122" s="171">
        <f t="shared" si="154"/>
        <v>2.521034544596179E-2</v>
      </c>
      <c r="AJ122" s="171">
        <f t="shared" si="154"/>
        <v>5.4395446589199148E-2</v>
      </c>
      <c r="AK122" s="21">
        <f t="shared" si="154"/>
        <v>6.8295429391578732E-2</v>
      </c>
      <c r="AL122" s="171">
        <f t="shared" si="154"/>
        <v>6.9828381335360623E-2</v>
      </c>
      <c r="AM122" s="171">
        <f t="shared" si="154"/>
        <v>0.10922363620232178</v>
      </c>
      <c r="AN122" s="171">
        <f t="shared" ref="AN122:BP122" si="155">AN7/AI7-1</f>
        <v>4.9326293732006032E-2</v>
      </c>
      <c r="AO122" s="171">
        <f t="shared" si="155"/>
        <v>8.1641833554114918E-2</v>
      </c>
      <c r="AP122" s="21">
        <f t="shared" si="155"/>
        <v>7.7461284777906592E-2</v>
      </c>
      <c r="AQ122" s="171">
        <f t="shared" si="155"/>
        <v>8.5206428223580932E-2</v>
      </c>
      <c r="AR122" s="171">
        <f t="shared" si="155"/>
        <v>-3.343772831248093E-3</v>
      </c>
      <c r="AS122" s="171">
        <f t="shared" si="155"/>
        <v>0.11408934766356893</v>
      </c>
      <c r="AT122" s="171">
        <f t="shared" si="155"/>
        <v>8.8259758242335007E-2</v>
      </c>
      <c r="AU122" s="21">
        <f t="shared" si="155"/>
        <v>6.755076887717637E-2</v>
      </c>
      <c r="AV122" s="171">
        <f t="shared" si="155"/>
        <v>7.3688111941575762E-2</v>
      </c>
      <c r="AW122" s="171">
        <f t="shared" si="155"/>
        <v>0.17565426464468148</v>
      </c>
      <c r="AX122" s="171">
        <f t="shared" si="155"/>
        <v>8.1942296329433173E-2</v>
      </c>
      <c r="AY122" s="171">
        <f t="shared" si="155"/>
        <v>8.0161035135418501E-2</v>
      </c>
      <c r="AZ122" s="21">
        <f t="shared" si="155"/>
        <v>0.10491137971420583</v>
      </c>
      <c r="BA122" s="274">
        <f t="shared" si="155"/>
        <v>9.5263673613444011E-2</v>
      </c>
      <c r="BB122" s="274">
        <f t="shared" si="155"/>
        <v>0.21290107822155724</v>
      </c>
      <c r="BC122" s="274">
        <f t="shared" si="155"/>
        <v>0.28964567870833657</v>
      </c>
      <c r="BD122" s="274">
        <f t="shared" si="155"/>
        <v>0.37182888652867296</v>
      </c>
      <c r="BE122" s="21">
        <f t="shared" si="155"/>
        <v>0.24617130412212163</v>
      </c>
      <c r="BF122" s="274">
        <f t="shared" si="155"/>
        <v>0.50502227410719858</v>
      </c>
      <c r="BG122" s="274">
        <f t="shared" si="155"/>
        <v>0.40498400613180441</v>
      </c>
      <c r="BH122" s="274">
        <f t="shared" si="155"/>
        <v>0.37404173368786164</v>
      </c>
      <c r="BI122" s="274">
        <f t="shared" si="155"/>
        <v>0.34327390187450724</v>
      </c>
      <c r="BJ122" s="21">
        <f t="shared" si="155"/>
        <v>0.39963261411572426</v>
      </c>
      <c r="BK122" s="274">
        <f t="shared" si="155"/>
        <v>0.19959234671095327</v>
      </c>
      <c r="BL122" s="274">
        <f t="shared" si="155"/>
        <v>7.0432120892753414E-2</v>
      </c>
      <c r="BM122" s="274">
        <f t="shared" si="155"/>
        <v>0.10621530385284017</v>
      </c>
      <c r="BN122" s="274">
        <f t="shared" si="155"/>
        <v>7.4981964838535697E-2</v>
      </c>
      <c r="BO122" s="21">
        <f t="shared" si="155"/>
        <v>0.10928079903340326</v>
      </c>
      <c r="BP122" s="274">
        <f t="shared" si="155"/>
        <v>6.7310466085259035E-2</v>
      </c>
      <c r="BQ122" s="274">
        <f>BT122</f>
        <v>6.3648029940603479E-2</v>
      </c>
      <c r="BR122" s="274">
        <f>BT122</f>
        <v>6.3648029940603479E-2</v>
      </c>
      <c r="BS122" s="274">
        <f>BT122</f>
        <v>6.3648029940603479E-2</v>
      </c>
      <c r="BT122" s="21">
        <f t="shared" ref="BT122:BY122" si="156">BT7/BO7-1</f>
        <v>6.3648029940603479E-2</v>
      </c>
      <c r="BU122" s="274">
        <f t="shared" si="156"/>
        <v>3.0768666568872005E-2</v>
      </c>
      <c r="BV122" s="274">
        <f t="shared" si="156"/>
        <v>6.3644530440190694E-2</v>
      </c>
      <c r="BW122" s="274">
        <f t="shared" si="156"/>
        <v>4.1274781784965242E-2</v>
      </c>
      <c r="BX122" s="274">
        <f t="shared" si="156"/>
        <v>0.15146239554317531</v>
      </c>
      <c r="BY122" s="21">
        <f t="shared" si="156"/>
        <v>7.2068688421494276E-2</v>
      </c>
      <c r="BZ122" s="274">
        <f t="shared" ref="BZ122" si="157">BZ7/BU7-1</f>
        <v>0.11399295549151445</v>
      </c>
      <c r="CA122" s="274">
        <f t="shared" ref="CA122" si="158">CA7/BV7-1</f>
        <v>2.6295782528968026E-2</v>
      </c>
      <c r="CB122" s="274">
        <f t="shared" ref="CB122" si="159">CB7/BW7-1</f>
        <v>2.7213483618765411E-2</v>
      </c>
      <c r="CC122" s="274">
        <f t="shared" ref="CC122" si="160">CC7/BX7-1</f>
        <v>3.4187988539143621E-2</v>
      </c>
      <c r="CD122" s="21">
        <f>CD7/BY7-1</f>
        <v>4.8465006819424561E-2</v>
      </c>
      <c r="CE122" s="274"/>
      <c r="CF122" s="274"/>
      <c r="CG122" s="274"/>
      <c r="CH122" s="274"/>
      <c r="CI122" s="21">
        <f>CI7/CD7-1</f>
        <v>4.2602195366722162E-2</v>
      </c>
      <c r="CJ122" s="274"/>
      <c r="CK122" s="274"/>
      <c r="CL122" s="274"/>
      <c r="CM122" s="274"/>
      <c r="CN122" s="21">
        <f>CN7/CI7-1</f>
        <v>4.9921200194136039E-2</v>
      </c>
      <c r="CO122" s="274"/>
      <c r="CP122" s="274"/>
      <c r="CQ122" s="274"/>
      <c r="CR122" s="274"/>
      <c r="CS122" s="21">
        <f>CS7/CN7-1</f>
        <v>3.6964115606749059E-2</v>
      </c>
      <c r="CT122" s="274"/>
      <c r="CU122" s="274"/>
      <c r="CV122" s="274"/>
      <c r="CW122" s="274"/>
      <c r="CX122" s="21">
        <f>CX7/CS7-1</f>
        <v>2.3611889453736268E-2</v>
      </c>
      <c r="CY122" s="274"/>
      <c r="CZ122" s="274"/>
      <c r="DA122" s="274"/>
      <c r="DB122" s="274"/>
      <c r="DC122" s="21">
        <f>DC7/CX7-1</f>
        <v>2.3441718422873459E-2</v>
      </c>
      <c r="DD122" s="274"/>
      <c r="DE122" s="274"/>
      <c r="DF122" s="274"/>
      <c r="DG122" s="274"/>
      <c r="DH122" s="21">
        <f>DH7/DC7-1</f>
        <v>2.3385534699440491E-2</v>
      </c>
      <c r="DI122" s="274"/>
      <c r="DJ122" s="274"/>
      <c r="DK122" s="274"/>
      <c r="DL122" s="274"/>
      <c r="DM122" s="21">
        <f>DM7/DH7-1</f>
        <v>-3.1638681567881521E-2</v>
      </c>
      <c r="DN122" s="274"/>
      <c r="DO122" s="274"/>
      <c r="DP122" s="274"/>
      <c r="DQ122" s="274"/>
      <c r="DR122" s="21">
        <f>DR7/DM7-1</f>
        <v>-6.0014231898829373E-2</v>
      </c>
      <c r="DS122" s="274"/>
      <c r="DT122" s="274"/>
      <c r="DU122" s="274"/>
      <c r="DV122" s="274"/>
      <c r="DW122" s="21">
        <f>DW7/DR7-1</f>
        <v>-0.1084804226467958</v>
      </c>
      <c r="DX122" s="274"/>
      <c r="DY122" s="274"/>
      <c r="DZ122" s="274"/>
      <c r="EA122" s="274"/>
      <c r="EB122" s="21">
        <f>EB7/DW7-1</f>
        <v>-2.2458795181597324E-2</v>
      </c>
      <c r="EC122" s="274"/>
      <c r="ED122" s="274"/>
      <c r="EE122" s="274"/>
      <c r="EF122" s="274"/>
      <c r="EG122" s="21">
        <f>EG7/EB7-1</f>
        <v>-1.0994188053034093E-2</v>
      </c>
      <c r="EH122" s="274"/>
      <c r="EI122" s="274"/>
      <c r="EJ122" s="274"/>
      <c r="EK122" s="274"/>
      <c r="EL122" s="21">
        <f>EL7/EG7-1</f>
        <v>1.1840143980392792E-2</v>
      </c>
    </row>
    <row r="123" spans="2:142" ht="12.75" customHeight="1">
      <c r="B123" s="165"/>
      <c r="C123" s="170"/>
      <c r="D123" s="170"/>
      <c r="E123" s="170"/>
      <c r="F123" s="170"/>
      <c r="G123" s="38"/>
      <c r="H123" s="171"/>
      <c r="I123" s="166"/>
      <c r="J123" s="166"/>
      <c r="K123" s="166"/>
      <c r="L123" s="53"/>
      <c r="M123" s="171"/>
      <c r="N123" s="171"/>
      <c r="O123" s="171"/>
      <c r="P123" s="171"/>
      <c r="Q123" s="21"/>
      <c r="R123" s="171"/>
      <c r="S123" s="171"/>
      <c r="T123" s="171"/>
      <c r="U123" s="171"/>
      <c r="V123" s="21"/>
      <c r="W123" s="171"/>
      <c r="X123" s="171"/>
      <c r="Y123" s="171"/>
      <c r="Z123" s="171"/>
      <c r="AA123" s="21"/>
      <c r="AB123" s="171"/>
      <c r="AC123" s="171"/>
      <c r="AD123" s="171"/>
      <c r="AE123" s="171"/>
      <c r="AF123" s="21"/>
      <c r="AG123" s="171"/>
      <c r="AH123" s="171"/>
      <c r="AI123" s="171"/>
      <c r="AJ123" s="171"/>
      <c r="AK123" s="21"/>
      <c r="AL123" s="171"/>
      <c r="AM123" s="171"/>
      <c r="AN123" s="171"/>
      <c r="AO123" s="171"/>
      <c r="AP123" s="21"/>
      <c r="AQ123" s="171"/>
      <c r="AR123" s="171"/>
      <c r="AS123" s="171"/>
      <c r="AT123" s="171"/>
      <c r="AU123" s="21"/>
      <c r="AV123" s="171"/>
      <c r="AW123" s="171"/>
      <c r="AX123" s="171"/>
      <c r="AY123" s="171"/>
      <c r="AZ123" s="21"/>
      <c r="BA123" s="274"/>
      <c r="BB123" s="274"/>
      <c r="BC123" s="274"/>
      <c r="BD123" s="274"/>
      <c r="BE123" s="21"/>
      <c r="BF123" s="274"/>
      <c r="BG123" s="274"/>
      <c r="BH123" s="255"/>
      <c r="BI123" s="255"/>
      <c r="BJ123" s="401"/>
      <c r="BK123" s="274"/>
      <c r="BL123" s="274"/>
      <c r="BM123" s="255"/>
      <c r="BN123" s="255"/>
      <c r="BO123" s="401"/>
      <c r="BP123" s="255"/>
      <c r="BQ123" s="274"/>
      <c r="BR123" s="274"/>
      <c r="BS123" s="274"/>
      <c r="BT123" s="21"/>
      <c r="BU123" s="255"/>
      <c r="BV123" s="274"/>
      <c r="BW123" s="274"/>
      <c r="BX123" s="274"/>
      <c r="BY123" s="21"/>
      <c r="BZ123" s="274"/>
      <c r="CA123" s="274"/>
      <c r="CB123" s="274"/>
      <c r="CC123" s="274"/>
      <c r="CD123" s="21"/>
      <c r="CE123" s="274"/>
      <c r="CF123" s="274"/>
      <c r="CG123" s="274"/>
      <c r="CH123" s="274"/>
      <c r="CI123" s="21"/>
      <c r="CJ123" s="274"/>
      <c r="CK123" s="274"/>
      <c r="CL123" s="274"/>
      <c r="CM123" s="274"/>
      <c r="CN123" s="21"/>
      <c r="CO123" s="274"/>
      <c r="CP123" s="274"/>
      <c r="CQ123" s="274"/>
      <c r="CR123" s="274"/>
      <c r="CS123" s="21"/>
      <c r="CT123" s="274"/>
      <c r="CU123" s="274"/>
      <c r="CV123" s="274"/>
      <c r="CW123" s="274"/>
      <c r="CX123" s="21"/>
      <c r="CY123" s="274"/>
      <c r="CZ123" s="274"/>
      <c r="DA123" s="274"/>
      <c r="DB123" s="274"/>
      <c r="DC123" s="21"/>
      <c r="DD123" s="274"/>
      <c r="DE123" s="274"/>
      <c r="DF123" s="274"/>
      <c r="DG123" s="274"/>
      <c r="DH123" s="21"/>
      <c r="DI123" s="274"/>
      <c r="DJ123" s="274"/>
      <c r="DK123" s="274"/>
      <c r="DL123" s="274"/>
      <c r="DM123" s="21"/>
      <c r="DN123" s="274"/>
      <c r="DO123" s="274"/>
      <c r="DP123" s="274"/>
      <c r="DQ123" s="274"/>
      <c r="DR123" s="21"/>
      <c r="DS123" s="274"/>
      <c r="DT123" s="274"/>
      <c r="DU123" s="274"/>
      <c r="DV123" s="274"/>
      <c r="DW123" s="21"/>
      <c r="DX123" s="274"/>
      <c r="DY123" s="274"/>
      <c r="DZ123" s="274"/>
      <c r="EA123" s="274"/>
      <c r="EB123" s="21"/>
      <c r="EC123" s="274"/>
      <c r="ED123" s="274"/>
      <c r="EE123" s="274"/>
      <c r="EF123" s="274"/>
      <c r="EG123" s="21"/>
      <c r="EH123" s="274"/>
      <c r="EI123" s="274"/>
      <c r="EJ123" s="274"/>
      <c r="EK123" s="274"/>
      <c r="EL123" s="21"/>
    </row>
    <row r="124" spans="2:142" ht="12.75" customHeight="1">
      <c r="B124" s="165" t="s">
        <v>153</v>
      </c>
      <c r="C124" s="170"/>
      <c r="D124" s="170"/>
      <c r="E124" s="170"/>
      <c r="F124" s="170"/>
      <c r="G124" s="38"/>
      <c r="H124" s="171">
        <f t="shared" ref="H124:AM124" si="161">H11/C11-1</f>
        <v>0.28108050847457577</v>
      </c>
      <c r="I124" s="166">
        <f t="shared" si="161"/>
        <v>0.18074898785425053</v>
      </c>
      <c r="J124" s="166">
        <f t="shared" si="161"/>
        <v>0.1140255009107467</v>
      </c>
      <c r="K124" s="166">
        <f t="shared" si="161"/>
        <v>-1.7341772151898693E-3</v>
      </c>
      <c r="L124" s="53">
        <f t="shared" si="161"/>
        <v>0.12285900216919732</v>
      </c>
      <c r="M124" s="171">
        <f t="shared" si="161"/>
        <v>0.49352539401657136</v>
      </c>
      <c r="N124" s="171">
        <f t="shared" si="161"/>
        <v>6.4530507980593343E-2</v>
      </c>
      <c r="O124" s="171">
        <f t="shared" si="161"/>
        <v>0.27961085676913044</v>
      </c>
      <c r="P124" s="171">
        <f t="shared" si="161"/>
        <v>-8.2573576962580719E-2</v>
      </c>
      <c r="Q124" s="21">
        <f t="shared" si="161"/>
        <v>0.17075639732786252</v>
      </c>
      <c r="R124" s="171">
        <f t="shared" si="161"/>
        <v>-0.29692500193779137</v>
      </c>
      <c r="S124" s="171">
        <f t="shared" si="161"/>
        <v>0.23996263669012596</v>
      </c>
      <c r="T124" s="171">
        <f t="shared" si="161"/>
        <v>-0.18360358288291745</v>
      </c>
      <c r="U124" s="171">
        <f t="shared" si="161"/>
        <v>-0.14162900305455406</v>
      </c>
      <c r="V124" s="21">
        <f t="shared" si="161"/>
        <v>-0.12055878606269033</v>
      </c>
      <c r="W124" s="171">
        <f t="shared" si="161"/>
        <v>0.24342457555044583</v>
      </c>
      <c r="X124" s="171">
        <f t="shared" si="161"/>
        <v>9.0527710311327114E-2</v>
      </c>
      <c r="Y124" s="171">
        <f t="shared" si="161"/>
        <v>0.27735866775183116</v>
      </c>
      <c r="Z124" s="171">
        <f t="shared" si="161"/>
        <v>0.45829576194770127</v>
      </c>
      <c r="AA124" s="21">
        <f t="shared" si="161"/>
        <v>0.25746107631631299</v>
      </c>
      <c r="AB124" s="171">
        <f t="shared" si="161"/>
        <v>0.27845471817606082</v>
      </c>
      <c r="AC124" s="171">
        <f t="shared" si="161"/>
        <v>0.10049664733275354</v>
      </c>
      <c r="AD124" s="171">
        <f t="shared" si="161"/>
        <v>0.31710634335216192</v>
      </c>
      <c r="AE124" s="171">
        <f t="shared" si="161"/>
        <v>0.11698650707771163</v>
      </c>
      <c r="AF124" s="21">
        <f t="shared" si="161"/>
        <v>0.19963771143447162</v>
      </c>
      <c r="AG124" s="171">
        <f t="shared" si="161"/>
        <v>-2.7116729744189216E-2</v>
      </c>
      <c r="AH124" s="171">
        <f t="shared" si="161"/>
        <v>-1.8181621411023641E-2</v>
      </c>
      <c r="AI124" s="171">
        <f t="shared" si="161"/>
        <v>-0.13030615947084923</v>
      </c>
      <c r="AJ124" s="171">
        <f t="shared" si="161"/>
        <v>-1.444232461126338E-2</v>
      </c>
      <c r="AK124" s="21">
        <f t="shared" si="161"/>
        <v>-4.9466527691056195E-2</v>
      </c>
      <c r="AL124" s="171">
        <f t="shared" si="161"/>
        <v>-1.1629683187877382E-2</v>
      </c>
      <c r="AM124" s="171">
        <f t="shared" si="161"/>
        <v>0.17927491980908505</v>
      </c>
      <c r="AN124" s="171">
        <f t="shared" ref="AN124:BS124" si="162">AN11/AI11-1</f>
        <v>2.6014590419956019E-2</v>
      </c>
      <c r="AO124" s="171">
        <f t="shared" si="162"/>
        <v>6.058174523570603E-3</v>
      </c>
      <c r="AP124" s="21">
        <f t="shared" si="162"/>
        <v>4.7521093733643216E-2</v>
      </c>
      <c r="AQ124" s="171">
        <f t="shared" si="162"/>
        <v>6.2418216475194299E-2</v>
      </c>
      <c r="AR124" s="171">
        <f t="shared" si="162"/>
        <v>-6.0587932887787965E-2</v>
      </c>
      <c r="AS124" s="171">
        <f t="shared" si="162"/>
        <v>0.28783961300277316</v>
      </c>
      <c r="AT124" s="171">
        <f t="shared" si="162"/>
        <v>0.39214787047376021</v>
      </c>
      <c r="AU124" s="21">
        <f t="shared" si="162"/>
        <v>0.16618864643658382</v>
      </c>
      <c r="AV124" s="171">
        <f t="shared" si="162"/>
        <v>0.29175758633731919</v>
      </c>
      <c r="AW124" s="171">
        <f t="shared" si="162"/>
        <v>0.38415768683521878</v>
      </c>
      <c r="AX124" s="171">
        <f t="shared" si="162"/>
        <v>0.12815821642232073</v>
      </c>
      <c r="AY124" s="171">
        <f t="shared" si="162"/>
        <v>-4.1607585327776087E-2</v>
      </c>
      <c r="AZ124" s="21">
        <f t="shared" si="162"/>
        <v>0.16863154241496559</v>
      </c>
      <c r="BA124" s="274">
        <f t="shared" si="162"/>
        <v>4.1442374828262185E-3</v>
      </c>
      <c r="BB124" s="274">
        <f t="shared" si="162"/>
        <v>0.65857726148714724</v>
      </c>
      <c r="BC124" s="274">
        <f t="shared" si="162"/>
        <v>0.68412290647110319</v>
      </c>
      <c r="BD124" s="274">
        <f t="shared" si="162"/>
        <v>0.93197985473891864</v>
      </c>
      <c r="BE124" s="21">
        <f t="shared" si="162"/>
        <v>0.57238104840557646</v>
      </c>
      <c r="BF124" s="274">
        <f t="shared" si="162"/>
        <v>1.0878286940463107</v>
      </c>
      <c r="BG124" s="274">
        <f t="shared" si="162"/>
        <v>0.26506969245171796</v>
      </c>
      <c r="BH124" s="274">
        <f t="shared" si="162"/>
        <v>0.2894936428400996</v>
      </c>
      <c r="BI124" s="274">
        <f t="shared" si="162"/>
        <v>0.14972558817727899</v>
      </c>
      <c r="BJ124" s="21">
        <f t="shared" si="162"/>
        <v>0.36527982129491243</v>
      </c>
      <c r="BK124" s="274">
        <f t="shared" si="162"/>
        <v>0.11884187720460515</v>
      </c>
      <c r="BL124" s="274">
        <f t="shared" si="162"/>
        <v>-1.9757645938325408E-2</v>
      </c>
      <c r="BM124" s="274">
        <f t="shared" si="162"/>
        <v>2.4415227383119964E-2</v>
      </c>
      <c r="BN124" s="274">
        <f t="shared" si="162"/>
        <v>0.11617580273493355</v>
      </c>
      <c r="BO124" s="21">
        <f t="shared" si="162"/>
        <v>5.9215088178330877E-2</v>
      </c>
      <c r="BP124" s="274">
        <f t="shared" si="162"/>
        <v>1.8212021214285556E-3</v>
      </c>
      <c r="BQ124" s="274">
        <f t="shared" si="162"/>
        <v>0.29421221864951774</v>
      </c>
      <c r="BR124" s="274">
        <f t="shared" si="162"/>
        <v>0.34471725134503961</v>
      </c>
      <c r="BS124" s="274">
        <f t="shared" si="162"/>
        <v>0.1407474382157925</v>
      </c>
      <c r="BT124" s="21">
        <f t="shared" ref="BT124:BY124" si="163">BT11/BO11-1</f>
        <v>0.19213562951323748</v>
      </c>
      <c r="BU124" s="274">
        <f t="shared" si="163"/>
        <v>0.22875399361022364</v>
      </c>
      <c r="BV124" s="274">
        <f t="shared" si="163"/>
        <v>-1.1072103699703018E-2</v>
      </c>
      <c r="BW124" s="274">
        <f t="shared" si="163"/>
        <v>-0.11249700167905963</v>
      </c>
      <c r="BX124" s="274">
        <f t="shared" si="163"/>
        <v>0.34531043593130772</v>
      </c>
      <c r="BY124" s="21">
        <f t="shared" si="163"/>
        <v>0.10231960505849735</v>
      </c>
      <c r="BZ124" s="274">
        <f t="shared" ref="BZ124" si="164">BZ11/BU11-1</f>
        <v>0.15964638585543423</v>
      </c>
      <c r="CA124" s="274">
        <f t="shared" ref="CA124" si="165">CA11/BV11-1</f>
        <v>0.14619262049542581</v>
      </c>
      <c r="CB124" s="274">
        <f t="shared" ref="CB124" si="166">CB11/BW11-1</f>
        <v>0.13292205548172875</v>
      </c>
      <c r="CC124" s="274">
        <f t="shared" ref="CC124" si="167">CC11/BX11-1</f>
        <v>-8.9466296063702266E-2</v>
      </c>
      <c r="CD124" s="21">
        <f>CD11/BY11-1</f>
        <v>3.9372556504152945E-2</v>
      </c>
      <c r="CE124" s="274"/>
      <c r="CF124" s="274"/>
      <c r="CG124" s="274"/>
      <c r="CH124" s="274"/>
      <c r="CI124" s="21">
        <f>CI11/CD11-1</f>
        <v>3.2454003727967695E-2</v>
      </c>
      <c r="CJ124" s="274"/>
      <c r="CK124" s="274"/>
      <c r="CL124" s="274"/>
      <c r="CM124" s="274"/>
      <c r="CN124" s="21">
        <f>CN11/CI11-1</f>
        <v>7.6325350022701244E-2</v>
      </c>
      <c r="CO124" s="274"/>
      <c r="CP124" s="274"/>
      <c r="CQ124" s="274"/>
      <c r="CR124" s="274"/>
      <c r="CS124" s="21">
        <f>CS11/CN11-1</f>
        <v>4.1816573700206527E-2</v>
      </c>
      <c r="CT124" s="274"/>
      <c r="CU124" s="274"/>
      <c r="CV124" s="274"/>
      <c r="CW124" s="274"/>
      <c r="CX124" s="21">
        <f>CX11/CS11-1</f>
        <v>4.0803548029598069E-2</v>
      </c>
      <c r="CY124" s="274"/>
      <c r="CZ124" s="274"/>
      <c r="DA124" s="274"/>
      <c r="DB124" s="274"/>
      <c r="DC124" s="21">
        <f>DC11/CX11-1</f>
        <v>3.8798996110149808E-2</v>
      </c>
      <c r="DD124" s="274"/>
      <c r="DE124" s="274"/>
      <c r="DF124" s="274"/>
      <c r="DG124" s="274"/>
      <c r="DH124" s="21">
        <f>DH11/DC11-1</f>
        <v>3.8903731746842363E-2</v>
      </c>
      <c r="DI124" s="274"/>
      <c r="DJ124" s="274"/>
      <c r="DK124" s="274"/>
      <c r="DL124" s="274"/>
      <c r="DM124" s="21">
        <f>DM11/DH11-1</f>
        <v>7.955520478001521E-3</v>
      </c>
      <c r="DN124" s="274"/>
      <c r="DO124" s="274"/>
      <c r="DP124" s="274"/>
      <c r="DQ124" s="274"/>
      <c r="DR124" s="21">
        <f>DR11/DM11-1</f>
        <v>-8.3814122786505241E-3</v>
      </c>
      <c r="DS124" s="274"/>
      <c r="DT124" s="274"/>
      <c r="DU124" s="274"/>
      <c r="DV124" s="274"/>
      <c r="DW124" s="21">
        <f>DW11/DR11-1</f>
        <v>-4.7341808151515563E-2</v>
      </c>
      <c r="DX124" s="274"/>
      <c r="DY124" s="274"/>
      <c r="DZ124" s="274"/>
      <c r="EA124" s="274"/>
      <c r="EB124" s="21">
        <f>EB11/DW11-1</f>
        <v>1.628482020099109E-2</v>
      </c>
      <c r="EC124" s="274"/>
      <c r="ED124" s="274"/>
      <c r="EE124" s="274"/>
      <c r="EF124" s="274"/>
      <c r="EG124" s="21">
        <f>EG11/EB11-1</f>
        <v>3.1542122986008003E-3</v>
      </c>
      <c r="EH124" s="274"/>
      <c r="EI124" s="274"/>
      <c r="EJ124" s="274"/>
      <c r="EK124" s="274"/>
      <c r="EL124" s="21">
        <f>EL11/EG11-1</f>
        <v>1.5120854274696116E-2</v>
      </c>
    </row>
    <row r="125" spans="2:142" ht="12.75" customHeight="1">
      <c r="B125" s="165" t="s">
        <v>155</v>
      </c>
      <c r="C125" s="170"/>
      <c r="D125" s="170"/>
      <c r="E125" s="170"/>
      <c r="F125" s="170"/>
      <c r="G125" s="38"/>
      <c r="H125" s="171">
        <f t="shared" ref="H125:AM125" si="168">H14/C14-1</f>
        <v>0.42472727272727262</v>
      </c>
      <c r="I125" s="166">
        <f t="shared" si="168"/>
        <v>0.23058224163027674</v>
      </c>
      <c r="J125" s="166">
        <f t="shared" si="168"/>
        <v>0.32238207547169795</v>
      </c>
      <c r="K125" s="166">
        <f t="shared" si="168"/>
        <v>0.18124530663329153</v>
      </c>
      <c r="L125" s="53">
        <f t="shared" si="168"/>
        <v>0.27764221556886226</v>
      </c>
      <c r="M125" s="171">
        <f t="shared" si="168"/>
        <v>0.10054236855538545</v>
      </c>
      <c r="N125" s="171">
        <f t="shared" si="168"/>
        <v>5.240652464484663E-2</v>
      </c>
      <c r="O125" s="171">
        <f t="shared" si="168"/>
        <v>0.23204741776501581</v>
      </c>
      <c r="P125" s="171">
        <f t="shared" si="168"/>
        <v>-0.11099103108130193</v>
      </c>
      <c r="Q125" s="21">
        <f t="shared" si="168"/>
        <v>6.2537713907424797E-2</v>
      </c>
      <c r="R125" s="171">
        <f t="shared" si="168"/>
        <v>-0.18196629115766172</v>
      </c>
      <c r="S125" s="171">
        <f t="shared" si="168"/>
        <v>-0.12733290997679025</v>
      </c>
      <c r="T125" s="171">
        <f t="shared" si="168"/>
        <v>-6.7844372922085672E-3</v>
      </c>
      <c r="U125" s="171">
        <f t="shared" si="168"/>
        <v>0.17142993349700864</v>
      </c>
      <c r="V125" s="21">
        <f t="shared" si="168"/>
        <v>-3.6777486625929945E-2</v>
      </c>
      <c r="W125" s="171">
        <f t="shared" si="168"/>
        <v>0.35690896719870757</v>
      </c>
      <c r="X125" s="171">
        <f t="shared" si="168"/>
        <v>0.38357858131822131</v>
      </c>
      <c r="Y125" s="171">
        <f t="shared" si="168"/>
        <v>0.36991638852856434</v>
      </c>
      <c r="Z125" s="171">
        <f t="shared" si="168"/>
        <v>0.13334011598331386</v>
      </c>
      <c r="AA125" s="21">
        <f t="shared" si="168"/>
        <v>0.30377366590821264</v>
      </c>
      <c r="AB125" s="171">
        <f t="shared" si="168"/>
        <v>0.33054756096923987</v>
      </c>
      <c r="AC125" s="171">
        <f t="shared" si="168"/>
        <v>0.16062443855917419</v>
      </c>
      <c r="AD125" s="171">
        <f t="shared" si="168"/>
        <v>-6.1615609949853378E-2</v>
      </c>
      <c r="AE125" s="171">
        <f t="shared" si="168"/>
        <v>0.29478167977306113</v>
      </c>
      <c r="AF125" s="21">
        <f t="shared" si="168"/>
        <v>0.16035536471641931</v>
      </c>
      <c r="AG125" s="171">
        <f t="shared" si="168"/>
        <v>7.8301901606393942E-2</v>
      </c>
      <c r="AH125" s="171">
        <f t="shared" si="168"/>
        <v>0.65284990716196356</v>
      </c>
      <c r="AI125" s="171">
        <f t="shared" si="168"/>
        <v>0.12832577475434603</v>
      </c>
      <c r="AJ125" s="171">
        <f t="shared" si="168"/>
        <v>-3.4614011308052195E-2</v>
      </c>
      <c r="AK125" s="21">
        <f t="shared" si="168"/>
        <v>0.19553368559855766</v>
      </c>
      <c r="AL125" s="171">
        <f t="shared" si="168"/>
        <v>0.10977216959494362</v>
      </c>
      <c r="AM125" s="171">
        <f t="shared" si="168"/>
        <v>-0.2032691743114815</v>
      </c>
      <c r="AN125" s="171">
        <f t="shared" ref="AN125:BS125" si="169">AN14/AI14-1</f>
        <v>6.4976302523822804E-2</v>
      </c>
      <c r="AO125" s="171">
        <f t="shared" si="169"/>
        <v>2.1771604627947694E-2</v>
      </c>
      <c r="AP125" s="21">
        <f t="shared" si="169"/>
        <v>-2.2283972693350917E-2</v>
      </c>
      <c r="AQ125" s="171">
        <f t="shared" si="169"/>
        <v>-4.0668569366531959E-2</v>
      </c>
      <c r="AR125" s="171">
        <f t="shared" si="169"/>
        <v>-0.13165131328511603</v>
      </c>
      <c r="AS125" s="171">
        <f t="shared" si="169"/>
        <v>-5.7753637318605611E-2</v>
      </c>
      <c r="AT125" s="171">
        <f t="shared" si="169"/>
        <v>0.18657154404399967</v>
      </c>
      <c r="AU125" s="21">
        <f t="shared" si="169"/>
        <v>-1.691586334591455E-2</v>
      </c>
      <c r="AV125" s="171">
        <f t="shared" si="169"/>
        <v>0.20937787459007695</v>
      </c>
      <c r="AW125" s="171">
        <f t="shared" si="169"/>
        <v>0.15400990376792079</v>
      </c>
      <c r="AX125" s="171">
        <f t="shared" si="169"/>
        <v>-1.2930962545603886E-2</v>
      </c>
      <c r="AY125" s="171">
        <f t="shared" si="169"/>
        <v>1.9983236235794566E-2</v>
      </c>
      <c r="AZ125" s="21">
        <f t="shared" si="169"/>
        <v>8.891744409166602E-2</v>
      </c>
      <c r="BA125" s="274">
        <f t="shared" si="169"/>
        <v>-0.20053610509469499</v>
      </c>
      <c r="BB125" s="274">
        <f t="shared" si="169"/>
        <v>-7.2813689946180649E-3</v>
      </c>
      <c r="BC125" s="274">
        <f t="shared" si="169"/>
        <v>0.3824602576111622</v>
      </c>
      <c r="BD125" s="274">
        <f t="shared" si="169"/>
        <v>0.22374411986758802</v>
      </c>
      <c r="BE125" s="21">
        <f t="shared" si="169"/>
        <v>8.8322807823903338E-2</v>
      </c>
      <c r="BF125" s="274">
        <f t="shared" si="169"/>
        <v>0.86243191624814375</v>
      </c>
      <c r="BG125" s="274">
        <f t="shared" si="169"/>
        <v>0.36554491938174816</v>
      </c>
      <c r="BH125" s="274">
        <f t="shared" si="169"/>
        <v>1.7506610537233014E-2</v>
      </c>
      <c r="BI125" s="274">
        <f t="shared" si="169"/>
        <v>0.1842712839288807</v>
      </c>
      <c r="BJ125" s="21">
        <f t="shared" si="169"/>
        <v>0.31123402653278265</v>
      </c>
      <c r="BK125" s="274">
        <f t="shared" si="169"/>
        <v>-0.12540259483767091</v>
      </c>
      <c r="BL125" s="274">
        <f t="shared" si="169"/>
        <v>0.1001069331701312</v>
      </c>
      <c r="BM125" s="274">
        <f t="shared" si="169"/>
        <v>0.24974878237582177</v>
      </c>
      <c r="BN125" s="274">
        <f t="shared" si="169"/>
        <v>8.5373208493040531E-2</v>
      </c>
      <c r="BO125" s="21">
        <f t="shared" si="169"/>
        <v>6.6279886551091627E-2</v>
      </c>
      <c r="BP125" s="274">
        <f t="shared" si="169"/>
        <v>-5.0481056304540806E-2</v>
      </c>
      <c r="BQ125" s="274">
        <f t="shared" si="169"/>
        <v>-3.5922140167261696E-2</v>
      </c>
      <c r="BR125" s="274">
        <f t="shared" si="169"/>
        <v>1.7575784389348703E-2</v>
      </c>
      <c r="BS125" s="274">
        <f t="shared" si="169"/>
        <v>-1.4399113900683158E-2</v>
      </c>
      <c r="BT125" s="21">
        <f t="shared" ref="BT125:BY125" si="170">BT14/BO14-1</f>
        <v>-1.9643886250273246E-2</v>
      </c>
      <c r="BU125" s="274">
        <f t="shared" si="170"/>
        <v>-3.1785959295678068E-2</v>
      </c>
      <c r="BV125" s="274">
        <f t="shared" si="170"/>
        <v>0.68294229549778063</v>
      </c>
      <c r="BW125" s="274">
        <f t="shared" si="170"/>
        <v>-0.15614366729678641</v>
      </c>
      <c r="BX125" s="274">
        <f t="shared" si="170"/>
        <v>0.10058063307735532</v>
      </c>
      <c r="BY125" s="21">
        <f t="shared" si="170"/>
        <v>0.14204631834997206</v>
      </c>
      <c r="BZ125" s="274">
        <f t="shared" ref="BZ125" si="171">BZ14/BU14-1</f>
        <v>0.17312234293812012</v>
      </c>
      <c r="CA125" s="274">
        <f t="shared" ref="CA125" si="172">CA14/BV14-1</f>
        <v>0.10587268262992722</v>
      </c>
      <c r="CB125" s="274">
        <f t="shared" ref="CB125" si="173">CB14/BW14-1</f>
        <v>0.15442181577226544</v>
      </c>
      <c r="CC125" s="274">
        <f t="shared" ref="CC125" si="174">CC14/BX14-1</f>
        <v>7.6361932486917361E-2</v>
      </c>
      <c r="CD125" s="21">
        <f>CD14/BY14-1</f>
        <v>0.12042953496627629</v>
      </c>
      <c r="CE125" s="274"/>
      <c r="CF125" s="274"/>
      <c r="CG125" s="274"/>
      <c r="CH125" s="274"/>
      <c r="CI125" s="21">
        <f>CI14/CD14-1</f>
        <v>-0.10594059405940592</v>
      </c>
      <c r="CJ125" s="274"/>
      <c r="CK125" s="274"/>
      <c r="CL125" s="274"/>
      <c r="CM125" s="274"/>
      <c r="CN125" s="21">
        <f>CN14/CI14-1</f>
        <v>5.0000000000000044E-2</v>
      </c>
      <c r="CO125" s="274"/>
      <c r="CP125" s="274"/>
      <c r="CQ125" s="274"/>
      <c r="CR125" s="274"/>
      <c r="CS125" s="21">
        <f>CS14/CN14-1</f>
        <v>2.4999999999999911E-2</v>
      </c>
      <c r="CT125" s="274"/>
      <c r="CU125" s="274"/>
      <c r="CV125" s="274"/>
      <c r="CW125" s="274"/>
      <c r="CX125" s="21">
        <f>CX14/CS14-1</f>
        <v>2.4999999999999911E-2</v>
      </c>
      <c r="CY125" s="274"/>
      <c r="CZ125" s="274"/>
      <c r="DA125" s="274"/>
      <c r="DB125" s="274"/>
      <c r="DC125" s="21">
        <f>DC14/CX14-1</f>
        <v>2.4999999999999911E-2</v>
      </c>
      <c r="DD125" s="274"/>
      <c r="DE125" s="274"/>
      <c r="DF125" s="274"/>
      <c r="DG125" s="274"/>
      <c r="DH125" s="21">
        <f>DH14/DC14-1</f>
        <v>2.4999999999999911E-2</v>
      </c>
      <c r="DI125" s="274"/>
      <c r="DJ125" s="274"/>
      <c r="DK125" s="274"/>
      <c r="DL125" s="274"/>
      <c r="DM125" s="21">
        <f>DM14/DH14-1</f>
        <v>2.4999999999999911E-2</v>
      </c>
      <c r="DN125" s="274"/>
      <c r="DO125" s="274"/>
      <c r="DP125" s="274"/>
      <c r="DQ125" s="274"/>
      <c r="DR125" s="21">
        <f>DR14/DM14-1</f>
        <v>0</v>
      </c>
      <c r="DS125" s="274"/>
      <c r="DT125" s="274"/>
      <c r="DU125" s="274"/>
      <c r="DV125" s="274"/>
      <c r="DW125" s="21">
        <f>DW14/DR14-1</f>
        <v>0</v>
      </c>
      <c r="DX125" s="274"/>
      <c r="DY125" s="274"/>
      <c r="DZ125" s="274"/>
      <c r="EA125" s="274"/>
      <c r="EB125" s="21">
        <f>EB14/DW14-1</f>
        <v>0</v>
      </c>
      <c r="EC125" s="274"/>
      <c r="ED125" s="274"/>
      <c r="EE125" s="274"/>
      <c r="EF125" s="274"/>
      <c r="EG125" s="21">
        <f>EG14/EB14-1</f>
        <v>0</v>
      </c>
      <c r="EH125" s="274"/>
      <c r="EI125" s="274"/>
      <c r="EJ125" s="274"/>
      <c r="EK125" s="274"/>
      <c r="EL125" s="21">
        <f>EL14/EG14-1</f>
        <v>0</v>
      </c>
    </row>
    <row r="126" spans="2:142" ht="12.75" customHeight="1">
      <c r="B126" s="165" t="s">
        <v>154</v>
      </c>
      <c r="C126" s="170"/>
      <c r="D126" s="170"/>
      <c r="E126" s="170"/>
      <c r="F126" s="170"/>
      <c r="G126" s="38"/>
      <c r="H126" s="171">
        <f t="shared" ref="H126:AM126" si="175">H21/C21-1</f>
        <v>3.3115823817291945E-2</v>
      </c>
      <c r="I126" s="166">
        <f t="shared" si="175"/>
        <v>0.10696969696969694</v>
      </c>
      <c r="J126" s="166">
        <f t="shared" si="175"/>
        <v>6.1816707218167233E-2</v>
      </c>
      <c r="K126" s="166">
        <f t="shared" si="175"/>
        <v>0.27618421052631614</v>
      </c>
      <c r="L126" s="53">
        <f t="shared" si="175"/>
        <v>0.1237512300728203</v>
      </c>
      <c r="M126" s="171">
        <f t="shared" si="175"/>
        <v>0.29689720511605899</v>
      </c>
      <c r="N126" s="171">
        <f t="shared" si="175"/>
        <v>0.12203380062529723</v>
      </c>
      <c r="O126" s="171">
        <f t="shared" si="175"/>
        <v>0.17253020882662939</v>
      </c>
      <c r="P126" s="171">
        <f t="shared" si="175"/>
        <v>-9.3600714850327948E-2</v>
      </c>
      <c r="Q126" s="21">
        <f t="shared" si="175"/>
        <v>0.10646995155680261</v>
      </c>
      <c r="R126" s="171">
        <f t="shared" si="175"/>
        <v>-0.11489970474538103</v>
      </c>
      <c r="S126" s="171">
        <f t="shared" si="175"/>
        <v>3.3610693786355395E-2</v>
      </c>
      <c r="T126" s="171">
        <f t="shared" si="175"/>
        <v>7.9682105400299852E-2</v>
      </c>
      <c r="U126" s="171">
        <f t="shared" si="175"/>
        <v>0.14979682888758217</v>
      </c>
      <c r="V126" s="21">
        <f t="shared" si="175"/>
        <v>3.5292907228896553E-2</v>
      </c>
      <c r="W126" s="171">
        <f t="shared" si="175"/>
        <v>0.25084083609026719</v>
      </c>
      <c r="X126" s="171">
        <f t="shared" si="175"/>
        <v>0.22907776307698047</v>
      </c>
      <c r="Y126" s="171">
        <f t="shared" si="175"/>
        <v>0.11464806747836986</v>
      </c>
      <c r="Z126" s="171">
        <f t="shared" si="175"/>
        <v>3.5642639259115816E-2</v>
      </c>
      <c r="AA126" s="21">
        <f t="shared" si="175"/>
        <v>0.1511099015850057</v>
      </c>
      <c r="AB126" s="171">
        <f t="shared" si="175"/>
        <v>0.16973402763649159</v>
      </c>
      <c r="AC126" s="171">
        <f t="shared" si="175"/>
        <v>0.2224766005619907</v>
      </c>
      <c r="AD126" s="171">
        <f t="shared" si="175"/>
        <v>0.21586627982505524</v>
      </c>
      <c r="AE126" s="171">
        <f t="shared" si="175"/>
        <v>0.19175821259884396</v>
      </c>
      <c r="AF126" s="21">
        <f t="shared" si="175"/>
        <v>0.20042688101920181</v>
      </c>
      <c r="AG126" s="171">
        <f t="shared" si="175"/>
        <v>2.1158375209773927E-2</v>
      </c>
      <c r="AH126" s="171">
        <f t="shared" si="175"/>
        <v>-0.10856219174910786</v>
      </c>
      <c r="AI126" s="171">
        <f t="shared" si="175"/>
        <v>-1.6779150936676479E-2</v>
      </c>
      <c r="AJ126" s="171">
        <f t="shared" si="175"/>
        <v>5.3245637081798858E-2</v>
      </c>
      <c r="AK126" s="21">
        <f t="shared" si="175"/>
        <v>-1.5015407084492671E-2</v>
      </c>
      <c r="AL126" s="171">
        <f t="shared" si="175"/>
        <v>7.5192192606914121E-2</v>
      </c>
      <c r="AM126" s="171">
        <f t="shared" si="175"/>
        <v>0.16877599951769007</v>
      </c>
      <c r="AN126" s="171">
        <f t="shared" ref="AN126:BS126" si="176">AN21/AI21-1</f>
        <v>7.8807362296529515E-2</v>
      </c>
      <c r="AO126" s="171">
        <f t="shared" si="176"/>
        <v>0.16351259935734808</v>
      </c>
      <c r="AP126" s="21">
        <f t="shared" si="176"/>
        <v>0.12222179786438159</v>
      </c>
      <c r="AQ126" s="171">
        <f t="shared" si="176"/>
        <v>4.0896713534620099E-2</v>
      </c>
      <c r="AR126" s="171">
        <f t="shared" si="176"/>
        <v>5.1896263024656664E-2</v>
      </c>
      <c r="AS126" s="171">
        <f t="shared" si="176"/>
        <v>8.4940820951901586E-2</v>
      </c>
      <c r="AT126" s="171">
        <f t="shared" si="176"/>
        <v>2.4426404645450317E-2</v>
      </c>
      <c r="AU126" s="21">
        <f t="shared" si="176"/>
        <v>4.9638653106982789E-2</v>
      </c>
      <c r="AV126" s="171">
        <f t="shared" si="176"/>
        <v>0.2436450089669131</v>
      </c>
      <c r="AW126" s="171">
        <f t="shared" si="176"/>
        <v>0.13975051018291151</v>
      </c>
      <c r="AX126" s="171">
        <f t="shared" si="176"/>
        <v>0.1618813298362074</v>
      </c>
      <c r="AY126" s="171">
        <f t="shared" si="176"/>
        <v>0.33559287163552232</v>
      </c>
      <c r="AZ126" s="21">
        <f t="shared" si="176"/>
        <v>0.22194365796929505</v>
      </c>
      <c r="BA126" s="274">
        <f t="shared" si="176"/>
        <v>0.15990739209525384</v>
      </c>
      <c r="BB126" s="274">
        <f t="shared" si="176"/>
        <v>0.42317863041082382</v>
      </c>
      <c r="BC126" s="274">
        <f t="shared" si="176"/>
        <v>0.34606983991689533</v>
      </c>
      <c r="BD126" s="274">
        <f t="shared" si="176"/>
        <v>0.31347719274948549</v>
      </c>
      <c r="BE126" s="21">
        <f t="shared" si="176"/>
        <v>0.31074835644405052</v>
      </c>
      <c r="BF126" s="274">
        <f t="shared" si="176"/>
        <v>0.45160223326052584</v>
      </c>
      <c r="BG126" s="274">
        <f t="shared" si="176"/>
        <v>0.25606262150823689</v>
      </c>
      <c r="BH126" s="274">
        <f t="shared" si="176"/>
        <v>0.40751550889968446</v>
      </c>
      <c r="BI126" s="274">
        <f t="shared" si="176"/>
        <v>0.15762187169527486</v>
      </c>
      <c r="BJ126" s="21">
        <f t="shared" si="176"/>
        <v>0.30436170143091812</v>
      </c>
      <c r="BK126" s="274">
        <f t="shared" si="176"/>
        <v>0.10074566762396042</v>
      </c>
      <c r="BL126" s="274">
        <f t="shared" si="176"/>
        <v>-8.9289086539707685E-2</v>
      </c>
      <c r="BM126" s="274">
        <f t="shared" si="176"/>
        <v>-0.16028687112941897</v>
      </c>
      <c r="BN126" s="274">
        <f t="shared" si="176"/>
        <v>1.832282405547514E-2</v>
      </c>
      <c r="BO126" s="21">
        <f t="shared" si="176"/>
        <v>-3.5448720114007237E-2</v>
      </c>
      <c r="BP126" s="274">
        <f t="shared" si="176"/>
        <v>-0.11253638279609035</v>
      </c>
      <c r="BQ126" s="274">
        <f t="shared" si="176"/>
        <v>1.0266418646256437E-3</v>
      </c>
      <c r="BR126" s="274">
        <f t="shared" si="176"/>
        <v>-3.1657901290634505E-2</v>
      </c>
      <c r="BS126" s="274">
        <f t="shared" si="176"/>
        <v>-0.15008576329331047</v>
      </c>
      <c r="BT126" s="21">
        <f t="shared" ref="BT126:BY126" si="177">BT21/BO21-1</f>
        <v>-7.817156259361302E-2</v>
      </c>
      <c r="BU126" s="274">
        <f t="shared" si="177"/>
        <v>3.6195455459482329E-3</v>
      </c>
      <c r="BV126" s="274">
        <f t="shared" si="177"/>
        <v>-0.12632006498781478</v>
      </c>
      <c r="BW126" s="274">
        <f t="shared" si="177"/>
        <v>-6.245947698292631E-2</v>
      </c>
      <c r="BX126" s="274">
        <f t="shared" si="177"/>
        <v>0.11806256306760843</v>
      </c>
      <c r="BY126" s="21">
        <f t="shared" si="177"/>
        <v>-1.5811899994866319E-2</v>
      </c>
      <c r="BZ126" s="274">
        <f t="shared" ref="BZ126" si="178">BZ21/BU21-1</f>
        <v>4.4079342817071598E-3</v>
      </c>
      <c r="CA126" s="274">
        <f t="shared" ref="CA126" si="179">CA21/BV21-1</f>
        <v>0.10158610074517949</v>
      </c>
      <c r="CB126" s="274">
        <f t="shared" ref="CB126" si="180">CB21/BW21-1</f>
        <v>5.676777474150807E-2</v>
      </c>
      <c r="CC126" s="274">
        <f t="shared" ref="CC126" si="181">CC21/BX21-1</f>
        <v>-6.7920940836538546E-2</v>
      </c>
      <c r="CD126" s="21">
        <f>CD21/BY21-1</f>
        <v>1.716133743675341E-2</v>
      </c>
      <c r="CE126" s="274"/>
      <c r="CF126" s="274"/>
      <c r="CG126" s="274"/>
      <c r="CH126" s="274"/>
      <c r="CI126" s="21">
        <f>CI21/CD21-1</f>
        <v>5.0000000000000044E-2</v>
      </c>
      <c r="CJ126" s="274"/>
      <c r="CK126" s="274"/>
      <c r="CL126" s="274"/>
      <c r="CM126" s="274"/>
      <c r="CN126" s="21">
        <f>CN21/CI21-1</f>
        <v>5.0000000000000044E-2</v>
      </c>
      <c r="CO126" s="274"/>
      <c r="CP126" s="274"/>
      <c r="CQ126" s="274"/>
      <c r="CR126" s="274"/>
      <c r="CS126" s="21">
        <f>CS21/CN21-1</f>
        <v>2.4999999999999911E-2</v>
      </c>
      <c r="CT126" s="274"/>
      <c r="CU126" s="274"/>
      <c r="CV126" s="274"/>
      <c r="CW126" s="274"/>
      <c r="CX126" s="21">
        <f>CX21/CS21-1</f>
        <v>2.4999999999999911E-2</v>
      </c>
      <c r="CY126" s="274"/>
      <c r="CZ126" s="274"/>
      <c r="DA126" s="274"/>
      <c r="DB126" s="274"/>
      <c r="DC126" s="21">
        <f>DC21/CX21-1</f>
        <v>2.4999999999999911E-2</v>
      </c>
      <c r="DD126" s="274"/>
      <c r="DE126" s="274"/>
      <c r="DF126" s="274"/>
      <c r="DG126" s="274"/>
      <c r="DH126" s="21">
        <f>DH21/DC21-1</f>
        <v>2.4999999999999911E-2</v>
      </c>
      <c r="DI126" s="274"/>
      <c r="DJ126" s="274"/>
      <c r="DK126" s="274"/>
      <c r="DL126" s="274"/>
      <c r="DM126" s="21">
        <f>DM21/DH21-1</f>
        <v>2.4999999999999911E-2</v>
      </c>
      <c r="DN126" s="274"/>
      <c r="DO126" s="274"/>
      <c r="DP126" s="274"/>
      <c r="DQ126" s="274"/>
      <c r="DR126" s="21">
        <f>DR21/DM21-1</f>
        <v>2.4999999999999911E-2</v>
      </c>
      <c r="DS126" s="274"/>
      <c r="DT126" s="274"/>
      <c r="DU126" s="274"/>
      <c r="DV126" s="274"/>
      <c r="DW126" s="21">
        <f>DW21/DR21-1</f>
        <v>2.4999999999999911E-2</v>
      </c>
      <c r="DX126" s="274"/>
      <c r="DY126" s="274"/>
      <c r="DZ126" s="274"/>
      <c r="EA126" s="274"/>
      <c r="EB126" s="21">
        <f>EB21/DW21-1</f>
        <v>0</v>
      </c>
      <c r="EC126" s="274"/>
      <c r="ED126" s="274"/>
      <c r="EE126" s="274"/>
      <c r="EF126" s="274"/>
      <c r="EG126" s="21">
        <f>EG21/EB21-1</f>
        <v>0</v>
      </c>
      <c r="EH126" s="274"/>
      <c r="EI126" s="274"/>
      <c r="EJ126" s="274"/>
      <c r="EK126" s="274"/>
      <c r="EL126" s="21">
        <f>EL21/EG21-1</f>
        <v>0</v>
      </c>
    </row>
    <row r="127" spans="2:142" ht="12.75" customHeight="1">
      <c r="B127" s="165" t="s">
        <v>652</v>
      </c>
      <c r="C127" s="170"/>
      <c r="D127" s="170"/>
      <c r="E127" s="170"/>
      <c r="F127" s="170"/>
      <c r="G127" s="38"/>
      <c r="H127" s="171">
        <f t="shared" ref="H127:AM127" si="182">H46/C46-1</f>
        <v>0.31443085196409193</v>
      </c>
      <c r="I127" s="171">
        <f t="shared" si="182"/>
        <v>0.21639850673052896</v>
      </c>
      <c r="J127" s="171">
        <f t="shared" si="182"/>
        <v>6.5394144254338205E-2</v>
      </c>
      <c r="K127" s="171">
        <f t="shared" si="182"/>
        <v>0.12009931558492259</v>
      </c>
      <c r="L127" s="21">
        <f t="shared" si="182"/>
        <v>0.20178996209015487</v>
      </c>
      <c r="M127" s="171">
        <f t="shared" si="182"/>
        <v>-0.29343381993016071</v>
      </c>
      <c r="N127" s="171">
        <f t="shared" si="182"/>
        <v>0.24897840234323709</v>
      </c>
      <c r="O127" s="171">
        <f t="shared" si="182"/>
        <v>-3.7701257979721903E-2</v>
      </c>
      <c r="P127" s="171">
        <f t="shared" si="182"/>
        <v>0.65507368228137319</v>
      </c>
      <c r="Q127" s="21">
        <f t="shared" si="182"/>
        <v>8.16608753055732E-2</v>
      </c>
      <c r="R127" s="171">
        <f t="shared" si="182"/>
        <v>0.80884954858258595</v>
      </c>
      <c r="S127" s="171">
        <f t="shared" si="182"/>
        <v>0.32853445290313532</v>
      </c>
      <c r="T127" s="171">
        <f t="shared" si="182"/>
        <v>0.67195853386216675</v>
      </c>
      <c r="U127" s="171">
        <f t="shared" si="182"/>
        <v>0.12319531698508812</v>
      </c>
      <c r="V127" s="21">
        <f t="shared" si="182"/>
        <v>0.43419982098110843</v>
      </c>
      <c r="W127" s="171">
        <f t="shared" si="182"/>
        <v>7.6468101541855349E-2</v>
      </c>
      <c r="X127" s="171">
        <f t="shared" si="182"/>
        <v>0.21348770822097873</v>
      </c>
      <c r="Y127" s="171">
        <f t="shared" si="182"/>
        <v>-3.3249417992285424E-2</v>
      </c>
      <c r="Z127" s="171">
        <f t="shared" si="182"/>
        <v>0.65610430062125502</v>
      </c>
      <c r="AA127" s="21">
        <f t="shared" si="182"/>
        <v>0.21949813692578002</v>
      </c>
      <c r="AB127" s="171">
        <f t="shared" si="182"/>
        <v>0.42003690451155262</v>
      </c>
      <c r="AC127" s="171">
        <f t="shared" si="182"/>
        <v>0.30748174988589372</v>
      </c>
      <c r="AD127" s="171">
        <f t="shared" si="182"/>
        <v>0.68659402506685963</v>
      </c>
      <c r="AE127" s="171">
        <f t="shared" si="182"/>
        <v>5.1992782169164142E-2</v>
      </c>
      <c r="AF127" s="21">
        <f t="shared" si="182"/>
        <v>0.33456882418937361</v>
      </c>
      <c r="AG127" s="171">
        <f t="shared" si="182"/>
        <v>0.26216146642087312</v>
      </c>
      <c r="AH127" s="171">
        <f t="shared" si="182"/>
        <v>-0.1773173175319388</v>
      </c>
      <c r="AI127" s="171">
        <f t="shared" si="182"/>
        <v>0.14256513673848548</v>
      </c>
      <c r="AJ127" s="171">
        <f t="shared" si="182"/>
        <v>0.28913798769329002</v>
      </c>
      <c r="AK127" s="21">
        <f t="shared" si="182"/>
        <v>0.12641012324042045</v>
      </c>
      <c r="AL127" s="171">
        <f t="shared" si="182"/>
        <v>3.0367582269919202E-2</v>
      </c>
      <c r="AM127" s="171">
        <f t="shared" si="182"/>
        <v>0.74084463269307377</v>
      </c>
      <c r="AN127" s="171">
        <f t="shared" ref="AN127:BS127" si="183">AN46/AI46-1</f>
        <v>0.21007550408095543</v>
      </c>
      <c r="AO127" s="171">
        <f t="shared" si="183"/>
        <v>0.18578436111662344</v>
      </c>
      <c r="AP127" s="21">
        <f t="shared" si="183"/>
        <v>0.24912676221369723</v>
      </c>
      <c r="AQ127" s="171">
        <f t="shared" si="183"/>
        <v>0.3141268811874911</v>
      </c>
      <c r="AR127" s="171">
        <f t="shared" si="183"/>
        <v>3.5976077636374004E-2</v>
      </c>
      <c r="AS127" s="171">
        <f t="shared" si="183"/>
        <v>0.18846813639021032</v>
      </c>
      <c r="AT127" s="171">
        <f t="shared" si="183"/>
        <v>6.9069339669453056E-2</v>
      </c>
      <c r="AU127" s="21">
        <f t="shared" si="183"/>
        <v>0.13779906649367502</v>
      </c>
      <c r="AV127" s="171">
        <f t="shared" si="183"/>
        <v>-1.8402214431623376E-2</v>
      </c>
      <c r="AW127" s="171">
        <f t="shared" si="183"/>
        <v>0.34550498605867297</v>
      </c>
      <c r="AX127" s="171">
        <f t="shared" si="183"/>
        <v>0.18813311655825027</v>
      </c>
      <c r="AY127" s="171">
        <f t="shared" si="183"/>
        <v>-7.8535264585386066E-2</v>
      </c>
      <c r="AZ127" s="21">
        <f t="shared" si="183"/>
        <v>0.11553755734246463</v>
      </c>
      <c r="BA127" s="274">
        <f t="shared" si="183"/>
        <v>0.40686645021593826</v>
      </c>
      <c r="BB127" s="274">
        <f t="shared" si="183"/>
        <v>0.2595585582143316</v>
      </c>
      <c r="BC127" s="274">
        <f t="shared" si="183"/>
        <v>0.23278050680366325</v>
      </c>
      <c r="BD127" s="274">
        <f t="shared" si="183"/>
        <v>0.6693985124308075</v>
      </c>
      <c r="BE127" s="21">
        <f t="shared" si="183"/>
        <v>0.37210670751742847</v>
      </c>
      <c r="BF127" s="274">
        <f t="shared" si="183"/>
        <v>0.25255236539773263</v>
      </c>
      <c r="BG127" s="274">
        <f t="shared" si="183"/>
        <v>0.51935207414069384</v>
      </c>
      <c r="BH127" s="274">
        <f t="shared" si="183"/>
        <v>0.61262620697513914</v>
      </c>
      <c r="BI127" s="274">
        <f t="shared" si="183"/>
        <v>0.74324280591586733</v>
      </c>
      <c r="BJ127" s="21">
        <f t="shared" si="183"/>
        <v>0.54246448426781591</v>
      </c>
      <c r="BK127" s="274">
        <f t="shared" si="183"/>
        <v>0.54822396804022278</v>
      </c>
      <c r="BL127" s="274">
        <f t="shared" si="183"/>
        <v>0.20876367048443067</v>
      </c>
      <c r="BM127" s="274">
        <f t="shared" si="183"/>
        <v>0.18066927883668282</v>
      </c>
      <c r="BN127" s="274">
        <f t="shared" si="183"/>
        <v>0.10170701030470086</v>
      </c>
      <c r="BO127" s="21">
        <f t="shared" si="183"/>
        <v>0.2293387878588482</v>
      </c>
      <c r="BP127" s="274">
        <f t="shared" si="183"/>
        <v>0.25267076613674666</v>
      </c>
      <c r="BQ127" s="274">
        <f t="shared" si="183"/>
        <v>0.23364936223245625</v>
      </c>
      <c r="BR127" s="274">
        <f t="shared" si="183"/>
        <v>0.15707790519607134</v>
      </c>
      <c r="BS127" s="274">
        <f t="shared" si="183"/>
        <v>0.11898364341004197</v>
      </c>
      <c r="BT127" s="21">
        <f t="shared" ref="BT127:CY127" si="184">BT46/BO46-1</f>
        <v>0.18855728238486935</v>
      </c>
      <c r="BU127" s="274">
        <f t="shared" ref="BU127" si="185">BU46/BP46-1</f>
        <v>8.6794253634247864E-2</v>
      </c>
      <c r="BV127" s="274">
        <f t="shared" ref="BV127" si="186">BV46/BQ46-1</f>
        <v>-3.2630491522716465E-2</v>
      </c>
      <c r="BW127" s="274">
        <f t="shared" ref="BW127" si="187">BW46/BR46-1</f>
        <v>0.21761994674244223</v>
      </c>
      <c r="BX127" s="274">
        <f t="shared" ref="BX127" si="188">BX46/BS46-1</f>
        <v>4.4961998139703585E-2</v>
      </c>
      <c r="BY127" s="21">
        <f t="shared" si="184"/>
        <v>7.9042430076865067E-2</v>
      </c>
      <c r="BZ127" s="274">
        <f t="shared" si="184"/>
        <v>0.16306949709256768</v>
      </c>
      <c r="CA127" s="274">
        <f t="shared" si="184"/>
        <v>-5.6827330326588377E-2</v>
      </c>
      <c r="CB127" s="274">
        <f t="shared" si="184"/>
        <v>-2.3914330234499515E-2</v>
      </c>
      <c r="CC127" s="274">
        <f t="shared" si="184"/>
        <v>0.18173149003048383</v>
      </c>
      <c r="CD127" s="21">
        <f t="shared" si="184"/>
        <v>6.1575831562384664E-2</v>
      </c>
      <c r="CE127" s="274">
        <f t="shared" si="184"/>
        <v>-1</v>
      </c>
      <c r="CF127" s="274">
        <f t="shared" si="184"/>
        <v>-1</v>
      </c>
      <c r="CG127" s="274">
        <f t="shared" si="184"/>
        <v>-1</v>
      </c>
      <c r="CH127" s="274">
        <f t="shared" si="184"/>
        <v>-1</v>
      </c>
      <c r="CI127" s="21">
        <f t="shared" si="184"/>
        <v>0.1414167698542228</v>
      </c>
      <c r="CJ127" s="274" t="e">
        <f t="shared" si="184"/>
        <v>#DIV/0!</v>
      </c>
      <c r="CK127" s="274" t="e">
        <f t="shared" si="184"/>
        <v>#DIV/0!</v>
      </c>
      <c r="CL127" s="274" t="e">
        <f t="shared" si="184"/>
        <v>#DIV/0!</v>
      </c>
      <c r="CM127" s="274" t="e">
        <f t="shared" si="184"/>
        <v>#DIV/0!</v>
      </c>
      <c r="CN127" s="21">
        <f t="shared" si="184"/>
        <v>9.0801559571098034E-2</v>
      </c>
      <c r="CO127" s="274" t="e">
        <f t="shared" si="184"/>
        <v>#DIV/0!</v>
      </c>
      <c r="CP127" s="274" t="e">
        <f t="shared" si="184"/>
        <v>#DIV/0!</v>
      </c>
      <c r="CQ127" s="274" t="e">
        <f t="shared" si="184"/>
        <v>#DIV/0!</v>
      </c>
      <c r="CR127" s="274" t="e">
        <f t="shared" si="184"/>
        <v>#DIV/0!</v>
      </c>
      <c r="CS127" s="21">
        <f t="shared" si="184"/>
        <v>9.1195236129510304E-2</v>
      </c>
      <c r="CT127" s="274" t="e">
        <f t="shared" si="184"/>
        <v>#DIV/0!</v>
      </c>
      <c r="CU127" s="274" t="e">
        <f t="shared" si="184"/>
        <v>#DIV/0!</v>
      </c>
      <c r="CV127" s="274" t="e">
        <f t="shared" si="184"/>
        <v>#DIV/0!</v>
      </c>
      <c r="CW127" s="274" t="e">
        <f t="shared" si="184"/>
        <v>#DIV/0!</v>
      </c>
      <c r="CX127" s="21">
        <f t="shared" si="184"/>
        <v>6.488904899345771E-2</v>
      </c>
      <c r="CY127" s="274" t="e">
        <f t="shared" si="184"/>
        <v>#DIV/0!</v>
      </c>
      <c r="CZ127" s="274" t="e">
        <f t="shared" ref="CZ127:EE127" si="189">CZ46/CU46-1</f>
        <v>#DIV/0!</v>
      </c>
      <c r="DA127" s="274" t="e">
        <f t="shared" si="189"/>
        <v>#DIV/0!</v>
      </c>
      <c r="DB127" s="274" t="e">
        <f t="shared" si="189"/>
        <v>#DIV/0!</v>
      </c>
      <c r="DC127" s="21">
        <f t="shared" si="189"/>
        <v>5.5968792273051626E-2</v>
      </c>
      <c r="DD127" s="274" t="e">
        <f t="shared" si="189"/>
        <v>#DIV/0!</v>
      </c>
      <c r="DE127" s="274" t="e">
        <f t="shared" si="189"/>
        <v>#DIV/0!</v>
      </c>
      <c r="DF127" s="274" t="e">
        <f t="shared" si="189"/>
        <v>#DIV/0!</v>
      </c>
      <c r="DG127" s="274" t="e">
        <f t="shared" si="189"/>
        <v>#DIV/0!</v>
      </c>
      <c r="DH127" s="21">
        <f t="shared" si="189"/>
        <v>5.679912495453121E-2</v>
      </c>
      <c r="DI127" s="274" t="e">
        <f t="shared" si="189"/>
        <v>#DIV/0!</v>
      </c>
      <c r="DJ127" s="274" t="e">
        <f t="shared" si="189"/>
        <v>#DIV/0!</v>
      </c>
      <c r="DK127" s="274" t="e">
        <f t="shared" si="189"/>
        <v>#DIV/0!</v>
      </c>
      <c r="DL127" s="274" t="e">
        <f t="shared" si="189"/>
        <v>#DIV/0!</v>
      </c>
      <c r="DM127" s="21">
        <f t="shared" si="189"/>
        <v>-4.4361982251868826E-2</v>
      </c>
      <c r="DN127" s="274" t="e">
        <f t="shared" si="189"/>
        <v>#DIV/0!</v>
      </c>
      <c r="DO127" s="274" t="e">
        <f t="shared" si="189"/>
        <v>#DIV/0!</v>
      </c>
      <c r="DP127" s="274" t="e">
        <f t="shared" si="189"/>
        <v>#DIV/0!</v>
      </c>
      <c r="DQ127" s="274" t="e">
        <f t="shared" si="189"/>
        <v>#DIV/0!</v>
      </c>
      <c r="DR127" s="21">
        <f t="shared" si="189"/>
        <v>-9.4466539552053752E-2</v>
      </c>
      <c r="DS127" s="274" t="e">
        <f t="shared" si="189"/>
        <v>#DIV/0!</v>
      </c>
      <c r="DT127" s="274" t="e">
        <f t="shared" si="189"/>
        <v>#DIV/0!</v>
      </c>
      <c r="DU127" s="274" t="e">
        <f t="shared" si="189"/>
        <v>#DIV/0!</v>
      </c>
      <c r="DV127" s="274" t="e">
        <f t="shared" si="189"/>
        <v>#DIV/0!</v>
      </c>
      <c r="DW127" s="21">
        <f t="shared" si="189"/>
        <v>-0.20769171008063692</v>
      </c>
      <c r="DX127" s="274" t="e">
        <f t="shared" si="189"/>
        <v>#DIV/0!</v>
      </c>
      <c r="DY127" s="274" t="e">
        <f t="shared" si="189"/>
        <v>#DIV/0!</v>
      </c>
      <c r="DZ127" s="274" t="e">
        <f t="shared" si="189"/>
        <v>#DIV/0!</v>
      </c>
      <c r="EA127" s="274" t="e">
        <f t="shared" si="189"/>
        <v>#DIV/0!</v>
      </c>
      <c r="EB127" s="21">
        <f t="shared" si="189"/>
        <v>-4.2066206078787638E-2</v>
      </c>
      <c r="EC127" s="274" t="e">
        <f t="shared" si="189"/>
        <v>#DIV/0!</v>
      </c>
      <c r="ED127" s="274" t="e">
        <f t="shared" si="189"/>
        <v>#DIV/0!</v>
      </c>
      <c r="EE127" s="274" t="e">
        <f t="shared" si="189"/>
        <v>#DIV/0!</v>
      </c>
      <c r="EF127" s="274" t="e">
        <f t="shared" ref="EF127:EL127" si="190">EF46/EA46-1</f>
        <v>#DIV/0!</v>
      </c>
      <c r="EG127" s="21">
        <f t="shared" si="190"/>
        <v>-1.052804102538496E-2</v>
      </c>
      <c r="EH127" s="274" t="e">
        <f t="shared" si="190"/>
        <v>#DIV/0!</v>
      </c>
      <c r="EI127" s="274" t="e">
        <f t="shared" si="190"/>
        <v>#DIV/0!</v>
      </c>
      <c r="EJ127" s="274" t="e">
        <f t="shared" si="190"/>
        <v>#DIV/0!</v>
      </c>
      <c r="EK127" s="274" t="e">
        <f t="shared" si="190"/>
        <v>#DIV/0!</v>
      </c>
      <c r="EL127" s="21">
        <f t="shared" si="190"/>
        <v>4.3924894009984117E-2</v>
      </c>
    </row>
    <row r="128" spans="2:142" ht="12.75" customHeight="1">
      <c r="B128" s="165" t="s">
        <v>187</v>
      </c>
      <c r="C128" s="170"/>
      <c r="D128" s="170"/>
      <c r="E128" s="170"/>
      <c r="F128" s="170"/>
      <c r="G128" s="38"/>
      <c r="H128" s="172">
        <f t="shared" ref="H128:Q129" si="191">H116/C116-1</f>
        <v>1.630787795737132E-2</v>
      </c>
      <c r="I128" s="166">
        <f t="shared" si="191"/>
        <v>6.0852546928317208E-2</v>
      </c>
      <c r="J128" s="166">
        <f t="shared" si="191"/>
        <v>-6.4428480241041419E-2</v>
      </c>
      <c r="K128" s="166">
        <f t="shared" si="191"/>
        <v>5.3060295869096441E-2</v>
      </c>
      <c r="L128" s="53">
        <f t="shared" si="191"/>
        <v>1.0485274193612115E-2</v>
      </c>
      <c r="M128" s="171">
        <f t="shared" si="191"/>
        <v>-0.25134744845842549</v>
      </c>
      <c r="N128" s="171">
        <f t="shared" si="191"/>
        <v>8.1930367826564821E-2</v>
      </c>
      <c r="O128" s="171">
        <f t="shared" si="191"/>
        <v>-0.21719137386769294</v>
      </c>
      <c r="P128" s="171">
        <f t="shared" si="191"/>
        <v>0.49582315860186932</v>
      </c>
      <c r="Q128" s="21">
        <f t="shared" si="191"/>
        <v>-4.4637209893236829E-3</v>
      </c>
      <c r="R128" s="171">
        <f t="shared" ref="R128:AA129" si="192">R116/M116-1</f>
        <v>0.56272169769679348</v>
      </c>
      <c r="S128" s="171">
        <f t="shared" si="192"/>
        <v>0.16650412583862395</v>
      </c>
      <c r="T128" s="171">
        <f t="shared" si="192"/>
        <v>0.47349068657961868</v>
      </c>
      <c r="U128" s="171">
        <f t="shared" si="192"/>
        <v>3.6927996612166503E-2</v>
      </c>
      <c r="V128" s="21">
        <f t="shared" si="192"/>
        <v>0.27144783562586161</v>
      </c>
      <c r="W128" s="171">
        <f t="shared" si="192"/>
        <v>-0.12008689562655273</v>
      </c>
      <c r="X128" s="171">
        <f t="shared" si="192"/>
        <v>-0.11487869553957086</v>
      </c>
      <c r="Y128" s="171">
        <f t="shared" si="192"/>
        <v>-0.23340111005663089</v>
      </c>
      <c r="Z128" s="171">
        <f t="shared" si="192"/>
        <v>0.10038322268412325</v>
      </c>
      <c r="AA128" s="21">
        <f t="shared" si="192"/>
        <v>-8.6984641371557703E-2</v>
      </c>
      <c r="AB128" s="171">
        <f t="shared" ref="AB128:AK129" si="193">AB116/W116-1</f>
        <v>-5.4268855034266261E-3</v>
      </c>
      <c r="AC128" s="171">
        <f t="shared" si="193"/>
        <v>5.8989395246527909E-2</v>
      </c>
      <c r="AD128" s="171">
        <f t="shared" si="193"/>
        <v>0.3907439088668061</v>
      </c>
      <c r="AE128" s="171">
        <f t="shared" si="193"/>
        <v>-7.6989538953088243E-2</v>
      </c>
      <c r="AF128" s="21">
        <f t="shared" si="193"/>
        <v>6.8044410278960799E-2</v>
      </c>
      <c r="AG128" s="171">
        <f t="shared" si="193"/>
        <v>4.1152256523703468E-2</v>
      </c>
      <c r="AH128" s="171">
        <f t="shared" si="193"/>
        <v>-0.21377573267826433</v>
      </c>
      <c r="AI128" s="171">
        <f t="shared" si="193"/>
        <v>-3.706328978759732E-2</v>
      </c>
      <c r="AJ128" s="171">
        <f t="shared" si="193"/>
        <v>2.1204685970949599E-2</v>
      </c>
      <c r="AK128" s="21">
        <f t="shared" si="193"/>
        <v>-4.8280092851750278E-2</v>
      </c>
      <c r="AL128" s="171">
        <f t="shared" ref="AL128:AU129" si="194">AL116/AG116-1</f>
        <v>-5.0800612962214275E-2</v>
      </c>
      <c r="AM128" s="171">
        <f t="shared" si="194"/>
        <v>0.28075005687174803</v>
      </c>
      <c r="AN128" s="171">
        <f t="shared" si="194"/>
        <v>-1.9839543626107292E-2</v>
      </c>
      <c r="AO128" s="171">
        <f t="shared" si="194"/>
        <v>1.1276020317243507E-2</v>
      </c>
      <c r="AP128" s="21">
        <f t="shared" si="194"/>
        <v>4.1239048066050055E-2</v>
      </c>
      <c r="AQ128" s="171">
        <f t="shared" si="194"/>
        <v>0.10142135534686592</v>
      </c>
      <c r="AR128" s="171">
        <f t="shared" si="194"/>
        <v>1.9016011225685858E-2</v>
      </c>
      <c r="AS128" s="171">
        <f t="shared" si="194"/>
        <v>6.7825416694868856E-2</v>
      </c>
      <c r="AT128" s="171">
        <f t="shared" si="194"/>
        <v>-7.5809446546528103E-2</v>
      </c>
      <c r="AU128" s="21">
        <f t="shared" si="194"/>
        <v>2.0817506033597555E-2</v>
      </c>
      <c r="AV128" s="171">
        <f t="shared" ref="AV128:BE129" si="195">AV116/AQ116-1</f>
        <v>-0.20737059267478308</v>
      </c>
      <c r="AW128" s="171">
        <f t="shared" si="195"/>
        <v>3.5736304907196814E-2</v>
      </c>
      <c r="AX128" s="171">
        <f t="shared" si="195"/>
        <v>2.4772019193281647E-2</v>
      </c>
      <c r="AY128" s="171">
        <f t="shared" si="195"/>
        <v>-6.2387414179673195E-2</v>
      </c>
      <c r="AZ128" s="21">
        <f t="shared" si="195"/>
        <v>-4.546652149403374E-2</v>
      </c>
      <c r="BA128" s="274">
        <f t="shared" si="195"/>
        <v>0.23711785398470608</v>
      </c>
      <c r="BB128" s="274">
        <f t="shared" si="195"/>
        <v>6.4472439229978695E-2</v>
      </c>
      <c r="BC128" s="274">
        <f t="shared" si="195"/>
        <v>2.574698755628102E-3</v>
      </c>
      <c r="BD128" s="274">
        <f t="shared" si="195"/>
        <v>0.1582006535977889</v>
      </c>
      <c r="BE128" s="21">
        <f t="shared" si="195"/>
        <v>0.10394444562507266</v>
      </c>
      <c r="BF128" s="274">
        <f t="shared" ref="BF128:BP129" si="196">BF116/BA116-1</f>
        <v>-4.1096800572267611E-2</v>
      </c>
      <c r="BG128" s="274">
        <f t="shared" si="196"/>
        <v>0.1018026242863237</v>
      </c>
      <c r="BH128" s="274">
        <f t="shared" si="196"/>
        <v>0.1367016514566195</v>
      </c>
      <c r="BI128" s="274">
        <f t="shared" si="196"/>
        <v>0.18986839743614525</v>
      </c>
      <c r="BJ128" s="21">
        <f t="shared" si="196"/>
        <v>0.10372358796567749</v>
      </c>
      <c r="BK128" s="274">
        <f t="shared" si="196"/>
        <v>0.24548596952871637</v>
      </c>
      <c r="BL128" s="274">
        <f t="shared" si="196"/>
        <v>7.6841921817786041E-2</v>
      </c>
      <c r="BM128" s="274">
        <f t="shared" si="196"/>
        <v>8.2622916389543333E-2</v>
      </c>
      <c r="BN128" s="274">
        <f t="shared" si="196"/>
        <v>8.5679054662792797E-3</v>
      </c>
      <c r="BO128" s="21">
        <f t="shared" si="196"/>
        <v>8.9018284732283348E-2</v>
      </c>
      <c r="BP128" s="274">
        <f t="shared" si="196"/>
        <v>0.13543343503169858</v>
      </c>
      <c r="BQ128" s="274">
        <f t="shared" ref="BQ128:BQ129" si="197">BQ116/BL116-1</f>
        <v>7.3705831932659782E-2</v>
      </c>
      <c r="BR128" s="274">
        <f t="shared" ref="BR128:BR129" si="198">BR116/BM116-1</f>
        <v>1.5301613800708935E-3</v>
      </c>
      <c r="BS128" s="274">
        <f t="shared" ref="BS128:BS129" si="199">BS116/BN116-1</f>
        <v>9.7053798141715664E-2</v>
      </c>
      <c r="BT128" s="21">
        <f>BT116/BO116-1</f>
        <v>6.5098230284119873E-2</v>
      </c>
      <c r="BU128" s="274">
        <f t="shared" ref="BU128:BU129" si="200">BU116/BP116-1</f>
        <v>-1.2827737486486912E-2</v>
      </c>
      <c r="BV128" s="274">
        <f t="shared" ref="BV128:BV129" si="201">BV116/BQ116-1</f>
        <v>-0.13176754926019252</v>
      </c>
      <c r="BW128" s="274">
        <f t="shared" ref="BW128:BW129" si="202">BW116/BR116-1</f>
        <v>0.10166501683020357</v>
      </c>
      <c r="BX128" s="274">
        <f t="shared" ref="BX128:BX129" si="203">BX116/BS116-1</f>
        <v>-7.6227182271113691E-2</v>
      </c>
      <c r="BY128" s="21">
        <f>BY116/BT116-1</f>
        <v>-2.3624409806399682E-2</v>
      </c>
      <c r="BZ128" s="274">
        <f t="shared" ref="BZ128:BZ129" si="204">BZ116/BU116-1</f>
        <v>-1.1007188269430257E-2</v>
      </c>
      <c r="CA128" s="274">
        <f t="shared" ref="CA128:CA129" si="205">CA116/BV116-1</f>
        <v>-0.10247955458844238</v>
      </c>
      <c r="CB128" s="274">
        <f t="shared" ref="CB128:CB129" si="206">CB116/BW116-1</f>
        <v>-6.1690527466162326E-2</v>
      </c>
      <c r="CC128" s="274">
        <f t="shared" ref="CC128:CC129" si="207">CC116/BX116-1</f>
        <v>3.2638442918279553E-2</v>
      </c>
      <c r="CD128" s="21">
        <f>CD116/BY116-1</f>
        <v>-2.2995521712458444E-2</v>
      </c>
      <c r="CE128" s="274"/>
      <c r="CF128" s="274"/>
      <c r="CG128" s="274"/>
      <c r="CH128" s="274"/>
      <c r="CI128" s="21">
        <f>CI116/CD116-1</f>
        <v>5.0504347401993499E-2</v>
      </c>
      <c r="CJ128" s="274"/>
      <c r="CK128" s="274"/>
      <c r="CL128" s="274"/>
      <c r="CM128" s="274"/>
      <c r="CN128" s="21">
        <f>CN116/CI116-1</f>
        <v>-1.0807425928959891E-2</v>
      </c>
      <c r="CO128" s="274"/>
      <c r="CP128" s="274"/>
      <c r="CQ128" s="274"/>
      <c r="CR128" s="274"/>
      <c r="CS128" s="21">
        <f>CS116/CN116-1</f>
        <v>2.6848628548425957E-4</v>
      </c>
      <c r="CT128" s="274"/>
      <c r="CU128" s="274"/>
      <c r="CV128" s="274"/>
      <c r="CW128" s="274"/>
      <c r="CX128" s="21">
        <f>CX116/CS116-1</f>
        <v>-1.0606700143619974E-2</v>
      </c>
      <c r="CY128" s="274"/>
      <c r="CZ128" s="274"/>
      <c r="DA128" s="274"/>
      <c r="DB128" s="274"/>
      <c r="DC128" s="21">
        <f>DC116/CX116-1</f>
        <v>-8.6606747741169166E-3</v>
      </c>
      <c r="DD128" s="274"/>
      <c r="DE128" s="274"/>
      <c r="DF128" s="274"/>
      <c r="DG128" s="274"/>
      <c r="DH128" s="21">
        <f>DH116/DC116-1</f>
        <v>-9.2181591363023063E-3</v>
      </c>
      <c r="DI128" s="274"/>
      <c r="DJ128" s="274"/>
      <c r="DK128" s="274"/>
      <c r="DL128" s="274"/>
      <c r="DM128" s="21">
        <f>DM116/DH116-1</f>
        <v>-5.488848119357459E-2</v>
      </c>
      <c r="DN128" s="274"/>
      <c r="DO128" s="274"/>
      <c r="DP128" s="274"/>
      <c r="DQ128" s="274"/>
      <c r="DR128" s="21">
        <f>DR116/DM116-1</f>
        <v>-7.8136423580660419E-2</v>
      </c>
      <c r="DS128" s="274"/>
      <c r="DT128" s="274"/>
      <c r="DU128" s="274"/>
      <c r="DV128" s="274"/>
      <c r="DW128" s="21">
        <f>DW116/DR116-1</f>
        <v>-0.14862934448040022</v>
      </c>
      <c r="DX128" s="274"/>
      <c r="DY128" s="274"/>
      <c r="DZ128" s="274"/>
      <c r="EA128" s="274"/>
      <c r="EB128" s="21">
        <f>EB116/DW116-1</f>
        <v>-5.1612771407610447E-2</v>
      </c>
      <c r="EC128" s="274"/>
      <c r="ED128" s="274"/>
      <c r="EE128" s="274"/>
      <c r="EF128" s="274"/>
      <c r="EG128" s="21">
        <f>EG116/EB116-1</f>
        <v>-2.7639243050203821E-2</v>
      </c>
      <c r="EH128" s="274"/>
      <c r="EI128" s="274"/>
      <c r="EJ128" s="274"/>
      <c r="EK128" s="274"/>
      <c r="EL128" s="21">
        <f>EL116/EG116-1</f>
        <v>7.3648241679824533E-3</v>
      </c>
    </row>
    <row r="129" spans="2:150" ht="12.75" customHeight="1" thickBot="1">
      <c r="B129" s="168" t="s">
        <v>188</v>
      </c>
      <c r="C129" s="173"/>
      <c r="D129" s="173"/>
      <c r="E129" s="173"/>
      <c r="F129" s="173"/>
      <c r="G129" s="55"/>
      <c r="H129" s="169">
        <f t="shared" si="191"/>
        <v>0.50923893417129862</v>
      </c>
      <c r="I129" s="169">
        <f t="shared" si="191"/>
        <v>0.64859900603173415</v>
      </c>
      <c r="J129" s="169">
        <f t="shared" si="191"/>
        <v>0.5632649900819271</v>
      </c>
      <c r="K129" s="169">
        <f t="shared" si="191"/>
        <v>0.26208635486147935</v>
      </c>
      <c r="L129" s="54">
        <f t="shared" si="191"/>
        <v>0.48826776513322612</v>
      </c>
      <c r="M129" s="174">
        <f t="shared" si="191"/>
        <v>-0.21004546280696601</v>
      </c>
      <c r="N129" s="174">
        <f t="shared" si="191"/>
        <v>1.7902012424892977E-3</v>
      </c>
      <c r="O129" s="174">
        <f t="shared" si="191"/>
        <v>-0.22189972928537527</v>
      </c>
      <c r="P129" s="174">
        <f t="shared" si="191"/>
        <v>0.22337549647429089</v>
      </c>
      <c r="Q129" s="56">
        <f t="shared" si="191"/>
        <v>-6.6204603334339973E-2</v>
      </c>
      <c r="R129" s="174">
        <f t="shared" si="192"/>
        <v>0.43939712417926291</v>
      </c>
      <c r="S129" s="174">
        <f t="shared" si="192"/>
        <v>1.80474066532752E-2</v>
      </c>
      <c r="T129" s="174">
        <f t="shared" si="192"/>
        <v>0.15257209938040361</v>
      </c>
      <c r="U129" s="174">
        <f t="shared" si="192"/>
        <v>-3.296652462571259E-2</v>
      </c>
      <c r="V129" s="56">
        <f t="shared" si="192"/>
        <v>0.12372443053722471</v>
      </c>
      <c r="W129" s="174">
        <f t="shared" si="192"/>
        <v>-0.20491422273301296</v>
      </c>
      <c r="X129" s="174">
        <f t="shared" si="192"/>
        <v>-8.0030897171746496E-2</v>
      </c>
      <c r="Y129" s="174">
        <f t="shared" si="192"/>
        <v>-0.18531829268082989</v>
      </c>
      <c r="Z129" s="174">
        <f t="shared" si="192"/>
        <v>5.896405251670167E-2</v>
      </c>
      <c r="AA129" s="56">
        <f t="shared" si="192"/>
        <v>-0.10179485809300048</v>
      </c>
      <c r="AB129" s="174">
        <f t="shared" si="193"/>
        <v>-2.5206875957618391E-2</v>
      </c>
      <c r="AC129" s="174">
        <f t="shared" si="193"/>
        <v>1.6244601973017136E-2</v>
      </c>
      <c r="AD129" s="174">
        <f t="shared" si="193"/>
        <v>0.26283388155744714</v>
      </c>
      <c r="AE129" s="174">
        <f t="shared" si="193"/>
        <v>-6.1191666608396811E-2</v>
      </c>
      <c r="AF129" s="56">
        <f t="shared" si="193"/>
        <v>3.6513021958030745E-2</v>
      </c>
      <c r="AG129" s="174">
        <f t="shared" si="193"/>
        <v>4.0500895292580497E-2</v>
      </c>
      <c r="AH129" s="174">
        <f t="shared" si="193"/>
        <v>-0.14699924314803114</v>
      </c>
      <c r="AI129" s="174">
        <f t="shared" si="193"/>
        <v>-0.10439351899980276</v>
      </c>
      <c r="AJ129" s="174">
        <f t="shared" si="193"/>
        <v>-4.5971593321192938E-2</v>
      </c>
      <c r="AK129" s="56">
        <f t="shared" si="193"/>
        <v>-6.7279184814805659E-2</v>
      </c>
      <c r="AL129" s="174">
        <f t="shared" si="194"/>
        <v>-0.12463083842277622</v>
      </c>
      <c r="AM129" s="174">
        <f t="shared" si="194"/>
        <v>9.6234621626022809E-2</v>
      </c>
      <c r="AN129" s="174">
        <f t="shared" si="194"/>
        <v>-1.6627886450422347E-2</v>
      </c>
      <c r="AO129" s="174">
        <f t="shared" si="194"/>
        <v>-2.2505566269628297E-3</v>
      </c>
      <c r="AP129" s="56">
        <f t="shared" si="194"/>
        <v>-1.5728580165719541E-2</v>
      </c>
      <c r="AQ129" s="174">
        <f t="shared" si="194"/>
        <v>9.0048529600001315E-2</v>
      </c>
      <c r="AR129" s="174">
        <f t="shared" si="194"/>
        <v>2.1722870611353695E-2</v>
      </c>
      <c r="AS129" s="174">
        <f t="shared" si="194"/>
        <v>3.541169917885223E-2</v>
      </c>
      <c r="AT129" s="174">
        <f t="shared" si="194"/>
        <v>-8.6030604367520969E-2</v>
      </c>
      <c r="AU129" s="56">
        <f t="shared" si="194"/>
        <v>9.2206737868034683E-3</v>
      </c>
      <c r="AV129" s="174">
        <f t="shared" si="195"/>
        <v>-0.1990779433611608</v>
      </c>
      <c r="AW129" s="174">
        <f t="shared" si="195"/>
        <v>6.3814337080956296E-3</v>
      </c>
      <c r="AX129" s="174">
        <f t="shared" si="195"/>
        <v>2.0888695375660848E-2</v>
      </c>
      <c r="AY129" s="174">
        <f t="shared" si="195"/>
        <v>-5.8819190333029847E-2</v>
      </c>
      <c r="AZ129" s="56">
        <f t="shared" si="195"/>
        <v>-5.0446918622511494E-2</v>
      </c>
      <c r="BA129" s="275">
        <f t="shared" si="195"/>
        <v>0.27210344260432873</v>
      </c>
      <c r="BB129" s="275">
        <f t="shared" si="195"/>
        <v>8.4290209925430792E-2</v>
      </c>
      <c r="BC129" s="275">
        <f t="shared" si="195"/>
        <v>1.4898764062379444E-2</v>
      </c>
      <c r="BD129" s="275">
        <f t="shared" si="195"/>
        <v>0.14304227885712439</v>
      </c>
      <c r="BE129" s="56">
        <f t="shared" si="195"/>
        <v>0.1133068344956325</v>
      </c>
      <c r="BF129" s="275">
        <f t="shared" si="196"/>
        <v>-5.9959167238316513E-2</v>
      </c>
      <c r="BG129" s="275">
        <f t="shared" si="196"/>
        <v>7.4243943343544894E-2</v>
      </c>
      <c r="BH129" s="275">
        <f t="shared" si="196"/>
        <v>0.10845125890084395</v>
      </c>
      <c r="BI129" s="275">
        <f t="shared" si="196"/>
        <v>0.15742743539292881</v>
      </c>
      <c r="BJ129" s="56">
        <f t="shared" si="196"/>
        <v>7.5836141205089413E-2</v>
      </c>
      <c r="BK129" s="275">
        <f t="shared" si="196"/>
        <v>0.15519367623425318</v>
      </c>
      <c r="BL129" s="275">
        <f t="shared" si="196"/>
        <v>4.260898322551343E-2</v>
      </c>
      <c r="BM129" s="275">
        <f t="shared" si="196"/>
        <v>4.6414039177131716E-2</v>
      </c>
      <c r="BN129" s="275">
        <f t="shared" si="196"/>
        <v>-1.4917676352587672E-2</v>
      </c>
      <c r="BO129" s="56">
        <f t="shared" si="196"/>
        <v>4.8535733562672378E-2</v>
      </c>
      <c r="BP129" s="275">
        <f t="shared" si="196"/>
        <v>0.12774619247132457</v>
      </c>
      <c r="BQ129" s="275">
        <f t="shared" si="197"/>
        <v>6.8046071614046522E-2</v>
      </c>
      <c r="BR129" s="275">
        <f t="shared" si="198"/>
        <v>7.7723143209804668E-3</v>
      </c>
      <c r="BS129" s="275">
        <f t="shared" si="199"/>
        <v>0.10006790941880839</v>
      </c>
      <c r="BT129" s="56">
        <f>BT117/BO117-1</f>
        <v>6.5493286619618285E-2</v>
      </c>
      <c r="BU129" s="275">
        <f t="shared" si="200"/>
        <v>4.4069746034030022E-2</v>
      </c>
      <c r="BV129" s="275">
        <f t="shared" si="201"/>
        <v>-7.1287119656684661E-2</v>
      </c>
      <c r="BW129" s="275">
        <f t="shared" si="202"/>
        <v>0.14292511103589889</v>
      </c>
      <c r="BX129" s="275">
        <f t="shared" si="203"/>
        <v>-3.1236400637224104E-2</v>
      </c>
      <c r="BY129" s="56">
        <f>BY117/BT117-1</f>
        <v>2.6798183937884801E-2</v>
      </c>
      <c r="BZ129" s="275">
        <f t="shared" si="204"/>
        <v>-6.0247107180678161E-2</v>
      </c>
      <c r="CA129" s="275">
        <f t="shared" si="205"/>
        <v>-0.12974859097025238</v>
      </c>
      <c r="CB129" s="275">
        <f t="shared" si="206"/>
        <v>-8.998469140950649E-2</v>
      </c>
      <c r="CC129" s="275">
        <f t="shared" si="207"/>
        <v>-5.8203216315547701E-3</v>
      </c>
      <c r="CD129" s="56">
        <f>CD117/BY117-1</f>
        <v>-6.2011309821516702E-2</v>
      </c>
      <c r="CE129" s="275"/>
      <c r="CF129" s="275"/>
      <c r="CG129" s="275"/>
      <c r="CH129" s="275"/>
      <c r="CI129" s="56">
        <f>CI117/CD117-1</f>
        <v>4.9939099012241472E-2</v>
      </c>
      <c r="CJ129" s="275"/>
      <c r="CK129" s="275"/>
      <c r="CL129" s="275"/>
      <c r="CM129" s="275"/>
      <c r="CN129" s="56">
        <f>CN117/CI117-1</f>
        <v>-5.9694667436899218E-3</v>
      </c>
      <c r="CO129" s="275"/>
      <c r="CP129" s="275"/>
      <c r="CQ129" s="275"/>
      <c r="CR129" s="275"/>
      <c r="CS129" s="56">
        <f>CS117/CN117-1</f>
        <v>4.7826533751895717E-3</v>
      </c>
      <c r="CT129" s="275"/>
      <c r="CU129" s="275"/>
      <c r="CV129" s="275"/>
      <c r="CW129" s="275"/>
      <c r="CX129" s="56">
        <f>CX117/CS117-1</f>
        <v>-3.7202863401611941E-3</v>
      </c>
      <c r="CY129" s="275"/>
      <c r="CZ129" s="275"/>
      <c r="DA129" s="275"/>
      <c r="DB129" s="275"/>
      <c r="DC129" s="56">
        <f>DC117/CX117-1</f>
        <v>-2.2262339022020017E-3</v>
      </c>
      <c r="DD129" s="275"/>
      <c r="DE129" s="275"/>
      <c r="DF129" s="275"/>
      <c r="DG129" s="275"/>
      <c r="DH129" s="56">
        <f>DH117/DC117-1</f>
        <v>-2.9506898308457874E-3</v>
      </c>
      <c r="DI129" s="275"/>
      <c r="DJ129" s="275"/>
      <c r="DK129" s="275"/>
      <c r="DL129" s="275"/>
      <c r="DM129" s="56">
        <f>DM117/DH117-1</f>
        <v>-3.4805690090775498E-2</v>
      </c>
      <c r="DN129" s="275"/>
      <c r="DO129" s="275"/>
      <c r="DP129" s="275"/>
      <c r="DQ129" s="275"/>
      <c r="DR129" s="56">
        <f>DR117/DM117-1</f>
        <v>-4.7329035780394491E-2</v>
      </c>
      <c r="DS129" s="275"/>
      <c r="DT129" s="275"/>
      <c r="DU129" s="275"/>
      <c r="DV129" s="275"/>
      <c r="DW129" s="56">
        <f>DW117/DR117-1</f>
        <v>-8.9225022157976785E-2</v>
      </c>
      <c r="DX129" s="275"/>
      <c r="DY129" s="275"/>
      <c r="DZ129" s="275"/>
      <c r="EA129" s="275"/>
      <c r="EB129" s="56">
        <f>EB117/DW117-1</f>
        <v>-2.207670141272311E-2</v>
      </c>
      <c r="EC129" s="275"/>
      <c r="ED129" s="275"/>
      <c r="EE129" s="275"/>
      <c r="EF129" s="275"/>
      <c r="EG129" s="56">
        <f>EG117/EB117-1</f>
        <v>-5.1499182933295584E-3</v>
      </c>
      <c r="EH129" s="275"/>
      <c r="EI129" s="275"/>
      <c r="EJ129" s="275"/>
      <c r="EK129" s="275"/>
      <c r="EL129" s="56">
        <f>EL117/EG117-1</f>
        <v>1.4625185420362952E-2</v>
      </c>
    </row>
    <row r="130" spans="2:150" s="4" customFormat="1">
      <c r="C130" s="163"/>
      <c r="D130" s="163"/>
      <c r="E130" s="163"/>
      <c r="F130" s="163"/>
      <c r="G130" s="35"/>
      <c r="H130" s="163"/>
      <c r="I130" s="163"/>
      <c r="J130" s="163"/>
      <c r="K130" s="163"/>
      <c r="L130" s="35"/>
      <c r="M130" s="163"/>
      <c r="N130" s="163"/>
      <c r="O130" s="163"/>
      <c r="P130" s="163"/>
      <c r="Q130" s="35"/>
      <c r="R130" s="163"/>
      <c r="S130" s="163"/>
      <c r="T130" s="163"/>
      <c r="U130" s="163"/>
      <c r="V130" s="35"/>
      <c r="W130" s="163"/>
      <c r="X130" s="163"/>
      <c r="Y130" s="163"/>
      <c r="Z130" s="163"/>
      <c r="AA130" s="35"/>
      <c r="AB130" s="163"/>
      <c r="AC130" s="163"/>
      <c r="AD130" s="163"/>
      <c r="AE130" s="163"/>
      <c r="AF130" s="35"/>
      <c r="AG130" s="163"/>
      <c r="AH130" s="163"/>
      <c r="AI130" s="163"/>
      <c r="AJ130" s="163"/>
      <c r="AK130" s="35"/>
      <c r="AL130" s="163"/>
      <c r="AM130" s="163"/>
      <c r="AN130" s="163"/>
      <c r="AO130" s="163"/>
      <c r="AP130" s="35"/>
      <c r="AQ130" s="163"/>
      <c r="AR130" s="163"/>
      <c r="AS130" s="163"/>
      <c r="AT130" s="163"/>
      <c r="AU130" s="35"/>
      <c r="AV130" s="163"/>
      <c r="AW130" s="163"/>
      <c r="AX130" s="163"/>
      <c r="AY130" s="163"/>
      <c r="AZ130" s="35"/>
      <c r="BA130" s="270"/>
      <c r="BB130" s="270"/>
      <c r="BC130" s="270"/>
      <c r="BD130" s="270"/>
      <c r="BE130" s="35"/>
      <c r="BF130" s="270"/>
      <c r="BG130" s="270"/>
      <c r="BH130" s="270"/>
      <c r="BI130" s="270"/>
      <c r="BJ130" s="35"/>
      <c r="BK130" s="270"/>
      <c r="BL130" s="270"/>
      <c r="BM130" s="270"/>
      <c r="BN130" s="270"/>
      <c r="BO130" s="35"/>
      <c r="BP130" s="270"/>
      <c r="BQ130" s="270"/>
      <c r="BR130" s="270"/>
      <c r="BS130" s="270"/>
      <c r="BT130" s="35"/>
      <c r="BU130" s="270"/>
      <c r="BV130" s="270"/>
      <c r="BW130" s="270"/>
      <c r="BX130" s="270"/>
      <c r="BY130" s="35"/>
      <c r="BZ130" s="270"/>
      <c r="CA130" s="270"/>
      <c r="CB130" s="270"/>
      <c r="CC130" s="270"/>
      <c r="CD130" s="35"/>
      <c r="CE130" s="270"/>
      <c r="CF130" s="270"/>
      <c r="CG130" s="270"/>
      <c r="CH130" s="270"/>
      <c r="CI130" s="35"/>
      <c r="CJ130" s="270"/>
      <c r="CK130" s="270"/>
      <c r="CL130" s="270"/>
      <c r="CM130" s="270"/>
      <c r="CN130" s="35"/>
      <c r="CO130" s="270"/>
      <c r="CP130" s="270"/>
      <c r="CQ130" s="270"/>
      <c r="CR130" s="270"/>
      <c r="CS130" s="35"/>
      <c r="CT130" s="270"/>
      <c r="CU130" s="270"/>
      <c r="CV130" s="270"/>
      <c r="CW130" s="270"/>
      <c r="CX130" s="35"/>
      <c r="CY130" s="270"/>
      <c r="CZ130" s="270"/>
      <c r="DA130" s="270"/>
      <c r="DB130" s="270"/>
      <c r="DC130" s="35"/>
      <c r="DD130" s="270"/>
      <c r="DE130" s="270"/>
      <c r="DF130" s="270"/>
      <c r="DG130" s="270"/>
      <c r="DH130" s="35"/>
      <c r="DI130" s="270"/>
      <c r="DJ130" s="270"/>
      <c r="DK130" s="270"/>
      <c r="DL130" s="270"/>
      <c r="DM130" s="35"/>
      <c r="DN130" s="270"/>
      <c r="DO130" s="270"/>
      <c r="DP130" s="270"/>
      <c r="DQ130" s="270"/>
      <c r="DR130" s="35"/>
      <c r="DS130" s="270"/>
      <c r="DT130" s="270"/>
      <c r="DU130" s="270"/>
      <c r="DV130" s="270"/>
      <c r="DW130" s="35"/>
      <c r="DX130" s="270"/>
      <c r="DY130" s="270"/>
      <c r="DZ130" s="270"/>
      <c r="EA130" s="270"/>
      <c r="EB130" s="35"/>
      <c r="EC130" s="270"/>
      <c r="ED130" s="270"/>
      <c r="EE130" s="270"/>
      <c r="EF130" s="270"/>
      <c r="EG130" s="35"/>
      <c r="EH130" s="270"/>
      <c r="EI130" s="270"/>
      <c r="EJ130" s="270"/>
      <c r="EK130" s="270"/>
      <c r="EL130" s="35"/>
      <c r="EO130"/>
      <c r="EP130"/>
      <c r="EQ130"/>
      <c r="ER130"/>
      <c r="ES130"/>
      <c r="ET130"/>
    </row>
    <row r="131" spans="2:150" s="3" customFormat="1">
      <c r="B131" s="3" t="s">
        <v>193</v>
      </c>
      <c r="C131" s="145">
        <v>3.1</v>
      </c>
      <c r="D131" s="145">
        <f>6.103-C131</f>
        <v>3.0029999999999997</v>
      </c>
      <c r="E131" s="145">
        <f>9.96-D131-C131</f>
        <v>3.8570000000000007</v>
      </c>
      <c r="F131" s="145">
        <f>+G131-SUM(C131:E131)</f>
        <v>51.347999999999999</v>
      </c>
      <c r="G131" s="17">
        <f>CF!C4</f>
        <v>61.308</v>
      </c>
      <c r="H131" s="145">
        <v>101.786</v>
      </c>
      <c r="I131" s="145">
        <f>203.342-H131</f>
        <v>101.55600000000001</v>
      </c>
      <c r="J131" s="145">
        <f>332.976-I131-H131</f>
        <v>129.63399999999999</v>
      </c>
      <c r="K131" s="145">
        <f>+L131-SUM(H131:J131)</f>
        <v>106.459</v>
      </c>
      <c r="L131" s="17">
        <f>CF!D4</f>
        <v>439.435</v>
      </c>
      <c r="M131" s="145">
        <v>96.111000000000004</v>
      </c>
      <c r="N131" s="145">
        <f>194.933-M131</f>
        <v>98.821999999999989</v>
      </c>
      <c r="O131" s="145">
        <f>304.684-N131-M131</f>
        <v>109.75100000000002</v>
      </c>
      <c r="P131" s="145">
        <f>+Q131-SUM(M131:O131)</f>
        <v>97.524000000000001</v>
      </c>
      <c r="Q131" s="17">
        <f>CF!E4</f>
        <v>402.20800000000003</v>
      </c>
      <c r="R131" s="145">
        <v>123.23</v>
      </c>
      <c r="S131" s="145">
        <f>198.922-R131</f>
        <v>75.691999999999993</v>
      </c>
      <c r="T131" s="145">
        <f>288.653-S131-R131</f>
        <v>89.731000000000009</v>
      </c>
      <c r="U131" s="145">
        <f>+V131-SUM(R131:T131)</f>
        <v>87.216999999999985</v>
      </c>
      <c r="V131" s="17">
        <f>CF!F4</f>
        <v>375.87</v>
      </c>
      <c r="W131" s="145">
        <v>88.814999999999998</v>
      </c>
      <c r="X131" s="145">
        <f>181.275-W131</f>
        <v>92.460000000000008</v>
      </c>
      <c r="Y131" s="145">
        <f>278.03-X131-W131</f>
        <v>96.754999999999967</v>
      </c>
      <c r="Z131" s="145">
        <f>+AA131-SUM(W131:Y131)</f>
        <v>102.26300000000003</v>
      </c>
      <c r="AA131" s="17">
        <f>CF!G4</f>
        <v>380.29300000000001</v>
      </c>
      <c r="AB131" s="145">
        <v>106.932</v>
      </c>
      <c r="AC131" s="145">
        <f>212.471-AB131</f>
        <v>105.539</v>
      </c>
      <c r="AD131" s="145">
        <f>340.042-AC131-AB131</f>
        <v>127.57099999999998</v>
      </c>
      <c r="AE131" s="145">
        <f>+AF131-SUM(AB131:AD131)</f>
        <v>122.01700000000005</v>
      </c>
      <c r="AF131" s="17">
        <f>CF!H4</f>
        <v>462.05900000000003</v>
      </c>
      <c r="AG131" s="145">
        <v>122.146</v>
      </c>
      <c r="AH131" s="145">
        <f>248.877-AG131</f>
        <v>126.73100000000001</v>
      </c>
      <c r="AI131" s="145">
        <f>334.761-AH131-AG131</f>
        <v>85.884000000000029</v>
      </c>
      <c r="AJ131" s="145">
        <f>+AK131-SUM(AG131:AI131)</f>
        <v>93.199999999999989</v>
      </c>
      <c r="AK131" s="17">
        <f>CF!I4</f>
        <v>427.96100000000001</v>
      </c>
      <c r="AL131" s="145">
        <v>82.51</v>
      </c>
      <c r="AM131" s="145">
        <f>169.961-AL131</f>
        <v>87.451000000000008</v>
      </c>
      <c r="AN131" s="145">
        <f>260.089-AM131-AL131</f>
        <v>90.127999999999972</v>
      </c>
      <c r="AO131" s="145">
        <f>+AP131-SUM(AL131:AN131)</f>
        <v>94.012</v>
      </c>
      <c r="AP131" s="17">
        <f>CF!J4</f>
        <v>354.101</v>
      </c>
      <c r="AQ131" s="145">
        <v>92.545000000000002</v>
      </c>
      <c r="AR131" s="145">
        <f>182.845-AQ131</f>
        <v>90.3</v>
      </c>
      <c r="AS131" s="145">
        <f>270.212-AR131-AQ131</f>
        <v>87.366999999999976</v>
      </c>
      <c r="AT131" s="145">
        <f>+(AU131-AR131-AQ131)/2</f>
        <v>88.043999999999983</v>
      </c>
      <c r="AU131" s="17">
        <f>CF!K4</f>
        <v>358.93299999999999</v>
      </c>
      <c r="AV131" s="145">
        <v>83.944999999999993</v>
      </c>
      <c r="AW131" s="145">
        <f>174.569-AV131</f>
        <v>90.623999999999995</v>
      </c>
      <c r="AX131" s="145">
        <f>268.772-AW131-AV131</f>
        <v>94.203000000000003</v>
      </c>
      <c r="AY131" s="145">
        <f>AZ131/4</f>
        <v>91.412000000000006</v>
      </c>
      <c r="AZ131" s="17">
        <f>CF!L4</f>
        <v>365.64800000000002</v>
      </c>
      <c r="BA131" s="267">
        <f>BE131/4</f>
        <v>132.935</v>
      </c>
      <c r="BB131" s="267">
        <f>BE131/4</f>
        <v>132.935</v>
      </c>
      <c r="BC131" s="267">
        <f>BE131/4</f>
        <v>132.935</v>
      </c>
      <c r="BD131" s="267">
        <f>BE131/4</f>
        <v>132.935</v>
      </c>
      <c r="BE131" s="17">
        <f>CF!M4</f>
        <v>531.74</v>
      </c>
      <c r="BF131" s="267">
        <f>BJ131/4</f>
        <v>172.03749999999999</v>
      </c>
      <c r="BG131" s="267">
        <f>BJ131/4</f>
        <v>172.03749999999999</v>
      </c>
      <c r="BH131" s="267">
        <f>BJ131/4</f>
        <v>172.03749999999999</v>
      </c>
      <c r="BI131" s="267">
        <f>BJ131/4</f>
        <v>172.03749999999999</v>
      </c>
      <c r="BJ131" s="17">
        <f>CF!N4</f>
        <v>688.15</v>
      </c>
      <c r="BK131" s="267">
        <f>BO131/4</f>
        <v>150.1</v>
      </c>
      <c r="BL131" s="267">
        <f>BO131/4</f>
        <v>150.1</v>
      </c>
      <c r="BM131" s="267">
        <f>BO131/4</f>
        <v>150.1</v>
      </c>
      <c r="BN131" s="267">
        <f>BO131/4</f>
        <v>150.1</v>
      </c>
      <c r="BO131" s="17">
        <f>CF!O4</f>
        <v>600.4</v>
      </c>
      <c r="BP131" s="267">
        <f>BT131/4</f>
        <v>170.67500000000001</v>
      </c>
      <c r="BQ131" s="267">
        <f>BT131/4</f>
        <v>170.67500000000001</v>
      </c>
      <c r="BR131" s="267">
        <f>BT131/4</f>
        <v>170.67500000000001</v>
      </c>
      <c r="BS131" s="267">
        <f>BT131/4</f>
        <v>170.67500000000001</v>
      </c>
      <c r="BT131" s="17">
        <f>CF!P4</f>
        <v>682.7</v>
      </c>
      <c r="BU131" s="267">
        <f>BY131/4</f>
        <v>270.25</v>
      </c>
      <c r="BV131" s="267">
        <f>BY131/4</f>
        <v>270.25</v>
      </c>
      <c r="BW131" s="267">
        <f>BY131/4</f>
        <v>270.25</v>
      </c>
      <c r="BX131" s="267">
        <f>BY131/4</f>
        <v>270.25</v>
      </c>
      <c r="BY131" s="17">
        <f>CF!Q4</f>
        <v>1081</v>
      </c>
      <c r="BZ131" s="267">
        <f>CD131/4</f>
        <v>200.52971716182276</v>
      </c>
      <c r="CA131" s="267">
        <f>CD131/4</f>
        <v>200.52971716182276</v>
      </c>
      <c r="CB131" s="267">
        <f>CD131/4</f>
        <v>200.52971716182276</v>
      </c>
      <c r="CC131" s="267">
        <f>CD131/4</f>
        <v>200.52971716182276</v>
      </c>
      <c r="CD131" s="17">
        <f>CF!R4</f>
        <v>802.11886864729104</v>
      </c>
      <c r="CE131" s="267"/>
      <c r="CF131" s="267"/>
      <c r="CG131" s="267"/>
      <c r="CH131" s="267"/>
      <c r="CI131" s="17">
        <f>CF!S4</f>
        <v>874.20295349681874</v>
      </c>
      <c r="CJ131" s="267"/>
      <c r="CK131" s="267"/>
      <c r="CL131" s="267"/>
      <c r="CM131" s="267"/>
      <c r="CN131" s="17">
        <f>CF!T4</f>
        <v>948.72429458826264</v>
      </c>
      <c r="CO131" s="267"/>
      <c r="CP131" s="267"/>
      <c r="CQ131" s="267"/>
      <c r="CR131" s="267"/>
      <c r="CS131" s="17">
        <f>CF!U4</f>
        <v>1023.2977203711748</v>
      </c>
      <c r="CT131" s="267"/>
      <c r="CU131" s="267"/>
      <c r="CV131" s="267"/>
      <c r="CW131" s="267"/>
      <c r="CX131" s="17">
        <f>CF!V4</f>
        <v>1097.9180223764083</v>
      </c>
      <c r="CY131" s="267"/>
      <c r="CZ131" s="267"/>
      <c r="DA131" s="267"/>
      <c r="DB131" s="267"/>
      <c r="DC131" s="17">
        <f>CF!W4</f>
        <v>1172.5805129817313</v>
      </c>
      <c r="DD131" s="267"/>
      <c r="DE131" s="267"/>
      <c r="DF131" s="267"/>
      <c r="DG131" s="267"/>
      <c r="DH131" s="17">
        <f>CF!X4</f>
        <v>1247.2809733271345</v>
      </c>
      <c r="DI131" s="267"/>
      <c r="DJ131" s="267"/>
      <c r="DK131" s="267"/>
      <c r="DL131" s="267"/>
      <c r="DM131" s="17">
        <f>CF!Y4</f>
        <v>1322.0156064386099</v>
      </c>
      <c r="DN131" s="267"/>
      <c r="DO131" s="267"/>
      <c r="DP131" s="267"/>
      <c r="DQ131" s="267"/>
      <c r="DR131" s="17">
        <f>CF!Z4</f>
        <v>1396.7809950395506</v>
      </c>
      <c r="DS131" s="267"/>
      <c r="DT131" s="267"/>
      <c r="DU131" s="267"/>
      <c r="DV131" s="267"/>
      <c r="DW131" s="17">
        <f>CF!AA4</f>
        <v>1471.5740635810098</v>
      </c>
      <c r="DX131" s="267"/>
      <c r="DY131" s="267"/>
      <c r="DZ131" s="267"/>
      <c r="EA131" s="267"/>
      <c r="EB131" s="17">
        <f>CF!AB4</f>
        <v>1546.3920440689358</v>
      </c>
      <c r="EC131" s="267"/>
      <c r="ED131" s="267"/>
      <c r="EE131" s="267"/>
      <c r="EF131" s="267"/>
      <c r="EG131" s="17">
        <f>CF!AC4</f>
        <v>1621.2324453086817</v>
      </c>
      <c r="EH131" s="267"/>
      <c r="EI131" s="267"/>
      <c r="EJ131" s="267"/>
      <c r="EK131" s="267"/>
      <c r="EL131" s="17">
        <f>CF!AD4</f>
        <v>1696.0930252250657</v>
      </c>
      <c r="EO131"/>
      <c r="EP131"/>
      <c r="EQ131"/>
      <c r="ER131"/>
      <c r="ES131"/>
      <c r="ET131"/>
    </row>
    <row r="132" spans="2:150" s="2" customFormat="1">
      <c r="B132" s="2" t="s">
        <v>146</v>
      </c>
      <c r="C132" s="137">
        <f t="shared" ref="C132:AH132" si="208">+C33+C131</f>
        <v>160.09999999999997</v>
      </c>
      <c r="D132" s="137">
        <f t="shared" si="208"/>
        <v>138.00299999999996</v>
      </c>
      <c r="E132" s="137">
        <f t="shared" si="208"/>
        <v>175.65700000000001</v>
      </c>
      <c r="F132" s="137">
        <f t="shared" si="208"/>
        <v>166.84800000000007</v>
      </c>
      <c r="G132" s="16">
        <f t="shared" si="208"/>
        <v>640.70799999999997</v>
      </c>
      <c r="H132" s="137">
        <f t="shared" si="208"/>
        <v>299.68100000000004</v>
      </c>
      <c r="I132" s="137">
        <f t="shared" si="208"/>
        <v>274.09400000000011</v>
      </c>
      <c r="J132" s="137">
        <f t="shared" si="208"/>
        <v>312.62099999999998</v>
      </c>
      <c r="K132" s="137">
        <f t="shared" si="208"/>
        <v>252.03199999999998</v>
      </c>
      <c r="L132" s="16">
        <f t="shared" si="208"/>
        <v>1138.4280000000003</v>
      </c>
      <c r="M132" s="137">
        <f t="shared" si="208"/>
        <v>256.86200000000008</v>
      </c>
      <c r="N132" s="137">
        <f t="shared" si="208"/>
        <v>308.66600000000005</v>
      </c>
      <c r="O132" s="137">
        <f t="shared" si="208"/>
        <v>266.95199999999994</v>
      </c>
      <c r="P132" s="137">
        <f t="shared" si="208"/>
        <v>331.97299999999962</v>
      </c>
      <c r="Q132" s="16">
        <f t="shared" si="208"/>
        <v>1164.4530000000002</v>
      </c>
      <c r="R132" s="137">
        <f t="shared" si="208"/>
        <v>384.42800000000011</v>
      </c>
      <c r="S132" s="137">
        <f t="shared" si="208"/>
        <v>342.46600000000007</v>
      </c>
      <c r="T132" s="137">
        <f t="shared" si="208"/>
        <v>363.04499999999979</v>
      </c>
      <c r="U132" s="137">
        <f t="shared" si="208"/>
        <v>359.32199999999989</v>
      </c>
      <c r="V132" s="16">
        <f t="shared" si="208"/>
        <v>1449.261</v>
      </c>
      <c r="W132" s="137">
        <f t="shared" si="208"/>
        <v>358.03199999999987</v>
      </c>
      <c r="X132" s="137">
        <f t="shared" si="208"/>
        <v>369.06100000000015</v>
      </c>
      <c r="Y132" s="137">
        <f t="shared" si="208"/>
        <v>331.8130000000001</v>
      </c>
      <c r="Z132" s="137">
        <f t="shared" si="208"/>
        <v>479.86600000000033</v>
      </c>
      <c r="AA132" s="16">
        <f t="shared" si="208"/>
        <v>1538.7719999999999</v>
      </c>
      <c r="AB132" s="137">
        <f t="shared" si="208"/>
        <v>459.31700000000018</v>
      </c>
      <c r="AC132" s="137">
        <f t="shared" si="208"/>
        <v>481.9050000000002</v>
      </c>
      <c r="AD132" s="137">
        <f t="shared" si="208"/>
        <v>580.2850000000002</v>
      </c>
      <c r="AE132" s="137">
        <f t="shared" si="208"/>
        <v>539.06599999999946</v>
      </c>
      <c r="AF132" s="16">
        <f t="shared" si="208"/>
        <v>2060.5730000000008</v>
      </c>
      <c r="AG132" s="137">
        <f t="shared" si="208"/>
        <v>525.75200000000007</v>
      </c>
      <c r="AH132" s="137">
        <f t="shared" si="208"/>
        <v>452.37899999999996</v>
      </c>
      <c r="AI132" s="137">
        <f t="shared" ref="AI132:BX132" si="209">+AI33+AI131</f>
        <v>532.80900000000008</v>
      </c>
      <c r="AJ132" s="137">
        <f t="shared" si="209"/>
        <v>542.25900000000001</v>
      </c>
      <c r="AK132" s="16">
        <f t="shared" si="209"/>
        <v>2053.1990000000005</v>
      </c>
      <c r="AL132" s="137">
        <f t="shared" si="209"/>
        <v>492.36400000000015</v>
      </c>
      <c r="AM132" s="137">
        <f t="shared" si="209"/>
        <v>550.07900000000041</v>
      </c>
      <c r="AN132" s="137">
        <f t="shared" si="209"/>
        <v>549.7940000000001</v>
      </c>
      <c r="AO132" s="137">
        <f t="shared" si="209"/>
        <v>585.21</v>
      </c>
      <c r="AP132" s="16">
        <f t="shared" si="209"/>
        <v>2177.4470000000006</v>
      </c>
      <c r="AQ132" s="137">
        <f t="shared" si="209"/>
        <v>582.43100000000004</v>
      </c>
      <c r="AR132" s="137">
        <f t="shared" si="209"/>
        <v>560.149</v>
      </c>
      <c r="AS132" s="137">
        <f t="shared" si="209"/>
        <v>634.21</v>
      </c>
      <c r="AT132" s="137">
        <f t="shared" si="209"/>
        <v>582.07100000000003</v>
      </c>
      <c r="AU132" s="16">
        <f t="shared" si="209"/>
        <v>2345.9689999999991</v>
      </c>
      <c r="AV132" s="137">
        <f t="shared" si="209"/>
        <v>500.85599999999994</v>
      </c>
      <c r="AW132" s="137">
        <f t="shared" si="209"/>
        <v>662.74400000000026</v>
      </c>
      <c r="AX132" s="137">
        <f t="shared" si="209"/>
        <v>700.51200000000006</v>
      </c>
      <c r="AY132" s="137">
        <f t="shared" si="209"/>
        <v>591.74900000000014</v>
      </c>
      <c r="AZ132" s="16">
        <f t="shared" si="209"/>
        <v>2461.3249999999989</v>
      </c>
      <c r="BA132" s="261">
        <f t="shared" si="209"/>
        <v>697.83699999999999</v>
      </c>
      <c r="BB132" s="261">
        <f t="shared" si="209"/>
        <v>871.59900000000039</v>
      </c>
      <c r="BC132" s="261">
        <f t="shared" si="209"/>
        <v>916.8720000000003</v>
      </c>
      <c r="BD132" s="261">
        <f t="shared" si="209"/>
        <v>927.89699999999993</v>
      </c>
      <c r="BE132" s="16">
        <f t="shared" si="209"/>
        <v>3414.7709999999988</v>
      </c>
      <c r="BF132" s="261">
        <f t="shared" si="209"/>
        <v>987.28750000000036</v>
      </c>
      <c r="BG132" s="261">
        <f t="shared" si="209"/>
        <v>1315.5004999999994</v>
      </c>
      <c r="BH132" s="261">
        <f t="shared" si="209"/>
        <v>1396.4494999999997</v>
      </c>
      <c r="BI132" s="261">
        <f t="shared" si="209"/>
        <v>1442.6405</v>
      </c>
      <c r="BJ132" s="16">
        <f t="shared" si="209"/>
        <v>5141.8779999999988</v>
      </c>
      <c r="BK132" s="261">
        <f t="shared" si="209"/>
        <v>1368.1449999999995</v>
      </c>
      <c r="BL132" s="261">
        <f t="shared" si="209"/>
        <v>1468.1539999999995</v>
      </c>
      <c r="BM132" s="261">
        <f t="shared" si="209"/>
        <v>1616.4729999999993</v>
      </c>
      <c r="BN132" s="261">
        <f t="shared" si="209"/>
        <v>1527.6779999999997</v>
      </c>
      <c r="BO132" s="16">
        <f t="shared" ref="BO132" si="210">+BO33+BO131</f>
        <v>5980.6239999999989</v>
      </c>
      <c r="BP132" s="261">
        <f t="shared" si="209"/>
        <v>1646.7750000000003</v>
      </c>
      <c r="BQ132" s="261">
        <f t="shared" si="209"/>
        <v>1750.8749999999995</v>
      </c>
      <c r="BR132" s="261">
        <f t="shared" si="209"/>
        <v>1733.1749999999995</v>
      </c>
      <c r="BS132" s="261">
        <f t="shared" si="209"/>
        <v>1647.075</v>
      </c>
      <c r="BT132" s="16">
        <f>+BT33+BT131</f>
        <v>6777.8999999999978</v>
      </c>
      <c r="BU132" s="261">
        <f t="shared" si="209"/>
        <v>1772.2500000000005</v>
      </c>
      <c r="BV132" s="261">
        <f t="shared" si="209"/>
        <v>1729.5499999999997</v>
      </c>
      <c r="BW132" s="261">
        <f t="shared" si="209"/>
        <v>2062.6499999999996</v>
      </c>
      <c r="BX132" s="261">
        <f t="shared" si="209"/>
        <v>1896.6499999999999</v>
      </c>
      <c r="BY132" s="16">
        <f>+BY33+BY131</f>
        <v>7461.1000000000022</v>
      </c>
      <c r="BZ132" s="261">
        <f t="shared" ref="BZ132:CC132" si="211">+BZ33+BZ131</f>
        <v>1855.3297171618228</v>
      </c>
      <c r="CA132" s="261">
        <f t="shared" si="211"/>
        <v>1544.7222460230487</v>
      </c>
      <c r="CB132" s="261">
        <f t="shared" si="211"/>
        <v>1928.1239572718137</v>
      </c>
      <c r="CC132" s="261">
        <f t="shared" si="211"/>
        <v>1968.5585629105376</v>
      </c>
      <c r="CD132" s="16">
        <f>+CD33+CD131</f>
        <v>7337.6062487464606</v>
      </c>
      <c r="CE132" s="261"/>
      <c r="CF132" s="261"/>
      <c r="CG132" s="261"/>
      <c r="CH132" s="261"/>
      <c r="CI132" s="16">
        <f>+CI33+CI131</f>
        <v>8032.2486978600991</v>
      </c>
      <c r="CJ132" s="261"/>
      <c r="CK132" s="261"/>
      <c r="CL132" s="261"/>
      <c r="CM132" s="261"/>
      <c r="CN132" s="16">
        <f>+CN33+CN131</f>
        <v>8382.886317874314</v>
      </c>
      <c r="CO132" s="261"/>
      <c r="CP132" s="261"/>
      <c r="CQ132" s="261"/>
      <c r="CR132" s="261"/>
      <c r="CS132" s="16">
        <f>+CS33+CS131</f>
        <v>8734.3267179586546</v>
      </c>
      <c r="CT132" s="261"/>
      <c r="CU132" s="261"/>
      <c r="CV132" s="261"/>
      <c r="CW132" s="261"/>
      <c r="CX132" s="16">
        <f>+CX33+CX131</f>
        <v>8907.2992291237861</v>
      </c>
      <c r="CY132" s="261"/>
      <c r="CZ132" s="261"/>
      <c r="DA132" s="261"/>
      <c r="DB132" s="261"/>
      <c r="DC132" s="16">
        <f>+DC33+DC131</f>
        <v>9095.8070550575376</v>
      </c>
      <c r="DD132" s="261"/>
      <c r="DE132" s="261"/>
      <c r="DF132" s="261"/>
      <c r="DG132" s="261"/>
      <c r="DH132" s="16">
        <f>+DH33+DH131</f>
        <v>9281.0508190292312</v>
      </c>
      <c r="DI132" s="261"/>
      <c r="DJ132" s="261"/>
      <c r="DK132" s="261"/>
      <c r="DL132" s="261"/>
      <c r="DM132" s="16">
        <f>+DM33+DM131</f>
        <v>8674.5975792256831</v>
      </c>
      <c r="DN132" s="261"/>
      <c r="DO132" s="261"/>
      <c r="DP132" s="261"/>
      <c r="DQ132" s="261"/>
      <c r="DR132" s="16">
        <f>+DR33+DR131</f>
        <v>7768.0773926749862</v>
      </c>
      <c r="DS132" s="261"/>
      <c r="DT132" s="261"/>
      <c r="DU132" s="261"/>
      <c r="DV132" s="261"/>
      <c r="DW132" s="16">
        <f>+DW33+DW131</f>
        <v>6307.4747234873948</v>
      </c>
      <c r="DX132" s="261"/>
      <c r="DY132" s="261"/>
      <c r="DZ132" s="261"/>
      <c r="EA132" s="261"/>
      <c r="EB132" s="16">
        <f>+EB33+EB131</f>
        <v>6029.6955520355987</v>
      </c>
      <c r="EC132" s="261"/>
      <c r="ED132" s="261"/>
      <c r="EE132" s="261"/>
      <c r="EF132" s="261"/>
      <c r="EG132" s="16">
        <f>+EG33+EG131</f>
        <v>5932.6929021659016</v>
      </c>
      <c r="EH132" s="261"/>
      <c r="EI132" s="261"/>
      <c r="EJ132" s="261"/>
      <c r="EK132" s="261"/>
      <c r="EL132" s="16">
        <f>+EL33+EL131</f>
        <v>6090.7309046753935</v>
      </c>
      <c r="EO132"/>
      <c r="EP132"/>
      <c r="EQ132"/>
      <c r="ER132"/>
      <c r="ES132"/>
      <c r="ET132"/>
    </row>
    <row r="133" spans="2:150">
      <c r="C133" s="145"/>
      <c r="D133" s="145"/>
      <c r="E133" s="145"/>
      <c r="F133" s="145"/>
      <c r="G133" s="17"/>
      <c r="H133" s="145"/>
      <c r="I133" s="145"/>
      <c r="J133" s="145"/>
      <c r="K133" s="145"/>
      <c r="L133" s="17"/>
      <c r="M133" s="145"/>
      <c r="N133" s="145"/>
      <c r="O133" s="145"/>
      <c r="P133" s="145"/>
      <c r="Q133" s="17"/>
      <c r="R133" s="145"/>
      <c r="S133" s="145"/>
      <c r="T133" s="145"/>
      <c r="U133" s="145"/>
      <c r="V133" s="17"/>
      <c r="W133" s="145"/>
      <c r="X133" s="145"/>
      <c r="Y133" s="145"/>
      <c r="Z133" s="145"/>
      <c r="AA133" s="17"/>
      <c r="AB133" s="145"/>
      <c r="AC133" s="145"/>
      <c r="AD133" s="145"/>
      <c r="AE133" s="145"/>
      <c r="AF133" s="17"/>
      <c r="AG133" s="145"/>
      <c r="AH133" s="145"/>
      <c r="AI133" s="145"/>
      <c r="AJ133" s="145"/>
      <c r="AK133" s="17"/>
      <c r="AL133" s="145"/>
      <c r="AM133" s="145"/>
      <c r="AN133" s="145"/>
      <c r="AO133" s="145"/>
      <c r="AP133" s="17"/>
      <c r="AQ133" s="145"/>
      <c r="AR133" s="145"/>
      <c r="AS133" s="145"/>
      <c r="AT133" s="145"/>
      <c r="AU133" s="17"/>
      <c r="AV133" s="145"/>
      <c r="AW133" s="145"/>
      <c r="AX133" s="145"/>
      <c r="AY133" s="145"/>
      <c r="AZ133" s="17"/>
      <c r="BA133" s="267"/>
      <c r="BB133" s="267"/>
      <c r="BC133" s="267"/>
      <c r="BD133" s="267"/>
      <c r="BE133" s="17"/>
      <c r="BF133" s="267"/>
      <c r="BG133" s="267"/>
      <c r="BH133" s="267"/>
      <c r="BI133" s="267"/>
      <c r="BJ133" s="17"/>
      <c r="BK133" s="267"/>
      <c r="BL133" s="267"/>
      <c r="BM133" s="267"/>
      <c r="BN133" s="267"/>
      <c r="BO133" s="17"/>
      <c r="BP133" s="267"/>
      <c r="BQ133" s="267"/>
      <c r="BR133" s="267"/>
      <c r="BS133" s="267"/>
      <c r="BT133" s="17"/>
      <c r="BU133" s="267"/>
      <c r="BV133" s="267"/>
      <c r="BW133" s="267"/>
      <c r="BX133" s="267"/>
      <c r="BY133" s="17"/>
      <c r="BZ133" s="267"/>
      <c r="CA133" s="267"/>
      <c r="CB133" s="267"/>
      <c r="CC133" s="267"/>
      <c r="CD133" s="17"/>
      <c r="CE133" s="267"/>
      <c r="CF133" s="267"/>
      <c r="CG133" s="267"/>
      <c r="CH133" s="267"/>
      <c r="CI133" s="17"/>
      <c r="CJ133" s="267"/>
      <c r="CK133" s="267"/>
      <c r="CL133" s="267"/>
      <c r="CM133" s="267"/>
      <c r="CN133" s="17"/>
      <c r="CO133" s="267"/>
      <c r="CP133" s="267"/>
      <c r="CQ133" s="267"/>
      <c r="CR133" s="267"/>
      <c r="CS133" s="17"/>
      <c r="CT133" s="267"/>
      <c r="CU133" s="267"/>
      <c r="CV133" s="267"/>
      <c r="CW133" s="267"/>
      <c r="CX133" s="17"/>
      <c r="CY133" s="267"/>
      <c r="CZ133" s="267"/>
      <c r="DA133" s="267"/>
      <c r="DB133" s="267"/>
      <c r="DC133" s="17"/>
      <c r="DD133" s="267"/>
      <c r="DE133" s="267"/>
      <c r="DF133" s="267"/>
      <c r="DG133" s="267"/>
      <c r="DH133" s="17"/>
      <c r="DI133" s="267"/>
      <c r="DJ133" s="267"/>
      <c r="DK133" s="267"/>
      <c r="DL133" s="267"/>
      <c r="DM133" s="17"/>
      <c r="DN133" s="267"/>
      <c r="DO133" s="267"/>
      <c r="DP133" s="267"/>
      <c r="DQ133" s="267"/>
      <c r="DR133" s="17"/>
      <c r="DS133" s="267"/>
      <c r="DT133" s="267"/>
      <c r="DU133" s="267"/>
      <c r="DV133" s="267"/>
      <c r="DW133" s="17"/>
      <c r="DX133" s="267"/>
      <c r="DY133" s="267"/>
      <c r="DZ133" s="267"/>
      <c r="EA133" s="267"/>
      <c r="EB133" s="17"/>
      <c r="EC133" s="267"/>
      <c r="ED133" s="267"/>
      <c r="EE133" s="267"/>
      <c r="EF133" s="267"/>
      <c r="EG133" s="17"/>
      <c r="EH133" s="267"/>
      <c r="EI133" s="267"/>
      <c r="EJ133" s="267"/>
      <c r="EK133" s="267"/>
      <c r="EL133" s="17"/>
    </row>
    <row r="134" spans="2:150">
      <c r="C134" s="175"/>
      <c r="D134" s="175"/>
      <c r="E134" s="175"/>
      <c r="F134" s="175"/>
      <c r="H134" s="175"/>
      <c r="I134" s="175"/>
      <c r="J134" s="175"/>
      <c r="K134" s="175"/>
      <c r="M134" s="175"/>
      <c r="N134" s="175"/>
      <c r="O134" s="175"/>
      <c r="P134" s="175"/>
      <c r="R134" s="175"/>
      <c r="S134" s="175"/>
      <c r="T134" s="175"/>
      <c r="U134" s="175"/>
      <c r="W134" s="175"/>
      <c r="X134" s="175"/>
      <c r="Y134" s="175"/>
      <c r="Z134" s="175"/>
      <c r="AB134" s="175"/>
      <c r="AC134" s="175"/>
      <c r="AD134" s="175"/>
      <c r="AE134" s="175"/>
      <c r="AG134" s="175"/>
      <c r="AH134" s="175"/>
      <c r="AI134" s="175"/>
      <c r="AJ134" s="175"/>
      <c r="AL134" s="175"/>
      <c r="AM134" s="175"/>
      <c r="AN134" s="175"/>
      <c r="AO134" s="175"/>
      <c r="AQ134" s="175"/>
      <c r="AR134" s="175"/>
      <c r="AS134" s="175"/>
      <c r="AT134" s="175"/>
      <c r="AV134" s="175"/>
      <c r="AW134" s="175"/>
      <c r="AX134" s="175"/>
      <c r="AY134" s="175"/>
      <c r="BA134" s="276"/>
      <c r="BB134" s="276"/>
      <c r="BC134" s="276"/>
      <c r="BD134" s="276"/>
      <c r="BF134" s="276"/>
      <c r="BG134" s="276"/>
      <c r="BH134" s="276"/>
      <c r="BI134" s="276"/>
      <c r="BK134" s="276"/>
      <c r="BL134" s="276"/>
      <c r="BM134" s="276"/>
      <c r="BN134" s="276"/>
      <c r="BP134" s="276"/>
      <c r="BQ134" s="276"/>
      <c r="BR134" s="276"/>
      <c r="BS134" s="276"/>
      <c r="BU134" s="276"/>
      <c r="BV134" s="276"/>
      <c r="BW134" s="276"/>
      <c r="BX134" s="276"/>
      <c r="BZ134" s="276"/>
      <c r="CA134" s="276"/>
      <c r="CB134" s="276"/>
      <c r="CC134" s="276"/>
      <c r="CE134" s="276"/>
      <c r="CF134" s="276"/>
      <c r="CG134" s="276"/>
      <c r="CH134" s="276"/>
      <c r="CJ134" s="276"/>
      <c r="CK134" s="276"/>
      <c r="CL134" s="276"/>
      <c r="CM134" s="276"/>
      <c r="CO134" s="276"/>
      <c r="CP134" s="276"/>
      <c r="CQ134" s="276"/>
      <c r="CR134" s="276"/>
      <c r="CT134" s="276"/>
      <c r="CU134" s="276"/>
      <c r="CV134" s="276"/>
      <c r="CW134" s="276"/>
      <c r="CY134" s="276"/>
      <c r="CZ134" s="276"/>
      <c r="DA134" s="276"/>
      <c r="DB134" s="276"/>
      <c r="DD134" s="276"/>
      <c r="DE134" s="276"/>
      <c r="DF134" s="276"/>
      <c r="DG134" s="276"/>
      <c r="DI134" s="276"/>
      <c r="DJ134" s="276"/>
      <c r="DK134" s="276"/>
      <c r="DL134" s="276"/>
      <c r="DN134" s="276"/>
      <c r="DO134" s="276"/>
      <c r="DP134" s="276"/>
      <c r="DQ134" s="276"/>
      <c r="DS134" s="276"/>
      <c r="DT134" s="276"/>
      <c r="DU134" s="276"/>
      <c r="DV134" s="276"/>
      <c r="DX134" s="276"/>
      <c r="DY134" s="276"/>
      <c r="DZ134" s="276"/>
      <c r="EA134" s="276"/>
      <c r="EC134" s="276"/>
      <c r="ED134" s="276"/>
      <c r="EE134" s="276"/>
      <c r="EF134" s="276"/>
      <c r="EH134" s="276"/>
      <c r="EI134" s="276"/>
      <c r="EJ134" s="276"/>
      <c r="EK134" s="276"/>
    </row>
    <row r="135" spans="2:150">
      <c r="B135" s="4" t="s">
        <v>149</v>
      </c>
      <c r="C135" s="175"/>
      <c r="D135" s="175"/>
      <c r="E135" s="175"/>
      <c r="F135" s="175"/>
      <c r="H135" s="175"/>
      <c r="I135" s="175"/>
      <c r="J135" s="175"/>
      <c r="K135" s="175"/>
      <c r="M135" s="175"/>
      <c r="N135" s="175"/>
      <c r="O135" s="175"/>
      <c r="P135" s="175"/>
      <c r="R135" s="175"/>
      <c r="S135" s="175"/>
      <c r="T135" s="175"/>
      <c r="U135" s="175"/>
      <c r="W135" s="175"/>
      <c r="X135" s="175"/>
      <c r="Y135" s="175"/>
      <c r="Z135" s="175"/>
      <c r="AB135" s="175"/>
      <c r="AC135" s="175"/>
      <c r="AD135" s="175"/>
      <c r="AE135" s="175"/>
      <c r="AG135" s="175"/>
      <c r="AH135" s="175"/>
      <c r="AI135" s="175"/>
      <c r="AJ135" s="175"/>
      <c r="AL135" s="175"/>
      <c r="AM135" s="175"/>
      <c r="AN135" s="175"/>
      <c r="AO135" s="175"/>
      <c r="AQ135" s="175"/>
      <c r="AR135" s="175"/>
      <c r="AS135" s="175"/>
      <c r="AT135" s="175"/>
      <c r="AV135" s="175"/>
      <c r="AW135" s="175"/>
      <c r="AX135" s="175"/>
      <c r="AY135" s="175"/>
      <c r="BA135" s="276"/>
      <c r="BB135" s="276"/>
      <c r="BC135" s="276"/>
      <c r="BD135" s="276"/>
      <c r="BF135" s="276"/>
      <c r="BG135" s="276"/>
      <c r="BH135" s="276"/>
      <c r="BI135" s="276"/>
      <c r="BK135" s="276"/>
      <c r="BL135" s="276"/>
      <c r="BM135" s="276"/>
      <c r="BN135" s="276"/>
      <c r="BP135" s="276"/>
      <c r="BQ135" s="276"/>
      <c r="BR135" s="276"/>
      <c r="BS135" s="276"/>
      <c r="BU135" s="276"/>
      <c r="BV135" s="276"/>
      <c r="BW135" s="276"/>
      <c r="BX135" s="276"/>
      <c r="BZ135" s="276"/>
      <c r="CA135" s="276"/>
      <c r="CB135" s="276"/>
      <c r="CC135" s="276"/>
      <c r="CE135" s="276"/>
      <c r="CF135" s="276"/>
      <c r="CG135" s="276"/>
      <c r="CH135" s="276"/>
      <c r="CJ135" s="276"/>
      <c r="CK135" s="276"/>
      <c r="CL135" s="276"/>
      <c r="CM135" s="276"/>
      <c r="CO135" s="276"/>
      <c r="CP135" s="276"/>
      <c r="CQ135" s="276"/>
      <c r="CR135" s="276"/>
      <c r="CT135" s="276"/>
      <c r="CU135" s="276"/>
      <c r="CV135" s="276"/>
      <c r="CW135" s="276"/>
      <c r="CY135" s="276"/>
      <c r="CZ135" s="276"/>
      <c r="DA135" s="276"/>
      <c r="DB135" s="276"/>
      <c r="DD135" s="276"/>
      <c r="DE135" s="276"/>
      <c r="DF135" s="276"/>
      <c r="DG135" s="276"/>
      <c r="DI135" s="276"/>
      <c r="DJ135" s="276"/>
      <c r="DK135" s="276"/>
      <c r="DL135" s="276"/>
      <c r="DN135" s="276"/>
      <c r="DO135" s="276"/>
      <c r="DP135" s="276"/>
      <c r="DQ135" s="276"/>
      <c r="DS135" s="276"/>
      <c r="DT135" s="276"/>
      <c r="DU135" s="276"/>
      <c r="DV135" s="276"/>
      <c r="DX135" s="276"/>
      <c r="DY135" s="276"/>
      <c r="DZ135" s="276"/>
      <c r="EA135" s="276"/>
      <c r="EC135" s="276"/>
      <c r="ED135" s="276"/>
      <c r="EE135" s="276"/>
      <c r="EF135" s="276"/>
      <c r="EH135" s="276"/>
      <c r="EI135" s="276"/>
      <c r="EJ135" s="276"/>
      <c r="EK135" s="276"/>
    </row>
    <row r="136" spans="2:150" s="3" customFormat="1" outlineLevel="1">
      <c r="B136" s="8" t="s">
        <v>158</v>
      </c>
      <c r="C136" s="159"/>
      <c r="D136" s="159"/>
      <c r="E136" s="159"/>
      <c r="F136" s="159">
        <v>2.2090000000000001</v>
      </c>
      <c r="G136" s="3">
        <f>SUM(C136:F136)</f>
        <v>2.2090000000000001</v>
      </c>
      <c r="H136" s="150"/>
      <c r="I136" s="159">
        <v>5.8664269999999998</v>
      </c>
      <c r="J136" s="159">
        <v>6.1448330000000002</v>
      </c>
      <c r="K136" s="159">
        <v>0.60757499999999998</v>
      </c>
      <c r="L136" s="3">
        <f>SUM(H136:K136)</f>
        <v>12.618835000000001</v>
      </c>
      <c r="M136" s="159">
        <v>3.4814039999999999</v>
      </c>
      <c r="N136" s="159">
        <v>4.0009329999999999</v>
      </c>
      <c r="O136" s="159">
        <v>4.9549999999999997E-2</v>
      </c>
      <c r="P136" s="159">
        <v>1.2999999999999999E-4</v>
      </c>
      <c r="Q136" s="3">
        <f>SUM(M136:P136)</f>
        <v>7.5320169999999997</v>
      </c>
      <c r="R136" s="159"/>
      <c r="S136" s="159"/>
      <c r="T136" s="159">
        <v>7.4785399999999997</v>
      </c>
      <c r="U136" s="159"/>
      <c r="V136" s="3">
        <f>SUM(R136:U136)</f>
        <v>7.4785399999999997</v>
      </c>
      <c r="W136" s="159"/>
      <c r="X136" s="159"/>
      <c r="Y136" s="159"/>
      <c r="Z136" s="159"/>
      <c r="AB136" s="159">
        <v>4.0281960000000003</v>
      </c>
      <c r="AC136" s="159">
        <v>4.9718039999999997</v>
      </c>
      <c r="AD136" s="159"/>
      <c r="AE136" s="159">
        <v>12.7775</v>
      </c>
      <c r="AF136" s="3">
        <f>SUM(AB136:AE136)</f>
        <v>21.7775</v>
      </c>
      <c r="AG136" s="159">
        <v>1.2</v>
      </c>
      <c r="AH136" s="159"/>
      <c r="AI136" s="159"/>
      <c r="AJ136" s="159">
        <v>14.758647</v>
      </c>
      <c r="AK136" s="3">
        <f>SUM(AG136:AJ136)</f>
        <v>15.958646999999999</v>
      </c>
      <c r="AL136" s="159">
        <v>10.504898000000001</v>
      </c>
      <c r="AM136" s="159">
        <v>20.798825000000001</v>
      </c>
      <c r="AN136" s="159">
        <v>8.9902890000000006</v>
      </c>
      <c r="AO136" s="159"/>
      <c r="AP136" s="3">
        <f>SUM(AL136:AO136)</f>
        <v>40.294012000000002</v>
      </c>
      <c r="AQ136" s="159">
        <v>2.7976000000000001</v>
      </c>
      <c r="AR136" s="159">
        <v>2.2023999999999999</v>
      </c>
      <c r="AS136" s="159"/>
      <c r="AT136" s="159">
        <v>1</v>
      </c>
      <c r="AU136" s="3">
        <f>SUM(AQ136:AT136)</f>
        <v>6</v>
      </c>
      <c r="AV136" s="159">
        <v>4</v>
      </c>
      <c r="AW136" s="159">
        <v>3.3</v>
      </c>
      <c r="AX136" s="159">
        <v>0.4</v>
      </c>
      <c r="AY136" s="159">
        <v>0.15540000000000001</v>
      </c>
      <c r="AZ136" s="3">
        <f>SUM(AV136:AY136)</f>
        <v>7.8554000000000004</v>
      </c>
      <c r="BA136" s="265"/>
      <c r="BB136" s="265"/>
      <c r="BC136" s="265"/>
      <c r="BD136" s="265"/>
      <c r="BF136" s="265"/>
      <c r="BG136" s="265"/>
      <c r="BH136" s="265"/>
      <c r="BI136" s="265"/>
      <c r="BK136" s="265"/>
      <c r="BL136" s="265"/>
      <c r="BM136" s="265"/>
      <c r="BN136" s="265"/>
      <c r="BP136" s="265"/>
      <c r="BQ136" s="265"/>
      <c r="BR136" s="265"/>
      <c r="BS136" s="265"/>
      <c r="BU136" s="265"/>
      <c r="BV136" s="265"/>
      <c r="BW136" s="265"/>
      <c r="BX136" s="265"/>
      <c r="BZ136" s="265"/>
      <c r="CA136" s="265"/>
      <c r="CB136" s="265"/>
      <c r="CC136" s="265"/>
      <c r="CE136" s="265"/>
      <c r="CF136" s="265"/>
      <c r="CG136" s="265"/>
      <c r="CH136" s="265"/>
      <c r="CJ136" s="265"/>
      <c r="CK136" s="265"/>
      <c r="CL136" s="265"/>
      <c r="CM136" s="265"/>
      <c r="CO136" s="265"/>
      <c r="CP136" s="265"/>
      <c r="CQ136" s="265"/>
      <c r="CR136" s="265"/>
      <c r="CT136" s="265"/>
      <c r="CU136" s="265"/>
      <c r="CV136" s="265"/>
      <c r="CW136" s="265"/>
      <c r="CY136" s="265"/>
      <c r="CZ136" s="265"/>
      <c r="DA136" s="265"/>
      <c r="DB136" s="265"/>
      <c r="DD136" s="265"/>
      <c r="DE136" s="265"/>
      <c r="DF136" s="265"/>
      <c r="DG136" s="265"/>
      <c r="DI136" s="265"/>
      <c r="DJ136" s="265"/>
      <c r="DK136" s="265"/>
      <c r="DL136" s="265"/>
      <c r="DN136" s="265"/>
      <c r="DO136" s="265"/>
      <c r="DP136" s="265"/>
      <c r="DQ136" s="265"/>
      <c r="DS136" s="265"/>
      <c r="DT136" s="265"/>
      <c r="DU136" s="265"/>
      <c r="DV136" s="265"/>
      <c r="DX136" s="265"/>
      <c r="DY136" s="265"/>
      <c r="DZ136" s="265"/>
      <c r="EA136" s="265"/>
      <c r="EC136" s="265"/>
      <c r="ED136" s="265"/>
      <c r="EE136" s="265"/>
      <c r="EF136" s="265"/>
      <c r="EH136" s="265"/>
      <c r="EI136" s="265"/>
      <c r="EJ136" s="265"/>
      <c r="EK136" s="265"/>
      <c r="EO136"/>
      <c r="EP136"/>
      <c r="EQ136"/>
      <c r="ER136"/>
      <c r="ES136"/>
      <c r="ET136"/>
    </row>
    <row r="137" spans="2:150" s="38" customFormat="1" outlineLevel="1">
      <c r="B137" s="45" t="s">
        <v>159</v>
      </c>
      <c r="C137" s="159"/>
      <c r="D137" s="159"/>
      <c r="E137" s="159"/>
      <c r="F137" s="170">
        <f>F138/F136</f>
        <v>61.113626075147124</v>
      </c>
      <c r="G137" s="38">
        <f>G138/G136</f>
        <v>61.113626075147124</v>
      </c>
      <c r="H137" s="150"/>
      <c r="I137" s="159">
        <v>58.56</v>
      </c>
      <c r="J137" s="159">
        <v>57.81</v>
      </c>
      <c r="K137" s="159">
        <v>59.71</v>
      </c>
      <c r="L137" s="38">
        <f>L138/L136</f>
        <v>58.250152577476442</v>
      </c>
      <c r="M137" s="159">
        <v>48.39</v>
      </c>
      <c r="N137" s="159">
        <v>38.5</v>
      </c>
      <c r="O137" s="159">
        <v>42.09</v>
      </c>
      <c r="P137" s="159">
        <v>38.020000000000003</v>
      </c>
      <c r="Q137" s="38">
        <f>Q138/Q136</f>
        <v>43.094905675332384</v>
      </c>
      <c r="R137" s="159"/>
      <c r="S137" s="159"/>
      <c r="T137" s="159">
        <v>42.79</v>
      </c>
      <c r="U137" s="159"/>
      <c r="V137" s="38">
        <f>V138/V136</f>
        <v>42.79</v>
      </c>
      <c r="W137" s="159"/>
      <c r="X137" s="159"/>
      <c r="Y137" s="159"/>
      <c r="Z137" s="159"/>
      <c r="AB137" s="159">
        <f>AB138/AB136</f>
        <v>59.604845444461979</v>
      </c>
      <c r="AC137" s="159">
        <v>64.27</v>
      </c>
      <c r="AD137" s="159"/>
      <c r="AE137" s="159">
        <v>57.82</v>
      </c>
      <c r="AF137" s="38">
        <f>AF138/AF136</f>
        <v>85.328108969349088</v>
      </c>
      <c r="AG137" s="159">
        <f>AG138/AG136</f>
        <v>48</v>
      </c>
      <c r="AH137" s="159"/>
      <c r="AI137" s="159"/>
      <c r="AJ137" s="159">
        <v>46.97</v>
      </c>
      <c r="AK137" s="38">
        <f>AK138/AK136</f>
        <v>47.047450174817449</v>
      </c>
      <c r="AL137" s="159">
        <v>54.98</v>
      </c>
      <c r="AM137" s="159">
        <v>49.61</v>
      </c>
      <c r="AN137" s="159">
        <v>52.08</v>
      </c>
      <c r="AO137" s="159"/>
      <c r="AP137" s="38">
        <f>AP138/AP136</f>
        <v>51.561091792249428</v>
      </c>
      <c r="AQ137" s="159">
        <v>69.81</v>
      </c>
      <c r="AR137" s="159">
        <v>86.85</v>
      </c>
      <c r="AS137" s="159"/>
      <c r="AT137" s="159">
        <f>AT138/AT136</f>
        <v>110</v>
      </c>
      <c r="AV137" s="159">
        <f>AV138/AV136</f>
        <v>115.75</v>
      </c>
      <c r="AW137" s="159">
        <v>135.38999999999999</v>
      </c>
      <c r="AX137" s="159">
        <f>AX138/AX136</f>
        <v>133.08250000000015</v>
      </c>
      <c r="AY137" s="170">
        <v>138.63999999999999</v>
      </c>
      <c r="BA137" s="273"/>
      <c r="BB137" s="273"/>
      <c r="BC137" s="273"/>
      <c r="BD137" s="273"/>
      <c r="BF137" s="273"/>
      <c r="BG137" s="273"/>
      <c r="BH137" s="273"/>
      <c r="BI137" s="273"/>
      <c r="BK137" s="273"/>
      <c r="BL137" s="273"/>
      <c r="BM137" s="273"/>
      <c r="BN137" s="273"/>
      <c r="BP137" s="273"/>
      <c r="BQ137" s="273"/>
      <c r="BR137" s="273"/>
      <c r="BS137" s="273"/>
      <c r="BU137" s="273"/>
      <c r="BV137" s="273"/>
      <c r="BW137" s="273"/>
      <c r="BX137" s="273"/>
      <c r="BZ137" s="273"/>
      <c r="CA137" s="273"/>
      <c r="CB137" s="273"/>
      <c r="CC137" s="273"/>
      <c r="CE137" s="273"/>
      <c r="CF137" s="273"/>
      <c r="CG137" s="273"/>
      <c r="CH137" s="273"/>
      <c r="CJ137" s="273"/>
      <c r="CK137" s="273"/>
      <c r="CL137" s="273"/>
      <c r="CM137" s="273"/>
      <c r="CO137" s="273"/>
      <c r="CP137" s="273"/>
      <c r="CQ137" s="273"/>
      <c r="CR137" s="273"/>
      <c r="CT137" s="273"/>
      <c r="CU137" s="273"/>
      <c r="CV137" s="273"/>
      <c r="CW137" s="273"/>
      <c r="CY137" s="273"/>
      <c r="CZ137" s="273"/>
      <c r="DA137" s="273"/>
      <c r="DB137" s="273"/>
      <c r="DD137" s="273"/>
      <c r="DE137" s="273"/>
      <c r="DF137" s="273"/>
      <c r="DG137" s="273"/>
      <c r="DI137" s="273"/>
      <c r="DJ137" s="273"/>
      <c r="DK137" s="273"/>
      <c r="DL137" s="273"/>
      <c r="DN137" s="273"/>
      <c r="DO137" s="273"/>
      <c r="DP137" s="273"/>
      <c r="DQ137" s="273"/>
      <c r="DS137" s="273"/>
      <c r="DT137" s="273"/>
      <c r="DU137" s="273"/>
      <c r="DV137" s="273"/>
      <c r="DX137" s="273"/>
      <c r="DY137" s="273"/>
      <c r="DZ137" s="273"/>
      <c r="EA137" s="273"/>
      <c r="EC137" s="273"/>
      <c r="ED137" s="273"/>
      <c r="EE137" s="273"/>
      <c r="EF137" s="273"/>
      <c r="EH137" s="273"/>
      <c r="EI137" s="273"/>
      <c r="EJ137" s="273"/>
      <c r="EK137" s="273"/>
      <c r="EO137"/>
      <c r="EP137"/>
      <c r="EQ137"/>
      <c r="ER137"/>
      <c r="ES137"/>
      <c r="ET137"/>
    </row>
    <row r="138" spans="2:150" s="34" customFormat="1" outlineLevel="1">
      <c r="B138" s="46" t="s">
        <v>150</v>
      </c>
      <c r="C138" s="159"/>
      <c r="D138" s="159"/>
      <c r="E138" s="159"/>
      <c r="F138" s="176">
        <v>135</v>
      </c>
      <c r="G138" s="42">
        <f>SUM(C138:F138)</f>
        <v>135</v>
      </c>
      <c r="H138" s="176"/>
      <c r="I138" s="176">
        <f>I137*I136</f>
        <v>343.53796512000002</v>
      </c>
      <c r="J138" s="176">
        <f>J137*J136</f>
        <v>355.23279573000002</v>
      </c>
      <c r="K138" s="176">
        <f>K137*K136</f>
        <v>36.27830325</v>
      </c>
      <c r="L138" s="42">
        <f>SUM(H138:K138)</f>
        <v>735.04906410000001</v>
      </c>
      <c r="M138" s="176">
        <f>M137*M136</f>
        <v>168.46513956000001</v>
      </c>
      <c r="N138" s="176">
        <f>N137*N136</f>
        <v>154.0359205</v>
      </c>
      <c r="O138" s="176">
        <f>O137*O136</f>
        <v>2.0855595</v>
      </c>
      <c r="P138" s="176">
        <f>P137*P136</f>
        <v>4.9426000000000001E-3</v>
      </c>
      <c r="Q138" s="42">
        <f>SUM(M138:P138)</f>
        <v>324.59156215999997</v>
      </c>
      <c r="R138" s="176"/>
      <c r="S138" s="176"/>
      <c r="T138" s="176">
        <f>T137*T136</f>
        <v>320.00672659999998</v>
      </c>
      <c r="U138" s="176"/>
      <c r="V138" s="42">
        <f>SUM(R138:U138)</f>
        <v>320.00672659999998</v>
      </c>
      <c r="W138" s="176"/>
      <c r="X138" s="176"/>
      <c r="Y138" s="176"/>
      <c r="Z138" s="176"/>
      <c r="AA138" s="42"/>
      <c r="AB138" s="176">
        <v>240.1</v>
      </c>
      <c r="AC138" s="176">
        <f>AC137*AC136</f>
        <v>319.53784307999996</v>
      </c>
      <c r="AD138" s="176">
        <v>559.79999999999995</v>
      </c>
      <c r="AE138" s="176">
        <f>AE137*AE136</f>
        <v>738.79504999999995</v>
      </c>
      <c r="AF138" s="42">
        <f>SUM(AB138:AE138)</f>
        <v>1858.2328930799997</v>
      </c>
      <c r="AG138" s="176">
        <v>57.6</v>
      </c>
      <c r="AH138" s="176"/>
      <c r="AI138" s="176"/>
      <c r="AJ138" s="176">
        <f>AJ137*AJ136</f>
        <v>693.21364958999993</v>
      </c>
      <c r="AK138" s="42">
        <f>SUM(AG138:AJ138)</f>
        <v>750.81364958999995</v>
      </c>
      <c r="AL138" s="176">
        <f>AL137*AL136</f>
        <v>577.55929204000006</v>
      </c>
      <c r="AM138" s="176">
        <f>AM137*AM136</f>
        <v>1031.8297082500001</v>
      </c>
      <c r="AN138" s="176">
        <f>AN137*AN136</f>
        <v>468.21425112000003</v>
      </c>
      <c r="AO138" s="176"/>
      <c r="AP138" s="42">
        <f>SUM(AL138:AO138)</f>
        <v>2077.6032514100002</v>
      </c>
      <c r="AQ138" s="176">
        <f>AQ137*AQ136</f>
        <v>195.30045600000003</v>
      </c>
      <c r="AR138" s="176">
        <f>AR137*AR136</f>
        <v>191.27843999999999</v>
      </c>
      <c r="AS138" s="176">
        <f>386.575-AR138-AQ138</f>
        <v>-3.8960000000258788E-3</v>
      </c>
      <c r="AT138" s="176">
        <v>110</v>
      </c>
      <c r="AU138" s="42">
        <f>SUM(AQ138:AT138)</f>
        <v>496.57499999999993</v>
      </c>
      <c r="AV138" s="176">
        <v>463</v>
      </c>
      <c r="AW138" s="176">
        <f>AW137*AW136</f>
        <v>446.78699999999992</v>
      </c>
      <c r="AX138" s="176">
        <f>963.02-AW138-AV138</f>
        <v>53.233000000000061</v>
      </c>
      <c r="AY138" s="176">
        <f>AY137*AY136</f>
        <v>21.544656</v>
      </c>
      <c r="AZ138" s="42">
        <f>SUM(AV138:AY138)</f>
        <v>984.56465600000001</v>
      </c>
      <c r="BA138" s="277"/>
      <c r="BB138" s="277"/>
      <c r="BC138" s="277"/>
      <c r="BD138" s="277"/>
      <c r="BF138" s="277"/>
      <c r="BG138" s="277"/>
      <c r="BH138" s="277"/>
      <c r="BI138" s="277"/>
      <c r="BK138" s="277"/>
      <c r="BL138" s="277"/>
      <c r="BM138" s="277"/>
      <c r="BN138" s="277"/>
      <c r="BP138" s="277"/>
      <c r="BQ138" s="277"/>
      <c r="BR138" s="277"/>
      <c r="BS138" s="277"/>
      <c r="BU138" s="277"/>
      <c r="BV138" s="277"/>
      <c r="BW138" s="277"/>
      <c r="BX138" s="277"/>
      <c r="BZ138" s="277"/>
      <c r="CA138" s="277"/>
      <c r="CB138" s="277"/>
      <c r="CC138" s="277"/>
      <c r="CE138" s="277"/>
      <c r="CF138" s="277"/>
      <c r="CG138" s="277"/>
      <c r="CH138" s="277"/>
      <c r="CJ138" s="277"/>
      <c r="CK138" s="277"/>
      <c r="CL138" s="277"/>
      <c r="CM138" s="277"/>
      <c r="CO138" s="277"/>
      <c r="CP138" s="277"/>
      <c r="CQ138" s="277"/>
      <c r="CR138" s="277"/>
      <c r="CT138" s="277"/>
      <c r="CU138" s="277"/>
      <c r="CV138" s="277"/>
      <c r="CW138" s="277"/>
      <c r="CY138" s="277"/>
      <c r="CZ138" s="277"/>
      <c r="DA138" s="277"/>
      <c r="DB138" s="277"/>
      <c r="DD138" s="277"/>
      <c r="DE138" s="277"/>
      <c r="DF138" s="277"/>
      <c r="DG138" s="277"/>
      <c r="DI138" s="277"/>
      <c r="DJ138" s="277"/>
      <c r="DK138" s="277"/>
      <c r="DL138" s="277"/>
      <c r="DN138" s="277"/>
      <c r="DO138" s="277"/>
      <c r="DP138" s="277"/>
      <c r="DQ138" s="277"/>
      <c r="DS138" s="277"/>
      <c r="DT138" s="277"/>
      <c r="DU138" s="277"/>
      <c r="DV138" s="277"/>
      <c r="DX138" s="277"/>
      <c r="DY138" s="277"/>
      <c r="DZ138" s="277"/>
      <c r="EA138" s="277"/>
      <c r="EC138" s="277"/>
      <c r="ED138" s="277"/>
      <c r="EE138" s="277"/>
      <c r="EF138" s="277"/>
      <c r="EH138" s="277"/>
      <c r="EI138" s="277"/>
      <c r="EJ138" s="277"/>
      <c r="EK138" s="277"/>
      <c r="EO138"/>
      <c r="EP138"/>
      <c r="EQ138"/>
      <c r="ER138"/>
      <c r="ES138"/>
      <c r="ET138"/>
    </row>
    <row r="139" spans="2:150" outlineLevel="1">
      <c r="B139" s="9" t="s">
        <v>160</v>
      </c>
      <c r="C139" s="175"/>
      <c r="D139" s="175"/>
      <c r="E139" s="175"/>
      <c r="F139" s="175"/>
      <c r="H139" s="175"/>
      <c r="I139" s="175"/>
      <c r="J139" s="175"/>
      <c r="K139" s="175"/>
      <c r="M139" s="175"/>
      <c r="N139" s="175"/>
      <c r="O139" s="175"/>
      <c r="P139" s="175"/>
      <c r="R139" s="175"/>
      <c r="S139" s="175"/>
      <c r="T139" s="175"/>
      <c r="U139" s="175"/>
      <c r="W139" s="175"/>
      <c r="X139" s="175"/>
      <c r="Y139" s="175"/>
      <c r="Z139" s="175"/>
      <c r="AB139" s="175"/>
      <c r="AC139" s="175"/>
      <c r="AD139" s="175"/>
      <c r="AE139" s="175"/>
      <c r="AG139" s="175"/>
      <c r="AH139" s="175"/>
      <c r="AI139" s="175"/>
      <c r="AJ139" s="175"/>
      <c r="AL139" s="175"/>
      <c r="AM139" s="175"/>
      <c r="AN139" s="175"/>
      <c r="AO139" s="175"/>
      <c r="AQ139" s="175"/>
      <c r="AR139" s="175"/>
      <c r="AS139" s="175"/>
      <c r="AT139" s="175"/>
      <c r="AV139" s="175"/>
      <c r="AW139" s="175"/>
      <c r="AX139" s="175"/>
      <c r="AY139" s="175"/>
      <c r="BA139" s="276"/>
      <c r="BB139" s="276"/>
      <c r="BC139" s="276"/>
      <c r="BD139" s="276"/>
      <c r="BF139" s="276"/>
      <c r="BG139" s="276"/>
      <c r="BH139" s="276"/>
      <c r="BI139" s="276"/>
      <c r="BK139" s="276"/>
      <c r="BL139" s="276"/>
      <c r="BM139" s="276"/>
      <c r="BN139" s="276"/>
      <c r="BP139" s="276"/>
      <c r="BQ139" s="276"/>
      <c r="BR139" s="276"/>
      <c r="BS139" s="276"/>
      <c r="BU139" s="276"/>
      <c r="BV139" s="276"/>
      <c r="BW139" s="276"/>
      <c r="BX139" s="276"/>
      <c r="BZ139" s="276"/>
      <c r="CA139" s="276"/>
      <c r="CB139" s="276"/>
      <c r="CC139" s="276"/>
      <c r="CE139" s="276"/>
      <c r="CF139" s="276"/>
      <c r="CG139" s="276"/>
      <c r="CH139" s="276"/>
      <c r="CJ139" s="276"/>
      <c r="CK139" s="276"/>
      <c r="CL139" s="276"/>
      <c r="CM139" s="276"/>
      <c r="CO139" s="276"/>
      <c r="CP139" s="276"/>
      <c r="CQ139" s="276"/>
      <c r="CR139" s="276"/>
      <c r="CT139" s="276"/>
      <c r="CU139" s="276"/>
      <c r="CV139" s="276"/>
      <c r="CW139" s="276"/>
      <c r="CY139" s="276"/>
      <c r="CZ139" s="276"/>
      <c r="DA139" s="276"/>
      <c r="DB139" s="276"/>
      <c r="DD139" s="276"/>
      <c r="DE139" s="276"/>
      <c r="DF139" s="276"/>
      <c r="DG139" s="276"/>
      <c r="DI139" s="276"/>
      <c r="DJ139" s="276"/>
      <c r="DK139" s="276"/>
      <c r="DL139" s="276"/>
      <c r="DN139" s="276"/>
      <c r="DO139" s="276"/>
      <c r="DP139" s="276"/>
      <c r="DQ139" s="276"/>
      <c r="DS139" s="276"/>
      <c r="DT139" s="276"/>
      <c r="DU139" s="276"/>
      <c r="DV139" s="276"/>
      <c r="DX139" s="276"/>
      <c r="DY139" s="276"/>
      <c r="DZ139" s="276"/>
      <c r="EA139" s="276"/>
      <c r="EC139" s="276"/>
      <c r="ED139" s="276"/>
      <c r="EE139" s="276"/>
      <c r="EF139" s="276"/>
      <c r="EH139" s="276"/>
      <c r="EI139" s="276"/>
      <c r="EJ139" s="276"/>
      <c r="EK139" s="276"/>
    </row>
    <row r="140" spans="2:150" s="3" customFormat="1" outlineLevel="1">
      <c r="B140" s="28" t="s">
        <v>157</v>
      </c>
      <c r="C140" s="159"/>
      <c r="D140" s="159"/>
      <c r="E140" s="159"/>
      <c r="F140" s="159"/>
      <c r="G140" s="14"/>
      <c r="H140" s="159"/>
      <c r="I140" s="159"/>
      <c r="J140" s="159"/>
      <c r="K140" s="159"/>
      <c r="M140" s="159"/>
      <c r="N140" s="159"/>
      <c r="O140" s="159"/>
      <c r="P140" s="159"/>
      <c r="R140" s="159"/>
      <c r="S140" s="159"/>
      <c r="T140" s="159"/>
      <c r="U140" s="159"/>
      <c r="W140" s="159"/>
      <c r="X140" s="159"/>
      <c r="Y140" s="159"/>
      <c r="Z140" s="159"/>
      <c r="AB140" s="159"/>
      <c r="AC140" s="159"/>
      <c r="AD140" s="159"/>
      <c r="AE140" s="159"/>
      <c r="AG140" s="159"/>
      <c r="AH140" s="159"/>
      <c r="AI140" s="159"/>
      <c r="AJ140" s="159">
        <v>577.6</v>
      </c>
      <c r="AK140" s="3">
        <f>AJ140</f>
        <v>577.6</v>
      </c>
      <c r="AL140" s="159"/>
      <c r="AM140" s="159">
        <v>468.2</v>
      </c>
      <c r="AN140" s="159"/>
      <c r="AO140" s="159"/>
      <c r="AQ140" s="159"/>
      <c r="AR140" s="159"/>
      <c r="AS140" s="159"/>
      <c r="AT140" s="159"/>
      <c r="AV140" s="159">
        <v>500</v>
      </c>
      <c r="AW140" s="159">
        <v>26</v>
      </c>
      <c r="AX140" s="159">
        <v>6.3</v>
      </c>
      <c r="AY140" s="159"/>
      <c r="BA140" s="265"/>
      <c r="BB140" s="265"/>
      <c r="BC140" s="265"/>
      <c r="BD140" s="265"/>
      <c r="BF140" s="265"/>
      <c r="BG140" s="265"/>
      <c r="BH140" s="265"/>
      <c r="BI140" s="265"/>
      <c r="BK140" s="265"/>
      <c r="BL140" s="265"/>
      <c r="BM140" s="265"/>
      <c r="BN140" s="265"/>
      <c r="BP140" s="265"/>
      <c r="BQ140" s="265"/>
      <c r="BR140" s="265"/>
      <c r="BS140" s="265"/>
      <c r="BU140" s="265"/>
      <c r="BV140" s="265"/>
      <c r="BW140" s="265"/>
      <c r="BX140" s="265"/>
      <c r="BZ140" s="265"/>
      <c r="CA140" s="265"/>
      <c r="CB140" s="265"/>
      <c r="CC140" s="265"/>
      <c r="CE140" s="265"/>
      <c r="CF140" s="265"/>
      <c r="CG140" s="265"/>
      <c r="CH140" s="265"/>
      <c r="CJ140" s="265"/>
      <c r="CK140" s="265"/>
      <c r="CL140" s="265"/>
      <c r="CM140" s="265"/>
      <c r="CO140" s="265"/>
      <c r="CP140" s="265"/>
      <c r="CQ140" s="265"/>
      <c r="CR140" s="265"/>
      <c r="CT140" s="265"/>
      <c r="CU140" s="265"/>
      <c r="CV140" s="265"/>
      <c r="CW140" s="265"/>
      <c r="CY140" s="265"/>
      <c r="CZ140" s="265"/>
      <c r="DA140" s="265"/>
      <c r="DB140" s="265"/>
      <c r="DD140" s="265"/>
      <c r="DE140" s="265"/>
      <c r="DF140" s="265"/>
      <c r="DG140" s="265"/>
      <c r="DI140" s="265"/>
      <c r="DJ140" s="265"/>
      <c r="DK140" s="265"/>
      <c r="DL140" s="265"/>
      <c r="DN140" s="265"/>
      <c r="DO140" s="265"/>
      <c r="DP140" s="265"/>
      <c r="DQ140" s="265"/>
      <c r="DS140" s="265"/>
      <c r="DT140" s="265"/>
      <c r="DU140" s="265"/>
      <c r="DV140" s="265"/>
      <c r="DX140" s="265"/>
      <c r="DY140" s="265"/>
      <c r="DZ140" s="265"/>
      <c r="EA140" s="265"/>
      <c r="EC140" s="265"/>
      <c r="ED140" s="265"/>
      <c r="EE140" s="265"/>
      <c r="EF140" s="265"/>
      <c r="EH140" s="265"/>
      <c r="EI140" s="265"/>
      <c r="EJ140" s="265"/>
      <c r="EK140" s="265"/>
      <c r="EO140"/>
      <c r="EP140"/>
      <c r="EQ140"/>
      <c r="ER140"/>
      <c r="ES140"/>
      <c r="ET140"/>
    </row>
    <row r="141" spans="2:150" s="3" customFormat="1" outlineLevel="1">
      <c r="B141" s="28" t="s">
        <v>156</v>
      </c>
      <c r="C141" s="159"/>
      <c r="D141" s="159"/>
      <c r="E141" s="159"/>
      <c r="F141" s="159"/>
      <c r="G141" s="14"/>
      <c r="H141" s="159">
        <v>12</v>
      </c>
      <c r="I141" s="159">
        <v>6.1336339999999998</v>
      </c>
      <c r="J141" s="159">
        <v>20</v>
      </c>
      <c r="K141" s="159">
        <v>19.3964</v>
      </c>
      <c r="L141" s="3">
        <f>K141</f>
        <v>19.3964</v>
      </c>
      <c r="M141" s="159">
        <v>15.916399999999999</v>
      </c>
      <c r="N141" s="159">
        <v>11.916399999999999</v>
      </c>
      <c r="O141" s="159">
        <v>11.916399999999999</v>
      </c>
      <c r="P141" s="159">
        <v>11.916399999999999</v>
      </c>
      <c r="Q141" s="3">
        <f>P141</f>
        <v>11.916399999999999</v>
      </c>
      <c r="R141" s="159">
        <v>11.9</v>
      </c>
      <c r="S141" s="159">
        <f>R141</f>
        <v>11.9</v>
      </c>
      <c r="T141" s="159">
        <v>4.4378599999999997</v>
      </c>
      <c r="U141" s="159">
        <f t="shared" ref="U141:AA141" si="212">T141</f>
        <v>4.4378599999999997</v>
      </c>
      <c r="V141" s="3">
        <f t="shared" si="212"/>
        <v>4.4378599999999997</v>
      </c>
      <c r="W141" s="159">
        <f t="shared" si="212"/>
        <v>4.4378599999999997</v>
      </c>
      <c r="X141" s="159">
        <f t="shared" si="212"/>
        <v>4.4378599999999997</v>
      </c>
      <c r="Y141" s="159">
        <f t="shared" si="212"/>
        <v>4.4378599999999997</v>
      </c>
      <c r="Z141" s="159">
        <f t="shared" si="212"/>
        <v>4.4378599999999997</v>
      </c>
      <c r="AA141" s="3">
        <f t="shared" si="212"/>
        <v>4.4378599999999997</v>
      </c>
      <c r="AB141" s="159"/>
      <c r="AC141" s="159"/>
      <c r="AD141" s="159">
        <v>11</v>
      </c>
      <c r="AE141" s="159">
        <v>7.2225000000000001</v>
      </c>
      <c r="AF141" s="3">
        <f>AE141</f>
        <v>7.2225000000000001</v>
      </c>
      <c r="AG141" s="159">
        <v>6</v>
      </c>
      <c r="AH141" s="159">
        <v>6</v>
      </c>
      <c r="AI141" s="159">
        <v>6</v>
      </c>
      <c r="AJ141" s="159"/>
      <c r="AL141" s="159"/>
      <c r="AM141" s="159"/>
      <c r="AN141" s="159"/>
      <c r="AO141" s="159"/>
      <c r="AQ141" s="159">
        <v>16.2</v>
      </c>
      <c r="AR141" s="159">
        <f>AQ141-AR136</f>
        <v>13.997599999999998</v>
      </c>
      <c r="AS141" s="159">
        <f>AR141-AS136</f>
        <v>13.997599999999998</v>
      </c>
      <c r="AT141" s="159">
        <f>AS141-AT136</f>
        <v>12.997599999999998</v>
      </c>
      <c r="AV141" s="159"/>
      <c r="AW141" s="159">
        <v>6.3</v>
      </c>
      <c r="AX141" s="159"/>
      <c r="AY141" s="159"/>
      <c r="AZ141" s="3">
        <v>6.2</v>
      </c>
      <c r="BA141" s="265"/>
      <c r="BB141" s="265"/>
      <c r="BC141" s="265"/>
      <c r="BD141" s="265"/>
      <c r="BF141" s="265"/>
      <c r="BG141" s="265"/>
      <c r="BH141" s="265"/>
      <c r="BI141" s="265"/>
      <c r="BK141" s="265"/>
      <c r="BL141" s="265"/>
      <c r="BM141" s="265"/>
      <c r="BN141" s="265"/>
      <c r="BP141" s="265"/>
      <c r="BQ141" s="265"/>
      <c r="BR141" s="265"/>
      <c r="BS141" s="265"/>
      <c r="BU141" s="265"/>
      <c r="BV141" s="265"/>
      <c r="BW141" s="265"/>
      <c r="BX141" s="265"/>
      <c r="BZ141" s="265"/>
      <c r="CA141" s="265"/>
      <c r="CB141" s="265"/>
      <c r="CC141" s="265"/>
      <c r="CE141" s="265"/>
      <c r="CF141" s="265"/>
      <c r="CG141" s="265"/>
      <c r="CH141" s="265"/>
      <c r="CJ141" s="265"/>
      <c r="CK141" s="265"/>
      <c r="CL141" s="265"/>
      <c r="CM141" s="265"/>
      <c r="CO141" s="265"/>
      <c r="CP141" s="265"/>
      <c r="CQ141" s="265"/>
      <c r="CR141" s="265"/>
      <c r="CT141" s="265"/>
      <c r="CU141" s="265"/>
      <c r="CV141" s="265"/>
      <c r="CW141" s="265"/>
      <c r="CY141" s="265"/>
      <c r="CZ141" s="265"/>
      <c r="DA141" s="265"/>
      <c r="DB141" s="265"/>
      <c r="DD141" s="265"/>
      <c r="DE141" s="265"/>
      <c r="DF141" s="265"/>
      <c r="DG141" s="265"/>
      <c r="DI141" s="265"/>
      <c r="DJ141" s="265"/>
      <c r="DK141" s="265"/>
      <c r="DL141" s="265"/>
      <c r="DN141" s="265"/>
      <c r="DO141" s="265"/>
      <c r="DP141" s="265"/>
      <c r="DQ141" s="265"/>
      <c r="DS141" s="265"/>
      <c r="DT141" s="265"/>
      <c r="DU141" s="265"/>
      <c r="DV141" s="265"/>
      <c r="DX141" s="265"/>
      <c r="DY141" s="265"/>
      <c r="DZ141" s="265"/>
      <c r="EA141" s="265"/>
      <c r="EC141" s="265"/>
      <c r="ED141" s="265"/>
      <c r="EE141" s="265"/>
      <c r="EF141" s="265"/>
      <c r="EH141" s="265"/>
      <c r="EI141" s="265"/>
      <c r="EJ141" s="265"/>
      <c r="EK141" s="265"/>
      <c r="EO141"/>
      <c r="EP141"/>
      <c r="EQ141"/>
      <c r="ER141"/>
      <c r="ES141"/>
      <c r="ET141"/>
    </row>
    <row r="142" spans="2:150">
      <c r="B142" s="9"/>
      <c r="C142" s="175"/>
      <c r="D142" s="175"/>
      <c r="E142" s="175"/>
      <c r="F142" s="175"/>
      <c r="H142" s="175"/>
      <c r="I142" s="175"/>
      <c r="J142" s="175"/>
      <c r="K142" s="175"/>
      <c r="M142" s="175"/>
      <c r="N142" s="175"/>
      <c r="O142" s="175"/>
      <c r="P142" s="175"/>
      <c r="R142" s="175"/>
      <c r="S142" s="175"/>
      <c r="T142" s="175"/>
      <c r="U142" s="175"/>
      <c r="W142" s="175"/>
      <c r="X142" s="175"/>
      <c r="Y142" s="175"/>
      <c r="Z142" s="175"/>
      <c r="AB142" s="175"/>
      <c r="AC142" s="175"/>
      <c r="AD142" s="175"/>
      <c r="AE142" s="175"/>
      <c r="AG142" s="175"/>
      <c r="AH142" s="175"/>
      <c r="AI142" s="175"/>
      <c r="AJ142" s="175"/>
      <c r="AL142" s="175"/>
      <c r="AM142" s="175"/>
      <c r="AN142" s="175"/>
      <c r="AO142" s="175"/>
      <c r="AQ142" s="175"/>
      <c r="AR142" s="175"/>
      <c r="AS142" s="175"/>
      <c r="AT142" s="175"/>
      <c r="AV142" s="175"/>
      <c r="AW142" s="175"/>
      <c r="AX142" s="175"/>
      <c r="AY142" s="175"/>
      <c r="BA142" s="276"/>
      <c r="BB142" s="276"/>
      <c r="BC142" s="276"/>
      <c r="BD142" s="276"/>
      <c r="BF142" s="276"/>
      <c r="BG142" s="276"/>
      <c r="BH142" s="276"/>
      <c r="BI142" s="276"/>
      <c r="BK142" s="276"/>
      <c r="BL142" s="276"/>
      <c r="BM142" s="276"/>
      <c r="BN142" s="276"/>
      <c r="BP142" s="276"/>
      <c r="BQ142" s="276"/>
      <c r="BR142" s="276"/>
      <c r="BS142" s="276"/>
      <c r="BU142" s="276"/>
      <c r="BV142" s="276"/>
      <c r="BW142" s="276"/>
      <c r="BX142" s="276"/>
      <c r="BZ142" s="276"/>
      <c r="CA142" s="276"/>
      <c r="CB142" s="276"/>
      <c r="CC142" s="276"/>
      <c r="CE142" s="276"/>
      <c r="CF142" s="276"/>
      <c r="CG142" s="276"/>
      <c r="CH142" s="276"/>
      <c r="CJ142" s="276"/>
      <c r="CK142" s="276"/>
      <c r="CL142" s="276"/>
      <c r="CM142" s="276"/>
      <c r="CO142" s="276"/>
      <c r="CP142" s="276"/>
      <c r="CQ142" s="276"/>
      <c r="CR142" s="276"/>
      <c r="CT142" s="276"/>
      <c r="CU142" s="276"/>
      <c r="CV142" s="276"/>
      <c r="CW142" s="276"/>
      <c r="CY142" s="276"/>
      <c r="CZ142" s="276"/>
      <c r="DA142" s="276"/>
      <c r="DB142" s="276"/>
      <c r="DD142" s="276"/>
      <c r="DE142" s="276"/>
      <c r="DF142" s="276"/>
      <c r="DG142" s="276"/>
      <c r="DI142" s="276"/>
      <c r="DJ142" s="276"/>
      <c r="DK142" s="276"/>
      <c r="DL142" s="276"/>
      <c r="DN142" s="276"/>
      <c r="DO142" s="276"/>
      <c r="DP142" s="276"/>
      <c r="DQ142" s="276"/>
      <c r="DS142" s="276"/>
      <c r="DT142" s="276"/>
      <c r="DU142" s="276"/>
      <c r="DV142" s="276"/>
      <c r="DX142" s="276"/>
      <c r="DY142" s="276"/>
      <c r="DZ142" s="276"/>
      <c r="EA142" s="276"/>
      <c r="EC142" s="276"/>
      <c r="ED142" s="276"/>
      <c r="EE142" s="276"/>
      <c r="EF142" s="276"/>
      <c r="EH142" s="276"/>
      <c r="EI142" s="276"/>
      <c r="EJ142" s="276"/>
      <c r="EK142" s="276"/>
    </row>
    <row r="144" spans="2:150">
      <c r="B144" s="4" t="s">
        <v>579</v>
      </c>
    </row>
    <row r="145" spans="2:150" s="293" customFormat="1" ht="12.75" customHeight="1">
      <c r="B145" s="293" t="s">
        <v>577</v>
      </c>
      <c r="C145" s="293">
        <f>C100+C43</f>
        <v>42.500000000000014</v>
      </c>
      <c r="D145" s="293">
        <f t="shared" ref="D145:BO145" si="213">D100+D43</f>
        <v>29.8</v>
      </c>
      <c r="E145" s="293">
        <f t="shared" si="213"/>
        <v>47.899999999999977</v>
      </c>
      <c r="F145" s="293">
        <f t="shared" si="213"/>
        <v>-989.89999999999986</v>
      </c>
      <c r="G145" s="293">
        <f t="shared" si="213"/>
        <v>-875.10000000000082</v>
      </c>
      <c r="H145" s="293">
        <f t="shared" si="213"/>
        <v>-41.197999999999922</v>
      </c>
      <c r="I145" s="293">
        <f t="shared" si="213"/>
        <v>0.82700000000009766</v>
      </c>
      <c r="J145" s="293">
        <f t="shared" si="213"/>
        <v>37.175999999999995</v>
      </c>
      <c r="K145" s="293">
        <f t="shared" si="213"/>
        <v>28.705999999999975</v>
      </c>
      <c r="L145" s="293">
        <f t="shared" si="213"/>
        <v>25.049000000000262</v>
      </c>
      <c r="M145" s="293">
        <f t="shared" si="213"/>
        <v>43.929000000000066</v>
      </c>
      <c r="N145" s="293">
        <f t="shared" si="213"/>
        <v>34.972000000000072</v>
      </c>
      <c r="O145" s="293">
        <f t="shared" si="213"/>
        <v>27.144999999999918</v>
      </c>
      <c r="P145" s="293">
        <f t="shared" si="213"/>
        <v>55.482999999999606</v>
      </c>
      <c r="Q145" s="293">
        <f t="shared" si="213"/>
        <v>161.79700000000025</v>
      </c>
      <c r="R145" s="293">
        <f t="shared" si="213"/>
        <v>122.79000000000013</v>
      </c>
      <c r="S145" s="293">
        <f t="shared" si="213"/>
        <v>-170.51299999999995</v>
      </c>
      <c r="T145" s="293">
        <f t="shared" si="213"/>
        <v>156.39899999999983</v>
      </c>
      <c r="U145" s="293">
        <f t="shared" si="213"/>
        <v>108.63499999999995</v>
      </c>
      <c r="V145" s="293">
        <f t="shared" si="213"/>
        <v>217.31099999999986</v>
      </c>
      <c r="W145" s="293">
        <f t="shared" si="213"/>
        <v>134.3009999999999</v>
      </c>
      <c r="X145" s="293">
        <f t="shared" si="213"/>
        <v>186.04000000000013</v>
      </c>
      <c r="Y145" s="293">
        <f t="shared" si="213"/>
        <v>119.18100000000018</v>
      </c>
      <c r="Z145" s="293">
        <f t="shared" si="213"/>
        <v>197.75000000000034</v>
      </c>
      <c r="AA145" s="293">
        <f t="shared" si="213"/>
        <v>637.27199999999993</v>
      </c>
      <c r="AB145" s="293">
        <f t="shared" si="213"/>
        <v>166.30700000000016</v>
      </c>
      <c r="AC145" s="293">
        <f t="shared" si="213"/>
        <v>209.27300000000011</v>
      </c>
      <c r="AD145" s="293">
        <f t="shared" si="213"/>
        <v>209.10000000000016</v>
      </c>
      <c r="AE145" s="293">
        <f t="shared" si="213"/>
        <v>209.3269999999994</v>
      </c>
      <c r="AF145" s="293">
        <f t="shared" si="213"/>
        <v>794.00700000000052</v>
      </c>
      <c r="AG145" s="293">
        <f t="shared" si="213"/>
        <v>247.77900000000011</v>
      </c>
      <c r="AH145" s="293">
        <f t="shared" si="213"/>
        <v>146.88499999999996</v>
      </c>
      <c r="AI145" s="293">
        <f t="shared" si="213"/>
        <v>281.30200000000002</v>
      </c>
      <c r="AJ145" s="293">
        <f t="shared" si="213"/>
        <v>307.29599999999999</v>
      </c>
      <c r="AK145" s="293">
        <f t="shared" si="213"/>
        <v>983.26200000000017</v>
      </c>
      <c r="AL145" s="557">
        <f t="shared" si="213"/>
        <v>219.59300000000013</v>
      </c>
      <c r="AM145" s="557">
        <f t="shared" si="213"/>
        <v>295.94900000000035</v>
      </c>
      <c r="AN145" s="557">
        <f t="shared" si="213"/>
        <v>257.77900000000022</v>
      </c>
      <c r="AO145" s="558">
        <f t="shared" si="213"/>
        <v>272.35199999999998</v>
      </c>
      <c r="AP145" s="558">
        <f t="shared" si="213"/>
        <v>1045.6730000000005</v>
      </c>
      <c r="AQ145" s="558">
        <f t="shared" si="213"/>
        <v>308.26600000000013</v>
      </c>
      <c r="AR145" s="558">
        <f t="shared" si="213"/>
        <v>304.04899999999998</v>
      </c>
      <c r="AS145" s="558">
        <f t="shared" si="213"/>
        <v>353.43899999999996</v>
      </c>
      <c r="AT145" s="558">
        <f t="shared" si="213"/>
        <v>302.541</v>
      </c>
      <c r="AU145" s="558">
        <f t="shared" si="213"/>
        <v>1256.1439999999993</v>
      </c>
      <c r="AV145" s="558">
        <f t="shared" si="213"/>
        <v>302.36599999999993</v>
      </c>
      <c r="AW145" s="293">
        <f t="shared" si="213"/>
        <v>387.3520000000002</v>
      </c>
      <c r="AX145" s="293">
        <f t="shared" si="213"/>
        <v>399.65800000000007</v>
      </c>
      <c r="AY145" s="293">
        <f t="shared" si="213"/>
        <v>294.87600000000015</v>
      </c>
      <c r="AZ145" s="293">
        <f t="shared" si="213"/>
        <v>1384.2520000000004</v>
      </c>
      <c r="BA145" s="293">
        <f t="shared" si="213"/>
        <v>426.74899999999991</v>
      </c>
      <c r="BB145" s="293">
        <f t="shared" si="213"/>
        <v>492.95900000000034</v>
      </c>
      <c r="BC145" s="293">
        <f t="shared" si="213"/>
        <v>493.68900000000031</v>
      </c>
      <c r="BD145" s="293">
        <f t="shared" si="213"/>
        <v>462.29600000000016</v>
      </c>
      <c r="BE145" s="293">
        <f t="shared" si="213"/>
        <v>1903.4589999999989</v>
      </c>
      <c r="BF145" s="293">
        <f t="shared" si="213"/>
        <v>479.7300000000003</v>
      </c>
      <c r="BG145" s="293">
        <f t="shared" si="213"/>
        <v>725.1029999999995</v>
      </c>
      <c r="BH145" s="293">
        <f t="shared" si="213"/>
        <v>861.44799999999998</v>
      </c>
      <c r="BI145" s="293">
        <f t="shared" si="213"/>
        <v>882.81900000000019</v>
      </c>
      <c r="BJ145" s="293">
        <f t="shared" si="213"/>
        <v>2949.0999999999985</v>
      </c>
      <c r="BK145" s="293">
        <f t="shared" si="213"/>
        <v>820.87799999999959</v>
      </c>
      <c r="BL145" s="293">
        <f t="shared" si="213"/>
        <v>930.06399999999974</v>
      </c>
      <c r="BM145" s="293">
        <f t="shared" si="213"/>
        <v>1026.6669999999995</v>
      </c>
      <c r="BN145" s="293">
        <f t="shared" si="213"/>
        <v>828.06599999999969</v>
      </c>
      <c r="BO145" s="293">
        <f t="shared" si="213"/>
        <v>3605.8489999999997</v>
      </c>
      <c r="BP145" s="293">
        <f t="shared" ref="BP145:CS145" si="214">BP100+BP43</f>
        <v>969.2000000000005</v>
      </c>
      <c r="BQ145" s="293">
        <f t="shared" si="214"/>
        <v>1048.3999999999994</v>
      </c>
      <c r="BR145" s="293">
        <f t="shared" si="214"/>
        <v>1030.1999999999996</v>
      </c>
      <c r="BS145" s="293">
        <f t="shared" si="214"/>
        <v>647.90000000000009</v>
      </c>
      <c r="BT145" s="293">
        <f t="shared" si="214"/>
        <v>3630.9333900438928</v>
      </c>
      <c r="BU145" s="293">
        <f t="shared" si="214"/>
        <v>747.50000000000057</v>
      </c>
      <c r="BV145" s="293">
        <f t="shared" si="214"/>
        <v>862.79999999999961</v>
      </c>
      <c r="BW145" s="293">
        <f t="shared" si="214"/>
        <v>1226.0999999999997</v>
      </c>
      <c r="BX145" s="293">
        <f t="shared" si="214"/>
        <v>-276.06902880340681</v>
      </c>
      <c r="BY145" s="293">
        <f t="shared" si="214"/>
        <v>2560.3309711965958</v>
      </c>
      <c r="BZ145" s="293">
        <f t="shared" si="214"/>
        <v>1171.2000000000003</v>
      </c>
      <c r="CA145" s="293">
        <f t="shared" si="214"/>
        <v>941.29728906981211</v>
      </c>
      <c r="CB145" s="293">
        <f t="shared" si="214"/>
        <v>1236.5166067313614</v>
      </c>
      <c r="CC145" s="293">
        <f t="shared" si="214"/>
        <v>1112.8902949198468</v>
      </c>
      <c r="CD145" s="293">
        <f t="shared" si="214"/>
        <v>4651.8014500630334</v>
      </c>
      <c r="CE145" s="293">
        <f t="shared" si="214"/>
        <v>0</v>
      </c>
      <c r="CF145" s="293">
        <f t="shared" si="214"/>
        <v>0</v>
      </c>
      <c r="CG145" s="293">
        <f t="shared" si="214"/>
        <v>0</v>
      </c>
      <c r="CH145" s="293">
        <f t="shared" si="214"/>
        <v>0</v>
      </c>
      <c r="CI145" s="293">
        <f t="shared" si="214"/>
        <v>5156.9833053289613</v>
      </c>
      <c r="CJ145" s="293">
        <f t="shared" si="214"/>
        <v>0</v>
      </c>
      <c r="CK145" s="293">
        <f t="shared" si="214"/>
        <v>0</v>
      </c>
      <c r="CL145" s="293">
        <f t="shared" si="214"/>
        <v>0</v>
      </c>
      <c r="CM145" s="293">
        <f t="shared" si="214"/>
        <v>0</v>
      </c>
      <c r="CN145" s="293">
        <f t="shared" si="214"/>
        <v>5419.4422386335636</v>
      </c>
      <c r="CO145" s="293">
        <f t="shared" si="214"/>
        <v>0</v>
      </c>
      <c r="CP145" s="293">
        <f t="shared" si="214"/>
        <v>0</v>
      </c>
      <c r="CQ145" s="293">
        <f t="shared" si="214"/>
        <v>0</v>
      </c>
      <c r="CR145" s="293">
        <f t="shared" si="214"/>
        <v>0</v>
      </c>
      <c r="CS145" s="293">
        <f t="shared" si="214"/>
        <v>5691.6109366533537</v>
      </c>
      <c r="CT145" s="293">
        <f t="shared" ref="CT145:EL145" si="215">CT100+CT43</f>
        <v>0</v>
      </c>
      <c r="CU145" s="293">
        <f t="shared" si="215"/>
        <v>0</v>
      </c>
      <c r="CV145" s="293">
        <f t="shared" si="215"/>
        <v>0</v>
      </c>
      <c r="CW145" s="293">
        <f t="shared" si="215"/>
        <v>0</v>
      </c>
      <c r="CX145" s="293">
        <f t="shared" si="215"/>
        <v>5826.6369332914019</v>
      </c>
      <c r="CY145" s="293">
        <f t="shared" si="215"/>
        <v>0</v>
      </c>
      <c r="CZ145" s="293">
        <f t="shared" si="215"/>
        <v>0</v>
      </c>
      <c r="DA145" s="293">
        <f t="shared" si="215"/>
        <v>0</v>
      </c>
      <c r="DB145" s="293">
        <f t="shared" si="215"/>
        <v>0</v>
      </c>
      <c r="DC145" s="293">
        <f t="shared" si="215"/>
        <v>5917.9418690389566</v>
      </c>
      <c r="DD145" s="293">
        <f t="shared" si="215"/>
        <v>0</v>
      </c>
      <c r="DE145" s="293">
        <f t="shared" si="215"/>
        <v>0</v>
      </c>
      <c r="DF145" s="293">
        <f t="shared" si="215"/>
        <v>0</v>
      </c>
      <c r="DG145" s="293">
        <f t="shared" si="215"/>
        <v>0</v>
      </c>
      <c r="DH145" s="293">
        <f t="shared" si="215"/>
        <v>6021.6053995441371</v>
      </c>
      <c r="DI145" s="293">
        <f t="shared" si="215"/>
        <v>0</v>
      </c>
      <c r="DJ145" s="293">
        <f t="shared" si="215"/>
        <v>0</v>
      </c>
      <c r="DK145" s="293">
        <f t="shared" si="215"/>
        <v>0</v>
      </c>
      <c r="DL145" s="293">
        <f t="shared" si="215"/>
        <v>0</v>
      </c>
      <c r="DM145" s="293">
        <f t="shared" si="215"/>
        <v>5514.6203608474189</v>
      </c>
      <c r="DN145" s="293">
        <f t="shared" si="215"/>
        <v>0</v>
      </c>
      <c r="DO145" s="293">
        <f t="shared" si="215"/>
        <v>0</v>
      </c>
      <c r="DP145" s="293">
        <f t="shared" si="215"/>
        <v>0</v>
      </c>
      <c r="DQ145" s="293">
        <f t="shared" si="215"/>
        <v>0</v>
      </c>
      <c r="DR145" s="293">
        <f t="shared" si="215"/>
        <v>4776.7673130359726</v>
      </c>
      <c r="DS145" s="293">
        <f t="shared" si="215"/>
        <v>0</v>
      </c>
      <c r="DT145" s="293">
        <f t="shared" si="215"/>
        <v>0</v>
      </c>
      <c r="DU145" s="293">
        <f t="shared" si="215"/>
        <v>0</v>
      </c>
      <c r="DV145" s="293">
        <f t="shared" si="215"/>
        <v>0</v>
      </c>
      <c r="DW145" s="293">
        <f t="shared" si="215"/>
        <v>3576.8497838534558</v>
      </c>
      <c r="DX145" s="293">
        <f t="shared" si="215"/>
        <v>0</v>
      </c>
      <c r="DY145" s="293">
        <f t="shared" si="215"/>
        <v>0</v>
      </c>
      <c r="DZ145" s="293">
        <f t="shared" si="215"/>
        <v>0</v>
      </c>
      <c r="EA145" s="293">
        <f t="shared" si="215"/>
        <v>0</v>
      </c>
      <c r="EB145" s="293">
        <f t="shared" si="215"/>
        <v>3306.4660129257973</v>
      </c>
      <c r="EC145" s="293">
        <f t="shared" si="215"/>
        <v>0</v>
      </c>
      <c r="ED145" s="293">
        <f t="shared" si="215"/>
        <v>0</v>
      </c>
      <c r="EE145" s="293">
        <f t="shared" si="215"/>
        <v>0</v>
      </c>
      <c r="EF145" s="293">
        <f t="shared" si="215"/>
        <v>0</v>
      </c>
      <c r="EG145" s="293">
        <f t="shared" si="215"/>
        <v>3175.7935674859746</v>
      </c>
      <c r="EH145" s="293">
        <f t="shared" si="215"/>
        <v>0</v>
      </c>
      <c r="EI145" s="293">
        <f t="shared" si="215"/>
        <v>0</v>
      </c>
      <c r="EJ145" s="293">
        <f t="shared" si="215"/>
        <v>0</v>
      </c>
      <c r="EK145" s="293">
        <f t="shared" si="215"/>
        <v>0</v>
      </c>
      <c r="EL145" s="293">
        <f t="shared" si="215"/>
        <v>3246.2042304382039</v>
      </c>
      <c r="EO145"/>
      <c r="EP145"/>
      <c r="EQ145"/>
      <c r="ER145"/>
      <c r="ES145"/>
      <c r="ET145"/>
    </row>
    <row r="146" spans="2:150" s="315" customFormat="1">
      <c r="B146" s="315" t="s">
        <v>580</v>
      </c>
      <c r="G146" s="315">
        <f>CF!C34+CF!C33</f>
        <v>24.439</v>
      </c>
      <c r="L146" s="315">
        <f>CF!C34+CF!C33</f>
        <v>24.439</v>
      </c>
      <c r="Q146" s="315">
        <f>CF!E34+CF!E33</f>
        <v>-202.97099999999998</v>
      </c>
      <c r="V146" s="315">
        <f>CF!F34+CF!F33</f>
        <v>-173.30899999999997</v>
      </c>
      <c r="AA146" s="315">
        <f>CF!G34+CF!G33</f>
        <v>-2502.0040000000004</v>
      </c>
      <c r="AF146" s="315">
        <f>CF!H34+CF!H33</f>
        <v>-560.452</v>
      </c>
      <c r="AK146" s="315">
        <f>CF!I34+CF!I33</f>
        <v>-703.3599999999999</v>
      </c>
      <c r="AP146" s="315">
        <f>CF!J34+CF!J33</f>
        <v>-1894.0930000000003</v>
      </c>
      <c r="AU146" s="315">
        <f>CF!K34+CF!K33</f>
        <v>-183.32500000000005</v>
      </c>
      <c r="AZ146" s="315">
        <f>CF!L34+CF!L33</f>
        <v>-917.22199999999998</v>
      </c>
      <c r="BE146" s="315">
        <f>CF!M34+CF!M33</f>
        <v>-333.53900000000004</v>
      </c>
      <c r="BJ146" s="315">
        <f>CF!N34+CF!N33</f>
        <v>-831.89200000000005</v>
      </c>
      <c r="BO146" s="315">
        <f>CF!O34+CF!O33</f>
        <v>-4945.8</v>
      </c>
      <c r="BT146" s="315">
        <f>CF!P34+CF!P33</f>
        <v>-956.3</v>
      </c>
      <c r="BY146" s="315">
        <f>CF!Q34+CF!Q33</f>
        <v>-1365.4</v>
      </c>
      <c r="CD146" s="315">
        <f>CF!R34+CF!R33</f>
        <v>-1974.0847126460487</v>
      </c>
      <c r="CI146" s="315">
        <f>CF!S34+CF!S33</f>
        <v>-2646.072974030636</v>
      </c>
      <c r="CN146" s="315">
        <f>CF!T34+CF!T33</f>
        <v>-2943.8313425712795</v>
      </c>
      <c r="CS146" s="315">
        <f>CF!U34+CF!U33</f>
        <v>-3096.8508207837031</v>
      </c>
      <c r="CX146" s="315">
        <f>CF!V34+CF!V33</f>
        <v>-3237.8156447273223</v>
      </c>
      <c r="DC146" s="315">
        <f>CF!W34+CF!W33</f>
        <v>-3314.0283693047159</v>
      </c>
      <c r="DH146" s="315">
        <f>CF!X34+CF!X33</f>
        <v>-3400.5584708318625</v>
      </c>
      <c r="DM146" s="315">
        <f>CF!Y34+CF!Y33</f>
        <v>-3309.90009426702</v>
      </c>
      <c r="DR146" s="315">
        <f>CF!Z34+CF!Z33</f>
        <v>-3012.4426087583342</v>
      </c>
      <c r="DW146" s="315">
        <f>CF!AA34+CF!AA33</f>
        <v>-2565.2731540721802</v>
      </c>
      <c r="EB146" s="315">
        <f>CF!AB34+CF!AB33</f>
        <v>-2283.4695386296958</v>
      </c>
      <c r="EG146" s="315">
        <f>CF!AC34+CF!AC33</f>
        <v>-2248.3255574112727</v>
      </c>
      <c r="EL146" s="315">
        <f>CF!AD34+CF!AD33</f>
        <v>-2281.0329489447531</v>
      </c>
      <c r="EO146"/>
      <c r="EP146"/>
      <c r="EQ146"/>
      <c r="ER146"/>
      <c r="ES146"/>
      <c r="ET146"/>
    </row>
    <row r="147" spans="2:150" s="5" customFormat="1">
      <c r="B147" s="5" t="s">
        <v>578</v>
      </c>
      <c r="G147" s="5">
        <v>0</v>
      </c>
      <c r="L147" s="5">
        <v>0</v>
      </c>
      <c r="Q147" s="5">
        <v>0</v>
      </c>
      <c r="V147" s="5">
        <v>0</v>
      </c>
      <c r="AA147" s="5">
        <v>0</v>
      </c>
      <c r="AF147" s="5">
        <v>0</v>
      </c>
      <c r="AK147" s="5">
        <v>0</v>
      </c>
      <c r="AP147" s="5">
        <v>0</v>
      </c>
      <c r="AU147" s="5">
        <v>0</v>
      </c>
      <c r="AZ147" s="5">
        <v>0</v>
      </c>
      <c r="BE147" s="5">
        <v>0</v>
      </c>
      <c r="BJ147" s="5">
        <v>0</v>
      </c>
      <c r="BO147" s="5">
        <v>0</v>
      </c>
      <c r="BT147" s="5">
        <v>0</v>
      </c>
      <c r="BY147" s="5">
        <v>0</v>
      </c>
      <c r="CD147" s="5">
        <v>0</v>
      </c>
      <c r="CI147" s="5">
        <v>0</v>
      </c>
      <c r="CN147" s="5">
        <v>0</v>
      </c>
      <c r="CS147" s="5">
        <v>0</v>
      </c>
      <c r="CX147" s="5">
        <v>0</v>
      </c>
      <c r="DC147" s="5">
        <v>0</v>
      </c>
      <c r="DH147" s="5">
        <v>0</v>
      </c>
      <c r="DM147" s="5">
        <v>0</v>
      </c>
      <c r="DR147" s="5">
        <v>0</v>
      </c>
      <c r="DW147" s="5">
        <v>0</v>
      </c>
      <c r="EB147" s="5">
        <v>0</v>
      </c>
      <c r="EG147" s="5">
        <v>0</v>
      </c>
      <c r="EL147" s="5">
        <v>0</v>
      </c>
      <c r="EO147"/>
      <c r="EP147"/>
      <c r="EQ147"/>
      <c r="ER147"/>
      <c r="ES147"/>
      <c r="ET147"/>
    </row>
    <row r="148" spans="2:150" s="315" customFormat="1">
      <c r="B148" s="315" t="s">
        <v>581</v>
      </c>
      <c r="G148" s="315">
        <f>BS!C39-IS!G145-IS!G146-IS!G147</f>
        <v>7903.9890000000014</v>
      </c>
      <c r="L148" s="315">
        <f>BS!D39-BS!C39-IS!L145-IS!L146-IS!L147</f>
        <v>-276.41499999999996</v>
      </c>
      <c r="Q148" s="315">
        <f>BS!E39-BS!D39-IS!Q145-IS!Q146-IS!Q147</f>
        <v>120.64899999999918</v>
      </c>
      <c r="V148" s="315">
        <f>BS!F39-BS!E39-IS!V145-IS!V146-IS!V147</f>
        <v>199.90000000000015</v>
      </c>
      <c r="AA148" s="315">
        <f>BS!G39-BS!F39-IS!AA145-IS!AA146-IS!AA147</f>
        <v>249.24900000000025</v>
      </c>
      <c r="AF148" s="315">
        <f>BS!H39-BS!G39-IS!AF145-IS!AF146-IS!AF147</f>
        <v>38.233000000000857</v>
      </c>
      <c r="AK148" s="315">
        <f>BS!I39-BS!H39-IS!AK145-IS!AK146-IS!AK147</f>
        <v>135.54499999999894</v>
      </c>
      <c r="AP148" s="315">
        <f>BS!J39-BS!I39-IS!AP145-IS!AP146-IS!AP147</f>
        <v>23.395999999999503</v>
      </c>
      <c r="AU148" s="315">
        <f>BS!K39-BS!J39-IS!AU145-IS!AU146-IS!AU147</f>
        <v>-43.825999999999794</v>
      </c>
      <c r="AZ148" s="315">
        <f>BS!L39-BS!K39-IS!AZ145-IS!AZ146-IS!AZ147</f>
        <v>68.993999999999005</v>
      </c>
      <c r="BE148" s="315">
        <f>BS!M39-BS!L39-IS!BE145-IS!BE146-IS!BE147</f>
        <v>89.39500000000163</v>
      </c>
      <c r="BJ148" s="315">
        <f>BS!N39-BS!M39-IS!BJ145-IS!BJ146-IS!BJ147</f>
        <v>75.994000000002643</v>
      </c>
      <c r="BO148" s="315">
        <f>BS!O39-BS!N39-IS!BO145-IS!BO146-IS!BO147</f>
        <v>-99.189000000001215</v>
      </c>
      <c r="BT148" s="315">
        <f>BS!P39-BS!O39-IS!BT145-IS!BT146-IS!BT147</f>
        <v>79.066609956107868</v>
      </c>
      <c r="BY148" s="315">
        <f>BS!Q39-BS!P39-IS!BY145-IS!BY146-IS!BY147</f>
        <v>-725.43097119659569</v>
      </c>
      <c r="CD148" s="315">
        <f>BS!R39-BS!Q39-IS!CD145-IS!CD146-IS!CD147</f>
        <v>-1399.999999999997</v>
      </c>
      <c r="CI148" s="315">
        <f>BS!S39-BS!R39-IS!CI145-IS!CI146-IS!CI147</f>
        <v>-200.00000000000273</v>
      </c>
      <c r="CN148" s="315">
        <f>BS!T39-BS!S39-IS!CN145-IS!CN146-IS!CN147</f>
        <v>100</v>
      </c>
      <c r="CS148" s="315">
        <f>BS!U39-BS!T39-IS!CS145-IS!CS146-IS!CS147</f>
        <v>99.999999999998181</v>
      </c>
      <c r="CX148" s="315">
        <f>BS!V39-BS!U39-IS!CX145-IS!CX146-IS!CX147</f>
        <v>99.999999999999091</v>
      </c>
      <c r="DC148" s="315">
        <f>BS!W39-BS!V39-IS!DC145-IS!DC146-IS!DC147</f>
        <v>100</v>
      </c>
      <c r="DH148" s="315">
        <f>BS!X39-BS!W39-IS!DH145-IS!DH146-IS!DH147</f>
        <v>99.999999999997726</v>
      </c>
      <c r="DM148" s="315">
        <f>BS!Y39-BS!X39-IS!DM145-IS!DM146-IS!DM147</f>
        <v>99.999999999997272</v>
      </c>
      <c r="DR148" s="315">
        <f>BS!Z39-BS!Y39-IS!DR145-IS!DR146-IS!DR147</f>
        <v>100.00000000000728</v>
      </c>
      <c r="DW148" s="315">
        <f>BS!AA39-BS!Z39-IS!DW145-IS!DW146-IS!DW147</f>
        <v>99.99999999999045</v>
      </c>
      <c r="EB148" s="315">
        <f>BS!AB39-BS!AA39-IS!EB145-IS!EB146-IS!EB147</f>
        <v>123.33389599236443</v>
      </c>
      <c r="EG148" s="315">
        <f>BS!AC39-BS!AB39-IS!EG145-IS!EG146-IS!EG147</f>
        <v>123.33389599236125</v>
      </c>
      <c r="EL148" s="315">
        <f>BS!AD39-BS!AC39-IS!EL145-IS!EL146-IS!EL147</f>
        <v>123.33389599237125</v>
      </c>
      <c r="EO148"/>
      <c r="EP148"/>
      <c r="EQ148"/>
      <c r="ER148"/>
      <c r="ES148"/>
      <c r="ET148"/>
    </row>
    <row r="149" spans="2:150" s="5" customFormat="1">
      <c r="B149" s="41" t="s">
        <v>576</v>
      </c>
      <c r="C149" s="5">
        <v>0</v>
      </c>
      <c r="D149" s="5">
        <v>0</v>
      </c>
      <c r="E149" s="5">
        <v>0</v>
      </c>
      <c r="F149" s="5">
        <v>0</v>
      </c>
      <c r="G149" s="5">
        <v>0</v>
      </c>
      <c r="H149" s="5">
        <v>0</v>
      </c>
      <c r="I149" s="5">
        <v>0</v>
      </c>
      <c r="J149" s="5">
        <v>0</v>
      </c>
      <c r="K149" s="5">
        <v>0</v>
      </c>
      <c r="L149" s="5">
        <v>0</v>
      </c>
      <c r="M149" s="5">
        <v>0</v>
      </c>
      <c r="N149" s="5">
        <v>0</v>
      </c>
      <c r="O149" s="5">
        <v>0</v>
      </c>
      <c r="P149" s="5">
        <v>0</v>
      </c>
      <c r="Q149" s="5">
        <v>0</v>
      </c>
      <c r="R149" s="5">
        <v>0</v>
      </c>
      <c r="S149" s="5">
        <v>0</v>
      </c>
      <c r="T149" s="5">
        <v>0</v>
      </c>
      <c r="U149" s="5">
        <v>0</v>
      </c>
      <c r="V149" s="5">
        <v>0</v>
      </c>
      <c r="W149" s="5">
        <v>0</v>
      </c>
      <c r="X149" s="5">
        <v>0</v>
      </c>
      <c r="Y149" s="5">
        <v>0</v>
      </c>
      <c r="Z149" s="5">
        <v>0</v>
      </c>
      <c r="AA149" s="5">
        <v>0</v>
      </c>
      <c r="AB149" s="5">
        <v>0</v>
      </c>
      <c r="AC149" s="5">
        <v>0</v>
      </c>
      <c r="AD149" s="5">
        <v>0</v>
      </c>
      <c r="AE149" s="5">
        <v>0</v>
      </c>
      <c r="AF149" s="5">
        <v>0</v>
      </c>
      <c r="AG149" s="5">
        <v>0</v>
      </c>
      <c r="AH149" s="5">
        <v>0</v>
      </c>
      <c r="AI149" s="5">
        <v>0</v>
      </c>
      <c r="AJ149" s="5">
        <v>0</v>
      </c>
      <c r="AK149" s="5">
        <v>0</v>
      </c>
      <c r="AL149" s="5">
        <v>0</v>
      </c>
      <c r="AM149" s="5">
        <v>0</v>
      </c>
      <c r="AN149" s="5">
        <v>0</v>
      </c>
      <c r="AO149" s="5">
        <v>0</v>
      </c>
      <c r="AP149" s="5">
        <v>0</v>
      </c>
      <c r="AQ149" s="5">
        <v>0</v>
      </c>
      <c r="AR149" s="5">
        <v>0</v>
      </c>
      <c r="AS149" s="5">
        <v>0</v>
      </c>
      <c r="AT149" s="5">
        <v>0</v>
      </c>
      <c r="AU149" s="5">
        <v>0</v>
      </c>
      <c r="AV149" s="5">
        <v>0</v>
      </c>
      <c r="AW149" s="5">
        <v>0</v>
      </c>
      <c r="AX149" s="5">
        <v>0</v>
      </c>
      <c r="AY149" s="5">
        <v>0</v>
      </c>
      <c r="AZ149" s="5">
        <v>0</v>
      </c>
      <c r="BA149" s="5">
        <v>0</v>
      </c>
      <c r="BB149" s="5">
        <v>0</v>
      </c>
      <c r="BC149" s="5">
        <v>0</v>
      </c>
      <c r="BD149" s="5">
        <v>0</v>
      </c>
      <c r="BE149" s="5">
        <v>0</v>
      </c>
      <c r="BF149" s="5">
        <v>0</v>
      </c>
      <c r="BG149" s="5">
        <v>0</v>
      </c>
      <c r="BH149" s="5">
        <v>0</v>
      </c>
      <c r="BI149" s="5">
        <v>0</v>
      </c>
      <c r="BJ149" s="5">
        <v>0</v>
      </c>
      <c r="BK149" s="5">
        <v>0</v>
      </c>
      <c r="BL149" s="5">
        <v>0</v>
      </c>
      <c r="BM149" s="5">
        <v>0</v>
      </c>
      <c r="BN149" s="5">
        <v>0</v>
      </c>
      <c r="BO149" s="5">
        <v>0</v>
      </c>
      <c r="BP149" s="5">
        <v>0</v>
      </c>
      <c r="BQ149" s="5">
        <v>0</v>
      </c>
      <c r="BR149" s="5">
        <v>0</v>
      </c>
      <c r="BS149" s="5">
        <v>0</v>
      </c>
      <c r="BT149" s="5">
        <v>0</v>
      </c>
      <c r="BU149" s="5">
        <v>0</v>
      </c>
      <c r="BV149" s="5">
        <v>0</v>
      </c>
      <c r="BW149" s="5">
        <v>0</v>
      </c>
      <c r="BX149" s="5">
        <v>0</v>
      </c>
      <c r="BY149" s="5">
        <v>0</v>
      </c>
      <c r="BZ149" s="5">
        <v>0</v>
      </c>
      <c r="CA149" s="5">
        <v>0</v>
      </c>
      <c r="CB149" s="5">
        <v>0</v>
      </c>
      <c r="CC149" s="5">
        <v>0</v>
      </c>
      <c r="CD149" s="5">
        <v>0</v>
      </c>
      <c r="CE149" s="5">
        <v>0</v>
      </c>
      <c r="CF149" s="5">
        <v>0</v>
      </c>
      <c r="CG149" s="5">
        <v>0</v>
      </c>
      <c r="CH149" s="5">
        <v>0</v>
      </c>
      <c r="CI149" s="5">
        <v>0</v>
      </c>
      <c r="CJ149" s="5">
        <v>0</v>
      </c>
      <c r="CK149" s="5">
        <v>0</v>
      </c>
      <c r="CL149" s="5">
        <v>0</v>
      </c>
      <c r="CM149" s="5">
        <v>0</v>
      </c>
      <c r="CN149" s="5">
        <v>0</v>
      </c>
      <c r="CO149" s="5">
        <v>0</v>
      </c>
      <c r="CP149" s="5">
        <v>0</v>
      </c>
      <c r="CQ149" s="5">
        <v>0</v>
      </c>
      <c r="CR149" s="5">
        <v>0</v>
      </c>
      <c r="CS149" s="5">
        <v>0</v>
      </c>
      <c r="CT149" s="5">
        <v>0</v>
      </c>
      <c r="CU149" s="5">
        <v>0</v>
      </c>
      <c r="CV149" s="5">
        <v>0</v>
      </c>
      <c r="CW149" s="5">
        <v>0</v>
      </c>
      <c r="CX149" s="5">
        <v>0</v>
      </c>
      <c r="CY149" s="5">
        <v>0</v>
      </c>
      <c r="CZ149" s="5">
        <v>0</v>
      </c>
      <c r="DA149" s="5">
        <v>0</v>
      </c>
      <c r="DB149" s="5">
        <v>0</v>
      </c>
      <c r="DC149" s="5">
        <v>0</v>
      </c>
      <c r="DD149" s="5">
        <v>0</v>
      </c>
      <c r="DE149" s="5">
        <v>0</v>
      </c>
      <c r="DF149" s="5">
        <v>0</v>
      </c>
      <c r="DG149" s="5">
        <v>0</v>
      </c>
      <c r="DH149" s="5">
        <v>0</v>
      </c>
      <c r="DI149" s="5">
        <v>0</v>
      </c>
      <c r="DJ149" s="5">
        <v>0</v>
      </c>
      <c r="DK149" s="5">
        <v>0</v>
      </c>
      <c r="DL149" s="5">
        <v>0</v>
      </c>
      <c r="DM149" s="5">
        <v>0</v>
      </c>
      <c r="DN149" s="5">
        <v>0</v>
      </c>
      <c r="DO149" s="5">
        <v>0</v>
      </c>
      <c r="DP149" s="5">
        <v>0</v>
      </c>
      <c r="DQ149" s="5">
        <v>0</v>
      </c>
      <c r="DR149" s="5">
        <v>0</v>
      </c>
      <c r="DS149" s="5">
        <v>0</v>
      </c>
      <c r="DT149" s="5">
        <v>0</v>
      </c>
      <c r="DU149" s="5">
        <v>0</v>
      </c>
      <c r="DV149" s="5">
        <v>0</v>
      </c>
      <c r="DW149" s="5">
        <v>0</v>
      </c>
      <c r="DX149" s="5">
        <v>0</v>
      </c>
      <c r="DY149" s="5">
        <v>0</v>
      </c>
      <c r="DZ149" s="5">
        <v>0</v>
      </c>
      <c r="EA149" s="5">
        <v>0</v>
      </c>
      <c r="EB149" s="5">
        <v>0</v>
      </c>
      <c r="EC149" s="5">
        <v>0</v>
      </c>
      <c r="ED149" s="5">
        <v>0</v>
      </c>
      <c r="EE149" s="5">
        <v>0</v>
      </c>
      <c r="EF149" s="5">
        <v>0</v>
      </c>
      <c r="EG149" s="5">
        <v>0</v>
      </c>
      <c r="EH149" s="5">
        <v>0</v>
      </c>
      <c r="EI149" s="5">
        <v>0</v>
      </c>
      <c r="EJ149" s="5">
        <v>0</v>
      </c>
      <c r="EK149" s="5">
        <v>0</v>
      </c>
      <c r="EL149" s="5">
        <v>0</v>
      </c>
      <c r="EO149"/>
      <c r="EP149"/>
      <c r="EQ149"/>
      <c r="ER149"/>
      <c r="ES149"/>
      <c r="ET149"/>
    </row>
    <row r="150" spans="2:150" s="5" customFormat="1">
      <c r="B150" s="41" t="s">
        <v>582</v>
      </c>
      <c r="C150" s="5">
        <f>+G150</f>
        <v>0.37109999999999993</v>
      </c>
      <c r="D150" s="5">
        <f>+G150</f>
        <v>0.37109999999999993</v>
      </c>
      <c r="E150" s="5">
        <f>+G150</f>
        <v>0.37109999999999993</v>
      </c>
      <c r="F150" s="5">
        <f>+G150</f>
        <v>0.37109999999999993</v>
      </c>
      <c r="G150" s="5">
        <f>35%+0.83%+1.28%</f>
        <v>0.37109999999999993</v>
      </c>
      <c r="H150" s="5">
        <f>+L150</f>
        <v>0.35</v>
      </c>
      <c r="I150" s="5">
        <f>+L150</f>
        <v>0.35</v>
      </c>
      <c r="J150" s="5">
        <f>+L150</f>
        <v>0.35</v>
      </c>
      <c r="K150" s="5">
        <f>+L150</f>
        <v>0.35</v>
      </c>
      <c r="L150" s="5">
        <v>0.35</v>
      </c>
      <c r="M150" s="5">
        <f>+Q150</f>
        <v>0.18099999999999999</v>
      </c>
      <c r="N150" s="5">
        <f>+Q150</f>
        <v>0.18099999999999999</v>
      </c>
      <c r="O150" s="5">
        <f>+Q150</f>
        <v>0.18099999999999999</v>
      </c>
      <c r="P150" s="5">
        <f>+Q150</f>
        <v>0.18099999999999999</v>
      </c>
      <c r="Q150" s="5">
        <f>35%+1.9%-18.8%</f>
        <v>0.18099999999999999</v>
      </c>
      <c r="R150" s="5">
        <f>+V150</f>
        <v>0.217</v>
      </c>
      <c r="S150" s="5">
        <f>+V150</f>
        <v>0.217</v>
      </c>
      <c r="T150" s="5">
        <f>+V150</f>
        <v>0.217</v>
      </c>
      <c r="U150" s="5">
        <f>+V150</f>
        <v>0.217</v>
      </c>
      <c r="V150" s="5">
        <f>35%+3%-16.3%</f>
        <v>0.217</v>
      </c>
      <c r="W150" s="5">
        <f>+AA150</f>
        <v>0.30099999999999999</v>
      </c>
      <c r="X150" s="5">
        <f>+AA150</f>
        <v>0.30099999999999999</v>
      </c>
      <c r="Y150" s="5">
        <f>+AA150</f>
        <v>0.30099999999999999</v>
      </c>
      <c r="Z150" s="5">
        <f>+AA150</f>
        <v>0.30099999999999999</v>
      </c>
      <c r="AA150" s="5">
        <f>35%+3.2%-8.1%</f>
        <v>0.30099999999999999</v>
      </c>
      <c r="AB150" s="5">
        <f>+AF150</f>
        <v>0.308</v>
      </c>
      <c r="AC150" s="5">
        <f>+AF150</f>
        <v>0.308</v>
      </c>
      <c r="AD150" s="5">
        <f>+AF150</f>
        <v>0.308</v>
      </c>
      <c r="AE150" s="5">
        <f>+AF150</f>
        <v>0.308</v>
      </c>
      <c r="AF150" s="5">
        <f>35%+1.6%-5.8%</f>
        <v>0.308</v>
      </c>
      <c r="AG150" s="5">
        <f>+AK150</f>
        <v>0.29899999999999999</v>
      </c>
      <c r="AH150" s="5">
        <f>+AK150</f>
        <v>0.29899999999999999</v>
      </c>
      <c r="AI150" s="5">
        <f>+AK150</f>
        <v>0.29899999999999999</v>
      </c>
      <c r="AJ150" s="5">
        <f>+AK150</f>
        <v>0.29899999999999999</v>
      </c>
      <c r="AK150" s="5">
        <f>35%-0.1%-5%</f>
        <v>0.29899999999999999</v>
      </c>
      <c r="AL150" s="5">
        <f>+AP150</f>
        <v>0.26</v>
      </c>
      <c r="AM150" s="5">
        <f>+AP150</f>
        <v>0.26</v>
      </c>
      <c r="AN150" s="5">
        <f>+AP150</f>
        <v>0.26</v>
      </c>
      <c r="AO150" s="5">
        <f>+AP150</f>
        <v>0.26</v>
      </c>
      <c r="AP150" s="5">
        <f>35%+1.7%-10.7%</f>
        <v>0.26</v>
      </c>
      <c r="AQ150" s="5">
        <f>+AU150</f>
        <v>0.308</v>
      </c>
      <c r="AR150" s="5">
        <f>+AU150</f>
        <v>0.308</v>
      </c>
      <c r="AS150" s="5">
        <f>+AU150</f>
        <v>0.308</v>
      </c>
      <c r="AT150" s="5">
        <f>+AU150</f>
        <v>0.308</v>
      </c>
      <c r="AU150" s="5">
        <f>35%+1.7%-5.9%</f>
        <v>0.308</v>
      </c>
      <c r="AV150" s="5">
        <f>+AZ150</f>
        <v>0.29699999999999999</v>
      </c>
      <c r="AW150" s="5">
        <f>+AZ150</f>
        <v>0.29699999999999999</v>
      </c>
      <c r="AX150" s="5">
        <f>+AZ150</f>
        <v>0.29699999999999999</v>
      </c>
      <c r="AY150" s="5">
        <f>+AZ150</f>
        <v>0.29699999999999999</v>
      </c>
      <c r="AZ150" s="5">
        <f>35%+0.9%-6.2%</f>
        <v>0.29699999999999999</v>
      </c>
      <c r="BA150" s="5">
        <f>+BE150</f>
        <v>0.314</v>
      </c>
      <c r="BB150" s="5">
        <f>+BE150</f>
        <v>0.314</v>
      </c>
      <c r="BC150" s="5">
        <f>+BE150</f>
        <v>0.314</v>
      </c>
      <c r="BD150" s="5">
        <f>+BE150</f>
        <v>0.314</v>
      </c>
      <c r="BE150" s="5">
        <f>35%+3.1%-6.7%</f>
        <v>0.314</v>
      </c>
      <c r="BF150" s="5">
        <f>+BJ150</f>
        <v>0.314</v>
      </c>
      <c r="BG150" s="5">
        <f>+BJ150</f>
        <v>0.314</v>
      </c>
      <c r="BH150" s="5">
        <f>+BJ150</f>
        <v>0.314</v>
      </c>
      <c r="BI150" s="5">
        <f>+BJ150</f>
        <v>0.314</v>
      </c>
      <c r="BJ150" s="5">
        <f>+BE150</f>
        <v>0.314</v>
      </c>
      <c r="BK150" s="5">
        <f>+BO150</f>
        <v>0.314</v>
      </c>
      <c r="BL150" s="5">
        <f>+BO150</f>
        <v>0.314</v>
      </c>
      <c r="BM150" s="5">
        <f>+BO150</f>
        <v>0.314</v>
      </c>
      <c r="BN150" s="5">
        <f>+BO150</f>
        <v>0.314</v>
      </c>
      <c r="BO150" s="5">
        <f>+BJ150</f>
        <v>0.314</v>
      </c>
      <c r="BP150" s="5">
        <f>+BT150</f>
        <v>0.314</v>
      </c>
      <c r="BQ150" s="5">
        <f>+BT150</f>
        <v>0.314</v>
      </c>
      <c r="BR150" s="5">
        <f>+BT150</f>
        <v>0.314</v>
      </c>
      <c r="BS150" s="5">
        <f>+BT150</f>
        <v>0.314</v>
      </c>
      <c r="BT150" s="5">
        <f>+BO150</f>
        <v>0.314</v>
      </c>
      <c r="BU150" s="5">
        <f>+BY150</f>
        <v>0.314</v>
      </c>
      <c r="BV150" s="5">
        <f>+BY150</f>
        <v>0.314</v>
      </c>
      <c r="BW150" s="5">
        <f>+BY150</f>
        <v>0.314</v>
      </c>
      <c r="BX150" s="5">
        <f>+BY150</f>
        <v>0.314</v>
      </c>
      <c r="BY150" s="5">
        <f>+BT150</f>
        <v>0.314</v>
      </c>
      <c r="BZ150" s="5">
        <f>+CD150</f>
        <v>0.314</v>
      </c>
      <c r="CA150" s="5">
        <f>+CD150</f>
        <v>0.314</v>
      </c>
      <c r="CB150" s="5">
        <f>+CD150</f>
        <v>0.314</v>
      </c>
      <c r="CC150" s="5">
        <f>+CD150</f>
        <v>0.314</v>
      </c>
      <c r="CD150" s="5">
        <f>+BY150</f>
        <v>0.314</v>
      </c>
      <c r="CE150" s="5">
        <f>+CI150</f>
        <v>0.314</v>
      </c>
      <c r="CF150" s="5">
        <f>+CI150</f>
        <v>0.314</v>
      </c>
      <c r="CG150" s="5">
        <f>+CI150</f>
        <v>0.314</v>
      </c>
      <c r="CH150" s="5">
        <f>+CI150</f>
        <v>0.314</v>
      </c>
      <c r="CI150" s="5">
        <f>+CD150</f>
        <v>0.314</v>
      </c>
      <c r="CJ150" s="5">
        <f>+CN150</f>
        <v>0.314</v>
      </c>
      <c r="CK150" s="5">
        <f>+CN150</f>
        <v>0.314</v>
      </c>
      <c r="CL150" s="5">
        <f>+CN150</f>
        <v>0.314</v>
      </c>
      <c r="CM150" s="5">
        <f>+CN150</f>
        <v>0.314</v>
      </c>
      <c r="CN150" s="5">
        <f>+CI150</f>
        <v>0.314</v>
      </c>
      <c r="CO150" s="5">
        <f>+CS150</f>
        <v>0.314</v>
      </c>
      <c r="CP150" s="5">
        <f>+CS150</f>
        <v>0.314</v>
      </c>
      <c r="CQ150" s="5">
        <f>+CS150</f>
        <v>0.314</v>
      </c>
      <c r="CR150" s="5">
        <f>+CS150</f>
        <v>0.314</v>
      </c>
      <c r="CS150" s="5">
        <f>+CN150</f>
        <v>0.314</v>
      </c>
      <c r="CT150" s="5">
        <f>+CX150</f>
        <v>0.314</v>
      </c>
      <c r="CU150" s="5">
        <f>+CX150</f>
        <v>0.314</v>
      </c>
      <c r="CV150" s="5">
        <f>+CX150</f>
        <v>0.314</v>
      </c>
      <c r="CW150" s="5">
        <f>+CX150</f>
        <v>0.314</v>
      </c>
      <c r="CX150" s="5">
        <f>+CS150</f>
        <v>0.314</v>
      </c>
      <c r="CY150" s="5">
        <f>+DC150</f>
        <v>0.314</v>
      </c>
      <c r="CZ150" s="5">
        <f>+DC150</f>
        <v>0.314</v>
      </c>
      <c r="DA150" s="5">
        <f>+DC150</f>
        <v>0.314</v>
      </c>
      <c r="DB150" s="5">
        <f>+DC150</f>
        <v>0.314</v>
      </c>
      <c r="DC150" s="5">
        <f>+CX150</f>
        <v>0.314</v>
      </c>
      <c r="DD150" s="5">
        <f>+DH150</f>
        <v>0.314</v>
      </c>
      <c r="DE150" s="5">
        <f>+DH150</f>
        <v>0.314</v>
      </c>
      <c r="DF150" s="5">
        <f>+DH150</f>
        <v>0.314</v>
      </c>
      <c r="DG150" s="5">
        <f>+DH150</f>
        <v>0.314</v>
      </c>
      <c r="DH150" s="5">
        <f>+DC150</f>
        <v>0.314</v>
      </c>
      <c r="DI150" s="5">
        <f>+DM150</f>
        <v>0.314</v>
      </c>
      <c r="DJ150" s="5">
        <f>+DM150</f>
        <v>0.314</v>
      </c>
      <c r="DK150" s="5">
        <f>+DM150</f>
        <v>0.314</v>
      </c>
      <c r="DL150" s="5">
        <f>+DM150</f>
        <v>0.314</v>
      </c>
      <c r="DM150" s="5">
        <f>+DH150</f>
        <v>0.314</v>
      </c>
      <c r="DN150" s="5">
        <f>+DR150</f>
        <v>0.314</v>
      </c>
      <c r="DO150" s="5">
        <f>+DR150</f>
        <v>0.314</v>
      </c>
      <c r="DP150" s="5">
        <f>+DR150</f>
        <v>0.314</v>
      </c>
      <c r="DQ150" s="5">
        <f>+DR150</f>
        <v>0.314</v>
      </c>
      <c r="DR150" s="5">
        <f>+DM150</f>
        <v>0.314</v>
      </c>
      <c r="DS150" s="5">
        <f>+DW150</f>
        <v>0.314</v>
      </c>
      <c r="DT150" s="5">
        <f>+DW150</f>
        <v>0.314</v>
      </c>
      <c r="DU150" s="5">
        <f>+DW150</f>
        <v>0.314</v>
      </c>
      <c r="DV150" s="5">
        <f>+DW150</f>
        <v>0.314</v>
      </c>
      <c r="DW150" s="5">
        <f>+DR150</f>
        <v>0.314</v>
      </c>
      <c r="DX150" s="5">
        <f>+EB150</f>
        <v>0.314</v>
      </c>
      <c r="DY150" s="5">
        <f>+EB150</f>
        <v>0.314</v>
      </c>
      <c r="DZ150" s="5">
        <f>+EB150</f>
        <v>0.314</v>
      </c>
      <c r="EA150" s="5">
        <f>+EB150</f>
        <v>0.314</v>
      </c>
      <c r="EB150" s="5">
        <f>+DW150</f>
        <v>0.314</v>
      </c>
      <c r="EC150" s="5">
        <f>+EG150</f>
        <v>0.314</v>
      </c>
      <c r="ED150" s="5">
        <f>+EG150</f>
        <v>0.314</v>
      </c>
      <c r="EE150" s="5">
        <f>+EG150</f>
        <v>0.314</v>
      </c>
      <c r="EF150" s="5">
        <f>+EG150</f>
        <v>0.314</v>
      </c>
      <c r="EG150" s="5">
        <f>+EB150</f>
        <v>0.314</v>
      </c>
      <c r="EH150" s="5">
        <f>+EL150</f>
        <v>0.314</v>
      </c>
      <c r="EI150" s="5">
        <f>+EL150</f>
        <v>0.314</v>
      </c>
      <c r="EJ150" s="5">
        <f>+EL150</f>
        <v>0.314</v>
      </c>
      <c r="EK150" s="5">
        <f>+EL150</f>
        <v>0.314</v>
      </c>
      <c r="EL150" s="5">
        <f>+EG150</f>
        <v>0.314</v>
      </c>
      <c r="EO150"/>
      <c r="EP150"/>
      <c r="EQ150"/>
      <c r="ER150"/>
      <c r="ES150"/>
      <c r="ET150"/>
    </row>
    <row r="151" spans="2:150" s="5" customFormat="1">
      <c r="B151" s="37"/>
      <c r="EO151"/>
      <c r="EP151"/>
      <c r="EQ151"/>
      <c r="ER151"/>
      <c r="ES151"/>
      <c r="ET151"/>
    </row>
    <row r="152" spans="2:150" s="5" customFormat="1">
      <c r="B152" s="37"/>
      <c r="EO152"/>
      <c r="EP152"/>
      <c r="EQ152"/>
      <c r="ER152"/>
      <c r="ES152"/>
      <c r="ET152"/>
    </row>
    <row r="153" spans="2:150" customFormat="1"/>
    <row r="154" spans="2:150" s="5" customFormat="1">
      <c r="B154" s="37"/>
      <c r="EO154"/>
      <c r="EP154"/>
      <c r="EQ154"/>
      <c r="ER154"/>
      <c r="ES154"/>
      <c r="ET154"/>
    </row>
    <row r="155" spans="2:150" s="5" customFormat="1">
      <c r="EO155"/>
      <c r="EP155"/>
      <c r="EQ155"/>
      <c r="ER155"/>
      <c r="ES155"/>
      <c r="ET155"/>
    </row>
    <row r="158" spans="2:150">
      <c r="BO158" s="293"/>
    </row>
  </sheetData>
  <mergeCells count="31">
    <mergeCell ref="EH1:EL1"/>
    <mergeCell ref="DN1:DR1"/>
    <mergeCell ref="DS1:DW1"/>
    <mergeCell ref="DX1:EB1"/>
    <mergeCell ref="EC1:EG1"/>
    <mergeCell ref="CO1:CS1"/>
    <mergeCell ref="CT1:CX1"/>
    <mergeCell ref="CY1:DC1"/>
    <mergeCell ref="DD1:DH1"/>
    <mergeCell ref="DI1:DM1"/>
    <mergeCell ref="AG1:AK1"/>
    <mergeCell ref="AL1:AP1"/>
    <mergeCell ref="BA1:BE1"/>
    <mergeCell ref="AV1:AZ1"/>
    <mergeCell ref="AQ1:AU1"/>
    <mergeCell ref="AB1:AF1"/>
    <mergeCell ref="C1:G1"/>
    <mergeCell ref="H1:L1"/>
    <mergeCell ref="M1:Q1"/>
    <mergeCell ref="R1:V1"/>
    <mergeCell ref="W1:AA1"/>
    <mergeCell ref="AL145:AN145"/>
    <mergeCell ref="AO145:AR145"/>
    <mergeCell ref="AS145:AV145"/>
    <mergeCell ref="CJ1:CN1"/>
    <mergeCell ref="BK1:BO1"/>
    <mergeCell ref="BP1:BT1"/>
    <mergeCell ref="BU1:BY1"/>
    <mergeCell ref="BZ1:CD1"/>
    <mergeCell ref="CE1:CI1"/>
    <mergeCell ref="BF1:BJ1"/>
  </mergeCells>
  <phoneticPr fontId="16" type="noConversion"/>
  <pageMargins left="0" right="0" top="0" bottom="0" header="0" footer="0"/>
  <pageSetup paperSize="5" scale="44" orientation="landscape" r:id="rId1"/>
  <ignoredErrors>
    <ignoredError sqref="BY42:BY46 BY38:BY40" formula="1"/>
    <ignoredError sqref="BY105:BY106"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EL130"/>
  <sheetViews>
    <sheetView showGridLines="0" zoomScaleNormal="100" workbookViewId="0">
      <pane xSplit="2" ySplit="3" topLeftCell="BT4" activePane="bottomRight" state="frozen"/>
      <selection pane="topRight" activeCell="C1" sqref="C1"/>
      <selection pane="bottomLeft" activeCell="A6" sqref="A6"/>
      <selection pane="bottomRight" activeCell="BZ1" sqref="BZ1"/>
    </sheetView>
  </sheetViews>
  <sheetFormatPr defaultRowHeight="12.75" outlineLevelRow="1" outlineLevelCol="2"/>
  <cols>
    <col min="1" max="1" width="2.140625" style="1" customWidth="1"/>
    <col min="2" max="2" width="44.5703125" style="1" customWidth="1"/>
    <col min="3" max="3" width="6.7109375" style="1" hidden="1" customWidth="1" outlineLevel="1"/>
    <col min="4" max="6" width="8.7109375" style="1" hidden="1" customWidth="1" outlineLevel="1"/>
    <col min="7" max="7" width="8.7109375" style="1" hidden="1" customWidth="1" collapsed="1"/>
    <col min="8" max="11" width="8.7109375" style="1" hidden="1" customWidth="1" outlineLevel="1"/>
    <col min="12" max="12" width="8.7109375" style="1" hidden="1" customWidth="1" collapsed="1"/>
    <col min="13" max="16" width="8.7109375" style="1" hidden="1" customWidth="1" outlineLevel="1"/>
    <col min="17" max="17" width="8.7109375" style="1" hidden="1" customWidth="1" collapsed="1"/>
    <col min="18" max="21" width="8.7109375" style="1" hidden="1" customWidth="1" outlineLevel="1"/>
    <col min="22" max="22" width="8.7109375" style="1" hidden="1" customWidth="1" collapsed="1"/>
    <col min="23" max="26" width="8.7109375" style="1" hidden="1" customWidth="1" outlineLevel="1"/>
    <col min="27" max="27" width="8.7109375" style="1" hidden="1" customWidth="1" collapsed="1"/>
    <col min="28" max="31" width="8.7109375" style="1" hidden="1" customWidth="1" outlineLevel="1"/>
    <col min="32" max="32" width="8.7109375" style="1" hidden="1" customWidth="1" collapsed="1"/>
    <col min="33" max="36" width="8.7109375" style="1" hidden="1" customWidth="1" outlineLevel="2"/>
    <col min="37" max="37" width="8.7109375" style="1" hidden="1" customWidth="1" outlineLevel="1" collapsed="1"/>
    <col min="38" max="41" width="8.7109375" style="1" hidden="1" customWidth="1" outlineLevel="2"/>
    <col min="42" max="42" width="8.7109375" style="1" hidden="1" customWidth="1" outlineLevel="1" collapsed="1"/>
    <col min="43" max="46" width="8.7109375" style="1" hidden="1" customWidth="1" outlineLevel="2"/>
    <col min="47" max="47" width="8.7109375" style="1" hidden="1" customWidth="1" outlineLevel="1" collapsed="1"/>
    <col min="48" max="51" width="8.7109375" style="1" hidden="1" customWidth="1" outlineLevel="2"/>
    <col min="52" max="52" width="8.7109375" style="1" hidden="1" customWidth="1" outlineLevel="1" collapsed="1"/>
    <col min="53" max="56" width="8.7109375" style="1" hidden="1" customWidth="1" outlineLevel="2"/>
    <col min="57" max="57" width="8.7109375" style="1" hidden="1" customWidth="1" outlineLevel="1" collapsed="1"/>
    <col min="58" max="61" width="8.7109375" style="1" hidden="1" customWidth="1" outlineLevel="2"/>
    <col min="62" max="62" width="8.7109375" style="1" hidden="1" customWidth="1" outlineLevel="1" collapsed="1"/>
    <col min="63" max="66" width="8.7109375" style="1" hidden="1" customWidth="1" outlineLevel="1"/>
    <col min="67" max="67" width="8.7109375" style="1" customWidth="1" collapsed="1"/>
    <col min="68" max="71" width="8.7109375" style="1" hidden="1" customWidth="1" outlineLevel="1"/>
    <col min="72" max="72" width="8.7109375" style="1" customWidth="1" collapsed="1"/>
    <col min="73" max="76" width="8.7109375" style="1" customWidth="1" outlineLevel="1"/>
    <col min="77" max="77" width="8.7109375" style="1" customWidth="1"/>
    <col min="78" max="81" width="8.7109375" style="1" customWidth="1" outlineLevel="1"/>
    <col min="82" max="82" width="8.7109375" style="1" customWidth="1"/>
    <col min="83" max="86" width="8.7109375" style="1" hidden="1" customWidth="1" outlineLevel="1"/>
    <col min="87" max="87" width="8.7109375" style="1" customWidth="1" collapsed="1"/>
    <col min="88" max="91" width="8.7109375" style="1" hidden="1" customWidth="1" outlineLevel="1"/>
    <col min="92" max="92" width="8.7109375" style="1" customWidth="1" collapsed="1"/>
    <col min="93" max="96" width="9.140625" style="1" hidden="1" customWidth="1" outlineLevel="1"/>
    <col min="97" max="97" width="9.140625" style="1" collapsed="1"/>
    <col min="98" max="101" width="9.140625" style="1" hidden="1" customWidth="1" outlineLevel="1"/>
    <col min="102" max="102" width="9.140625" style="1" collapsed="1"/>
    <col min="103" max="106" width="9.140625" style="1" hidden="1" customWidth="1" outlineLevel="1"/>
    <col min="107" max="107" width="9.140625" style="1" collapsed="1"/>
    <col min="108" max="111" width="9.140625" style="1" hidden="1" customWidth="1" outlineLevel="1"/>
    <col min="112" max="112" width="9.140625" style="1" collapsed="1"/>
    <col min="113" max="116" width="9.140625" style="1" hidden="1" customWidth="1" outlineLevel="1"/>
    <col min="117" max="117" width="9.140625" style="1" collapsed="1"/>
    <col min="118" max="121" width="9.140625" style="1" hidden="1" customWidth="1" outlineLevel="1"/>
    <col min="122" max="122" width="9.140625" style="1" collapsed="1"/>
    <col min="123" max="126" width="9.140625" style="1" hidden="1" customWidth="1" outlineLevel="1"/>
    <col min="127" max="127" width="9.140625" style="1" collapsed="1"/>
    <col min="128" max="131" width="9.140625" style="1" hidden="1" customWidth="1" outlineLevel="1"/>
    <col min="132" max="132" width="9.140625" style="1" collapsed="1"/>
    <col min="133" max="136" width="9.140625" style="1" hidden="1" customWidth="1" outlineLevel="1"/>
    <col min="137" max="137" width="9.140625" style="1" collapsed="1"/>
    <col min="138" max="141" width="9.140625" style="1" hidden="1" customWidth="1" outlineLevel="1"/>
    <col min="142" max="142" width="9.140625" style="1" collapsed="1"/>
    <col min="143" max="16384" width="9.140625" style="1"/>
  </cols>
  <sheetData>
    <row r="1" spans="2:142">
      <c r="BK1" s="65"/>
      <c r="BL1" s="65"/>
      <c r="BM1" s="65"/>
      <c r="BN1" s="65"/>
      <c r="BO1" s="67"/>
      <c r="BP1" s="65"/>
      <c r="BQ1" s="65"/>
      <c r="BR1" s="65"/>
      <c r="BS1" s="65"/>
      <c r="BU1" s="65"/>
      <c r="BV1" s="65"/>
      <c r="BW1" s="65"/>
      <c r="BX1" s="65"/>
      <c r="BZ1" s="65"/>
      <c r="CA1" s="65"/>
      <c r="CB1" s="65"/>
      <c r="CC1" s="65"/>
      <c r="CE1" s="65"/>
      <c r="CF1" s="65"/>
      <c r="CG1" s="65"/>
      <c r="CH1" s="65"/>
      <c r="CJ1" s="65"/>
      <c r="CK1" s="65"/>
      <c r="CL1" s="65"/>
      <c r="CM1" s="65"/>
      <c r="CO1" s="65"/>
      <c r="CP1" s="65"/>
      <c r="CQ1" s="65"/>
      <c r="CR1" s="65"/>
      <c r="CT1" s="65"/>
      <c r="CU1" s="65"/>
      <c r="CV1" s="65"/>
      <c r="CW1" s="65"/>
      <c r="CY1" s="65"/>
      <c r="CZ1" s="65"/>
      <c r="DA1" s="65"/>
      <c r="DB1" s="65"/>
      <c r="DD1" s="65"/>
      <c r="DE1" s="65"/>
      <c r="DF1" s="65"/>
      <c r="DG1" s="65"/>
      <c r="DI1" s="65"/>
      <c r="DJ1" s="65"/>
      <c r="DK1" s="65"/>
      <c r="DL1" s="65"/>
      <c r="DN1" s="65"/>
      <c r="DO1" s="65"/>
      <c r="DP1" s="65"/>
      <c r="DQ1" s="65"/>
      <c r="DS1" s="65"/>
      <c r="DT1" s="65"/>
      <c r="DU1" s="65"/>
      <c r="DV1" s="65"/>
      <c r="DX1" s="65"/>
      <c r="DY1" s="65"/>
      <c r="DZ1" s="65"/>
      <c r="EA1" s="65"/>
      <c r="EC1" s="65"/>
      <c r="ED1" s="65"/>
      <c r="EE1" s="65"/>
      <c r="EF1" s="65"/>
      <c r="EH1" s="65"/>
      <c r="EI1" s="65"/>
      <c r="EJ1" s="65"/>
      <c r="EK1" s="65"/>
    </row>
    <row r="2" spans="2:142" ht="13.5" thickBot="1">
      <c r="B2" s="13" t="s">
        <v>94</v>
      </c>
      <c r="C2" s="560" t="s">
        <v>0</v>
      </c>
      <c r="D2" s="560"/>
      <c r="E2" s="560"/>
      <c r="F2" s="560"/>
      <c r="G2" s="560"/>
      <c r="H2" s="560" t="s">
        <v>1</v>
      </c>
      <c r="I2" s="560"/>
      <c r="J2" s="560"/>
      <c r="K2" s="560"/>
      <c r="L2" s="560"/>
      <c r="M2" s="560" t="s">
        <v>2</v>
      </c>
      <c r="N2" s="560"/>
      <c r="O2" s="560"/>
      <c r="P2" s="560"/>
      <c r="Q2" s="560"/>
      <c r="R2" s="560" t="s">
        <v>3</v>
      </c>
      <c r="S2" s="560"/>
      <c r="T2" s="560"/>
      <c r="U2" s="560"/>
      <c r="V2" s="560"/>
      <c r="W2" s="560" t="s">
        <v>4</v>
      </c>
      <c r="X2" s="560"/>
      <c r="Y2" s="560"/>
      <c r="Z2" s="560"/>
      <c r="AA2" s="560"/>
      <c r="AB2" s="560" t="s">
        <v>5</v>
      </c>
      <c r="AC2" s="560"/>
      <c r="AD2" s="560"/>
      <c r="AE2" s="560"/>
      <c r="AF2" s="560"/>
      <c r="AG2" s="560" t="s">
        <v>6</v>
      </c>
      <c r="AH2" s="560"/>
      <c r="AI2" s="560"/>
      <c r="AJ2" s="560"/>
      <c r="AK2" s="560"/>
      <c r="AL2" s="560" t="s">
        <v>7</v>
      </c>
      <c r="AM2" s="560"/>
      <c r="AN2" s="560"/>
      <c r="AO2" s="560"/>
      <c r="AP2" s="560"/>
      <c r="AQ2" s="560" t="s">
        <v>8</v>
      </c>
      <c r="AR2" s="560"/>
      <c r="AS2" s="560"/>
      <c r="AT2" s="560"/>
      <c r="AU2" s="560"/>
      <c r="AV2" s="560" t="s">
        <v>9</v>
      </c>
      <c r="AW2" s="560"/>
      <c r="AX2" s="560"/>
      <c r="AY2" s="560"/>
      <c r="AZ2" s="560"/>
      <c r="BA2" s="560" t="s">
        <v>557</v>
      </c>
      <c r="BB2" s="560"/>
      <c r="BC2" s="560"/>
      <c r="BD2" s="560"/>
      <c r="BE2" s="560"/>
      <c r="BF2" s="560" t="s">
        <v>717</v>
      </c>
      <c r="BG2" s="560"/>
      <c r="BH2" s="560"/>
      <c r="BI2" s="560"/>
      <c r="BJ2" s="560"/>
      <c r="BK2" s="560" t="s">
        <v>827</v>
      </c>
      <c r="BL2" s="560"/>
      <c r="BM2" s="560"/>
      <c r="BN2" s="560"/>
      <c r="BO2" s="560"/>
      <c r="BP2" s="560" t="s">
        <v>914</v>
      </c>
      <c r="BQ2" s="560"/>
      <c r="BR2" s="560"/>
      <c r="BS2" s="560"/>
      <c r="BT2" s="560"/>
      <c r="BU2" s="560" t="s">
        <v>931</v>
      </c>
      <c r="BV2" s="560"/>
      <c r="BW2" s="560"/>
      <c r="BX2" s="560"/>
      <c r="BY2" s="560"/>
      <c r="BZ2" s="560" t="s">
        <v>506</v>
      </c>
      <c r="CA2" s="560"/>
      <c r="CB2" s="560"/>
      <c r="CC2" s="560"/>
      <c r="CD2" s="560"/>
      <c r="CE2" s="560" t="s">
        <v>511</v>
      </c>
      <c r="CF2" s="560"/>
      <c r="CG2" s="560"/>
      <c r="CH2" s="560"/>
      <c r="CI2" s="560"/>
      <c r="CJ2" s="560" t="s">
        <v>516</v>
      </c>
      <c r="CK2" s="560"/>
      <c r="CL2" s="560"/>
      <c r="CM2" s="560"/>
      <c r="CN2" s="560"/>
      <c r="CO2" s="560" t="s">
        <v>654</v>
      </c>
      <c r="CP2" s="560"/>
      <c r="CQ2" s="560"/>
      <c r="CR2" s="560"/>
      <c r="CS2" s="560"/>
      <c r="CT2" s="560" t="s">
        <v>655</v>
      </c>
      <c r="CU2" s="560"/>
      <c r="CV2" s="560"/>
      <c r="CW2" s="560"/>
      <c r="CX2" s="560"/>
      <c r="CY2" s="560" t="s">
        <v>656</v>
      </c>
      <c r="CZ2" s="560"/>
      <c r="DA2" s="560"/>
      <c r="DB2" s="560"/>
      <c r="DC2" s="560"/>
      <c r="DD2" s="560" t="s">
        <v>657</v>
      </c>
      <c r="DE2" s="560"/>
      <c r="DF2" s="560"/>
      <c r="DG2" s="560"/>
      <c r="DH2" s="560"/>
      <c r="DI2" s="560" t="s">
        <v>658</v>
      </c>
      <c r="DJ2" s="560"/>
      <c r="DK2" s="560"/>
      <c r="DL2" s="560"/>
      <c r="DM2" s="560"/>
      <c r="DN2" s="560" t="s">
        <v>659</v>
      </c>
      <c r="DO2" s="560"/>
      <c r="DP2" s="560"/>
      <c r="DQ2" s="560"/>
      <c r="DR2" s="560"/>
      <c r="DS2" s="560" t="s">
        <v>660</v>
      </c>
      <c r="DT2" s="560"/>
      <c r="DU2" s="560"/>
      <c r="DV2" s="560"/>
      <c r="DW2" s="560"/>
      <c r="DX2" s="560" t="s">
        <v>661</v>
      </c>
      <c r="DY2" s="560"/>
      <c r="DZ2" s="560"/>
      <c r="EA2" s="560"/>
      <c r="EB2" s="560"/>
      <c r="EC2" s="560" t="s">
        <v>662</v>
      </c>
      <c r="ED2" s="560"/>
      <c r="EE2" s="560"/>
      <c r="EF2" s="560"/>
      <c r="EG2" s="560"/>
      <c r="EH2" s="560" t="s">
        <v>663</v>
      </c>
      <c r="EI2" s="560"/>
      <c r="EJ2" s="560"/>
      <c r="EK2" s="560"/>
      <c r="EL2" s="560"/>
    </row>
    <row r="3" spans="2:142">
      <c r="B3" s="4"/>
      <c r="C3" s="177" t="s">
        <v>14</v>
      </c>
      <c r="D3" s="177" t="s">
        <v>15</v>
      </c>
      <c r="E3" s="177" t="s">
        <v>16</v>
      </c>
      <c r="F3" s="177" t="s">
        <v>17</v>
      </c>
      <c r="H3" s="177" t="s">
        <v>18</v>
      </c>
      <c r="I3" s="177" t="s">
        <v>19</v>
      </c>
      <c r="J3" s="177" t="s">
        <v>20</v>
      </c>
      <c r="K3" s="177" t="s">
        <v>21</v>
      </c>
      <c r="M3" s="177" t="s">
        <v>22</v>
      </c>
      <c r="N3" s="177" t="s">
        <v>23</v>
      </c>
      <c r="O3" s="177" t="s">
        <v>24</v>
      </c>
      <c r="P3" s="177" t="s">
        <v>25</v>
      </c>
      <c r="R3" s="177" t="s">
        <v>26</v>
      </c>
      <c r="S3" s="177" t="s">
        <v>27</v>
      </c>
      <c r="T3" s="177" t="s">
        <v>28</v>
      </c>
      <c r="U3" s="177" t="s">
        <v>29</v>
      </c>
      <c r="W3" s="177" t="s">
        <v>30</v>
      </c>
      <c r="X3" s="177" t="s">
        <v>31</v>
      </c>
      <c r="Y3" s="177" t="s">
        <v>32</v>
      </c>
      <c r="Z3" s="177" t="s">
        <v>33</v>
      </c>
      <c r="AB3" s="177" t="s">
        <v>34</v>
      </c>
      <c r="AC3" s="177" t="s">
        <v>35</v>
      </c>
      <c r="AD3" s="177" t="s">
        <v>36</v>
      </c>
      <c r="AE3" s="177" t="s">
        <v>37</v>
      </c>
      <c r="AG3" s="177" t="s">
        <v>38</v>
      </c>
      <c r="AH3" s="177" t="s">
        <v>39</v>
      </c>
      <c r="AI3" s="177" t="s">
        <v>40</v>
      </c>
      <c r="AJ3" s="177" t="s">
        <v>41</v>
      </c>
      <c r="AL3" s="177" t="s">
        <v>42</v>
      </c>
      <c r="AM3" s="177" t="s">
        <v>43</v>
      </c>
      <c r="AN3" s="177" t="s">
        <v>44</v>
      </c>
      <c r="AO3" s="177" t="s">
        <v>45</v>
      </c>
      <c r="AQ3" s="177" t="s">
        <v>46</v>
      </c>
      <c r="AR3" s="177" t="s">
        <v>47</v>
      </c>
      <c r="AS3" s="177" t="s">
        <v>48</v>
      </c>
      <c r="AT3" s="177" t="s">
        <v>49</v>
      </c>
      <c r="AV3" s="306" t="s">
        <v>50</v>
      </c>
      <c r="AW3" s="306" t="s">
        <v>51</v>
      </c>
      <c r="AX3" s="306" t="s">
        <v>52</v>
      </c>
      <c r="AY3" s="306" t="s">
        <v>53</v>
      </c>
      <c r="BA3" s="306" t="s">
        <v>54</v>
      </c>
      <c r="BB3" s="306" t="s">
        <v>55</v>
      </c>
      <c r="BC3" s="306" t="s">
        <v>56</v>
      </c>
      <c r="BD3" s="306" t="s">
        <v>556</v>
      </c>
      <c r="BF3" s="306" t="s">
        <v>647</v>
      </c>
      <c r="BG3" s="306" t="s">
        <v>649</v>
      </c>
      <c r="BH3" s="306" t="s">
        <v>653</v>
      </c>
      <c r="BI3" s="306" t="s">
        <v>716</v>
      </c>
      <c r="BK3" s="306" t="s">
        <v>720</v>
      </c>
      <c r="BL3" s="306" t="s">
        <v>721</v>
      </c>
      <c r="BM3" s="306" t="s">
        <v>821</v>
      </c>
      <c r="BN3" s="306" t="s">
        <v>824</v>
      </c>
      <c r="BP3" s="306" t="s">
        <v>830</v>
      </c>
      <c r="BQ3" s="306" t="s">
        <v>831</v>
      </c>
      <c r="BR3" s="306" t="s">
        <v>835</v>
      </c>
      <c r="BS3" s="306" t="s">
        <v>913</v>
      </c>
      <c r="BU3" s="306" t="s">
        <v>915</v>
      </c>
      <c r="BV3" s="306" t="s">
        <v>917</v>
      </c>
      <c r="BW3" s="306" t="s">
        <v>926</v>
      </c>
      <c r="BX3" s="306" t="s">
        <v>930</v>
      </c>
      <c r="BZ3" s="306" t="s">
        <v>938</v>
      </c>
      <c r="CA3" s="306" t="s">
        <v>508</v>
      </c>
      <c r="CB3" s="306" t="s">
        <v>509</v>
      </c>
      <c r="CC3" s="306" t="s">
        <v>510</v>
      </c>
      <c r="CE3" s="306" t="s">
        <v>512</v>
      </c>
      <c r="CF3" s="306" t="s">
        <v>513</v>
      </c>
      <c r="CG3" s="306" t="s">
        <v>514</v>
      </c>
      <c r="CH3" s="306" t="s">
        <v>515</v>
      </c>
      <c r="CJ3" s="306" t="s">
        <v>517</v>
      </c>
      <c r="CK3" s="306" t="s">
        <v>518</v>
      </c>
      <c r="CL3" s="306" t="s">
        <v>519</v>
      </c>
      <c r="CM3" s="306" t="s">
        <v>520</v>
      </c>
      <c r="CO3" s="306" t="s">
        <v>664</v>
      </c>
      <c r="CP3" s="306" t="s">
        <v>665</v>
      </c>
      <c r="CQ3" s="306" t="s">
        <v>666</v>
      </c>
      <c r="CR3" s="306" t="s">
        <v>667</v>
      </c>
      <c r="CT3" s="306" t="s">
        <v>668</v>
      </c>
      <c r="CU3" s="306" t="s">
        <v>669</v>
      </c>
      <c r="CV3" s="306" t="s">
        <v>670</v>
      </c>
      <c r="CW3" s="306" t="s">
        <v>671</v>
      </c>
      <c r="CY3" s="306" t="s">
        <v>672</v>
      </c>
      <c r="CZ3" s="306" t="s">
        <v>673</v>
      </c>
      <c r="DA3" s="306" t="s">
        <v>674</v>
      </c>
      <c r="DB3" s="306" t="s">
        <v>675</v>
      </c>
      <c r="DD3" s="306" t="s">
        <v>676</v>
      </c>
      <c r="DE3" s="306" t="s">
        <v>677</v>
      </c>
      <c r="DF3" s="306" t="s">
        <v>678</v>
      </c>
      <c r="DG3" s="306" t="s">
        <v>679</v>
      </c>
      <c r="DI3" s="306" t="s">
        <v>680</v>
      </c>
      <c r="DJ3" s="306" t="s">
        <v>681</v>
      </c>
      <c r="DK3" s="306" t="s">
        <v>682</v>
      </c>
      <c r="DL3" s="306" t="s">
        <v>683</v>
      </c>
      <c r="DN3" s="306" t="s">
        <v>684</v>
      </c>
      <c r="DO3" s="306" t="s">
        <v>685</v>
      </c>
      <c r="DP3" s="306" t="s">
        <v>686</v>
      </c>
      <c r="DQ3" s="306" t="s">
        <v>687</v>
      </c>
      <c r="DS3" s="306" t="s">
        <v>688</v>
      </c>
      <c r="DT3" s="306" t="s">
        <v>689</v>
      </c>
      <c r="DU3" s="306" t="s">
        <v>690</v>
      </c>
      <c r="DV3" s="306" t="s">
        <v>691</v>
      </c>
      <c r="DX3" s="306" t="s">
        <v>692</v>
      </c>
      <c r="DY3" s="306" t="s">
        <v>693</v>
      </c>
      <c r="DZ3" s="306" t="s">
        <v>694</v>
      </c>
      <c r="EA3" s="306" t="s">
        <v>695</v>
      </c>
      <c r="EC3" s="306" t="s">
        <v>696</v>
      </c>
      <c r="ED3" s="306" t="s">
        <v>697</v>
      </c>
      <c r="EE3" s="306" t="s">
        <v>698</v>
      </c>
      <c r="EF3" s="306" t="s">
        <v>699</v>
      </c>
      <c r="EH3" s="306" t="s">
        <v>700</v>
      </c>
      <c r="EI3" s="306" t="s">
        <v>701</v>
      </c>
      <c r="EJ3" s="306" t="s">
        <v>702</v>
      </c>
      <c r="EK3" s="306" t="s">
        <v>703</v>
      </c>
    </row>
    <row r="4" spans="2:142" s="2" customFormat="1">
      <c r="B4" s="2" t="s">
        <v>630</v>
      </c>
      <c r="C4" s="137">
        <v>274.35700000000003</v>
      </c>
      <c r="D4" s="137">
        <v>286.27600000000001</v>
      </c>
      <c r="E4" s="137">
        <v>297.72800000000001</v>
      </c>
      <c r="F4" s="137">
        <f>F5+F6</f>
        <v>309.892</v>
      </c>
      <c r="G4" s="105">
        <v>1168.4770000000001</v>
      </c>
      <c r="H4" s="138">
        <v>354.71800000000002</v>
      </c>
      <c r="I4" s="138">
        <v>346.51600000000002</v>
      </c>
      <c r="J4" s="138">
        <v>346.24799999999999</v>
      </c>
      <c r="K4" s="138">
        <f>K5+K6</f>
        <v>369.6749999999999</v>
      </c>
      <c r="L4" s="105">
        <v>1417.1569999999999</v>
      </c>
      <c r="M4" s="138">
        <v>373.58600000000001</v>
      </c>
      <c r="N4" s="138">
        <v>381.78899999999999</v>
      </c>
      <c r="O4" s="138">
        <v>374.70800000000003</v>
      </c>
      <c r="P4" s="138">
        <f>P5+P6</f>
        <v>413.00200000000001</v>
      </c>
      <c r="Q4" s="105">
        <v>1543.085</v>
      </c>
      <c r="R4" s="138">
        <v>393.42700000000002</v>
      </c>
      <c r="S4" s="138">
        <v>429.37700000000001</v>
      </c>
      <c r="T4" s="138">
        <v>445.15600000000001</v>
      </c>
      <c r="U4" s="138">
        <f>U5+U6</f>
        <v>438.75900000000001</v>
      </c>
      <c r="V4" s="105">
        <v>1706.7190000000001</v>
      </c>
      <c r="W4" s="138">
        <v>448.80900000000003</v>
      </c>
      <c r="X4" s="138">
        <v>461.61799999999999</v>
      </c>
      <c r="Y4" s="138">
        <v>454.89</v>
      </c>
      <c r="Z4" s="138">
        <f>Z5+Z6</f>
        <v>502.52500000000009</v>
      </c>
      <c r="AA4" s="105">
        <v>1867.8420000000001</v>
      </c>
      <c r="AB4" s="138">
        <v>536.10900000000004</v>
      </c>
      <c r="AC4" s="138">
        <v>527.15200000000004</v>
      </c>
      <c r="AD4" s="138">
        <v>573.49300000000005</v>
      </c>
      <c r="AE4" s="138">
        <f>AE5+AE6</f>
        <v>565.77899999999977</v>
      </c>
      <c r="AF4" s="105">
        <v>2202.5329999999999</v>
      </c>
      <c r="AG4" s="138">
        <v>555.28899999999999</v>
      </c>
      <c r="AH4" s="138">
        <v>591.16</v>
      </c>
      <c r="AI4" s="138">
        <v>579.97900000000004</v>
      </c>
      <c r="AJ4" s="138">
        <f>AJ5+AJ6</f>
        <v>596.46599999999989</v>
      </c>
      <c r="AK4" s="105">
        <v>2322.8939999999998</v>
      </c>
      <c r="AL4" s="138">
        <v>592.52700000000004</v>
      </c>
      <c r="AM4" s="138">
        <v>628.13400000000001</v>
      </c>
      <c r="AN4" s="138">
        <v>643.62300000000005</v>
      </c>
      <c r="AO4" s="138">
        <f>AO5+AO6</f>
        <v>654.07200000000012</v>
      </c>
      <c r="AP4" s="105">
        <v>2518.3560000000002</v>
      </c>
      <c r="AQ4" s="138">
        <v>642.47799999999995</v>
      </c>
      <c r="AR4" s="138">
        <v>659.23299999999995</v>
      </c>
      <c r="AS4" s="138">
        <v>681.68700000000001</v>
      </c>
      <c r="AT4" s="138">
        <v>703.226</v>
      </c>
      <c r="AU4" s="105">
        <f>SUM(AQ4:AT4)</f>
        <v>2686.6239999999998</v>
      </c>
      <c r="AV4" s="254">
        <v>661.61300000000006</v>
      </c>
      <c r="AW4" s="254">
        <v>762.06500000000005</v>
      </c>
      <c r="AX4" s="254">
        <v>736.20799999999997</v>
      </c>
      <c r="AY4" s="254">
        <v>753.21199999999999</v>
      </c>
      <c r="AZ4" s="105">
        <f>SUM(AV4:AY4)</f>
        <v>2913.098</v>
      </c>
      <c r="BA4" s="254">
        <v>746.09799999999996</v>
      </c>
      <c r="BB4" s="254">
        <f>774.416</f>
        <v>774.41600000000005</v>
      </c>
      <c r="BC4" s="254">
        <f>BC5+BC6</f>
        <v>733.44900000000007</v>
      </c>
      <c r="BD4" s="254">
        <f>BD5+BD6</f>
        <v>752</v>
      </c>
      <c r="BE4" s="105">
        <f>BE5+BE6</f>
        <v>3005.4490000000001</v>
      </c>
      <c r="BF4" s="254">
        <f>BF5+BF6</f>
        <v>761.47400000000005</v>
      </c>
      <c r="BG4" s="254">
        <f>BG5+BG6</f>
        <v>773.77200000000005</v>
      </c>
      <c r="BH4" s="254">
        <f>BH5+BH6+3.382</f>
        <v>745.2299999999999</v>
      </c>
      <c r="BI4" s="254">
        <f t="shared" ref="BI4:BX4" si="0">BI5+BI6</f>
        <v>777</v>
      </c>
      <c r="BJ4" s="105">
        <f t="shared" si="0"/>
        <v>3054.0940000000001</v>
      </c>
      <c r="BK4" s="254">
        <f t="shared" si="0"/>
        <v>754.5</v>
      </c>
      <c r="BL4" s="254">
        <f t="shared" si="0"/>
        <v>689.69999999999993</v>
      </c>
      <c r="BM4" s="254">
        <f t="shared" si="0"/>
        <v>784.80000000000007</v>
      </c>
      <c r="BN4" s="254">
        <f t="shared" si="0"/>
        <v>739.6</v>
      </c>
      <c r="BO4" s="105">
        <f t="shared" si="0"/>
        <v>2968.6</v>
      </c>
      <c r="BP4" s="254">
        <f t="shared" si="0"/>
        <v>670.4</v>
      </c>
      <c r="BQ4" s="254">
        <f t="shared" si="0"/>
        <v>728.3</v>
      </c>
      <c r="BR4" s="254">
        <f t="shared" si="0"/>
        <v>708.3</v>
      </c>
      <c r="BS4" s="254">
        <f t="shared" si="0"/>
        <v>688.2</v>
      </c>
      <c r="BT4" s="105">
        <f t="shared" si="0"/>
        <v>2795.2000000000003</v>
      </c>
      <c r="BU4" s="254">
        <f t="shared" si="0"/>
        <v>648.29999999999995</v>
      </c>
      <c r="BV4" s="254">
        <f t="shared" si="0"/>
        <v>690.6</v>
      </c>
      <c r="BW4" s="254">
        <f t="shared" si="0"/>
        <v>662</v>
      </c>
      <c r="BX4" s="254">
        <f t="shared" si="0"/>
        <v>644.9</v>
      </c>
      <c r="BY4" s="105">
        <f>BY5+BY6</f>
        <v>2645.7999999999997</v>
      </c>
      <c r="BZ4" s="254">
        <f>BZ5+BZ6</f>
        <v>550.29999999999995</v>
      </c>
      <c r="CA4" s="254">
        <f t="shared" ref="CA4:CC4" si="1">CA5+CA6</f>
        <v>620.74804889907023</v>
      </c>
      <c r="CB4" s="254">
        <f t="shared" si="1"/>
        <v>600.55667986900244</v>
      </c>
      <c r="CC4" s="254">
        <f t="shared" si="1"/>
        <v>671.66486737287823</v>
      </c>
      <c r="CD4" s="105">
        <f>CD5+CD6</f>
        <v>2439.9506812281893</v>
      </c>
      <c r="CE4" s="254">
        <f>CI4/4</f>
        <v>596.28828300757527</v>
      </c>
      <c r="CF4" s="254">
        <f>CI4/4</f>
        <v>596.28828300757527</v>
      </c>
      <c r="CG4" s="254">
        <f>CI4/4</f>
        <v>596.28828300757527</v>
      </c>
      <c r="CH4" s="254">
        <f>CI4/4</f>
        <v>596.28828300757527</v>
      </c>
      <c r="CI4" s="105">
        <f>CI5+CI6</f>
        <v>2385.1531320303011</v>
      </c>
      <c r="CJ4" s="254">
        <f>CN4/4</f>
        <v>583.51326973868549</v>
      </c>
      <c r="CK4" s="254">
        <f>CN4/4</f>
        <v>583.51326973868549</v>
      </c>
      <c r="CL4" s="254">
        <f>CN4/4</f>
        <v>583.51326973868549</v>
      </c>
      <c r="CM4" s="254">
        <f>CN4/4</f>
        <v>583.51326973868549</v>
      </c>
      <c r="CN4" s="105">
        <f>CN5+CN6</f>
        <v>2334.053078954742</v>
      </c>
      <c r="CO4" s="254">
        <f>CS4/4</f>
        <v>568.94414135095371</v>
      </c>
      <c r="CP4" s="254">
        <f>CS4/4</f>
        <v>568.94414135095371</v>
      </c>
      <c r="CQ4" s="254">
        <f>CS4/4</f>
        <v>568.94414135095371</v>
      </c>
      <c r="CR4" s="254">
        <f>CS4/4</f>
        <v>568.94414135095371</v>
      </c>
      <c r="CS4" s="105">
        <f>CS5+CS6</f>
        <v>2275.7765654038149</v>
      </c>
      <c r="CT4" s="254">
        <f>CX4/4</f>
        <v>555.08977725912814</v>
      </c>
      <c r="CU4" s="254">
        <f>CX4/4</f>
        <v>555.08977725912814</v>
      </c>
      <c r="CV4" s="254">
        <f>CX4/4</f>
        <v>555.08977725912814</v>
      </c>
      <c r="CW4" s="254">
        <f>CX4/4</f>
        <v>555.08977725912814</v>
      </c>
      <c r="CX4" s="105">
        <f>CX5+CX6</f>
        <v>2220.3591090365126</v>
      </c>
      <c r="CY4" s="254">
        <f>DC4/4</f>
        <v>535.72968845817286</v>
      </c>
      <c r="CZ4" s="254">
        <f>DC4/4</f>
        <v>535.72968845817286</v>
      </c>
      <c r="DA4" s="254">
        <f>DC4/4</f>
        <v>535.72968845817286</v>
      </c>
      <c r="DB4" s="254">
        <f>DC4/4</f>
        <v>535.72968845817286</v>
      </c>
      <c r="DC4" s="105">
        <f>DC5+DC6</f>
        <v>2142.9187538326914</v>
      </c>
      <c r="DD4" s="254">
        <f>DH4/4</f>
        <v>519.91503259268734</v>
      </c>
      <c r="DE4" s="254">
        <f>DH4/4</f>
        <v>519.91503259268734</v>
      </c>
      <c r="DF4" s="254">
        <f>DH4/4</f>
        <v>519.91503259268734</v>
      </c>
      <c r="DG4" s="254">
        <f>DH4/4</f>
        <v>519.91503259268734</v>
      </c>
      <c r="DH4" s="105">
        <f>DH5+DH6</f>
        <v>2079.6601303707494</v>
      </c>
      <c r="DI4" s="254">
        <f>DM4/4</f>
        <v>504.80461972479782</v>
      </c>
      <c r="DJ4" s="254">
        <f>DM4/4</f>
        <v>504.80461972479782</v>
      </c>
      <c r="DK4" s="254">
        <f>DM4/4</f>
        <v>504.80461972479782</v>
      </c>
      <c r="DL4" s="254">
        <f>DM4/4</f>
        <v>504.80461972479782</v>
      </c>
      <c r="DM4" s="105">
        <f>DM5+DM6</f>
        <v>2019.2184788991913</v>
      </c>
      <c r="DN4" s="254">
        <f>DR4/4</f>
        <v>490.36306332836193</v>
      </c>
      <c r="DO4" s="254">
        <f>DR4/4</f>
        <v>490.36306332836193</v>
      </c>
      <c r="DP4" s="254">
        <f>DR4/4</f>
        <v>490.36306332836193</v>
      </c>
      <c r="DQ4" s="254">
        <f>DR4/4</f>
        <v>490.36306332836193</v>
      </c>
      <c r="DR4" s="105">
        <f>DR5+DR6</f>
        <v>1961.4522533134477</v>
      </c>
      <c r="DS4" s="254">
        <f>DW4/4</f>
        <v>422.99339660466467</v>
      </c>
      <c r="DT4" s="254">
        <f>DW4/4</f>
        <v>422.99339660466467</v>
      </c>
      <c r="DU4" s="254">
        <f>DW4/4</f>
        <v>422.99339660466467</v>
      </c>
      <c r="DV4" s="254">
        <f>DW4/4</f>
        <v>422.99339660466467</v>
      </c>
      <c r="DW4" s="105">
        <f>DW5+DW6</f>
        <v>1691.9735864186587</v>
      </c>
      <c r="DX4" s="254">
        <f>EB4/4</f>
        <v>431.62739118859008</v>
      </c>
      <c r="DY4" s="254">
        <f>EB4/4</f>
        <v>431.62739118859008</v>
      </c>
      <c r="DZ4" s="254">
        <f>EB4/4</f>
        <v>431.62739118859008</v>
      </c>
      <c r="EA4" s="254">
        <f>EB4/4</f>
        <v>431.62739118859008</v>
      </c>
      <c r="EB4" s="105">
        <f>EB5+EB6</f>
        <v>1726.5095647543603</v>
      </c>
      <c r="EC4" s="254">
        <f>EG4/4</f>
        <v>375.6578486896845</v>
      </c>
      <c r="ED4" s="254">
        <f>EG4/4</f>
        <v>375.6578486896845</v>
      </c>
      <c r="EE4" s="254">
        <f>EG4/4</f>
        <v>375.6578486896845</v>
      </c>
      <c r="EF4" s="254">
        <f>EG4/4</f>
        <v>375.6578486896845</v>
      </c>
      <c r="EG4" s="105">
        <f>EG5+EG6</f>
        <v>1502.631394758738</v>
      </c>
      <c r="EH4" s="254">
        <f>EL4/4</f>
        <v>328.8883626760117</v>
      </c>
      <c r="EI4" s="254">
        <f>EL4/4</f>
        <v>328.8883626760117</v>
      </c>
      <c r="EJ4" s="254">
        <f>EL4/4</f>
        <v>328.8883626760117</v>
      </c>
      <c r="EK4" s="254">
        <f>EL4/4</f>
        <v>328.8883626760117</v>
      </c>
      <c r="EL4" s="105">
        <f>EL5+EL6</f>
        <v>1315.5534507040468</v>
      </c>
    </row>
    <row r="5" spans="2:142" s="3" customFormat="1">
      <c r="B5" s="8" t="s">
        <v>97</v>
      </c>
      <c r="C5" s="145">
        <v>189.357</v>
      </c>
      <c r="D5" s="145">
        <v>196</v>
      </c>
      <c r="E5" s="145">
        <v>204.197</v>
      </c>
      <c r="F5" s="145">
        <f>+G5-SUM(C5:E5)</f>
        <v>210.923</v>
      </c>
      <c r="G5" s="64">
        <v>800.47699999999998</v>
      </c>
      <c r="H5" s="146">
        <v>240.1</v>
      </c>
      <c r="I5" s="146">
        <v>226.6</v>
      </c>
      <c r="J5" s="146">
        <v>224.3</v>
      </c>
      <c r="K5" s="146">
        <f>+L5-SUM(H5:J5)</f>
        <v>231.60000000000002</v>
      </c>
      <c r="L5" s="64">
        <v>922.6</v>
      </c>
      <c r="M5" s="146">
        <v>232.8</v>
      </c>
      <c r="N5" s="146">
        <v>229.524</v>
      </c>
      <c r="O5" s="146">
        <v>234.74799999999999</v>
      </c>
      <c r="P5" s="146">
        <f>+Q5-SUM(M5:O5)</f>
        <v>241.60000000000002</v>
      </c>
      <c r="Q5" s="64">
        <v>938.67200000000003</v>
      </c>
      <c r="R5" s="146">
        <v>232.05199999999999</v>
      </c>
      <c r="S5" s="146">
        <v>260.60000000000002</v>
      </c>
      <c r="T5" s="146">
        <v>268.3</v>
      </c>
      <c r="U5" s="146">
        <f>+V5-SUM(R5:T5)</f>
        <v>261.24800000000005</v>
      </c>
      <c r="V5" s="64">
        <v>1022.2</v>
      </c>
      <c r="W5" s="146">
        <v>270</v>
      </c>
      <c r="X5" s="146">
        <v>269.60000000000002</v>
      </c>
      <c r="Y5" s="146">
        <v>266.39999999999998</v>
      </c>
      <c r="Z5" s="146">
        <f>+AA5-SUM(W5:Y5)</f>
        <v>279</v>
      </c>
      <c r="AA5" s="64">
        <v>1085</v>
      </c>
      <c r="AB5" s="146">
        <v>308.39999999999998</v>
      </c>
      <c r="AC5" s="146">
        <v>305.60000000000002</v>
      </c>
      <c r="AD5" s="146">
        <v>321.89999999999998</v>
      </c>
      <c r="AE5" s="146">
        <f>+AF5-SUM(AB5:AD5)</f>
        <v>340.6</v>
      </c>
      <c r="AF5" s="64">
        <v>1276.5</v>
      </c>
      <c r="AG5" s="146">
        <v>340</v>
      </c>
      <c r="AH5" s="146">
        <v>365.8</v>
      </c>
      <c r="AI5" s="146">
        <v>348.5</v>
      </c>
      <c r="AJ5" s="146">
        <f>+AK5-SUM(AG5:AI5)</f>
        <v>351.90000000000009</v>
      </c>
      <c r="AK5" s="64">
        <v>1406.2</v>
      </c>
      <c r="AL5" s="146">
        <v>349.9</v>
      </c>
      <c r="AM5" s="146">
        <v>370.9</v>
      </c>
      <c r="AN5" s="146">
        <v>387</v>
      </c>
      <c r="AO5" s="146">
        <f>+AP5-SUM(AL5:AN5)</f>
        <v>383.79999999999995</v>
      </c>
      <c r="AP5" s="64">
        <v>1491.6</v>
      </c>
      <c r="AQ5" s="146">
        <v>387.3</v>
      </c>
      <c r="AR5" s="146">
        <v>409.4</v>
      </c>
      <c r="AS5" s="146">
        <v>411</v>
      </c>
      <c r="AT5" s="146">
        <v>421</v>
      </c>
      <c r="AU5" s="64">
        <f>SUM(AQ5:AT5)</f>
        <v>1628.7</v>
      </c>
      <c r="AV5" s="255">
        <v>401</v>
      </c>
      <c r="AW5" s="255">
        <v>464</v>
      </c>
      <c r="AX5" s="255">
        <v>462</v>
      </c>
      <c r="AY5" s="255">
        <v>467</v>
      </c>
      <c r="AZ5" s="64">
        <f>SUM(AV5:AY5)</f>
        <v>1794</v>
      </c>
      <c r="BA5" s="255">
        <v>491</v>
      </c>
      <c r="BB5" s="255">
        <v>479</v>
      </c>
      <c r="BC5" s="255">
        <v>457</v>
      </c>
      <c r="BD5" s="256">
        <v>475</v>
      </c>
      <c r="BE5" s="64">
        <f>SUM(BA5:BD5)</f>
        <v>1902</v>
      </c>
      <c r="BF5" s="256">
        <v>476</v>
      </c>
      <c r="BG5" s="256">
        <v>498</v>
      </c>
      <c r="BH5" s="256">
        <f>482</f>
        <v>482</v>
      </c>
      <c r="BI5" s="256">
        <f>528</f>
        <v>528</v>
      </c>
      <c r="BJ5" s="64">
        <f>SUM(BF5:BI5)</f>
        <v>1984</v>
      </c>
      <c r="BK5" s="256">
        <v>518.25</v>
      </c>
      <c r="BL5" s="256">
        <f>50.4+404.7</f>
        <v>455.09999999999997</v>
      </c>
      <c r="BM5" s="256">
        <f>467.1+70.6</f>
        <v>537.70000000000005</v>
      </c>
      <c r="BN5" s="256">
        <v>506.3</v>
      </c>
      <c r="BO5" s="64">
        <f>SUM(BK5:BN5)</f>
        <v>2017.35</v>
      </c>
      <c r="BP5" s="256">
        <v>467.5</v>
      </c>
      <c r="BQ5" s="256">
        <v>519</v>
      </c>
      <c r="BR5" s="256">
        <v>505.7</v>
      </c>
      <c r="BS5" s="256">
        <v>488.1</v>
      </c>
      <c r="BT5" s="64">
        <f>SUM(BP5:BS5)</f>
        <v>1980.3000000000002</v>
      </c>
      <c r="BU5" s="256">
        <v>464.8</v>
      </c>
      <c r="BV5" s="256">
        <v>501.7</v>
      </c>
      <c r="BW5" s="256">
        <v>473.3</v>
      </c>
      <c r="BX5" s="256">
        <v>449.3</v>
      </c>
      <c r="BY5" s="64">
        <f>SUM(BU5:BX5)</f>
        <v>1889.1</v>
      </c>
      <c r="BZ5" s="256">
        <v>371.4</v>
      </c>
      <c r="CA5" s="255">
        <v>440</v>
      </c>
      <c r="CB5" s="255">
        <v>420</v>
      </c>
      <c r="CC5" s="255">
        <f>CD5-BZ5-CA5-CB5</f>
        <v>484.50595596653557</v>
      </c>
      <c r="CD5" s="64">
        <f>'US MS Market Model'!L128</f>
        <v>1715.9059559665354</v>
      </c>
      <c r="CE5" s="255">
        <f>(BZ5/CD5)*CI5</f>
        <v>369.0776742917609</v>
      </c>
      <c r="CF5" s="255">
        <f>(CA5/CD5)*CI5</f>
        <v>437.24872560143996</v>
      </c>
      <c r="CG5" s="255">
        <f>(CB5/CD5)*CI5</f>
        <v>417.37378352864721</v>
      </c>
      <c r="CH5" s="255">
        <f>(CC5/CD5)*CI5</f>
        <v>481.47639043789786</v>
      </c>
      <c r="CI5" s="64">
        <f>'US MS Market Model'!M128</f>
        <v>1705.1765738597458</v>
      </c>
      <c r="CJ5" s="255">
        <f>(CE5/CI5)*CN5</f>
        <v>366.76886359801284</v>
      </c>
      <c r="CK5" s="255">
        <f>(CF5/CI5)*CN5</f>
        <v>434.51346252860975</v>
      </c>
      <c r="CL5" s="255">
        <f>(CG5/CI5)*CN5</f>
        <v>414.76285059549116</v>
      </c>
      <c r="CM5" s="255">
        <f>(CH5/CI5)*CN5</f>
        <v>478.46445577898521</v>
      </c>
      <c r="CN5" s="64">
        <f>'US MS Market Model'!N128</f>
        <v>1694.5096325010988</v>
      </c>
      <c r="CO5" s="255">
        <f>(CJ5/CN5)*CS5</f>
        <v>360.84745526288219</v>
      </c>
      <c r="CP5" s="255">
        <f>(CK5/CN5)*CS5</f>
        <v>427.49833149075971</v>
      </c>
      <c r="CQ5" s="255">
        <f>(CL5/CN5)*CS5</f>
        <v>408.06658915027066</v>
      </c>
      <c r="CR5" s="255">
        <f>(CM5/CN5)*CS5</f>
        <v>470.73974493870332</v>
      </c>
      <c r="CS5" s="64">
        <f>'US MS Market Model'!O128</f>
        <v>1667.1521208426157</v>
      </c>
      <c r="CT5" s="255">
        <f>(CO5/CS5)*CX5</f>
        <v>355.02067926058561</v>
      </c>
      <c r="CU5" s="255">
        <f>(CP5/CS5)*CX5</f>
        <v>420.59531199423174</v>
      </c>
      <c r="CV5" s="255">
        <f>(CQ5/CS5)*CX5</f>
        <v>401.47734326722122</v>
      </c>
      <c r="CW5" s="255">
        <f>(CR5/CS5)*CX5</f>
        <v>463.13848571092848</v>
      </c>
      <c r="CX5" s="64">
        <f>'US MS Market Model'!P128</f>
        <v>1640.2318202329668</v>
      </c>
      <c r="CY5" s="255">
        <f>(CT5/CX5)*DC5</f>
        <v>343.94081192078232</v>
      </c>
      <c r="CZ5" s="255">
        <f>(CU5/CX5)*DC5</f>
        <v>407.46892096161605</v>
      </c>
      <c r="DA5" s="255">
        <f>(CV5/CX5)*DC5</f>
        <v>388.94760637245173</v>
      </c>
      <c r="DB5" s="255">
        <f>(CW5/CX5)*DC5</f>
        <v>448.6843615390012</v>
      </c>
      <c r="DC5" s="64">
        <f>'US MS Market Model'!Q128</f>
        <v>1589.0417007938511</v>
      </c>
      <c r="DD5" s="255">
        <f>(CY5/DC5)*DH5</f>
        <v>334.89723500749466</v>
      </c>
      <c r="DE5" s="255">
        <f>(CZ5/DC5)*DH5</f>
        <v>396.7549364655294</v>
      </c>
      <c r="DF5" s="255">
        <f>(DA5/DC5)*DH5</f>
        <v>378.72062117164177</v>
      </c>
      <c r="DG5" s="255">
        <f>(DB5/DC5)*DH5</f>
        <v>436.88665858334866</v>
      </c>
      <c r="DH5" s="64">
        <f>'US MS Market Model'!R128</f>
        <v>1547.2594512280143</v>
      </c>
      <c r="DI5" s="255">
        <f>(DD5/DH5)*DM5</f>
        <v>326.09056982391155</v>
      </c>
      <c r="DJ5" s="255">
        <f>(DE5/DH5)*DM5</f>
        <v>386.32162283931359</v>
      </c>
      <c r="DK5" s="255">
        <f>(DF5/DH5)*DM5</f>
        <v>368.76154907389031</v>
      </c>
      <c r="DL5" s="255">
        <f>(DG5/DH5)*DM5</f>
        <v>425.39801632796599</v>
      </c>
      <c r="DM5" s="64">
        <f>'US MS Market Model'!S128</f>
        <v>1506.5717580650812</v>
      </c>
      <c r="DN5" s="255">
        <f>(DI5/DM5)*DR5</f>
        <v>317.51463610805001</v>
      </c>
      <c r="DO5" s="255">
        <f>(DJ5/DM5)*DR5</f>
        <v>376.16165828632734</v>
      </c>
      <c r="DP5" s="255">
        <f>(DK5/DM5)*DR5</f>
        <v>359.06340109149437</v>
      </c>
      <c r="DQ5" s="255">
        <f>(DL5/DM5)*DR5</f>
        <v>414.21037237721441</v>
      </c>
      <c r="DR5" s="64">
        <f>'US MS Market Model'!T128</f>
        <v>1466.9500678630859</v>
      </c>
      <c r="DS5" s="255">
        <f>(DN5/DR5)*DW5</f>
        <v>262.78890194047142</v>
      </c>
      <c r="DT5" s="255">
        <f>(DO5/DR5)*DW5</f>
        <v>311.32772443136082</v>
      </c>
      <c r="DU5" s="255">
        <f>(DP5/DR5)*DW5</f>
        <v>297.17646422993533</v>
      </c>
      <c r="DV5" s="255">
        <f>(DQ5/DR5)*DW5</f>
        <v>342.81849260114234</v>
      </c>
      <c r="DW5" s="64">
        <f>'US MS Market Model'!U128</f>
        <v>1214.1115832029097</v>
      </c>
      <c r="DX5" s="255">
        <f>(DS5/DW5)*EB5</f>
        <v>273.0555579110993</v>
      </c>
      <c r="DY5" s="255">
        <f>(DT5/DW5)*EB5</f>
        <v>323.49069865612194</v>
      </c>
      <c r="DZ5" s="255">
        <f>(DU5/DW5)*EB5</f>
        <v>308.78657598993459</v>
      </c>
      <c r="EA5" s="255">
        <f>(DV5/DW5)*EB5</f>
        <v>356.21175045151557</v>
      </c>
      <c r="EB5" s="64">
        <f>'US MS Market Model'!V128</f>
        <v>1261.5445830086712</v>
      </c>
      <c r="EC5" s="255">
        <f>(DX5/EB5)*EG5</f>
        <v>227.13280306882217</v>
      </c>
      <c r="ED5" s="255">
        <f>(DY5/EB5)*EG5</f>
        <v>269.08571176704834</v>
      </c>
      <c r="EE5" s="255">
        <f>(DZ5/EB5)*EG5</f>
        <v>256.85454305036433</v>
      </c>
      <c r="EF5" s="255">
        <f>(EA5/EB5)*EG5</f>
        <v>296.30370458324865</v>
      </c>
      <c r="EG5" s="64">
        <f>'US MS Market Model'!W128</f>
        <v>1049.3767624694833</v>
      </c>
      <c r="EH5" s="255">
        <f>(EC5/EG5)*EL5</f>
        <v>188.93288113980373</v>
      </c>
      <c r="EI5" s="255">
        <f>(ED5/EG5)*EL5</f>
        <v>223.83001535140988</v>
      </c>
      <c r="EJ5" s="255">
        <f>(EE5/EG5)*EL5</f>
        <v>213.65592374452766</v>
      </c>
      <c r="EK5" s="255">
        <f>(EF5/EG5)*EL5</f>
        <v>246.47039900417997</v>
      </c>
      <c r="EL5" s="64">
        <f>'US MS Market Model'!X128</f>
        <v>872.88921923992109</v>
      </c>
    </row>
    <row r="6" spans="2:142" s="3" customFormat="1">
      <c r="B6" s="8" t="s">
        <v>101</v>
      </c>
      <c r="C6" s="145">
        <v>85</v>
      </c>
      <c r="D6" s="145">
        <v>90</v>
      </c>
      <c r="E6" s="145">
        <v>94.031000000000006</v>
      </c>
      <c r="F6" s="145">
        <f>+G6-SUM(C6:E6)</f>
        <v>98.968999999999994</v>
      </c>
      <c r="G6" s="64">
        <v>368</v>
      </c>
      <c r="H6" s="146">
        <f>+H4-H5</f>
        <v>114.61800000000002</v>
      </c>
      <c r="I6" s="146">
        <f>+I4-I5</f>
        <v>119.91600000000003</v>
      </c>
      <c r="J6" s="146">
        <f>+J4-J5</f>
        <v>121.94799999999998</v>
      </c>
      <c r="K6" s="146">
        <f>+L6-SUM(H6:J6)</f>
        <v>138.07499999999987</v>
      </c>
      <c r="L6" s="64">
        <f>+L4-L5</f>
        <v>494.5569999999999</v>
      </c>
      <c r="M6" s="146">
        <f>+M4-M5</f>
        <v>140.786</v>
      </c>
      <c r="N6" s="146">
        <f>+N4-N5</f>
        <v>152.26499999999999</v>
      </c>
      <c r="O6" s="146">
        <f>+O4-O5</f>
        <v>139.96000000000004</v>
      </c>
      <c r="P6" s="146">
        <f>+Q6-SUM(M6:O6)</f>
        <v>171.40199999999999</v>
      </c>
      <c r="Q6" s="64">
        <f>+Q4-Q5</f>
        <v>604.41300000000001</v>
      </c>
      <c r="R6" s="146">
        <f>+R4-R5</f>
        <v>161.37500000000003</v>
      </c>
      <c r="S6" s="146">
        <f>+S4-S5</f>
        <v>168.77699999999999</v>
      </c>
      <c r="T6" s="146">
        <f>+T4-T5</f>
        <v>176.85599999999999</v>
      </c>
      <c r="U6" s="146">
        <f>+V6-SUM(R6:T6)</f>
        <v>177.51099999999997</v>
      </c>
      <c r="V6" s="64">
        <f>+V4-V5</f>
        <v>684.51900000000001</v>
      </c>
      <c r="W6" s="146">
        <f>+W4-W5</f>
        <v>178.80900000000003</v>
      </c>
      <c r="X6" s="146">
        <f>+X4-X5</f>
        <v>192.01799999999997</v>
      </c>
      <c r="Y6" s="146">
        <f>+Y4-Y5</f>
        <v>188.49</v>
      </c>
      <c r="Z6" s="146">
        <f>+AA6-SUM(W6:Y6)</f>
        <v>223.52500000000009</v>
      </c>
      <c r="AA6" s="64">
        <f>+AA4-AA5</f>
        <v>782.8420000000001</v>
      </c>
      <c r="AB6" s="146">
        <f>+AB4-AB5</f>
        <v>227.70900000000006</v>
      </c>
      <c r="AC6" s="146">
        <f>+AC4-AC5</f>
        <v>221.55200000000002</v>
      </c>
      <c r="AD6" s="146">
        <f>+AD4-AD5</f>
        <v>251.59300000000007</v>
      </c>
      <c r="AE6" s="146">
        <f>+AF6-SUM(AB6:AD6)</f>
        <v>225.17899999999975</v>
      </c>
      <c r="AF6" s="64">
        <f>+AF4-AF5</f>
        <v>926.0329999999999</v>
      </c>
      <c r="AG6" s="146">
        <f>+AG4-AG5</f>
        <v>215.28899999999999</v>
      </c>
      <c r="AH6" s="146">
        <f>+AH4-AH5</f>
        <v>225.35999999999996</v>
      </c>
      <c r="AI6" s="146">
        <f>+AI4-AI5</f>
        <v>231.47900000000004</v>
      </c>
      <c r="AJ6" s="146">
        <f>+AK6-SUM(AG6:AI6)</f>
        <v>244.5659999999998</v>
      </c>
      <c r="AK6" s="64">
        <f>+AK4-AK5</f>
        <v>916.69399999999973</v>
      </c>
      <c r="AL6" s="146">
        <f>+AL4-AL5</f>
        <v>242.62700000000007</v>
      </c>
      <c r="AM6" s="146">
        <f>+AM4-AM5</f>
        <v>257.23400000000004</v>
      </c>
      <c r="AN6" s="146">
        <f>+AN4-AN5</f>
        <v>256.62300000000005</v>
      </c>
      <c r="AO6" s="146">
        <f>+AP6-SUM(AL6:AN6)</f>
        <v>270.27200000000016</v>
      </c>
      <c r="AP6" s="64">
        <f>+AP4-AP5</f>
        <v>1026.7560000000003</v>
      </c>
      <c r="AQ6" s="146">
        <f>+AQ4-AQ5</f>
        <v>255.17799999999994</v>
      </c>
      <c r="AR6" s="146">
        <f>+AR4-AR5</f>
        <v>249.83299999999997</v>
      </c>
      <c r="AS6" s="146">
        <f>+AS4-AS5</f>
        <v>270.68700000000001</v>
      </c>
      <c r="AT6" s="146">
        <v>282</v>
      </c>
      <c r="AU6" s="64">
        <f>SUM(AQ6:AT6)</f>
        <v>1057.6979999999999</v>
      </c>
      <c r="AV6" s="255">
        <v>261</v>
      </c>
      <c r="AW6" s="255">
        <v>298</v>
      </c>
      <c r="AX6" s="255">
        <v>274</v>
      </c>
      <c r="AY6" s="255">
        <v>286</v>
      </c>
      <c r="AZ6" s="64">
        <f>SUM(AV6:AY6)</f>
        <v>1119</v>
      </c>
      <c r="BA6" s="255">
        <v>255</v>
      </c>
      <c r="BB6" s="255">
        <v>295</v>
      </c>
      <c r="BC6" s="255">
        <v>276.44900000000001</v>
      </c>
      <c r="BD6" s="256">
        <v>277</v>
      </c>
      <c r="BE6" s="64">
        <f>SUM(BA6:BD6)</f>
        <v>1103.4490000000001</v>
      </c>
      <c r="BF6" s="256">
        <f>761.474-BF5</f>
        <v>285.47400000000005</v>
      </c>
      <c r="BG6" s="256">
        <f>773.772-BG5</f>
        <v>275.77200000000005</v>
      </c>
      <c r="BH6" s="256">
        <f>741.848-BH5</f>
        <v>259.84799999999996</v>
      </c>
      <c r="BI6" s="256">
        <v>249</v>
      </c>
      <c r="BJ6" s="64">
        <f>SUM(BF6:BI6)</f>
        <v>1070.0940000000001</v>
      </c>
      <c r="BK6" s="256">
        <v>236.25</v>
      </c>
      <c r="BL6" s="256">
        <f>210.5+24.1</f>
        <v>234.6</v>
      </c>
      <c r="BM6" s="256">
        <f>218+29.1</f>
        <v>247.1</v>
      </c>
      <c r="BN6" s="256">
        <v>233.3</v>
      </c>
      <c r="BO6" s="64">
        <f>SUM(BK6:BN6)</f>
        <v>951.25</v>
      </c>
      <c r="BP6" s="256">
        <v>202.9</v>
      </c>
      <c r="BQ6" s="256">
        <v>209.3</v>
      </c>
      <c r="BR6" s="256">
        <v>202.6</v>
      </c>
      <c r="BS6" s="256">
        <v>200.1</v>
      </c>
      <c r="BT6" s="64">
        <f>SUM(BP6:BS6)</f>
        <v>814.90000000000009</v>
      </c>
      <c r="BU6" s="256">
        <v>183.5</v>
      </c>
      <c r="BV6" s="256">
        <v>188.9</v>
      </c>
      <c r="BW6" s="256">
        <v>188.7</v>
      </c>
      <c r="BX6" s="256">
        <v>195.6</v>
      </c>
      <c r="BY6" s="64">
        <f>SUM(BU6:BX6)</f>
        <v>756.69999999999993</v>
      </c>
      <c r="BZ6" s="256">
        <v>178.9</v>
      </c>
      <c r="CA6" s="255">
        <f>(BV6/BY6)*CD6</f>
        <v>180.74804889907026</v>
      </c>
      <c r="CB6" s="255">
        <f>(BW6/BY6)*CD6</f>
        <v>180.55667986900241</v>
      </c>
      <c r="CC6" s="255">
        <f>(BX6/BY6)*CD6</f>
        <v>187.1589114063427</v>
      </c>
      <c r="CD6" s="64">
        <f>'ROW MS Market Model'!L134</f>
        <v>724.04472526165398</v>
      </c>
      <c r="CE6" s="255">
        <f>(BZ6/CD6)*CI6</f>
        <v>168.01145290127141</v>
      </c>
      <c r="CF6" s="255">
        <f>(CA6/CD6)*CI6</f>
        <v>169.74702238458826</v>
      </c>
      <c r="CG6" s="255">
        <f>(CB6/CD6)*CI6</f>
        <v>169.5673008150969</v>
      </c>
      <c r="CH6" s="255">
        <f>(CC6/CD6)*CI6</f>
        <v>175.76769496254877</v>
      </c>
      <c r="CI6" s="64">
        <f>'ROW MS Market Model'!M134</f>
        <v>679.97655817055545</v>
      </c>
      <c r="CJ6" s="255">
        <f>(CE6/CI6)*CN6</f>
        <v>158.02107049286209</v>
      </c>
      <c r="CK6" s="255">
        <f>(CF6/CI6)*CN6</f>
        <v>159.65343866141566</v>
      </c>
      <c r="CL6" s="255">
        <f>(CG6/CI6)*CN6</f>
        <v>159.48440378723734</v>
      </c>
      <c r="CM6" s="255">
        <f>(CH6/CI6)*CN6</f>
        <v>165.31610694638908</v>
      </c>
      <c r="CN6" s="64">
        <f>'ROW MS Market Model'!N134</f>
        <v>639.54344645364324</v>
      </c>
      <c r="CO6" s="255">
        <f>(CJ6/CN6)*CS6</f>
        <v>150.38147414533086</v>
      </c>
      <c r="CP6" s="255">
        <f>(CK6/CN6)*CS6</f>
        <v>151.93492477548645</v>
      </c>
      <c r="CQ6" s="255">
        <f>(CL6/CN6)*CS6</f>
        <v>151.77406196471304</v>
      </c>
      <c r="CR6" s="255">
        <f>(CM6/CN6)*CS6</f>
        <v>157.3238289363957</v>
      </c>
      <c r="CS6" s="64">
        <f>'ROW MS Market Model'!O134</f>
        <v>608.62444456119943</v>
      </c>
      <c r="CT6" s="255">
        <f>(CO6/CS6)*CX6</f>
        <v>143.34027767338375</v>
      </c>
      <c r="CU6" s="255">
        <f>(CP6/CS6)*CX6</f>
        <v>144.8209922756572</v>
      </c>
      <c r="CV6" s="255">
        <f>(CQ6/CS6)*CX6</f>
        <v>144.667661420945</v>
      </c>
      <c r="CW6" s="255">
        <f>(CR6/CS6)*CX6</f>
        <v>149.95757590851531</v>
      </c>
      <c r="CX6" s="64">
        <f>'ROW MS Market Model'!P134</f>
        <v>580.12728880354564</v>
      </c>
      <c r="CY6" s="255">
        <f>(CT6/CX6)*DC6</f>
        <v>136.85425959403275</v>
      </c>
      <c r="CZ6" s="255">
        <f>(CU6/CX6)*DC6</f>
        <v>138.2679731981458</v>
      </c>
      <c r="DA6" s="255">
        <f>(CV6/CX6)*DC6</f>
        <v>138.12158042609906</v>
      </c>
      <c r="DB6" s="255">
        <f>(CW6/CX6)*DC6</f>
        <v>143.17213106171155</v>
      </c>
      <c r="DC6" s="64">
        <f>'ROW MS Market Model'!Q134</f>
        <v>553.87705303884013</v>
      </c>
      <c r="DD6" s="255">
        <f>(CY6/DC6)*DH6</f>
        <v>131.54778727821733</v>
      </c>
      <c r="DE6" s="255">
        <f>(CZ6/DC6)*DH6</f>
        <v>132.90668467036173</v>
      </c>
      <c r="DF6" s="255">
        <f>(DA6/DC6)*DH6</f>
        <v>132.76596822285472</v>
      </c>
      <c r="DG6" s="255">
        <f>(DB6/DC6)*DH6</f>
        <v>137.62068566184621</v>
      </c>
      <c r="DH6" s="64">
        <f>'ROW MS Market Model'!R134</f>
        <v>532.40067914273527</v>
      </c>
      <c r="DI6" s="255">
        <f>(DD6/DH6)*DM6</f>
        <v>126.66689661205584</v>
      </c>
      <c r="DJ6" s="255">
        <f>(DE6/DH6)*DM6</f>
        <v>127.97537407897897</v>
      </c>
      <c r="DK6" s="255">
        <f>(DF6/DH6)*DM6</f>
        <v>127.83987871203459</v>
      </c>
      <c r="DL6" s="255">
        <f>(DG6/DH6)*DM6</f>
        <v>132.51446887161612</v>
      </c>
      <c r="DM6" s="64">
        <f>'ROW MS Market Model'!S134</f>
        <v>512.64672083410994</v>
      </c>
      <c r="DN6" s="255">
        <f>(DI6/DM6)*DR6</f>
        <v>122.18366889573001</v>
      </c>
      <c r="DO6" s="255">
        <f>(DJ6/DM6)*DR6</f>
        <v>123.44583432215323</v>
      </c>
      <c r="DP6" s="255">
        <f>(DK6/DM6)*DR6</f>
        <v>123.31513465638071</v>
      </c>
      <c r="DQ6" s="255">
        <f>(DL6/DM6)*DR6</f>
        <v>127.82427312553291</v>
      </c>
      <c r="DR6" s="64">
        <f>'ROW MS Market Model'!T134</f>
        <v>494.50218545036171</v>
      </c>
      <c r="DS6" s="255">
        <f>(DN6/DR6)*DW6</f>
        <v>118.07214304945521</v>
      </c>
      <c r="DT6" s="255">
        <f>(DO6/DR6)*DW6</f>
        <v>119.29183614041891</v>
      </c>
      <c r="DU6" s="255">
        <f>(DP6/DR6)*DW6</f>
        <v>119.16553456695102</v>
      </c>
      <c r="DV6" s="255">
        <f>(DQ6/DR6)*DW6</f>
        <v>123.52293885159308</v>
      </c>
      <c r="DW6" s="64">
        <f>'ROW MS Market Model'!U134</f>
        <v>477.86200321574887</v>
      </c>
      <c r="DX6" s="255">
        <f>(DS6/DW6)*EB6</f>
        <v>114.88549302564637</v>
      </c>
      <c r="DY6" s="255">
        <f>(DT6/DW6)*EB6</f>
        <v>116.07226780991235</v>
      </c>
      <c r="DZ6" s="255">
        <f>(DU6/DW6)*EB6</f>
        <v>115.94937499063241</v>
      </c>
      <c r="EA6" s="255">
        <f>(DV6/DW6)*EB6</f>
        <v>120.18917725579064</v>
      </c>
      <c r="EB6" s="64">
        <f>'ROW MS Market Model'!V134</f>
        <v>464.96498174568899</v>
      </c>
      <c r="EC6" s="255">
        <f>(DX6/EB6)*EG6</f>
        <v>111.99205088780188</v>
      </c>
      <c r="ED6" s="255">
        <f>(DY6/EB6)*EG6</f>
        <v>113.14893622233411</v>
      </c>
      <c r="EE6" s="255">
        <f>(DZ6/EB6)*EG6</f>
        <v>113.02913851325806</v>
      </c>
      <c r="EF6" s="255">
        <f>(EA6/EB6)*EG6</f>
        <v>117.16215947638194</v>
      </c>
      <c r="EG6" s="64">
        <f>'ROW MS Market Model'!W134</f>
        <v>453.25463228925463</v>
      </c>
      <c r="EH6" s="255">
        <f>(EC6/EG6)*EL6</f>
        <v>109.3753303434586</v>
      </c>
      <c r="EI6" s="255">
        <f>(ED6/EG6)*EL6</f>
        <v>110.50518478072337</v>
      </c>
      <c r="EJ6" s="255">
        <f>(EE6/EG6)*EL6</f>
        <v>110.38818617322659</v>
      </c>
      <c r="EK6" s="255">
        <f>(EF6/EG6)*EL6</f>
        <v>114.424638131866</v>
      </c>
      <c r="EL6" s="64">
        <f>'ROW MS Market Model'!X134</f>
        <v>442.66423146412575</v>
      </c>
    </row>
    <row r="7" spans="2:142">
      <c r="C7" s="175"/>
      <c r="D7" s="175"/>
      <c r="E7" s="175"/>
      <c r="F7" s="175"/>
      <c r="G7" s="64"/>
      <c r="H7" s="146"/>
      <c r="I7" s="146"/>
      <c r="J7" s="146"/>
      <c r="K7" s="146"/>
      <c r="L7" s="64"/>
      <c r="M7" s="146"/>
      <c r="N7" s="146"/>
      <c r="O7" s="146"/>
      <c r="P7" s="146"/>
      <c r="Q7" s="64"/>
      <c r="R7" s="146"/>
      <c r="S7" s="146"/>
      <c r="T7" s="146"/>
      <c r="U7" s="146"/>
      <c r="V7" s="64"/>
      <c r="W7" s="146"/>
      <c r="X7" s="146"/>
      <c r="Y7" s="146"/>
      <c r="Z7" s="146"/>
      <c r="AA7" s="64"/>
      <c r="AB7" s="146"/>
      <c r="AC7" s="146"/>
      <c r="AD7" s="146"/>
      <c r="AE7" s="146"/>
      <c r="AF7" s="64"/>
      <c r="AG7" s="146"/>
      <c r="AH7" s="146"/>
      <c r="AI7" s="146"/>
      <c r="AJ7" s="146"/>
      <c r="AK7" s="64"/>
      <c r="AL7" s="146"/>
      <c r="AM7" s="146"/>
      <c r="AN7" s="146"/>
      <c r="AO7" s="146"/>
      <c r="AP7" s="64"/>
      <c r="AQ7" s="146"/>
      <c r="AR7" s="146"/>
      <c r="AS7" s="146"/>
      <c r="AT7" s="146"/>
      <c r="AU7" s="64"/>
      <c r="AV7" s="255"/>
      <c r="AW7" s="255"/>
      <c r="AX7" s="255"/>
      <c r="AY7" s="255"/>
      <c r="AZ7" s="64"/>
      <c r="BA7" s="255"/>
      <c r="BB7" s="255"/>
      <c r="BC7" s="255"/>
      <c r="BD7" s="255"/>
      <c r="BE7" s="64"/>
      <c r="BF7" s="255"/>
      <c r="BG7" s="255"/>
      <c r="BH7" s="255"/>
      <c r="BI7" s="255"/>
      <c r="BJ7" s="64"/>
      <c r="BK7" s="255"/>
      <c r="BL7" s="255"/>
      <c r="BM7" s="255"/>
      <c r="BN7" s="255"/>
      <c r="BO7" s="64"/>
      <c r="BP7" s="255"/>
      <c r="BQ7" s="255"/>
      <c r="BR7" s="255"/>
      <c r="BS7" s="255"/>
      <c r="BT7" s="64"/>
      <c r="BU7" s="255"/>
      <c r="BV7" s="255"/>
      <c r="BW7" s="255"/>
      <c r="BX7" s="255"/>
      <c r="BY7" s="64"/>
      <c r="BZ7" s="255"/>
      <c r="CA7" s="255"/>
      <c r="CB7" s="255"/>
      <c r="CC7" s="255"/>
      <c r="CD7" s="64"/>
      <c r="CE7" s="255"/>
      <c r="CF7" s="255"/>
      <c r="CG7" s="255"/>
      <c r="CH7" s="255"/>
      <c r="CI7" s="64"/>
      <c r="CJ7" s="255"/>
      <c r="CK7" s="255"/>
      <c r="CL7" s="255"/>
      <c r="CM7" s="255"/>
      <c r="CN7" s="64"/>
      <c r="CO7" s="255"/>
      <c r="CP7" s="255"/>
      <c r="CQ7" s="255"/>
      <c r="CR7" s="255"/>
      <c r="CS7" s="64"/>
      <c r="CT7" s="255"/>
      <c r="CU7" s="255"/>
      <c r="CV7" s="255"/>
      <c r="CW7" s="255"/>
      <c r="CX7" s="64"/>
      <c r="CY7" s="255"/>
      <c r="CZ7" s="255"/>
      <c r="DA7" s="255"/>
      <c r="DB7" s="255"/>
      <c r="DC7" s="64"/>
      <c r="DD7" s="255"/>
      <c r="DE7" s="255"/>
      <c r="DF7" s="255"/>
      <c r="DG7" s="255"/>
      <c r="DH7" s="64"/>
      <c r="DI7" s="255"/>
      <c r="DJ7" s="255"/>
      <c r="DK7" s="255"/>
      <c r="DL7" s="255"/>
      <c r="DM7" s="64"/>
      <c r="DN7" s="255"/>
      <c r="DO7" s="255"/>
      <c r="DP7" s="255"/>
      <c r="DQ7" s="255"/>
      <c r="DR7" s="64"/>
      <c r="DS7" s="255"/>
      <c r="DT7" s="255"/>
      <c r="DU7" s="255"/>
      <c r="DV7" s="255"/>
      <c r="DW7" s="64"/>
      <c r="DX7" s="255"/>
      <c r="DY7" s="255"/>
      <c r="DZ7" s="255"/>
      <c r="EA7" s="255"/>
      <c r="EB7" s="64"/>
      <c r="EC7" s="255"/>
      <c r="ED7" s="255"/>
      <c r="EE7" s="255"/>
      <c r="EF7" s="255"/>
      <c r="EG7" s="64"/>
      <c r="EH7" s="255"/>
      <c r="EI7" s="255"/>
      <c r="EJ7" s="255"/>
      <c r="EK7" s="255"/>
      <c r="EL7" s="64"/>
    </row>
    <row r="8" spans="2:142" s="4" customFormat="1">
      <c r="B8" s="4" t="s">
        <v>70</v>
      </c>
      <c r="C8" s="137"/>
      <c r="D8" s="137"/>
      <c r="E8" s="137"/>
      <c r="F8" s="137"/>
      <c r="G8" s="105"/>
      <c r="H8" s="138"/>
      <c r="I8" s="138"/>
      <c r="J8" s="138"/>
      <c r="K8" s="138"/>
      <c r="L8" s="105"/>
      <c r="M8" s="138"/>
      <c r="N8" s="138"/>
      <c r="O8" s="138"/>
      <c r="P8" s="138"/>
      <c r="Q8" s="105"/>
      <c r="R8" s="138"/>
      <c r="S8" s="138"/>
      <c r="T8" s="138"/>
      <c r="U8" s="138"/>
      <c r="V8" s="105"/>
      <c r="W8" s="138"/>
      <c r="X8" s="138"/>
      <c r="Y8" s="138"/>
      <c r="Z8" s="138"/>
      <c r="AA8" s="105"/>
      <c r="AB8" s="138"/>
      <c r="AC8" s="138"/>
      <c r="AD8" s="138"/>
      <c r="AE8" s="138"/>
      <c r="AF8" s="105">
        <f>AF9+AF10</f>
        <v>813</v>
      </c>
      <c r="AG8" s="138"/>
      <c r="AH8" s="138"/>
      <c r="AI8" s="138"/>
      <c r="AJ8" s="138"/>
      <c r="AK8" s="105">
        <f t="shared" ref="AK8:BA8" si="2">AK9+AK10</f>
        <v>1059.2</v>
      </c>
      <c r="AL8" s="138">
        <f t="shared" si="2"/>
        <v>291.89999999999998</v>
      </c>
      <c r="AM8" s="138">
        <f t="shared" si="2"/>
        <v>297.5</v>
      </c>
      <c r="AN8" s="138">
        <f t="shared" si="2"/>
        <v>307.20000000000005</v>
      </c>
      <c r="AO8" s="138">
        <f t="shared" si="2"/>
        <v>333.4</v>
      </c>
      <c r="AP8" s="105">
        <f t="shared" si="2"/>
        <v>1230</v>
      </c>
      <c r="AQ8" s="138">
        <f t="shared" si="2"/>
        <v>349.4</v>
      </c>
      <c r="AR8" s="138">
        <f t="shared" si="2"/>
        <v>389</v>
      </c>
      <c r="AS8" s="138">
        <f t="shared" si="2"/>
        <v>392.6</v>
      </c>
      <c r="AT8" s="138">
        <f t="shared" si="2"/>
        <v>379.9</v>
      </c>
      <c r="AU8" s="105">
        <f t="shared" si="2"/>
        <v>1510.8999999999999</v>
      </c>
      <c r="AV8" s="254">
        <f t="shared" si="2"/>
        <v>399</v>
      </c>
      <c r="AW8" s="254">
        <f t="shared" si="2"/>
        <v>395</v>
      </c>
      <c r="AX8" s="254">
        <f t="shared" si="2"/>
        <v>403.80000000000007</v>
      </c>
      <c r="AY8" s="254">
        <f t="shared" si="2"/>
        <v>433</v>
      </c>
      <c r="AZ8" s="105">
        <f t="shared" si="2"/>
        <v>1630.8000000000002</v>
      </c>
      <c r="BA8" s="254">
        <f t="shared" si="2"/>
        <v>455.99999999999994</v>
      </c>
      <c r="BB8" s="254">
        <v>386.74099999999999</v>
      </c>
      <c r="BC8" s="254">
        <v>400.995</v>
      </c>
      <c r="BD8" s="254">
        <f t="shared" ref="BD8:CI8" si="3">BD9+BD10</f>
        <v>427</v>
      </c>
      <c r="BE8" s="105">
        <f t="shared" si="3"/>
        <v>1670.9949999999999</v>
      </c>
      <c r="BF8" s="254">
        <f t="shared" si="3"/>
        <v>441.04500000000002</v>
      </c>
      <c r="BG8" s="254">
        <f t="shared" si="3"/>
        <v>533.44000000000005</v>
      </c>
      <c r="BH8" s="254">
        <f t="shared" si="3"/>
        <v>501.23700000000002</v>
      </c>
      <c r="BI8" s="254">
        <f t="shared" si="3"/>
        <v>484</v>
      </c>
      <c r="BJ8" s="105">
        <f t="shared" si="3"/>
        <v>1959.7220000000002</v>
      </c>
      <c r="BK8" s="254">
        <f t="shared" si="3"/>
        <v>462.59999999999997</v>
      </c>
      <c r="BL8" s="254">
        <f t="shared" si="3"/>
        <v>463.1</v>
      </c>
      <c r="BM8" s="254">
        <f t="shared" si="3"/>
        <v>479.7</v>
      </c>
      <c r="BN8" s="254">
        <f t="shared" si="3"/>
        <v>480.70000000000005</v>
      </c>
      <c r="BO8" s="105">
        <f t="shared" si="3"/>
        <v>1886.1</v>
      </c>
      <c r="BP8" s="254">
        <f t="shared" si="3"/>
        <v>477</v>
      </c>
      <c r="BQ8" s="254">
        <f t="shared" si="3"/>
        <v>497.4</v>
      </c>
      <c r="BR8" s="254">
        <f t="shared" si="3"/>
        <v>515.5</v>
      </c>
      <c r="BS8" s="254">
        <f t="shared" si="3"/>
        <v>473.9</v>
      </c>
      <c r="BT8" s="105">
        <f t="shared" si="3"/>
        <v>1963.8</v>
      </c>
      <c r="BU8" s="254">
        <f t="shared" si="3"/>
        <v>545</v>
      </c>
      <c r="BV8" s="254">
        <f t="shared" si="3"/>
        <v>496</v>
      </c>
      <c r="BW8" s="254">
        <f t="shared" si="3"/>
        <v>469.4</v>
      </c>
      <c r="BX8" s="254">
        <f t="shared" si="3"/>
        <v>462.7</v>
      </c>
      <c r="BY8" s="105">
        <f t="shared" si="3"/>
        <v>1973.1</v>
      </c>
      <c r="BZ8" s="254">
        <f t="shared" si="3"/>
        <v>462.1</v>
      </c>
      <c r="CA8" s="254">
        <f t="shared" si="3"/>
        <v>430</v>
      </c>
      <c r="CB8" s="254">
        <f t="shared" si="3"/>
        <v>425</v>
      </c>
      <c r="CC8" s="254">
        <f t="shared" si="3"/>
        <v>424.73439153299933</v>
      </c>
      <c r="CD8" s="105">
        <f t="shared" si="3"/>
        <v>1741.8343915329992</v>
      </c>
      <c r="CE8" s="254">
        <f t="shared" si="3"/>
        <v>441.48224111726415</v>
      </c>
      <c r="CF8" s="254">
        <f t="shared" si="3"/>
        <v>410.97590134473802</v>
      </c>
      <c r="CG8" s="254">
        <f t="shared" si="3"/>
        <v>406.15046172778051</v>
      </c>
      <c r="CH8" s="254">
        <f t="shared" si="3"/>
        <v>405.91223396585781</v>
      </c>
      <c r="CI8" s="105">
        <f t="shared" si="3"/>
        <v>1664.5208381556404</v>
      </c>
      <c r="CJ8" s="254">
        <f t="shared" ref="CJ8:DO8" si="4">CJ9+CJ10</f>
        <v>435.88441746175101</v>
      </c>
      <c r="CK8" s="254">
        <f t="shared" si="4"/>
        <v>405.94702144921843</v>
      </c>
      <c r="CL8" s="254">
        <f t="shared" si="4"/>
        <v>401.12801771573231</v>
      </c>
      <c r="CM8" s="254">
        <f t="shared" si="4"/>
        <v>400.91033155771913</v>
      </c>
      <c r="CN8" s="105">
        <f t="shared" si="4"/>
        <v>1643.8697881844209</v>
      </c>
      <c r="CO8" s="254">
        <f t="shared" si="4"/>
        <v>431.82270438127341</v>
      </c>
      <c r="CP8" s="254">
        <f t="shared" si="4"/>
        <v>402.23831947664132</v>
      </c>
      <c r="CQ8" s="254">
        <f t="shared" si="4"/>
        <v>397.44196337078699</v>
      </c>
      <c r="CR8" s="254">
        <f t="shared" si="4"/>
        <v>397.23342860485866</v>
      </c>
      <c r="CS8" s="105">
        <f t="shared" si="4"/>
        <v>1628.7364158335604</v>
      </c>
      <c r="CT8" s="254">
        <f t="shared" si="4"/>
        <v>434.73108226968236</v>
      </c>
      <c r="CU8" s="254">
        <f t="shared" si="4"/>
        <v>405.1608719878667</v>
      </c>
      <c r="CV8" s="254">
        <f t="shared" si="4"/>
        <v>400.26805628027648</v>
      </c>
      <c r="CW8" s="254">
        <f t="shared" si="4"/>
        <v>400.07864836580927</v>
      </c>
      <c r="CX8" s="105">
        <f t="shared" si="4"/>
        <v>1640.2386589036348</v>
      </c>
      <c r="CY8" s="254">
        <f t="shared" si="4"/>
        <v>438.65903138260796</v>
      </c>
      <c r="CZ8" s="254">
        <f t="shared" si="4"/>
        <v>409.00428593376273</v>
      </c>
      <c r="DA8" s="254">
        <f t="shared" si="4"/>
        <v>404.01236070076573</v>
      </c>
      <c r="DB8" s="254">
        <f t="shared" si="4"/>
        <v>403.83881115386032</v>
      </c>
      <c r="DC8" s="105">
        <f t="shared" si="4"/>
        <v>1655.514489170997</v>
      </c>
      <c r="DD8" s="254">
        <f t="shared" si="4"/>
        <v>443.95347541497239</v>
      </c>
      <c r="DE8" s="254">
        <f t="shared" si="4"/>
        <v>414.10885427315435</v>
      </c>
      <c r="DF8" s="254">
        <f t="shared" si="4"/>
        <v>409.00616488909941</v>
      </c>
      <c r="DG8" s="254">
        <f t="shared" si="4"/>
        <v>408.84668624545287</v>
      </c>
      <c r="DH8" s="105">
        <f t="shared" si="4"/>
        <v>1675.9151808226791</v>
      </c>
      <c r="DI8" s="254">
        <f t="shared" si="4"/>
        <v>450.10093008373929</v>
      </c>
      <c r="DJ8" s="254">
        <f t="shared" si="4"/>
        <v>419.98618616208665</v>
      </c>
      <c r="DK8" s="254">
        <f t="shared" si="4"/>
        <v>414.76981307276208</v>
      </c>
      <c r="DL8" s="254">
        <f t="shared" si="4"/>
        <v>414.62189562619744</v>
      </c>
      <c r="DM8" s="105">
        <f t="shared" si="4"/>
        <v>1699.4788249447856</v>
      </c>
      <c r="DN8" s="254">
        <f t="shared" si="4"/>
        <v>457.0487813922374</v>
      </c>
      <c r="DO8" s="254">
        <f t="shared" si="4"/>
        <v>426.58949057944341</v>
      </c>
      <c r="DP8" s="254">
        <f t="shared" ref="DP8:EL8" si="5">DP9+DP10</f>
        <v>421.25643179859327</v>
      </c>
      <c r="DQ8" s="254">
        <f t="shared" si="5"/>
        <v>421.11780465252463</v>
      </c>
      <c r="DR8" s="105">
        <f t="shared" si="5"/>
        <v>1726.0125084227989</v>
      </c>
      <c r="DS8" s="254">
        <f t="shared" si="5"/>
        <v>464.76114063102978</v>
      </c>
      <c r="DT8" s="254">
        <f t="shared" si="5"/>
        <v>433.88694582642347</v>
      </c>
      <c r="DU8" s="254">
        <f t="shared" si="5"/>
        <v>428.43411455889344</v>
      </c>
      <c r="DV8" s="254">
        <f t="shared" si="5"/>
        <v>428.3026788585355</v>
      </c>
      <c r="DW8" s="105">
        <f t="shared" si="5"/>
        <v>1755.3848798748822</v>
      </c>
      <c r="DX8" s="254">
        <f t="shared" si="5"/>
        <v>473.67774830079924</v>
      </c>
      <c r="DY8" s="254">
        <f t="shared" si="5"/>
        <v>442.30298104421695</v>
      </c>
      <c r="DZ8" s="254">
        <f t="shared" si="5"/>
        <v>436.71795274441524</v>
      </c>
      <c r="EA8" s="254">
        <f t="shared" si="5"/>
        <v>436.59282248989155</v>
      </c>
      <c r="EB8" s="105">
        <f t="shared" si="5"/>
        <v>1789.2915045793229</v>
      </c>
      <c r="EC8" s="254">
        <f t="shared" si="5"/>
        <v>483.33625326061724</v>
      </c>
      <c r="ED8" s="254">
        <f t="shared" si="5"/>
        <v>451.39423495832</v>
      </c>
      <c r="EE8" s="254">
        <f t="shared" si="5"/>
        <v>445.67353387477925</v>
      </c>
      <c r="EF8" s="254">
        <f t="shared" si="5"/>
        <v>445.55282597747441</v>
      </c>
      <c r="EG8" s="105">
        <f t="shared" si="5"/>
        <v>1825.956848071191</v>
      </c>
      <c r="EH8" s="254">
        <f t="shared" si="5"/>
        <v>493.73527064244479</v>
      </c>
      <c r="EI8" s="254">
        <f t="shared" si="5"/>
        <v>461.15978807437364</v>
      </c>
      <c r="EJ8" s="254">
        <f t="shared" si="5"/>
        <v>455.29984246875165</v>
      </c>
      <c r="EK8" s="254">
        <f t="shared" si="5"/>
        <v>455.18171014962257</v>
      </c>
      <c r="EL8" s="105">
        <f t="shared" si="5"/>
        <v>1865.3766113351926</v>
      </c>
    </row>
    <row r="9" spans="2:142">
      <c r="B9" s="9" t="s">
        <v>97</v>
      </c>
      <c r="C9" s="145"/>
      <c r="D9" s="145"/>
      <c r="E9" s="145"/>
      <c r="F9" s="145"/>
      <c r="G9" s="64"/>
      <c r="H9" s="146"/>
      <c r="I9" s="146"/>
      <c r="J9" s="146"/>
      <c r="K9" s="146"/>
      <c r="L9" s="64"/>
      <c r="M9" s="146"/>
      <c r="N9" s="146"/>
      <c r="O9" s="146"/>
      <c r="P9" s="146"/>
      <c r="Q9" s="64"/>
      <c r="R9" s="146"/>
      <c r="S9" s="146"/>
      <c r="T9" s="146"/>
      <c r="U9" s="146"/>
      <c r="V9" s="64"/>
      <c r="W9" s="146"/>
      <c r="X9" s="146"/>
      <c r="Y9" s="146"/>
      <c r="Z9" s="146"/>
      <c r="AA9" s="64"/>
      <c r="AB9" s="146"/>
      <c r="AC9" s="146"/>
      <c r="AD9" s="146"/>
      <c r="AE9" s="146"/>
      <c r="AF9" s="64">
        <v>421.6</v>
      </c>
      <c r="AG9" s="146"/>
      <c r="AH9" s="146"/>
      <c r="AI9" s="146"/>
      <c r="AJ9" s="146"/>
      <c r="AK9" s="64">
        <v>508.5</v>
      </c>
      <c r="AL9" s="146">
        <v>135.19999999999999</v>
      </c>
      <c r="AM9" s="146">
        <v>144.9</v>
      </c>
      <c r="AN9" s="146">
        <v>150.9</v>
      </c>
      <c r="AO9" s="146">
        <v>162.19999999999999</v>
      </c>
      <c r="AP9" s="64">
        <f>SUM(AL9:AO9)</f>
        <v>593.20000000000005</v>
      </c>
      <c r="AQ9" s="146">
        <v>169.9</v>
      </c>
      <c r="AR9" s="146">
        <v>183.1</v>
      </c>
      <c r="AS9" s="146">
        <v>197.1</v>
      </c>
      <c r="AT9" s="146">
        <v>196.45</v>
      </c>
      <c r="AU9" s="64">
        <f>SUM(AQ9:AT9)</f>
        <v>746.55</v>
      </c>
      <c r="AV9" s="255">
        <v>201</v>
      </c>
      <c r="AW9" s="255">
        <v>211</v>
      </c>
      <c r="AX9" s="255">
        <v>230.5</v>
      </c>
      <c r="AY9" s="255">
        <v>243</v>
      </c>
      <c r="AZ9" s="64">
        <f>SUM(AV9:AY9)</f>
        <v>885.5</v>
      </c>
      <c r="BA9" s="255">
        <v>256.99999999999994</v>
      </c>
      <c r="BB9" s="255">
        <v>218</v>
      </c>
      <c r="BC9" s="255">
        <f>232*(BC8/403)</f>
        <v>230.84575682382135</v>
      </c>
      <c r="BD9" s="256">
        <v>251</v>
      </c>
      <c r="BE9" s="64">
        <f>SUM(BA9:BD9)</f>
        <v>956.84575682382126</v>
      </c>
      <c r="BF9" s="256">
        <v>234</v>
      </c>
      <c r="BG9" s="256">
        <v>250</v>
      </c>
      <c r="BH9" s="256">
        <v>275</v>
      </c>
      <c r="BI9" s="256">
        <v>266</v>
      </c>
      <c r="BJ9" s="64">
        <f>SUM(BF9:BI9)</f>
        <v>1025</v>
      </c>
      <c r="BK9" s="256">
        <v>272.89999999999998</v>
      </c>
      <c r="BL9" s="256">
        <v>268.5</v>
      </c>
      <c r="BM9" s="256">
        <v>283.89999999999998</v>
      </c>
      <c r="BN9" s="256">
        <f>BO9-SUM(BK9:BM9)</f>
        <v>277.79999999999995</v>
      </c>
      <c r="BO9" s="64">
        <v>1103.0999999999999</v>
      </c>
      <c r="BP9" s="256">
        <v>288.2</v>
      </c>
      <c r="BQ9" s="256">
        <v>304.89999999999998</v>
      </c>
      <c r="BR9" s="256">
        <v>301.10000000000002</v>
      </c>
      <c r="BS9" s="256">
        <v>288.7</v>
      </c>
      <c r="BT9" s="64">
        <f>SUM(BP9:BS9)</f>
        <v>1182.8999999999999</v>
      </c>
      <c r="BU9" s="256">
        <v>305.5</v>
      </c>
      <c r="BV9" s="256">
        <v>289.39999999999998</v>
      </c>
      <c r="BW9" s="256">
        <v>266.8</v>
      </c>
      <c r="BX9" s="256">
        <v>252.1</v>
      </c>
      <c r="BY9" s="64">
        <f>SUM(BU9:BX9)</f>
        <v>1113.8</v>
      </c>
      <c r="BZ9" s="256">
        <v>249.7</v>
      </c>
      <c r="CA9" s="255">
        <v>240</v>
      </c>
      <c r="CB9" s="255">
        <v>235</v>
      </c>
      <c r="CC9" s="255">
        <f>CD9-BZ9-CA9-CB9</f>
        <v>235.59195774026489</v>
      </c>
      <c r="CD9" s="64">
        <f>'US MS Market Model'!L135</f>
        <v>960.29195774026493</v>
      </c>
      <c r="CE9" s="255">
        <f>(BZ9/CD9)*CI9</f>
        <v>240.98245447085745</v>
      </c>
      <c r="CF9" s="255">
        <f>(CA9/CD9)*CI9</f>
        <v>231.62110161395992</v>
      </c>
      <c r="CG9" s="255">
        <f>(CB9/CD9)*CI9</f>
        <v>226.79566199700241</v>
      </c>
      <c r="CH9" s="255">
        <f>(CC9/CD9)*CI9</f>
        <v>227.36695326329018</v>
      </c>
      <c r="CI9" s="64">
        <f>'US MS Market Model'!M135</f>
        <v>926.76617134511002</v>
      </c>
      <c r="CJ9" s="255">
        <f>(CE9/CI9)*CN9</f>
        <v>240.66104645029705</v>
      </c>
      <c r="CK9" s="255">
        <f>(CF9/CI9)*CN9</f>
        <v>231.312179207334</v>
      </c>
      <c r="CL9" s="255">
        <f>(CG9/CI9)*CN9</f>
        <v>226.49317547384786</v>
      </c>
      <c r="CM9" s="255">
        <f>(CH9/CI9)*CN9</f>
        <v>227.06370478592837</v>
      </c>
      <c r="CN9" s="64">
        <f>'US MS Market Model'!N135</f>
        <v>925.53010591740735</v>
      </c>
      <c r="CO9" s="255">
        <f>(CJ9/CN9)*CS9</f>
        <v>239.53002392636463</v>
      </c>
      <c r="CP9" s="255">
        <f>(CK9/CN9)*CS9</f>
        <v>230.22509308100729</v>
      </c>
      <c r="CQ9" s="255">
        <f>(CL9/CN9)*CS9</f>
        <v>225.42873697515296</v>
      </c>
      <c r="CR9" s="255">
        <f>(CM9/CN9)*CS9</f>
        <v>225.99658499953841</v>
      </c>
      <c r="CS9" s="64">
        <f>'US MS Market Model'!O135</f>
        <v>921.18043898206338</v>
      </c>
      <c r="CT9" s="255">
        <f>(CO9/CS9)*CX9</f>
        <v>244.34721643705498</v>
      </c>
      <c r="CU9" s="255">
        <f>(CP9/CS9)*CX9</f>
        <v>234.85515396433001</v>
      </c>
      <c r="CV9" s="255">
        <f>(CQ9/CS9)*CX9</f>
        <v>229.96233825673977</v>
      </c>
      <c r="CW9" s="255">
        <f>(CR9/CS9)*CX9</f>
        <v>230.54160628269935</v>
      </c>
      <c r="CX9" s="64">
        <f>'US MS Market Model'!P135</f>
        <v>939.7063149408242</v>
      </c>
      <c r="CY9" s="255">
        <f>(CT9/CX9)*DC9</f>
        <v>249.29674613587065</v>
      </c>
      <c r="CZ9" s="255">
        <f>(CU9/CX9)*DC9</f>
        <v>239.61241118385649</v>
      </c>
      <c r="DA9" s="255">
        <f>(CV9/CX9)*DC9</f>
        <v>234.62048595085946</v>
      </c>
      <c r="DB9" s="255">
        <f>(CW9/CX9)*DC9</f>
        <v>235.21148770695871</v>
      </c>
      <c r="DC9" s="64">
        <f>'US MS Market Model'!Q135</f>
        <v>958.74113097754537</v>
      </c>
      <c r="DD9" s="255">
        <f>(CY9/DC9)*DH9</f>
        <v>254.82830783970417</v>
      </c>
      <c r="DE9" s="255">
        <f>(CZ9/DC9)*DH9</f>
        <v>244.9290904346376</v>
      </c>
      <c r="DF9" s="255">
        <f>(DA9/DC9)*DH9</f>
        <v>239.82640105058263</v>
      </c>
      <c r="DG9" s="255">
        <f>(DB9/DC9)*DH9</f>
        <v>240.43051634599442</v>
      </c>
      <c r="DH9" s="64">
        <f>'US MS Market Model'!R135</f>
        <v>980.0143156709189</v>
      </c>
      <c r="DI9" s="255">
        <f>(DD9/DH9)*DM9</f>
        <v>260.50567208086915</v>
      </c>
      <c r="DJ9" s="255">
        <f>(DE9/DH9)*DM9</f>
        <v>250.3859082875795</v>
      </c>
      <c r="DK9" s="255">
        <f>(DF9/DH9)*DM9</f>
        <v>245.16953519825492</v>
      </c>
      <c r="DL9" s="255">
        <f>(DG9/DH9)*DM9</f>
        <v>245.78710968352195</v>
      </c>
      <c r="DM9" s="64">
        <f>'US MS Market Model'!S135</f>
        <v>1001.8482252502256</v>
      </c>
      <c r="DN9" s="255">
        <f>(DI9/DM9)*DR9</f>
        <v>266.33295551565357</v>
      </c>
      <c r="DO9" s="255">
        <f>(DJ9/DM9)*DR9</f>
        <v>255.98682148080445</v>
      </c>
      <c r="DP9" s="255">
        <f>(DK9/DM9)*DR9</f>
        <v>250.65376269995431</v>
      </c>
      <c r="DQ9" s="255">
        <f>(DL9/DM9)*DR9</f>
        <v>251.28515178487669</v>
      </c>
      <c r="DR9" s="64">
        <f>'US MS Market Model'!T135</f>
        <v>1024.2586914812891</v>
      </c>
      <c r="DS9" s="255">
        <f>(DN9/DR9)*DW9</f>
        <v>272.31439350044752</v>
      </c>
      <c r="DT9" s="255">
        <f>(DO9/DR9)*DW9</f>
        <v>261.73590084143939</v>
      </c>
      <c r="DU9" s="255">
        <f>(DP9/DR9)*DW9</f>
        <v>256.28306957390936</v>
      </c>
      <c r="DV9" s="255">
        <f>(DQ9/DR9)*DW9</f>
        <v>256.92863870894394</v>
      </c>
      <c r="DW9" s="64">
        <f>'US MS Market Model'!U135</f>
        <v>1047.2620026247403</v>
      </c>
      <c r="DX9" s="255">
        <f>(DS9/DW9)*EB9</f>
        <v>278.91631329209127</v>
      </c>
      <c r="DY9" s="255">
        <f>(DT9/DW9)*EB9</f>
        <v>268.08135839047628</v>
      </c>
      <c r="DZ9" s="255">
        <f>(DU9/DW9)*EB9</f>
        <v>262.49633009067463</v>
      </c>
      <c r="EA9" s="255">
        <f>(DV9/DW9)*EB9</f>
        <v>263.15755023700785</v>
      </c>
      <c r="EB9" s="64">
        <f>'US MS Market Model'!V135</f>
        <v>1072.65155201025</v>
      </c>
      <c r="EC9" s="255">
        <f>(DX9/EB9)*EG9</f>
        <v>285.6918121120226</v>
      </c>
      <c r="ED9" s="255">
        <f>(DY9/EB9)*EG9</f>
        <v>274.59365200995376</v>
      </c>
      <c r="EE9" s="255">
        <f>(DZ9/EB9)*EG9</f>
        <v>268.87295092641301</v>
      </c>
      <c r="EF9" s="255">
        <f>(EA9/EB9)*EG9</f>
        <v>269.55023358364173</v>
      </c>
      <c r="EG9" s="64">
        <f>'US MS Market Model'!W135</f>
        <v>1098.7086486320311</v>
      </c>
      <c r="EH9" s="255">
        <f>(EC9/EG9)*EL9</f>
        <v>292.64568354475682</v>
      </c>
      <c r="EI9" s="255">
        <f>(ED9/EG9)*EL9</f>
        <v>281.27738906985047</v>
      </c>
      <c r="EJ9" s="255">
        <f>(EE9/EG9)*EL9</f>
        <v>275.41744346422848</v>
      </c>
      <c r="EK9" s="255">
        <f>(EF9/EG9)*EL9</f>
        <v>276.11121149598432</v>
      </c>
      <c r="EL9" s="64">
        <f>'US MS Market Model'!X135</f>
        <v>1125.4517275748201</v>
      </c>
    </row>
    <row r="10" spans="2:142">
      <c r="B10" s="9" t="s">
        <v>101</v>
      </c>
      <c r="C10" s="145"/>
      <c r="D10" s="145"/>
      <c r="E10" s="145"/>
      <c r="F10" s="145"/>
      <c r="G10" s="64"/>
      <c r="H10" s="146"/>
      <c r="I10" s="146"/>
      <c r="J10" s="146"/>
      <c r="K10" s="146"/>
      <c r="L10" s="64"/>
      <c r="M10" s="146"/>
      <c r="N10" s="146"/>
      <c r="O10" s="146"/>
      <c r="P10" s="146"/>
      <c r="Q10" s="64"/>
      <c r="R10" s="146"/>
      <c r="S10" s="146"/>
      <c r="T10" s="146"/>
      <c r="U10" s="146"/>
      <c r="V10" s="64"/>
      <c r="W10" s="146"/>
      <c r="X10" s="146"/>
      <c r="Y10" s="146"/>
      <c r="Z10" s="146"/>
      <c r="AA10" s="64"/>
      <c r="AB10" s="146"/>
      <c r="AC10" s="146"/>
      <c r="AD10" s="146"/>
      <c r="AE10" s="146"/>
      <c r="AF10" s="64">
        <v>391.4</v>
      </c>
      <c r="AG10" s="146"/>
      <c r="AH10" s="146"/>
      <c r="AI10" s="146"/>
      <c r="AJ10" s="146"/>
      <c r="AK10" s="64">
        <v>550.70000000000005</v>
      </c>
      <c r="AL10" s="146">
        <v>156.69999999999999</v>
      </c>
      <c r="AM10" s="146">
        <v>152.6</v>
      </c>
      <c r="AN10" s="146">
        <v>156.30000000000001</v>
      </c>
      <c r="AO10" s="146">
        <v>171.2</v>
      </c>
      <c r="AP10" s="64">
        <f>SUM(AL10:AO10)</f>
        <v>636.79999999999995</v>
      </c>
      <c r="AQ10" s="146">
        <v>179.5</v>
      </c>
      <c r="AR10" s="146">
        <v>205.9</v>
      </c>
      <c r="AS10" s="146">
        <v>195.5</v>
      </c>
      <c r="AT10" s="146">
        <v>183.45</v>
      </c>
      <c r="AU10" s="64">
        <f>SUM(AQ10:AT10)</f>
        <v>764.34999999999991</v>
      </c>
      <c r="AV10" s="255">
        <v>198</v>
      </c>
      <c r="AW10" s="255">
        <v>184</v>
      </c>
      <c r="AX10" s="255">
        <v>173.30000000000004</v>
      </c>
      <c r="AY10" s="255">
        <v>190</v>
      </c>
      <c r="AZ10" s="64">
        <f>SUM(AV10:AY10)</f>
        <v>745.30000000000007</v>
      </c>
      <c r="BA10" s="255">
        <v>199</v>
      </c>
      <c r="BB10" s="255">
        <v>169</v>
      </c>
      <c r="BC10" s="255">
        <f>171*(BC8/403)</f>
        <v>170.14924317617866</v>
      </c>
      <c r="BD10" s="256">
        <v>176</v>
      </c>
      <c r="BE10" s="64">
        <f>SUM(BA10:BD10)</f>
        <v>714.14924317617863</v>
      </c>
      <c r="BF10" s="256">
        <f>441.045-BF9</f>
        <v>207.04500000000002</v>
      </c>
      <c r="BG10" s="256">
        <f>533.44-BG9</f>
        <v>283.44000000000005</v>
      </c>
      <c r="BH10" s="256">
        <f>501.237-BH9</f>
        <v>226.23700000000002</v>
      </c>
      <c r="BI10" s="256">
        <v>218</v>
      </c>
      <c r="BJ10" s="64">
        <f>SUM(BF10:BI10)</f>
        <v>934.72200000000009</v>
      </c>
      <c r="BK10" s="256">
        <v>189.7</v>
      </c>
      <c r="BL10" s="256">
        <v>194.6</v>
      </c>
      <c r="BM10" s="256">
        <v>195.8</v>
      </c>
      <c r="BN10" s="256">
        <f>BO10-SUM(BK10:BM10)</f>
        <v>202.90000000000009</v>
      </c>
      <c r="BO10" s="64">
        <v>783</v>
      </c>
      <c r="BP10" s="256">
        <v>188.8</v>
      </c>
      <c r="BQ10" s="256">
        <v>192.5</v>
      </c>
      <c r="BR10" s="256">
        <v>214.4</v>
      </c>
      <c r="BS10" s="256">
        <v>185.2</v>
      </c>
      <c r="BT10" s="64">
        <f>SUM(BP10:BS10)</f>
        <v>780.90000000000009</v>
      </c>
      <c r="BU10" s="256">
        <v>239.5</v>
      </c>
      <c r="BV10" s="256">
        <v>206.6</v>
      </c>
      <c r="BW10" s="256">
        <v>202.6</v>
      </c>
      <c r="BX10" s="256">
        <v>210.6</v>
      </c>
      <c r="BY10" s="64">
        <f>SUM(BU10:BX10)</f>
        <v>859.30000000000007</v>
      </c>
      <c r="BZ10" s="256">
        <v>212.4</v>
      </c>
      <c r="CA10" s="255">
        <v>190</v>
      </c>
      <c r="CB10" s="255">
        <v>190</v>
      </c>
      <c r="CC10" s="255">
        <f>CD10-BZ10-CA10-CB10</f>
        <v>189.14243379273444</v>
      </c>
      <c r="CD10" s="64">
        <f>'ROW MS Market Model'!L141</f>
        <v>781.54243379273441</v>
      </c>
      <c r="CE10" s="255">
        <f>(BZ10/CD10)*CI10</f>
        <v>200.4997866464067</v>
      </c>
      <c r="CF10" s="255">
        <f>(CA10/CD10)*CI10</f>
        <v>179.3547997307781</v>
      </c>
      <c r="CG10" s="255">
        <f>(CB10/CD10)*CI10</f>
        <v>179.3547997307781</v>
      </c>
      <c r="CH10" s="255">
        <f>(CC10/CD10)*CI10</f>
        <v>178.5452807025676</v>
      </c>
      <c r="CI10" s="64">
        <f>'ROW MS Market Model'!M141</f>
        <v>737.75466681053047</v>
      </c>
      <c r="CJ10" s="255">
        <f>(CE10/CI10)*CN10</f>
        <v>195.22337101145396</v>
      </c>
      <c r="CK10" s="255">
        <f>(CF10/CI10)*CN10</f>
        <v>174.63484224188443</v>
      </c>
      <c r="CL10" s="255">
        <f>(CG10/CI10)*CN10</f>
        <v>174.63484224188443</v>
      </c>
      <c r="CM10" s="255">
        <f>(CH10/CI10)*CN10</f>
        <v>173.84662677179077</v>
      </c>
      <c r="CN10" s="64">
        <f>'ROW MS Market Model'!N141</f>
        <v>718.33968226701359</v>
      </c>
      <c r="CO10" s="255">
        <f>(CJ10/CN10)*CS10</f>
        <v>192.2926804549088</v>
      </c>
      <c r="CP10" s="255">
        <f>(CK10/CN10)*CS10</f>
        <v>172.01322639563404</v>
      </c>
      <c r="CQ10" s="255">
        <f>(CL10/CN10)*CS10</f>
        <v>172.01322639563404</v>
      </c>
      <c r="CR10" s="255">
        <f>(CM10/CN10)*CS10</f>
        <v>171.23684360532025</v>
      </c>
      <c r="CS10" s="64">
        <f>'ROW MS Market Model'!O141</f>
        <v>707.55597685149712</v>
      </c>
      <c r="CT10" s="255">
        <f>(CO10/CS10)*CX10</f>
        <v>190.38386583262735</v>
      </c>
      <c r="CU10" s="255">
        <f>(CP10/CS10)*CX10</f>
        <v>170.30571802353668</v>
      </c>
      <c r="CV10" s="255">
        <f>(CQ10/CS10)*CX10</f>
        <v>170.30571802353668</v>
      </c>
      <c r="CW10" s="255">
        <f>(CR10/CS10)*CX10</f>
        <v>169.53704208310992</v>
      </c>
      <c r="CX10" s="64">
        <f>'ROW MS Market Model'!P141</f>
        <v>700.53234396281061</v>
      </c>
      <c r="CY10" s="255">
        <f>(CT10/CX10)*DC10</f>
        <v>189.36228524673734</v>
      </c>
      <c r="CZ10" s="255">
        <f>(CU10/CX10)*DC10</f>
        <v>169.39187474990626</v>
      </c>
      <c r="DA10" s="255">
        <f>(CV10/CX10)*DC10</f>
        <v>169.39187474990626</v>
      </c>
      <c r="DB10" s="255">
        <f>(CW10/CX10)*DC10</f>
        <v>168.62732344690164</v>
      </c>
      <c r="DC10" s="64">
        <f>'ROW MS Market Model'!Q141</f>
        <v>696.77335819345149</v>
      </c>
      <c r="DD10" s="255">
        <f>(CY10/DC10)*DH10</f>
        <v>189.12516757526822</v>
      </c>
      <c r="DE10" s="255">
        <f>(CZ10/DC10)*DH10</f>
        <v>169.17976383851675</v>
      </c>
      <c r="DF10" s="255">
        <f>(DA10/DC10)*DH10</f>
        <v>169.17976383851675</v>
      </c>
      <c r="DG10" s="255">
        <f>(DB10/DC10)*DH10</f>
        <v>168.41616989945845</v>
      </c>
      <c r="DH10" s="64">
        <f>'ROW MS Market Model'!R141</f>
        <v>695.90086515176017</v>
      </c>
      <c r="DI10" s="255">
        <f>(DD10/DH10)*DM10</f>
        <v>189.59525800287014</v>
      </c>
      <c r="DJ10" s="255">
        <f>(DE10/DH10)*DM10</f>
        <v>169.60027787450716</v>
      </c>
      <c r="DK10" s="255">
        <f>(DF10/DH10)*DM10</f>
        <v>169.60027787450716</v>
      </c>
      <c r="DL10" s="255">
        <f>(DG10/DH10)*DM10</f>
        <v>168.83478594267547</v>
      </c>
      <c r="DM10" s="64">
        <f>'ROW MS Market Model'!S141</f>
        <v>697.63059969455992</v>
      </c>
      <c r="DN10" s="255">
        <f>(DI10/DM10)*DR10</f>
        <v>190.71582587658381</v>
      </c>
      <c r="DO10" s="255">
        <f>(DJ10/DM10)*DR10</f>
        <v>170.60266909863896</v>
      </c>
      <c r="DP10" s="255">
        <f>(DK10/DM10)*DR10</f>
        <v>170.60266909863896</v>
      </c>
      <c r="DQ10" s="255">
        <f>(DL10/DM10)*DR10</f>
        <v>169.83265286764794</v>
      </c>
      <c r="DR10" s="64">
        <f>'ROW MS Market Model'!T141</f>
        <v>701.75381694150963</v>
      </c>
      <c r="DS10" s="255">
        <f>(DN10/DR10)*DW10</f>
        <v>192.44674713058222</v>
      </c>
      <c r="DT10" s="255">
        <f>(DO10/DR10)*DW10</f>
        <v>172.15104498498408</v>
      </c>
      <c r="DU10" s="255">
        <f>(DP10/DR10)*DW10</f>
        <v>172.15104498498408</v>
      </c>
      <c r="DV10" s="255">
        <f>(DQ10/DR10)*DW10</f>
        <v>171.37404014959159</v>
      </c>
      <c r="DW10" s="64">
        <f>'ROW MS Market Model'!U141</f>
        <v>708.12287725014198</v>
      </c>
      <c r="DX10" s="255">
        <f>(DS10/DW10)*EB10</f>
        <v>194.76143500870796</v>
      </c>
      <c r="DY10" s="255">
        <f>(DT10/DW10)*EB10</f>
        <v>174.22162265374064</v>
      </c>
      <c r="DZ10" s="255">
        <f>(DU10/DW10)*EB10</f>
        <v>174.22162265374064</v>
      </c>
      <c r="EA10" s="255">
        <f>(DV10/DW10)*EB10</f>
        <v>173.43527225288369</v>
      </c>
      <c r="EB10" s="64">
        <f>'ROW MS Market Model'!V141</f>
        <v>716.63995256907288</v>
      </c>
      <c r="EC10" s="255">
        <f>(DX10/EB10)*EG10</f>
        <v>197.64444114859467</v>
      </c>
      <c r="ED10" s="255">
        <f>(DY10/EB10)*EG10</f>
        <v>176.80058294836624</v>
      </c>
      <c r="EE10" s="255">
        <f>(DZ10/EB10)*EG10</f>
        <v>176.80058294836624</v>
      </c>
      <c r="EF10" s="255">
        <f>(EA10/EB10)*EG10</f>
        <v>176.00259239383271</v>
      </c>
      <c r="EG10" s="64">
        <f>'ROW MS Market Model'!W141</f>
        <v>727.24819943915975</v>
      </c>
      <c r="EH10" s="255">
        <f>(EC10/EG10)*EL10</f>
        <v>201.089587097688</v>
      </c>
      <c r="EI10" s="255">
        <f>(ED10/EG10)*EL10</f>
        <v>179.88239900452319</v>
      </c>
      <c r="EJ10" s="255">
        <f>(EE10/EG10)*EL10</f>
        <v>179.88239900452319</v>
      </c>
      <c r="EK10" s="255">
        <f>(EF10/EG10)*EL10</f>
        <v>179.07049865363825</v>
      </c>
      <c r="EL10" s="64">
        <f>'ROW MS Market Model'!X141</f>
        <v>739.9248837603725</v>
      </c>
    </row>
    <row r="11" spans="2:142">
      <c r="B11" s="9"/>
      <c r="C11" s="145"/>
      <c r="D11" s="145"/>
      <c r="E11" s="145"/>
      <c r="F11" s="145"/>
      <c r="G11" s="64"/>
      <c r="H11" s="146"/>
      <c r="I11" s="146"/>
      <c r="J11" s="146"/>
      <c r="K11" s="146"/>
      <c r="L11" s="64"/>
      <c r="M11" s="146"/>
      <c r="N11" s="146"/>
      <c r="O11" s="146"/>
      <c r="P11" s="146"/>
      <c r="Q11" s="64"/>
      <c r="R11" s="146"/>
      <c r="S11" s="146"/>
      <c r="T11" s="146"/>
      <c r="U11" s="146"/>
      <c r="V11" s="64"/>
      <c r="W11" s="146"/>
      <c r="X11" s="146"/>
      <c r="Y11" s="146"/>
      <c r="Z11" s="146"/>
      <c r="AA11" s="64"/>
      <c r="AB11" s="146"/>
      <c r="AC11" s="146"/>
      <c r="AD11" s="146"/>
      <c r="AE11" s="146"/>
      <c r="AF11" s="64"/>
      <c r="AG11" s="146"/>
      <c r="AH11" s="146"/>
      <c r="AI11" s="146"/>
      <c r="AJ11" s="146"/>
      <c r="AK11" s="64"/>
      <c r="AL11" s="146"/>
      <c r="AM11" s="146"/>
      <c r="AN11" s="146"/>
      <c r="AO11" s="146"/>
      <c r="AP11" s="64"/>
      <c r="AQ11" s="146"/>
      <c r="AR11" s="146"/>
      <c r="AS11" s="146"/>
      <c r="AT11" s="146"/>
      <c r="AU11" s="64"/>
      <c r="AV11" s="255"/>
      <c r="AW11" s="255"/>
      <c r="AX11" s="255"/>
      <c r="AY11" s="255"/>
      <c r="AZ11" s="64"/>
      <c r="BA11" s="255"/>
      <c r="BB11" s="255"/>
      <c r="BC11" s="255"/>
      <c r="BD11" s="255"/>
      <c r="BE11" s="64"/>
      <c r="BF11" s="255"/>
      <c r="BG11" s="255"/>
      <c r="BH11" s="255"/>
      <c r="BI11" s="255"/>
      <c r="BJ11" s="64"/>
      <c r="BK11" s="255"/>
      <c r="BL11" s="255"/>
      <c r="BM11" s="255"/>
      <c r="BN11" s="255"/>
      <c r="BO11" s="64"/>
      <c r="BP11" s="255"/>
      <c r="BQ11" s="255"/>
      <c r="BR11" s="255"/>
      <c r="BS11" s="255"/>
      <c r="BT11" s="64"/>
      <c r="BU11" s="255"/>
      <c r="BV11" s="255"/>
      <c r="BW11" s="255"/>
      <c r="BX11" s="255"/>
      <c r="BY11" s="64"/>
      <c r="BZ11" s="255"/>
      <c r="CA11" s="255"/>
      <c r="CB11" s="255"/>
      <c r="CC11" s="255"/>
      <c r="CD11" s="64"/>
      <c r="CE11" s="255"/>
      <c r="CF11" s="255"/>
      <c r="CG11" s="255"/>
      <c r="CH11" s="255"/>
      <c r="CI11" s="64"/>
      <c r="CJ11" s="255"/>
      <c r="CK11" s="255"/>
      <c r="CL11" s="255"/>
      <c r="CM11" s="255"/>
      <c r="CN11" s="64"/>
      <c r="CO11" s="255"/>
      <c r="CP11" s="255"/>
      <c r="CQ11" s="255"/>
      <c r="CR11" s="255"/>
      <c r="CS11" s="64"/>
      <c r="CT11" s="255"/>
      <c r="CU11" s="255"/>
      <c r="CV11" s="255"/>
      <c r="CW11" s="255"/>
      <c r="CX11" s="64"/>
      <c r="CY11" s="255"/>
      <c r="CZ11" s="255"/>
      <c r="DA11" s="255"/>
      <c r="DB11" s="255"/>
      <c r="DC11" s="64"/>
      <c r="DD11" s="255"/>
      <c r="DE11" s="255"/>
      <c r="DF11" s="255"/>
      <c r="DG11" s="255"/>
      <c r="DH11" s="64"/>
      <c r="DI11" s="255"/>
      <c r="DJ11" s="255"/>
      <c r="DK11" s="255"/>
      <c r="DL11" s="255"/>
      <c r="DM11" s="64"/>
      <c r="DN11" s="255"/>
      <c r="DO11" s="255"/>
      <c r="DP11" s="255"/>
      <c r="DQ11" s="255"/>
      <c r="DR11" s="64"/>
      <c r="DS11" s="255"/>
      <c r="DT11" s="255"/>
      <c r="DU11" s="255"/>
      <c r="DV11" s="255"/>
      <c r="DW11" s="64"/>
      <c r="DX11" s="255"/>
      <c r="DY11" s="255"/>
      <c r="DZ11" s="255"/>
      <c r="EA11" s="255"/>
      <c r="EB11" s="64"/>
      <c r="EC11" s="255"/>
      <c r="ED11" s="255"/>
      <c r="EE11" s="255"/>
      <c r="EF11" s="255"/>
      <c r="EG11" s="64"/>
      <c r="EH11" s="255"/>
      <c r="EI11" s="255"/>
      <c r="EJ11" s="255"/>
      <c r="EK11" s="255"/>
      <c r="EL11" s="64"/>
    </row>
    <row r="12" spans="2:142" s="4" customFormat="1">
      <c r="B12" s="4" t="s">
        <v>87</v>
      </c>
      <c r="C12" s="137"/>
      <c r="D12" s="137"/>
      <c r="E12" s="137"/>
      <c r="F12" s="137"/>
      <c r="G12" s="105"/>
      <c r="H12" s="138"/>
      <c r="I12" s="138"/>
      <c r="J12" s="138"/>
      <c r="K12" s="138"/>
      <c r="L12" s="105"/>
      <c r="M12" s="138"/>
      <c r="N12" s="138"/>
      <c r="O12" s="138"/>
      <c r="P12" s="138"/>
      <c r="Q12" s="105"/>
      <c r="R12" s="138"/>
      <c r="S12" s="138"/>
      <c r="T12" s="138"/>
      <c r="U12" s="138"/>
      <c r="V12" s="105"/>
      <c r="W12" s="138"/>
      <c r="X12" s="138"/>
      <c r="Y12" s="138"/>
      <c r="Z12" s="138"/>
      <c r="AA12" s="105"/>
      <c r="AB12" s="138"/>
      <c r="AC12" s="138"/>
      <c r="AD12" s="138"/>
      <c r="AE12" s="138"/>
      <c r="AF12" s="105"/>
      <c r="AG12" s="138"/>
      <c r="AH12" s="138"/>
      <c r="AI12" s="138"/>
      <c r="AJ12" s="138"/>
      <c r="AK12" s="105"/>
      <c r="AL12" s="138"/>
      <c r="AM12" s="138"/>
      <c r="AN12" s="138"/>
      <c r="AO12" s="138"/>
      <c r="AP12" s="105"/>
      <c r="AQ12" s="138"/>
      <c r="AR12" s="138"/>
      <c r="AS12" s="138"/>
      <c r="AT12" s="138"/>
      <c r="AU12" s="105"/>
      <c r="AV12" s="254"/>
      <c r="AW12" s="254"/>
      <c r="AX12" s="254"/>
      <c r="AY12" s="254"/>
      <c r="AZ12" s="105"/>
      <c r="BA12" s="254"/>
      <c r="BB12" s="254">
        <f t="shared" ref="BB12:CG12" si="6">BB13+BB14</f>
        <v>192.13399999999999</v>
      </c>
      <c r="BC12" s="254">
        <f t="shared" si="6"/>
        <v>286.36599999999999</v>
      </c>
      <c r="BD12" s="254">
        <f t="shared" si="6"/>
        <v>397</v>
      </c>
      <c r="BE12" s="105">
        <f t="shared" si="6"/>
        <v>875.5</v>
      </c>
      <c r="BF12" s="254">
        <f t="shared" si="6"/>
        <v>505.709</v>
      </c>
      <c r="BG12" s="254">
        <f t="shared" si="6"/>
        <v>700.38</v>
      </c>
      <c r="BH12" s="254">
        <f t="shared" si="6"/>
        <v>787.12199999999996</v>
      </c>
      <c r="BI12" s="254">
        <f t="shared" si="6"/>
        <v>916</v>
      </c>
      <c r="BJ12" s="105">
        <f t="shared" si="6"/>
        <v>2909.2109999999998</v>
      </c>
      <c r="BK12" s="254">
        <f t="shared" si="6"/>
        <v>824.9</v>
      </c>
      <c r="BL12" s="254">
        <f t="shared" si="6"/>
        <v>884</v>
      </c>
      <c r="BM12" s="254">
        <f t="shared" si="6"/>
        <v>937</v>
      </c>
      <c r="BN12" s="254">
        <f t="shared" si="6"/>
        <v>992.49999999999977</v>
      </c>
      <c r="BO12" s="105">
        <f t="shared" si="6"/>
        <v>3638.3999999999996</v>
      </c>
      <c r="BP12" s="254">
        <f t="shared" si="6"/>
        <v>945.9</v>
      </c>
      <c r="BQ12" s="254">
        <f t="shared" si="6"/>
        <v>986.5</v>
      </c>
      <c r="BR12" s="254">
        <f t="shared" si="6"/>
        <v>1033.7</v>
      </c>
      <c r="BS12" s="254">
        <f t="shared" si="6"/>
        <v>1002</v>
      </c>
      <c r="BT12" s="105">
        <f t="shared" si="6"/>
        <v>3968.0999999999995</v>
      </c>
      <c r="BU12" s="254">
        <f t="shared" si="6"/>
        <v>958.2</v>
      </c>
      <c r="BV12" s="254">
        <f t="shared" si="6"/>
        <v>1110.5999999999999</v>
      </c>
      <c r="BW12" s="254">
        <f t="shared" si="6"/>
        <v>1069.5999999999999</v>
      </c>
      <c r="BX12" s="254">
        <f t="shared" si="6"/>
        <v>1075.5999999999999</v>
      </c>
      <c r="BY12" s="105">
        <f t="shared" si="6"/>
        <v>4214</v>
      </c>
      <c r="BZ12" s="254">
        <f t="shared" si="6"/>
        <v>986.9</v>
      </c>
      <c r="CA12" s="254">
        <f t="shared" si="6"/>
        <v>1085</v>
      </c>
      <c r="CB12" s="254">
        <f t="shared" si="6"/>
        <v>1065</v>
      </c>
      <c r="CC12" s="254">
        <f t="shared" si="6"/>
        <v>1187.5021347536376</v>
      </c>
      <c r="CD12" s="105">
        <f t="shared" si="6"/>
        <v>4324.4021347536382</v>
      </c>
      <c r="CE12" s="254">
        <f t="shared" si="6"/>
        <v>1065.5523954009648</v>
      </c>
      <c r="CF12" s="254">
        <f t="shared" si="6"/>
        <v>1103.138161648995</v>
      </c>
      <c r="CG12" s="254">
        <f t="shared" si="6"/>
        <v>1138.3095320218958</v>
      </c>
      <c r="CH12" s="254">
        <f t="shared" ref="CH12:DM12" si="7">CH13+CH14</f>
        <v>1175.8952982699261</v>
      </c>
      <c r="CI12" s="105">
        <f t="shared" si="7"/>
        <v>4482.8953873417813</v>
      </c>
      <c r="CJ12" s="254">
        <f t="shared" si="7"/>
        <v>1098.8327439803686</v>
      </c>
      <c r="CK12" s="254">
        <f t="shared" si="7"/>
        <v>1137.5532112555086</v>
      </c>
      <c r="CL12" s="254">
        <f t="shared" si="7"/>
        <v>1173.7716684244954</v>
      </c>
      <c r="CM12" s="254">
        <f t="shared" si="7"/>
        <v>1212.4921356996356</v>
      </c>
      <c r="CN12" s="105">
        <f t="shared" si="7"/>
        <v>4622.6497593600079</v>
      </c>
      <c r="CO12" s="254">
        <f t="shared" si="7"/>
        <v>1120.5926551610089</v>
      </c>
      <c r="CP12" s="254">
        <f t="shared" si="7"/>
        <v>1160.0327125664573</v>
      </c>
      <c r="CQ12" s="254">
        <f t="shared" si="7"/>
        <v>1196.906527506568</v>
      </c>
      <c r="CR12" s="254">
        <f t="shared" si="7"/>
        <v>1236.3465849120164</v>
      </c>
      <c r="CS12" s="105">
        <f t="shared" si="7"/>
        <v>4713.8784801460506</v>
      </c>
      <c r="CT12" s="254">
        <f t="shared" si="7"/>
        <v>1124.9418034081727</v>
      </c>
      <c r="CU12" s="254">
        <f t="shared" si="7"/>
        <v>1164.6014599231819</v>
      </c>
      <c r="CV12" s="254">
        <f t="shared" si="7"/>
        <v>1201.7056214010324</v>
      </c>
      <c r="CW12" s="254">
        <f t="shared" si="7"/>
        <v>1241.3652779160416</v>
      </c>
      <c r="CX12" s="105">
        <f t="shared" si="7"/>
        <v>4732.6141626484286</v>
      </c>
      <c r="CY12" s="254">
        <f t="shared" si="7"/>
        <v>1129.3661727437775</v>
      </c>
      <c r="CZ12" s="254">
        <f t="shared" si="7"/>
        <v>1169.2563097725565</v>
      </c>
      <c r="DA12" s="254">
        <f t="shared" si="7"/>
        <v>1206.6040898136873</v>
      </c>
      <c r="DB12" s="254">
        <f t="shared" si="7"/>
        <v>1246.4942268424666</v>
      </c>
      <c r="DC12" s="105">
        <f t="shared" si="7"/>
        <v>4751.7207991724881</v>
      </c>
      <c r="DD12" s="254">
        <f t="shared" si="7"/>
        <v>1136.7662844338256</v>
      </c>
      <c r="DE12" s="254">
        <f t="shared" si="7"/>
        <v>1177.1117899103558</v>
      </c>
      <c r="DF12" s="254">
        <f t="shared" si="7"/>
        <v>1214.958660873835</v>
      </c>
      <c r="DG12" s="254">
        <f t="shared" si="7"/>
        <v>1255.304166350365</v>
      </c>
      <c r="DH12" s="105">
        <f t="shared" si="7"/>
        <v>4784.1409015683812</v>
      </c>
      <c r="DI12" s="254">
        <f t="shared" si="7"/>
        <v>952.17128691447647</v>
      </c>
      <c r="DJ12" s="254">
        <f t="shared" si="7"/>
        <v>985.31507947296632</v>
      </c>
      <c r="DK12" s="254">
        <f t="shared" si="7"/>
        <v>1016.1636116103973</v>
      </c>
      <c r="DL12" s="254">
        <f t="shared" si="7"/>
        <v>1049.3074041688872</v>
      </c>
      <c r="DM12" s="105">
        <f t="shared" si="7"/>
        <v>4002.9573821667273</v>
      </c>
      <c r="DN12" s="254">
        <f t="shared" ref="DN12:EL12" si="8">DN13+DN14</f>
        <v>659.05612349360524</v>
      </c>
      <c r="DO12" s="254">
        <f t="shared" si="8"/>
        <v>681.33516480464516</v>
      </c>
      <c r="DP12" s="254">
        <f t="shared" si="8"/>
        <v>701.81952197417286</v>
      </c>
      <c r="DQ12" s="254">
        <f t="shared" si="8"/>
        <v>724.09856328521278</v>
      </c>
      <c r="DR12" s="105">
        <f t="shared" si="8"/>
        <v>2766.3093735576358</v>
      </c>
      <c r="DS12" s="254">
        <f t="shared" si="8"/>
        <v>268.0679696325227</v>
      </c>
      <c r="DT12" s="254">
        <f t="shared" si="8"/>
        <v>277.09684740225288</v>
      </c>
      <c r="DU12" s="254">
        <f t="shared" si="8"/>
        <v>285.38546898597167</v>
      </c>
      <c r="DV12" s="254">
        <f t="shared" si="8"/>
        <v>294.4143467557019</v>
      </c>
      <c r="DW12" s="105">
        <f t="shared" si="8"/>
        <v>1124.9646327764492</v>
      </c>
      <c r="DX12" s="254">
        <f t="shared" si="8"/>
        <v>108.74853057706763</v>
      </c>
      <c r="DY12" s="254">
        <f t="shared" si="8"/>
        <v>112.62888297318933</v>
      </c>
      <c r="DZ12" s="254">
        <f t="shared" si="8"/>
        <v>116.27664928628843</v>
      </c>
      <c r="EA12" s="254">
        <f t="shared" si="8"/>
        <v>120.15700168241014</v>
      </c>
      <c r="EB12" s="105">
        <f t="shared" si="8"/>
        <v>457.8110645189555</v>
      </c>
      <c r="EC12" s="254">
        <f t="shared" si="8"/>
        <v>39.728206600486956</v>
      </c>
      <c r="ED12" s="254">
        <f t="shared" si="8"/>
        <v>41.50659510582939</v>
      </c>
      <c r="EE12" s="254">
        <f t="shared" si="8"/>
        <v>43.31232034329183</v>
      </c>
      <c r="EF12" s="254">
        <f t="shared" si="8"/>
        <v>45.090708848634279</v>
      </c>
      <c r="EG12" s="105">
        <f t="shared" si="8"/>
        <v>169.63783089824244</v>
      </c>
      <c r="EH12" s="254">
        <f t="shared" si="8"/>
        <v>27.984152863867681</v>
      </c>
      <c r="EI12" s="254">
        <f t="shared" si="8"/>
        <v>29.418012412770707</v>
      </c>
      <c r="EJ12" s="254">
        <f t="shared" si="8"/>
        <v>30.92752158465855</v>
      </c>
      <c r="EK12" s="254">
        <f t="shared" si="8"/>
        <v>32.361381133561579</v>
      </c>
      <c r="EL12" s="105">
        <f t="shared" si="8"/>
        <v>120.69106799485851</v>
      </c>
    </row>
    <row r="13" spans="2:142">
      <c r="B13" s="9" t="s">
        <v>97</v>
      </c>
      <c r="C13" s="145"/>
      <c r="D13" s="145"/>
      <c r="E13" s="145"/>
      <c r="F13" s="145"/>
      <c r="G13" s="64"/>
      <c r="H13" s="146"/>
      <c r="I13" s="146"/>
      <c r="J13" s="146"/>
      <c r="K13" s="146"/>
      <c r="L13" s="64"/>
      <c r="M13" s="146"/>
      <c r="N13" s="146"/>
      <c r="O13" s="146"/>
      <c r="P13" s="146"/>
      <c r="Q13" s="64"/>
      <c r="R13" s="146"/>
      <c r="S13" s="146"/>
      <c r="T13" s="146"/>
      <c r="U13" s="146"/>
      <c r="V13" s="64"/>
      <c r="W13" s="146"/>
      <c r="X13" s="146"/>
      <c r="Y13" s="146"/>
      <c r="Z13" s="146"/>
      <c r="AA13" s="64"/>
      <c r="AB13" s="146"/>
      <c r="AC13" s="146"/>
      <c r="AD13" s="146"/>
      <c r="AE13" s="146"/>
      <c r="AF13" s="64"/>
      <c r="AG13" s="146"/>
      <c r="AH13" s="146"/>
      <c r="AI13" s="146"/>
      <c r="AJ13" s="146"/>
      <c r="AK13" s="64"/>
      <c r="AL13" s="146"/>
      <c r="AM13" s="146"/>
      <c r="AN13" s="146"/>
      <c r="AO13" s="146"/>
      <c r="AP13" s="64"/>
      <c r="AQ13" s="146"/>
      <c r="AR13" s="146"/>
      <c r="AS13" s="146"/>
      <c r="AT13" s="146"/>
      <c r="AU13" s="64"/>
      <c r="AV13" s="255"/>
      <c r="AW13" s="255"/>
      <c r="AX13" s="255"/>
      <c r="AY13" s="255"/>
      <c r="AZ13" s="64"/>
      <c r="BA13" s="255"/>
      <c r="BB13" s="255">
        <v>192.13399999999999</v>
      </c>
      <c r="BC13" s="255">
        <v>284.36599999999999</v>
      </c>
      <c r="BD13" s="256">
        <v>390</v>
      </c>
      <c r="BE13" s="64">
        <f>SUM(BA13:BD13)</f>
        <v>866.5</v>
      </c>
      <c r="BF13" s="256">
        <v>460</v>
      </c>
      <c r="BG13" s="256">
        <v>585</v>
      </c>
      <c r="BH13" s="256">
        <v>638</v>
      </c>
      <c r="BI13" s="256">
        <v>743</v>
      </c>
      <c r="BJ13" s="64">
        <f>SUM(BF13:BI13)</f>
        <v>2426</v>
      </c>
      <c r="BK13" s="256">
        <v>647.9</v>
      </c>
      <c r="BL13" s="256">
        <v>721</v>
      </c>
      <c r="BM13" s="256">
        <v>754</v>
      </c>
      <c r="BN13" s="256">
        <f>BO13-SUM(BK13:BM13)</f>
        <v>785.29999999999973</v>
      </c>
      <c r="BO13" s="64">
        <v>2908.2</v>
      </c>
      <c r="BP13" s="256">
        <v>744.3</v>
      </c>
      <c r="BQ13" s="256">
        <v>780.3</v>
      </c>
      <c r="BR13" s="256">
        <v>845.1</v>
      </c>
      <c r="BS13" s="256">
        <v>799.7</v>
      </c>
      <c r="BT13" s="64">
        <f>SUM(BP13:BS13)</f>
        <v>3169.3999999999996</v>
      </c>
      <c r="BU13" s="256">
        <v>751.1</v>
      </c>
      <c r="BV13" s="256">
        <v>875</v>
      </c>
      <c r="BW13" s="256">
        <v>836.3</v>
      </c>
      <c r="BX13" s="256">
        <v>831.6</v>
      </c>
      <c r="BY13" s="64">
        <f>SUM(BU13:BX13)</f>
        <v>3293.9999999999995</v>
      </c>
      <c r="BZ13" s="256">
        <v>728.9</v>
      </c>
      <c r="CA13" s="255">
        <v>840</v>
      </c>
      <c r="CB13" s="255">
        <v>835</v>
      </c>
      <c r="CC13" s="255">
        <f>CD13-BZ13-CA13-CB13</f>
        <v>912.19723268791358</v>
      </c>
      <c r="CD13" s="64">
        <f>'US MS Market Model'!L145</f>
        <v>3316.0972326879137</v>
      </c>
      <c r="CE13" s="255">
        <f>CI13*0.24</f>
        <v>827.67495149652154</v>
      </c>
      <c r="CF13" s="255">
        <f>CI13*0.247</f>
        <v>851.81547091517018</v>
      </c>
      <c r="CG13" s="255">
        <f>CI13*0.253</f>
        <v>872.50734470258317</v>
      </c>
      <c r="CH13" s="255">
        <f>CI13*0.26</f>
        <v>896.64786412123181</v>
      </c>
      <c r="CI13" s="64">
        <f>'US MS Market Model'!M145</f>
        <v>3448.6456312355067</v>
      </c>
      <c r="CJ13" s="255">
        <f>CN13*0.24</f>
        <v>854.95918386160145</v>
      </c>
      <c r="CK13" s="255">
        <f>CN13*0.247</f>
        <v>879.8954933908982</v>
      </c>
      <c r="CL13" s="255">
        <f>CN13*0.253</f>
        <v>901.26947298743823</v>
      </c>
      <c r="CM13" s="255">
        <f>CN13*0.26</f>
        <v>926.20578251673498</v>
      </c>
      <c r="CN13" s="64">
        <f>'US MS Market Model'!N145</f>
        <v>3562.3299327566729</v>
      </c>
      <c r="CO13" s="255">
        <f>CS13*0.24</f>
        <v>873.61451345801675</v>
      </c>
      <c r="CP13" s="255">
        <f>CS13*0.247</f>
        <v>899.09493676720899</v>
      </c>
      <c r="CQ13" s="255">
        <f>CS13*0.253</f>
        <v>920.93529960365936</v>
      </c>
      <c r="CR13" s="255">
        <f>CS13*0.26</f>
        <v>946.41572291285161</v>
      </c>
      <c r="CS13" s="64">
        <f>'US MS Market Model'!O145</f>
        <v>3640.0604727417367</v>
      </c>
      <c r="CT13" s="255">
        <f>CX13*0.24</f>
        <v>874.57310397682079</v>
      </c>
      <c r="CU13" s="255">
        <f>CX13*0.247</f>
        <v>900.08148617614484</v>
      </c>
      <c r="CV13" s="255">
        <f>CX13*0.253</f>
        <v>921.94581377556528</v>
      </c>
      <c r="CW13" s="255">
        <f>CX13*0.26</f>
        <v>947.45419597488933</v>
      </c>
      <c r="CX13" s="64">
        <f>'US MS Market Model'!P145</f>
        <v>3644.0545999034202</v>
      </c>
      <c r="CY13" s="255">
        <f>DC13*0.24</f>
        <v>875.28933441852689</v>
      </c>
      <c r="CZ13" s="255">
        <f>DC13*0.247</f>
        <v>900.81860667240062</v>
      </c>
      <c r="DA13" s="255">
        <f>DC13*0.253</f>
        <v>922.70084003286388</v>
      </c>
      <c r="DB13" s="255">
        <f>DC13*0.26</f>
        <v>948.23011228673761</v>
      </c>
      <c r="DC13" s="64">
        <f>'US MS Market Model'!Q145</f>
        <v>3647.038893410529</v>
      </c>
      <c r="DD13" s="255">
        <f>DH13*0.24</f>
        <v>873.93304975434887</v>
      </c>
      <c r="DE13" s="255">
        <f>DH13*0.247</f>
        <v>899.42276370551735</v>
      </c>
      <c r="DF13" s="255">
        <f>DH13*0.253</f>
        <v>921.27108994937612</v>
      </c>
      <c r="DG13" s="255">
        <f>DH13*0.26</f>
        <v>946.7608039005446</v>
      </c>
      <c r="DH13" s="64">
        <f>'US MS Market Model'!R145</f>
        <v>3641.3877073097869</v>
      </c>
      <c r="DI13" s="255">
        <f>DM13*0.24</f>
        <v>755.78613638710067</v>
      </c>
      <c r="DJ13" s="255">
        <f>DM13*0.247</f>
        <v>777.82989869839105</v>
      </c>
      <c r="DK13" s="255">
        <f>DM13*0.253</f>
        <v>796.72455210806868</v>
      </c>
      <c r="DL13" s="255">
        <f>DM13*0.26</f>
        <v>818.76831441935906</v>
      </c>
      <c r="DM13" s="64">
        <f>'US MS Market Model'!S145</f>
        <v>3149.1089016129195</v>
      </c>
      <c r="DN13" s="255">
        <f>DR13*0.24</f>
        <v>547.31922180837603</v>
      </c>
      <c r="DO13" s="255">
        <f>DR13*0.247</f>
        <v>563.28269911112034</v>
      </c>
      <c r="DP13" s="255">
        <f>DR13*0.253</f>
        <v>576.96567965632971</v>
      </c>
      <c r="DQ13" s="255">
        <f>DR13*0.26</f>
        <v>592.92915695907402</v>
      </c>
      <c r="DR13" s="64">
        <f>'US MS Market Model'!T145</f>
        <v>2280.4967575349001</v>
      </c>
      <c r="DS13" s="255">
        <f>DW13*0.24</f>
        <v>223.82649825454581</v>
      </c>
      <c r="DT13" s="255">
        <f>DW13*0.247</f>
        <v>230.35477112030341</v>
      </c>
      <c r="DU13" s="255">
        <f>DW13*0.253</f>
        <v>235.95043357666705</v>
      </c>
      <c r="DV13" s="255">
        <f>DW13*0.26</f>
        <v>242.47870644242465</v>
      </c>
      <c r="DW13" s="64">
        <f>'US MS Market Model'!U145</f>
        <v>932.61040939394093</v>
      </c>
      <c r="DX13" s="255">
        <f>EB13*0.24</f>
        <v>82.847657704988478</v>
      </c>
      <c r="DY13" s="255">
        <f>EB13*0.247</f>
        <v>85.264047721383974</v>
      </c>
      <c r="DZ13" s="255">
        <f>EB13*0.253</f>
        <v>87.335239164008698</v>
      </c>
      <c r="EA13" s="255">
        <f>EB13*0.26</f>
        <v>89.751629180404194</v>
      </c>
      <c r="EB13" s="64">
        <f>'US MS Market Model'!V145</f>
        <v>345.19857377078534</v>
      </c>
      <c r="EC13" s="255">
        <f>EG13*0.24</f>
        <v>17.076131853388571</v>
      </c>
      <c r="ED13" s="255">
        <f>EG13*0.247</f>
        <v>17.574185699112405</v>
      </c>
      <c r="EE13" s="255">
        <f>EG13*0.253</f>
        <v>18.00108899544712</v>
      </c>
      <c r="EF13" s="255">
        <f>EG13*0.26</f>
        <v>18.499142841170954</v>
      </c>
      <c r="EG13" s="64">
        <f>'US MS Market Model'!W145</f>
        <v>71.15054938911905</v>
      </c>
      <c r="EH13" s="255">
        <f>EL13*0.24</f>
        <v>5.404973401205333</v>
      </c>
      <c r="EI13" s="255">
        <f>EL13*0.247</f>
        <v>5.5626184587404888</v>
      </c>
      <c r="EJ13" s="255">
        <f>EL13*0.253</f>
        <v>5.6977427937706215</v>
      </c>
      <c r="EK13" s="255">
        <f>EL13*0.26</f>
        <v>5.8553878513057773</v>
      </c>
      <c r="EL13" s="64">
        <f>'US MS Market Model'!X145</f>
        <v>22.520722505022221</v>
      </c>
    </row>
    <row r="14" spans="2:142">
      <c r="B14" s="9" t="s">
        <v>101</v>
      </c>
      <c r="C14" s="145"/>
      <c r="D14" s="145"/>
      <c r="E14" s="145"/>
      <c r="F14" s="145"/>
      <c r="G14" s="64"/>
      <c r="H14" s="146"/>
      <c r="I14" s="146"/>
      <c r="J14" s="146"/>
      <c r="K14" s="146"/>
      <c r="L14" s="64"/>
      <c r="M14" s="146"/>
      <c r="N14" s="146"/>
      <c r="O14" s="146"/>
      <c r="P14" s="146"/>
      <c r="Q14" s="64"/>
      <c r="R14" s="146"/>
      <c r="S14" s="146"/>
      <c r="T14" s="146"/>
      <c r="U14" s="146"/>
      <c r="V14" s="64"/>
      <c r="W14" s="146"/>
      <c r="X14" s="146"/>
      <c r="Y14" s="146"/>
      <c r="Z14" s="146"/>
      <c r="AA14" s="64"/>
      <c r="AB14" s="146"/>
      <c r="AC14" s="146"/>
      <c r="AD14" s="146"/>
      <c r="AE14" s="146"/>
      <c r="AF14" s="64"/>
      <c r="AG14" s="146"/>
      <c r="AH14" s="146"/>
      <c r="AI14" s="146"/>
      <c r="AJ14" s="146"/>
      <c r="AK14" s="64"/>
      <c r="AL14" s="146"/>
      <c r="AM14" s="146"/>
      <c r="AN14" s="146"/>
      <c r="AO14" s="146"/>
      <c r="AP14" s="64"/>
      <c r="AQ14" s="146"/>
      <c r="AR14" s="146"/>
      <c r="AS14" s="146"/>
      <c r="AT14" s="146"/>
      <c r="AU14" s="64"/>
      <c r="AV14" s="255"/>
      <c r="AW14" s="255"/>
      <c r="AX14" s="255"/>
      <c r="AY14" s="255"/>
      <c r="AZ14" s="64"/>
      <c r="BA14" s="255"/>
      <c r="BB14" s="255"/>
      <c r="BC14" s="255">
        <v>2</v>
      </c>
      <c r="BD14" s="256">
        <v>7</v>
      </c>
      <c r="BE14" s="64">
        <f>SUM(BA14:BD14)</f>
        <v>9</v>
      </c>
      <c r="BF14" s="256">
        <f>505.709-BF13</f>
        <v>45.709000000000003</v>
      </c>
      <c r="BG14" s="256">
        <f>700.38-BG13</f>
        <v>115.38</v>
      </c>
      <c r="BH14" s="256">
        <f>787.122-BH13</f>
        <v>149.12199999999996</v>
      </c>
      <c r="BI14" s="256">
        <v>173</v>
      </c>
      <c r="BJ14" s="64">
        <f>SUM(BF14:BI14)</f>
        <v>483.21099999999996</v>
      </c>
      <c r="BK14" s="256">
        <v>177</v>
      </c>
      <c r="BL14" s="256">
        <v>163</v>
      </c>
      <c r="BM14" s="256">
        <v>183</v>
      </c>
      <c r="BN14" s="256">
        <f>BO14-SUM(BK14:BM14)</f>
        <v>207.20000000000005</v>
      </c>
      <c r="BO14" s="64">
        <v>730.2</v>
      </c>
      <c r="BP14" s="256">
        <v>201.6</v>
      </c>
      <c r="BQ14" s="256">
        <v>206.2</v>
      </c>
      <c r="BR14" s="256">
        <v>188.6</v>
      </c>
      <c r="BS14" s="256">
        <v>202.3</v>
      </c>
      <c r="BT14" s="64">
        <f>SUM(BP14:BS14)</f>
        <v>798.7</v>
      </c>
      <c r="BU14" s="256">
        <v>207.1</v>
      </c>
      <c r="BV14" s="256">
        <v>235.6</v>
      </c>
      <c r="BW14" s="256">
        <v>233.3</v>
      </c>
      <c r="BX14" s="256">
        <v>244</v>
      </c>
      <c r="BY14" s="64">
        <f>SUM(BU14:BX14)</f>
        <v>920</v>
      </c>
      <c r="BZ14" s="256">
        <v>258</v>
      </c>
      <c r="CA14" s="255">
        <v>245</v>
      </c>
      <c r="CB14" s="255">
        <v>230</v>
      </c>
      <c r="CC14" s="255">
        <f>CD14-BZ14-CA14-CB14</f>
        <v>275.30490206572404</v>
      </c>
      <c r="CD14" s="64">
        <f>'ROW MS Market Model'!L148</f>
        <v>1008.304902065724</v>
      </c>
      <c r="CE14" s="255">
        <f>CI14*0.23</f>
        <v>237.87744390444323</v>
      </c>
      <c r="CF14" s="255">
        <f>CI14*0.243</f>
        <v>251.32269073382477</v>
      </c>
      <c r="CG14" s="255">
        <f>CI14*0.257</f>
        <v>265.80218731931262</v>
      </c>
      <c r="CH14" s="255">
        <f>CI14*0.27</f>
        <v>279.24743414869425</v>
      </c>
      <c r="CI14" s="64">
        <f>'ROW MS Market Model'!M148</f>
        <v>1034.2497561062748</v>
      </c>
      <c r="CJ14" s="255">
        <f>CN14*0.23</f>
        <v>243.87356011876707</v>
      </c>
      <c r="CK14" s="255">
        <f>CN14*0.243</f>
        <v>257.65771786461039</v>
      </c>
      <c r="CL14" s="255">
        <f>CN14*0.257</f>
        <v>272.50219543705714</v>
      </c>
      <c r="CM14" s="255">
        <f>CN14*0.27</f>
        <v>286.28635318290048</v>
      </c>
      <c r="CN14" s="64">
        <f>'ROW MS Market Model'!N148</f>
        <v>1060.3198266033351</v>
      </c>
      <c r="CO14" s="255">
        <f>CS14*0.23</f>
        <v>246.97814170299222</v>
      </c>
      <c r="CP14" s="255">
        <f>CS14*0.243</f>
        <v>260.9377757992483</v>
      </c>
      <c r="CQ14" s="255">
        <f>CS14*0.257</f>
        <v>275.97122790290865</v>
      </c>
      <c r="CR14" s="255">
        <f>CS14*0.27</f>
        <v>289.93086199916479</v>
      </c>
      <c r="CS14" s="64">
        <f>'ROW MS Market Model'!O148</f>
        <v>1073.8180074043139</v>
      </c>
      <c r="CT14" s="255">
        <f>CX14*0.23</f>
        <v>250.3686994313519</v>
      </c>
      <c r="CU14" s="255">
        <f>CX14*0.243</f>
        <v>264.519973747037</v>
      </c>
      <c r="CV14" s="255">
        <f>CX14*0.257</f>
        <v>279.75980762546709</v>
      </c>
      <c r="CW14" s="255">
        <f>CX14*0.27</f>
        <v>293.91108194115225</v>
      </c>
      <c r="CX14" s="64">
        <f>'ROW MS Market Model'!P148</f>
        <v>1088.5595627450082</v>
      </c>
      <c r="CY14" s="255">
        <f>DC14*0.23</f>
        <v>254.07683832525049</v>
      </c>
      <c r="CZ14" s="255">
        <f>DC14*0.243</f>
        <v>268.43770310015594</v>
      </c>
      <c r="DA14" s="255">
        <f>DC14*0.257</f>
        <v>283.90324978082339</v>
      </c>
      <c r="DB14" s="255">
        <f>DC14*0.27</f>
        <v>298.26411455572884</v>
      </c>
      <c r="DC14" s="64">
        <f>'ROW MS Market Model'!Q148</f>
        <v>1104.6819057619587</v>
      </c>
      <c r="DD14" s="255">
        <f>DH14*0.23</f>
        <v>262.83323467947673</v>
      </c>
      <c r="DE14" s="255">
        <f>DH14*0.243</f>
        <v>277.68902620483846</v>
      </c>
      <c r="DF14" s="255">
        <f>DH14*0.257</f>
        <v>293.68757092445878</v>
      </c>
      <c r="DG14" s="255">
        <f>DH14*0.27</f>
        <v>308.54336244982051</v>
      </c>
      <c r="DH14" s="64">
        <f>'ROW MS Market Model'!R148</f>
        <v>1142.7531942585945</v>
      </c>
      <c r="DI14" s="255">
        <f>DM14*0.23</f>
        <v>196.38515052737583</v>
      </c>
      <c r="DJ14" s="255">
        <f>DM14*0.243</f>
        <v>207.48518077457533</v>
      </c>
      <c r="DK14" s="255">
        <f>DM14*0.257</f>
        <v>219.43905950232863</v>
      </c>
      <c r="DL14" s="255">
        <f>DM14*0.27</f>
        <v>230.53908974952816</v>
      </c>
      <c r="DM14" s="64">
        <f>'ROW MS Market Model'!S148</f>
        <v>853.84848055380792</v>
      </c>
      <c r="DN14" s="255">
        <f>DR14*0.23</f>
        <v>111.73690168522926</v>
      </c>
      <c r="DO14" s="255">
        <f>DR14*0.243</f>
        <v>118.05246569352482</v>
      </c>
      <c r="DP14" s="255">
        <f>DR14*0.257</f>
        <v>124.85384231784312</v>
      </c>
      <c r="DQ14" s="255">
        <f>DR14*0.27</f>
        <v>131.1694063261387</v>
      </c>
      <c r="DR14" s="64">
        <f>'ROW MS Market Model'!T148</f>
        <v>485.81261602273588</v>
      </c>
      <c r="DS14" s="255">
        <f>DW14*0.23</f>
        <v>44.241471377976886</v>
      </c>
      <c r="DT14" s="255">
        <f>DW14*0.243</f>
        <v>46.742076281949487</v>
      </c>
      <c r="DU14" s="255">
        <f>DW14*0.257</f>
        <v>49.435035409304611</v>
      </c>
      <c r="DV14" s="255">
        <f>DW14*0.27</f>
        <v>51.935640313277219</v>
      </c>
      <c r="DW14" s="64">
        <f>'ROW MS Market Model'!U148</f>
        <v>192.3542233825082</v>
      </c>
      <c r="DX14" s="255">
        <f>EB14*0.23</f>
        <v>25.900872872079145</v>
      </c>
      <c r="DY14" s="255">
        <f>EB14*0.243</f>
        <v>27.364835251805356</v>
      </c>
      <c r="DZ14" s="255">
        <f>EB14*0.257</f>
        <v>28.941410122279738</v>
      </c>
      <c r="EA14" s="255">
        <f>EB14*0.27</f>
        <v>30.405372502005953</v>
      </c>
      <c r="EB14" s="64">
        <f>'ROW MS Market Model'!V148</f>
        <v>112.61249074817019</v>
      </c>
      <c r="EC14" s="255">
        <f>EG14*0.23</f>
        <v>22.652074747098386</v>
      </c>
      <c r="ED14" s="255">
        <f>EG14*0.243</f>
        <v>23.932409406716989</v>
      </c>
      <c r="EE14" s="255">
        <f>EG14*0.257</f>
        <v>25.311231347844714</v>
      </c>
      <c r="EF14" s="255">
        <f>EG14*0.27</f>
        <v>26.591566007463321</v>
      </c>
      <c r="EG14" s="64">
        <f>'ROW MS Market Model'!W148</f>
        <v>98.487281509123406</v>
      </c>
      <c r="EH14" s="255">
        <f>EL14*0.23</f>
        <v>22.579179462662349</v>
      </c>
      <c r="EI14" s="255">
        <f>EL14*0.243</f>
        <v>23.85539395403022</v>
      </c>
      <c r="EJ14" s="255">
        <f>EL14*0.257</f>
        <v>25.229778790887927</v>
      </c>
      <c r="EK14" s="255">
        <f>EL14*0.27</f>
        <v>26.505993282255801</v>
      </c>
      <c r="EL14" s="64">
        <f>'ROW MS Market Model'!X148</f>
        <v>98.170345489836293</v>
      </c>
    </row>
    <row r="15" spans="2:142">
      <c r="B15" s="9"/>
      <c r="C15" s="145"/>
      <c r="D15" s="145"/>
      <c r="E15" s="145"/>
      <c r="F15" s="145"/>
      <c r="G15" s="64"/>
      <c r="H15" s="146"/>
      <c r="I15" s="146"/>
      <c r="J15" s="146"/>
      <c r="K15" s="146"/>
      <c r="L15" s="64"/>
      <c r="M15" s="146"/>
      <c r="N15" s="146"/>
      <c r="O15" s="146"/>
      <c r="P15" s="146"/>
      <c r="Q15" s="64"/>
      <c r="R15" s="146"/>
      <c r="S15" s="146"/>
      <c r="T15" s="146"/>
      <c r="U15" s="146"/>
      <c r="V15" s="64"/>
      <c r="W15" s="146"/>
      <c r="X15" s="146"/>
      <c r="Y15" s="146"/>
      <c r="Z15" s="146"/>
      <c r="AA15" s="64"/>
      <c r="AB15" s="146"/>
      <c r="AC15" s="146"/>
      <c r="AD15" s="146"/>
      <c r="AE15" s="146"/>
      <c r="AF15" s="64"/>
      <c r="AG15" s="146"/>
      <c r="AH15" s="146"/>
      <c r="AI15" s="146"/>
      <c r="AJ15" s="146"/>
      <c r="AK15" s="64"/>
      <c r="AL15" s="146"/>
      <c r="AM15" s="146"/>
      <c r="AN15" s="146"/>
      <c r="AO15" s="146"/>
      <c r="AP15" s="64"/>
      <c r="AQ15" s="146"/>
      <c r="AR15" s="146"/>
      <c r="AS15" s="146"/>
      <c r="AT15" s="146"/>
      <c r="AU15" s="64"/>
      <c r="AV15" s="255"/>
      <c r="AW15" s="255"/>
      <c r="AX15" s="255"/>
      <c r="AY15" s="255"/>
      <c r="AZ15" s="64"/>
      <c r="BA15" s="255"/>
      <c r="BB15" s="255"/>
      <c r="BC15" s="255"/>
      <c r="BD15" s="255"/>
      <c r="BE15" s="64"/>
      <c r="BF15" s="255"/>
      <c r="BG15" s="255"/>
      <c r="BH15" s="255"/>
      <c r="BI15" s="255"/>
      <c r="BJ15" s="101"/>
      <c r="BK15" s="255"/>
      <c r="BL15" s="274"/>
      <c r="BM15" s="274"/>
      <c r="BN15" s="274"/>
      <c r="BO15" s="101"/>
      <c r="BP15" s="255"/>
      <c r="BQ15" s="255"/>
      <c r="BR15" s="255"/>
      <c r="BS15" s="255"/>
      <c r="BT15" s="101"/>
      <c r="BU15" s="255"/>
      <c r="BV15" s="255"/>
      <c r="BW15" s="255"/>
      <c r="BX15" s="255"/>
      <c r="BY15" s="101"/>
      <c r="BZ15" s="255"/>
      <c r="CA15" s="255"/>
      <c r="CB15" s="255"/>
      <c r="CC15" s="255"/>
      <c r="CD15" s="101"/>
      <c r="CE15" s="255"/>
      <c r="CF15" s="255"/>
      <c r="CG15" s="255"/>
      <c r="CH15" s="255"/>
      <c r="CI15" s="101"/>
      <c r="CJ15" s="255"/>
      <c r="CK15" s="255"/>
      <c r="CL15" s="255"/>
      <c r="CM15" s="255"/>
      <c r="CN15" s="101"/>
      <c r="CO15" s="255"/>
      <c r="CP15" s="255"/>
      <c r="CQ15" s="255"/>
      <c r="CR15" s="255"/>
      <c r="CS15" s="101"/>
      <c r="CT15" s="255"/>
      <c r="CU15" s="255"/>
      <c r="CV15" s="255"/>
      <c r="CW15" s="255"/>
      <c r="CX15" s="101"/>
      <c r="CY15" s="255"/>
      <c r="CZ15" s="255"/>
      <c r="DA15" s="255"/>
      <c r="DB15" s="255"/>
      <c r="DC15" s="101"/>
      <c r="DD15" s="255"/>
      <c r="DE15" s="255"/>
      <c r="DF15" s="255"/>
      <c r="DG15" s="255"/>
      <c r="DH15" s="101"/>
      <c r="DI15" s="255"/>
      <c r="DJ15" s="255"/>
      <c r="DK15" s="255"/>
      <c r="DL15" s="255"/>
      <c r="DM15" s="101"/>
      <c r="DN15" s="255"/>
      <c r="DO15" s="255"/>
      <c r="DP15" s="255"/>
      <c r="DQ15" s="255"/>
      <c r="DR15" s="101"/>
      <c r="DS15" s="255"/>
      <c r="DT15" s="255"/>
      <c r="DU15" s="255"/>
      <c r="DV15" s="255"/>
      <c r="DW15" s="101"/>
      <c r="DX15" s="255"/>
      <c r="DY15" s="255"/>
      <c r="DZ15" s="255"/>
      <c r="EA15" s="255"/>
      <c r="EB15" s="101"/>
      <c r="EC15" s="255"/>
      <c r="ED15" s="255"/>
      <c r="EE15" s="255"/>
      <c r="EF15" s="255"/>
      <c r="EG15" s="101"/>
      <c r="EH15" s="255"/>
      <c r="EI15" s="255"/>
      <c r="EJ15" s="255"/>
      <c r="EK15" s="255"/>
      <c r="EL15" s="101"/>
    </row>
    <row r="16" spans="2:142">
      <c r="B16" s="4" t="s">
        <v>894</v>
      </c>
      <c r="C16" s="145"/>
      <c r="D16" s="145"/>
      <c r="E16" s="145"/>
      <c r="F16" s="145"/>
      <c r="G16" s="64"/>
      <c r="H16" s="146"/>
      <c r="I16" s="146"/>
      <c r="J16" s="146"/>
      <c r="K16" s="146"/>
      <c r="L16" s="64"/>
      <c r="M16" s="146"/>
      <c r="N16" s="146"/>
      <c r="O16" s="146"/>
      <c r="P16" s="146"/>
      <c r="Q16" s="64"/>
      <c r="R16" s="146"/>
      <c r="S16" s="146"/>
      <c r="T16" s="146"/>
      <c r="U16" s="146"/>
      <c r="V16" s="64"/>
      <c r="W16" s="146"/>
      <c r="X16" s="146"/>
      <c r="Y16" s="146"/>
      <c r="Z16" s="146"/>
      <c r="AA16" s="64"/>
      <c r="AB16" s="146"/>
      <c r="AC16" s="146"/>
      <c r="AD16" s="146"/>
      <c r="AE16" s="146"/>
      <c r="AF16" s="64"/>
      <c r="AG16" s="146"/>
      <c r="AH16" s="146"/>
      <c r="AI16" s="146"/>
      <c r="AJ16" s="146"/>
      <c r="AK16" s="64"/>
      <c r="AL16" s="146"/>
      <c r="AM16" s="146"/>
      <c r="AN16" s="146"/>
      <c r="AO16" s="146"/>
      <c r="AP16" s="64"/>
      <c r="AQ16" s="146"/>
      <c r="AR16" s="146"/>
      <c r="AS16" s="146"/>
      <c r="AT16" s="146"/>
      <c r="AU16" s="64"/>
      <c r="AV16" s="255"/>
      <c r="AW16" s="255"/>
      <c r="AX16" s="255"/>
      <c r="AY16" s="255"/>
      <c r="AZ16" s="64"/>
      <c r="BA16" s="255"/>
      <c r="BB16" s="255"/>
      <c r="BC16" s="255"/>
      <c r="BD16" s="255"/>
      <c r="BE16" s="64"/>
      <c r="BF16" s="255"/>
      <c r="BG16" s="255"/>
      <c r="BH16" s="255"/>
      <c r="BI16" s="255"/>
      <c r="BJ16" s="101"/>
      <c r="BK16" s="255"/>
      <c r="BL16" s="255"/>
      <c r="BM16" s="255"/>
      <c r="BN16" s="255"/>
      <c r="BO16" s="101"/>
      <c r="BP16" s="310">
        <v>0</v>
      </c>
      <c r="BQ16" s="254">
        <f t="shared" ref="BQ16:CV16" si="9">BQ17+BQ18</f>
        <v>0</v>
      </c>
      <c r="BR16" s="254">
        <f t="shared" si="9"/>
        <v>1.9</v>
      </c>
      <c r="BS16" s="254">
        <f t="shared" si="9"/>
        <v>5.9</v>
      </c>
      <c r="BT16" s="105">
        <f t="shared" si="9"/>
        <v>7.8000000000000007</v>
      </c>
      <c r="BU16" s="254">
        <f t="shared" si="9"/>
        <v>10.7</v>
      </c>
      <c r="BV16" s="254">
        <f t="shared" si="9"/>
        <v>16.100000000000001</v>
      </c>
      <c r="BW16" s="254">
        <f t="shared" si="9"/>
        <v>14.2</v>
      </c>
      <c r="BX16" s="254">
        <f t="shared" si="9"/>
        <v>11.7</v>
      </c>
      <c r="BY16" s="105">
        <f t="shared" si="9"/>
        <v>52.7</v>
      </c>
      <c r="BZ16" s="254">
        <f t="shared" si="9"/>
        <v>1.4</v>
      </c>
      <c r="CA16" s="254">
        <f t="shared" si="9"/>
        <v>0</v>
      </c>
      <c r="CB16" s="254">
        <f t="shared" si="9"/>
        <v>0</v>
      </c>
      <c r="CC16" s="254">
        <f t="shared" si="9"/>
        <v>0</v>
      </c>
      <c r="CD16" s="105">
        <f t="shared" si="9"/>
        <v>1.4</v>
      </c>
      <c r="CE16" s="254">
        <f t="shared" si="9"/>
        <v>0</v>
      </c>
      <c r="CF16" s="254">
        <f t="shared" si="9"/>
        <v>0</v>
      </c>
      <c r="CG16" s="254">
        <f t="shared" si="9"/>
        <v>0</v>
      </c>
      <c r="CH16" s="254">
        <f t="shared" si="9"/>
        <v>0</v>
      </c>
      <c r="CI16" s="105">
        <f t="shared" si="9"/>
        <v>0</v>
      </c>
      <c r="CJ16" s="254">
        <f t="shared" si="9"/>
        <v>0</v>
      </c>
      <c r="CK16" s="254">
        <f t="shared" si="9"/>
        <v>0</v>
      </c>
      <c r="CL16" s="254">
        <f t="shared" si="9"/>
        <v>0</v>
      </c>
      <c r="CM16" s="254">
        <f t="shared" si="9"/>
        <v>0</v>
      </c>
      <c r="CN16" s="105">
        <f t="shared" si="9"/>
        <v>0</v>
      </c>
      <c r="CO16" s="254">
        <f t="shared" si="9"/>
        <v>0</v>
      </c>
      <c r="CP16" s="254">
        <f t="shared" si="9"/>
        <v>0</v>
      </c>
      <c r="CQ16" s="254">
        <f t="shared" si="9"/>
        <v>0</v>
      </c>
      <c r="CR16" s="254">
        <f t="shared" si="9"/>
        <v>0</v>
      </c>
      <c r="CS16" s="105">
        <f t="shared" si="9"/>
        <v>0</v>
      </c>
      <c r="CT16" s="254">
        <f t="shared" si="9"/>
        <v>0</v>
      </c>
      <c r="CU16" s="254">
        <f t="shared" si="9"/>
        <v>0</v>
      </c>
      <c r="CV16" s="254">
        <f t="shared" si="9"/>
        <v>0</v>
      </c>
      <c r="CW16" s="254">
        <f t="shared" ref="CW16:EB16" si="10">CW17+CW18</f>
        <v>0</v>
      </c>
      <c r="CX16" s="105">
        <f t="shared" si="10"/>
        <v>0</v>
      </c>
      <c r="CY16" s="254">
        <f t="shared" si="10"/>
        <v>0</v>
      </c>
      <c r="CZ16" s="254">
        <f t="shared" si="10"/>
        <v>0</v>
      </c>
      <c r="DA16" s="254">
        <f t="shared" si="10"/>
        <v>0</v>
      </c>
      <c r="DB16" s="254">
        <f t="shared" si="10"/>
        <v>0</v>
      </c>
      <c r="DC16" s="105">
        <f t="shared" si="10"/>
        <v>0</v>
      </c>
      <c r="DD16" s="254">
        <f t="shared" si="10"/>
        <v>0</v>
      </c>
      <c r="DE16" s="254">
        <f t="shared" si="10"/>
        <v>0</v>
      </c>
      <c r="DF16" s="254">
        <f t="shared" si="10"/>
        <v>0</v>
      </c>
      <c r="DG16" s="254">
        <f t="shared" si="10"/>
        <v>0</v>
      </c>
      <c r="DH16" s="105">
        <f t="shared" si="10"/>
        <v>0</v>
      </c>
      <c r="DI16" s="254">
        <f t="shared" si="10"/>
        <v>0</v>
      </c>
      <c r="DJ16" s="254">
        <f t="shared" si="10"/>
        <v>0</v>
      </c>
      <c r="DK16" s="254">
        <f t="shared" si="10"/>
        <v>0</v>
      </c>
      <c r="DL16" s="254">
        <f t="shared" si="10"/>
        <v>0</v>
      </c>
      <c r="DM16" s="105">
        <f t="shared" si="10"/>
        <v>0</v>
      </c>
      <c r="DN16" s="254">
        <f t="shared" si="10"/>
        <v>0</v>
      </c>
      <c r="DO16" s="254">
        <f t="shared" si="10"/>
        <v>0</v>
      </c>
      <c r="DP16" s="254">
        <f t="shared" si="10"/>
        <v>0</v>
      </c>
      <c r="DQ16" s="254">
        <f t="shared" si="10"/>
        <v>0</v>
      </c>
      <c r="DR16" s="105">
        <f t="shared" si="10"/>
        <v>0</v>
      </c>
      <c r="DS16" s="254">
        <f t="shared" si="10"/>
        <v>0</v>
      </c>
      <c r="DT16" s="254">
        <f t="shared" si="10"/>
        <v>0</v>
      </c>
      <c r="DU16" s="254">
        <f t="shared" si="10"/>
        <v>0</v>
      </c>
      <c r="DV16" s="254">
        <f t="shared" si="10"/>
        <v>0</v>
      </c>
      <c r="DW16" s="105">
        <f t="shared" si="10"/>
        <v>0</v>
      </c>
      <c r="DX16" s="254">
        <f t="shared" si="10"/>
        <v>0</v>
      </c>
      <c r="DY16" s="254">
        <f t="shared" si="10"/>
        <v>0</v>
      </c>
      <c r="DZ16" s="254">
        <f t="shared" si="10"/>
        <v>0</v>
      </c>
      <c r="EA16" s="254">
        <f t="shared" si="10"/>
        <v>0</v>
      </c>
      <c r="EB16" s="105">
        <f t="shared" si="10"/>
        <v>0</v>
      </c>
      <c r="EC16" s="254">
        <f t="shared" ref="EC16:EL16" si="11">EC17+EC18</f>
        <v>0</v>
      </c>
      <c r="ED16" s="254">
        <f t="shared" si="11"/>
        <v>0</v>
      </c>
      <c r="EE16" s="254">
        <f t="shared" si="11"/>
        <v>0</v>
      </c>
      <c r="EF16" s="254">
        <f t="shared" si="11"/>
        <v>0</v>
      </c>
      <c r="EG16" s="105">
        <f t="shared" si="11"/>
        <v>0</v>
      </c>
      <c r="EH16" s="254">
        <f t="shared" si="11"/>
        <v>0</v>
      </c>
      <c r="EI16" s="254">
        <f t="shared" si="11"/>
        <v>0</v>
      </c>
      <c r="EJ16" s="254">
        <f t="shared" si="11"/>
        <v>0</v>
      </c>
      <c r="EK16" s="254">
        <f t="shared" si="11"/>
        <v>0</v>
      </c>
      <c r="EL16" s="105">
        <f t="shared" si="11"/>
        <v>0</v>
      </c>
    </row>
    <row r="17" spans="2:142">
      <c r="B17" s="9" t="s">
        <v>911</v>
      </c>
      <c r="C17" s="145"/>
      <c r="D17" s="145"/>
      <c r="E17" s="145"/>
      <c r="F17" s="145"/>
      <c r="G17" s="64"/>
      <c r="H17" s="146"/>
      <c r="I17" s="146"/>
      <c r="J17" s="146"/>
      <c r="K17" s="146"/>
      <c r="L17" s="64"/>
      <c r="M17" s="146"/>
      <c r="N17" s="146"/>
      <c r="O17" s="146"/>
      <c r="P17" s="146"/>
      <c r="Q17" s="64"/>
      <c r="R17" s="146"/>
      <c r="S17" s="146"/>
      <c r="T17" s="146"/>
      <c r="U17" s="146"/>
      <c r="V17" s="64"/>
      <c r="W17" s="146"/>
      <c r="X17" s="146"/>
      <c r="Y17" s="146"/>
      <c r="Z17" s="146"/>
      <c r="AA17" s="64"/>
      <c r="AB17" s="146"/>
      <c r="AC17" s="146"/>
      <c r="AD17" s="146"/>
      <c r="AE17" s="146"/>
      <c r="AF17" s="64"/>
      <c r="AG17" s="146"/>
      <c r="AH17" s="146"/>
      <c r="AI17" s="146"/>
      <c r="AJ17" s="146"/>
      <c r="AK17" s="64"/>
      <c r="AL17" s="146"/>
      <c r="AM17" s="146"/>
      <c r="AN17" s="146"/>
      <c r="AO17" s="146"/>
      <c r="AP17" s="64"/>
      <c r="AQ17" s="146"/>
      <c r="AR17" s="146"/>
      <c r="AS17" s="146"/>
      <c r="AT17" s="146"/>
      <c r="AU17" s="64"/>
      <c r="AV17" s="255"/>
      <c r="AW17" s="255"/>
      <c r="AX17" s="255"/>
      <c r="AY17" s="255"/>
      <c r="AZ17" s="64"/>
      <c r="BA17" s="255"/>
      <c r="BB17" s="255"/>
      <c r="BC17" s="255"/>
      <c r="BD17" s="255"/>
      <c r="BE17" s="64"/>
      <c r="BF17" s="255"/>
      <c r="BG17" s="255"/>
      <c r="BH17" s="255"/>
      <c r="BI17" s="255"/>
      <c r="BJ17" s="101"/>
      <c r="BK17" s="255"/>
      <c r="BL17" s="255"/>
      <c r="BM17" s="255"/>
      <c r="BN17" s="255"/>
      <c r="BO17" s="101"/>
      <c r="BP17" s="255"/>
      <c r="BQ17" s="256"/>
      <c r="BR17" s="256"/>
      <c r="BS17" s="256"/>
      <c r="BT17" s="64"/>
      <c r="BU17" s="255"/>
      <c r="BV17" s="255"/>
      <c r="BW17" s="255"/>
      <c r="BX17" s="255"/>
      <c r="BY17" s="101"/>
      <c r="BZ17" s="255"/>
      <c r="CA17" s="255"/>
      <c r="CB17" s="255"/>
      <c r="CC17" s="255"/>
      <c r="CD17" s="101"/>
      <c r="CE17" s="255"/>
      <c r="CF17" s="255"/>
      <c r="CG17" s="255"/>
      <c r="CH17" s="255"/>
      <c r="CI17" s="101"/>
      <c r="CJ17" s="255"/>
      <c r="CK17" s="255"/>
      <c r="CL17" s="255"/>
      <c r="CM17" s="255"/>
      <c r="CN17" s="101"/>
      <c r="CO17" s="255"/>
      <c r="CP17" s="255"/>
      <c r="CQ17" s="255"/>
      <c r="CR17" s="255"/>
      <c r="CS17" s="101"/>
      <c r="CT17" s="255"/>
      <c r="CU17" s="255"/>
      <c r="CV17" s="255"/>
      <c r="CW17" s="255"/>
      <c r="CX17" s="101"/>
      <c r="CY17" s="255"/>
      <c r="CZ17" s="255"/>
      <c r="DA17" s="255"/>
      <c r="DB17" s="255"/>
      <c r="DC17" s="101"/>
      <c r="DD17" s="255"/>
      <c r="DE17" s="255"/>
      <c r="DF17" s="255"/>
      <c r="DG17" s="255"/>
      <c r="DH17" s="101"/>
      <c r="DI17" s="255"/>
      <c r="DJ17" s="255"/>
      <c r="DK17" s="255"/>
      <c r="DL17" s="255"/>
      <c r="DM17" s="101"/>
      <c r="DN17" s="255"/>
      <c r="DO17" s="255"/>
      <c r="DP17" s="255"/>
      <c r="DQ17" s="255"/>
      <c r="DR17" s="101"/>
      <c r="DS17" s="255"/>
      <c r="DT17" s="255"/>
      <c r="DU17" s="255"/>
      <c r="DV17" s="255"/>
      <c r="DW17" s="101"/>
      <c r="DX17" s="255"/>
      <c r="DY17" s="255"/>
      <c r="DZ17" s="255"/>
      <c r="EA17" s="255"/>
      <c r="EB17" s="101"/>
      <c r="EC17" s="255"/>
      <c r="ED17" s="255"/>
      <c r="EE17" s="255"/>
      <c r="EF17" s="255"/>
      <c r="EG17" s="101"/>
      <c r="EH17" s="255"/>
      <c r="EI17" s="255"/>
      <c r="EJ17" s="255"/>
      <c r="EK17" s="255"/>
      <c r="EL17" s="101"/>
    </row>
    <row r="18" spans="2:142">
      <c r="B18" s="9" t="s">
        <v>101</v>
      </c>
      <c r="C18" s="145"/>
      <c r="D18" s="145"/>
      <c r="E18" s="145"/>
      <c r="F18" s="145"/>
      <c r="G18" s="64"/>
      <c r="H18" s="146"/>
      <c r="I18" s="146"/>
      <c r="J18" s="146"/>
      <c r="K18" s="146"/>
      <c r="L18" s="64"/>
      <c r="M18" s="146"/>
      <c r="N18" s="146"/>
      <c r="O18" s="146"/>
      <c r="P18" s="146"/>
      <c r="Q18" s="64"/>
      <c r="R18" s="146"/>
      <c r="S18" s="146"/>
      <c r="T18" s="146"/>
      <c r="U18" s="146"/>
      <c r="V18" s="64"/>
      <c r="W18" s="146"/>
      <c r="X18" s="146"/>
      <c r="Y18" s="146"/>
      <c r="Z18" s="146"/>
      <c r="AA18" s="64"/>
      <c r="AB18" s="146"/>
      <c r="AC18" s="146"/>
      <c r="AD18" s="146"/>
      <c r="AE18" s="146"/>
      <c r="AF18" s="64"/>
      <c r="AG18" s="146"/>
      <c r="AH18" s="146"/>
      <c r="AI18" s="146"/>
      <c r="AJ18" s="146"/>
      <c r="AK18" s="64"/>
      <c r="AL18" s="146"/>
      <c r="AM18" s="146"/>
      <c r="AN18" s="146"/>
      <c r="AO18" s="146"/>
      <c r="AP18" s="64"/>
      <c r="AQ18" s="146"/>
      <c r="AR18" s="146"/>
      <c r="AS18" s="146"/>
      <c r="AT18" s="146"/>
      <c r="AU18" s="64"/>
      <c r="AV18" s="255"/>
      <c r="AW18" s="255"/>
      <c r="AX18" s="255"/>
      <c r="AY18" s="255"/>
      <c r="AZ18" s="64"/>
      <c r="BA18" s="255"/>
      <c r="BB18" s="255"/>
      <c r="BC18" s="255"/>
      <c r="BD18" s="255"/>
      <c r="BE18" s="64"/>
      <c r="BF18" s="255"/>
      <c r="BG18" s="255"/>
      <c r="BH18" s="255"/>
      <c r="BI18" s="255"/>
      <c r="BJ18" s="101"/>
      <c r="BK18" s="255"/>
      <c r="BL18" s="255"/>
      <c r="BM18" s="255"/>
      <c r="BN18" s="255"/>
      <c r="BO18" s="101"/>
      <c r="BP18" s="255"/>
      <c r="BQ18" s="255"/>
      <c r="BR18" s="256">
        <v>1.9</v>
      </c>
      <c r="BS18" s="256">
        <v>5.9</v>
      </c>
      <c r="BT18" s="64">
        <f>SUM(BP18:BS18)</f>
        <v>7.8000000000000007</v>
      </c>
      <c r="BU18" s="256">
        <v>10.7</v>
      </c>
      <c r="BV18" s="256">
        <v>16.100000000000001</v>
      </c>
      <c r="BW18" s="256">
        <v>14.2</v>
      </c>
      <c r="BX18" s="256">
        <v>11.7</v>
      </c>
      <c r="BY18" s="101">
        <f>SUM(BU18:BX18)</f>
        <v>52.7</v>
      </c>
      <c r="BZ18" s="256">
        <v>1.4</v>
      </c>
      <c r="CA18" s="255">
        <v>0</v>
      </c>
      <c r="CB18" s="255">
        <v>0</v>
      </c>
      <c r="CC18" s="255">
        <v>0</v>
      </c>
      <c r="CD18" s="101">
        <f>SUM(BZ18:CC18)</f>
        <v>1.4</v>
      </c>
      <c r="CE18" s="255"/>
      <c r="CF18" s="255"/>
      <c r="CG18" s="255"/>
      <c r="CH18" s="255"/>
      <c r="CI18" s="101">
        <f>'ROW MS Market Model'!M155</f>
        <v>0</v>
      </c>
      <c r="CJ18" s="255"/>
      <c r="CK18" s="255"/>
      <c r="CL18" s="255"/>
      <c r="CM18" s="255"/>
      <c r="CN18" s="101">
        <f>'ROW MS Market Model'!N155</f>
        <v>0</v>
      </c>
      <c r="CO18" s="255"/>
      <c r="CP18" s="255"/>
      <c r="CQ18" s="255"/>
      <c r="CR18" s="255"/>
      <c r="CS18" s="101">
        <f>'ROW MS Market Model'!O155</f>
        <v>0</v>
      </c>
      <c r="CT18" s="255"/>
      <c r="CU18" s="255"/>
      <c r="CV18" s="255"/>
      <c r="CW18" s="255"/>
      <c r="CX18" s="101">
        <f>'ROW MS Market Model'!P155</f>
        <v>0</v>
      </c>
      <c r="CY18" s="255"/>
      <c r="CZ18" s="255"/>
      <c r="DA18" s="255"/>
      <c r="DB18" s="255"/>
      <c r="DC18" s="101">
        <f>'ROW MS Market Model'!Q155</f>
        <v>0</v>
      </c>
      <c r="DD18" s="255"/>
      <c r="DE18" s="255"/>
      <c r="DF18" s="255"/>
      <c r="DG18" s="255"/>
      <c r="DH18" s="101">
        <f>'ROW MS Market Model'!R155</f>
        <v>0</v>
      </c>
      <c r="DI18" s="255"/>
      <c r="DJ18" s="255"/>
      <c r="DK18" s="255"/>
      <c r="DL18" s="255"/>
      <c r="DM18" s="101">
        <f>'ROW MS Market Model'!S155</f>
        <v>0</v>
      </c>
      <c r="DN18" s="255"/>
      <c r="DO18" s="255"/>
      <c r="DP18" s="255"/>
      <c r="DQ18" s="255"/>
      <c r="DR18" s="101">
        <f>'ROW MS Market Model'!T155</f>
        <v>0</v>
      </c>
      <c r="DS18" s="255"/>
      <c r="DT18" s="255"/>
      <c r="DU18" s="255"/>
      <c r="DV18" s="255"/>
      <c r="DW18" s="101">
        <f>'ROW MS Market Model'!U155</f>
        <v>0</v>
      </c>
      <c r="DX18" s="255"/>
      <c r="DY18" s="255"/>
      <c r="DZ18" s="255"/>
      <c r="EA18" s="255"/>
      <c r="EB18" s="101">
        <f>'ROW MS Market Model'!V155</f>
        <v>0</v>
      </c>
      <c r="EC18" s="255"/>
      <c r="ED18" s="255"/>
      <c r="EE18" s="255"/>
      <c r="EF18" s="255"/>
      <c r="EG18" s="101">
        <f>'ROW MS Market Model'!W155</f>
        <v>0</v>
      </c>
      <c r="EH18" s="255"/>
      <c r="EI18" s="255"/>
      <c r="EJ18" s="255"/>
      <c r="EK18" s="255"/>
      <c r="EL18" s="101">
        <f>'ROW MS Market Model'!X155</f>
        <v>0</v>
      </c>
    </row>
    <row r="19" spans="2:142">
      <c r="B19" s="9"/>
      <c r="C19" s="145"/>
      <c r="D19" s="145"/>
      <c r="E19" s="145"/>
      <c r="F19" s="145"/>
      <c r="G19" s="64"/>
      <c r="H19" s="146"/>
      <c r="I19" s="146"/>
      <c r="J19" s="146"/>
      <c r="K19" s="146"/>
      <c r="L19" s="64"/>
      <c r="M19" s="146"/>
      <c r="N19" s="146"/>
      <c r="O19" s="146"/>
      <c r="P19" s="146"/>
      <c r="Q19" s="64"/>
      <c r="R19" s="146"/>
      <c r="S19" s="146"/>
      <c r="T19" s="146"/>
      <c r="U19" s="146"/>
      <c r="V19" s="64"/>
      <c r="W19" s="146"/>
      <c r="X19" s="146"/>
      <c r="Y19" s="146"/>
      <c r="Z19" s="146"/>
      <c r="AA19" s="64"/>
      <c r="AB19" s="146"/>
      <c r="AC19" s="146"/>
      <c r="AD19" s="146"/>
      <c r="AE19" s="146"/>
      <c r="AF19" s="64"/>
      <c r="AG19" s="146"/>
      <c r="AH19" s="146"/>
      <c r="AI19" s="146"/>
      <c r="AJ19" s="146"/>
      <c r="AK19" s="64"/>
      <c r="AL19" s="146"/>
      <c r="AM19" s="146"/>
      <c r="AN19" s="146"/>
      <c r="AO19" s="146"/>
      <c r="AP19" s="64"/>
      <c r="AQ19" s="146"/>
      <c r="AR19" s="146"/>
      <c r="AS19" s="146"/>
      <c r="AT19" s="146"/>
      <c r="AU19" s="64"/>
      <c r="AV19" s="255"/>
      <c r="AW19" s="255"/>
      <c r="AX19" s="255"/>
      <c r="AY19" s="255"/>
      <c r="AZ19" s="64"/>
      <c r="BA19" s="255"/>
      <c r="BB19" s="255"/>
      <c r="BC19" s="255"/>
      <c r="BD19" s="255"/>
      <c r="BE19" s="64"/>
      <c r="BF19" s="255"/>
      <c r="BG19" s="255"/>
      <c r="BH19" s="255"/>
      <c r="BI19" s="255"/>
      <c r="BJ19" s="101"/>
      <c r="BK19" s="255"/>
      <c r="BL19" s="255"/>
      <c r="BM19" s="255"/>
      <c r="BN19" s="255"/>
      <c r="BO19" s="101"/>
      <c r="BP19" s="255"/>
      <c r="BQ19" s="255"/>
      <c r="BR19" s="255"/>
      <c r="BS19" s="255"/>
      <c r="BT19" s="101"/>
      <c r="BU19" s="255"/>
      <c r="BV19" s="255"/>
      <c r="BW19" s="255"/>
      <c r="BX19" s="255"/>
      <c r="BY19" s="101"/>
      <c r="BZ19" s="255"/>
      <c r="CA19" s="255"/>
      <c r="CB19" s="255"/>
      <c r="CC19" s="255"/>
      <c r="CD19" s="101"/>
      <c r="CE19" s="255"/>
      <c r="CF19" s="255"/>
      <c r="CG19" s="255"/>
      <c r="CH19" s="255"/>
      <c r="CI19" s="101"/>
      <c r="CJ19" s="255"/>
      <c r="CK19" s="255"/>
      <c r="CL19" s="255"/>
      <c r="CM19" s="255"/>
      <c r="CN19" s="101"/>
      <c r="CO19" s="255"/>
      <c r="CP19" s="255"/>
      <c r="CQ19" s="255"/>
      <c r="CR19" s="255"/>
      <c r="CS19" s="101"/>
      <c r="CT19" s="255"/>
      <c r="CU19" s="255"/>
      <c r="CV19" s="255"/>
      <c r="CW19" s="255"/>
      <c r="CX19" s="101"/>
      <c r="CY19" s="255"/>
      <c r="CZ19" s="255"/>
      <c r="DA19" s="255"/>
      <c r="DB19" s="255"/>
      <c r="DC19" s="101"/>
      <c r="DD19" s="255"/>
      <c r="DE19" s="255"/>
      <c r="DF19" s="255"/>
      <c r="DG19" s="255"/>
      <c r="DH19" s="101"/>
      <c r="DI19" s="255"/>
      <c r="DJ19" s="255"/>
      <c r="DK19" s="255"/>
      <c r="DL19" s="255"/>
      <c r="DM19" s="101"/>
      <c r="DN19" s="255"/>
      <c r="DO19" s="255"/>
      <c r="DP19" s="255"/>
      <c r="DQ19" s="255"/>
      <c r="DR19" s="101"/>
      <c r="DS19" s="255"/>
      <c r="DT19" s="255"/>
      <c r="DU19" s="255"/>
      <c r="DV19" s="255"/>
      <c r="DW19" s="101"/>
      <c r="DX19" s="255"/>
      <c r="DY19" s="255"/>
      <c r="DZ19" s="255"/>
      <c r="EA19" s="255"/>
      <c r="EB19" s="101"/>
      <c r="EC19" s="255"/>
      <c r="ED19" s="255"/>
      <c r="EE19" s="255"/>
      <c r="EF19" s="255"/>
      <c r="EG19" s="101"/>
      <c r="EH19" s="255"/>
      <c r="EI19" s="255"/>
      <c r="EJ19" s="255"/>
      <c r="EK19" s="255"/>
      <c r="EL19" s="101"/>
    </row>
    <row r="20" spans="2:142">
      <c r="B20" s="23" t="s">
        <v>836</v>
      </c>
      <c r="C20" s="145"/>
      <c r="D20" s="145"/>
      <c r="E20" s="145"/>
      <c r="F20" s="145"/>
      <c r="G20" s="64"/>
      <c r="H20" s="146"/>
      <c r="I20" s="146"/>
      <c r="J20" s="146"/>
      <c r="K20" s="146"/>
      <c r="L20" s="64"/>
      <c r="M20" s="146"/>
      <c r="N20" s="146"/>
      <c r="O20" s="146"/>
      <c r="P20" s="146"/>
      <c r="Q20" s="64"/>
      <c r="R20" s="146"/>
      <c r="S20" s="146"/>
      <c r="T20" s="146"/>
      <c r="U20" s="146"/>
      <c r="V20" s="64"/>
      <c r="W20" s="146"/>
      <c r="X20" s="146"/>
      <c r="Y20" s="146"/>
      <c r="Z20" s="146"/>
      <c r="AA20" s="64"/>
      <c r="AB20" s="146"/>
      <c r="AC20" s="146"/>
      <c r="AD20" s="146"/>
      <c r="AE20" s="146"/>
      <c r="AF20" s="64"/>
      <c r="AG20" s="146"/>
      <c r="AH20" s="146"/>
      <c r="AI20" s="146"/>
      <c r="AJ20" s="146"/>
      <c r="AK20" s="64"/>
      <c r="AL20" s="146"/>
      <c r="AM20" s="146"/>
      <c r="AN20" s="146"/>
      <c r="AO20" s="146"/>
      <c r="AP20" s="64"/>
      <c r="AQ20" s="146"/>
      <c r="AR20" s="146"/>
      <c r="AS20" s="146"/>
      <c r="AT20" s="146"/>
      <c r="AU20" s="64"/>
      <c r="AV20" s="255"/>
      <c r="AW20" s="255"/>
      <c r="AX20" s="255"/>
      <c r="AY20" s="255"/>
      <c r="AZ20" s="64"/>
      <c r="BA20" s="255"/>
      <c r="BB20" s="255"/>
      <c r="BC20" s="255"/>
      <c r="BD20" s="255"/>
      <c r="BE20" s="64"/>
      <c r="BF20" s="255"/>
      <c r="BG20" s="255"/>
      <c r="BH20" s="255"/>
      <c r="BI20" s="255"/>
      <c r="BJ20" s="101"/>
      <c r="BK20" s="255"/>
      <c r="BL20" s="255"/>
      <c r="BM20" s="255"/>
      <c r="BN20" s="255"/>
      <c r="BO20" s="101"/>
      <c r="BP20" s="255"/>
      <c r="BQ20" s="255"/>
      <c r="BR20" s="255"/>
      <c r="BS20" s="255">
        <f>SUM(BS21:BS22)</f>
        <v>4.5999999999999996</v>
      </c>
      <c r="BT20" s="105">
        <f t="shared" ref="BT20" si="12">BT21+BT22</f>
        <v>4.5999999999999996</v>
      </c>
      <c r="BU20" s="254">
        <f t="shared" ref="BU20:CZ20" si="13">BU21+BU22</f>
        <v>47.4</v>
      </c>
      <c r="BV20" s="254">
        <f t="shared" si="13"/>
        <v>202.9</v>
      </c>
      <c r="BW20" s="254">
        <f t="shared" si="13"/>
        <v>270.89999999999998</v>
      </c>
      <c r="BX20" s="254">
        <f t="shared" si="13"/>
        <v>362.5</v>
      </c>
      <c r="BY20" s="105">
        <f t="shared" si="13"/>
        <v>883.7</v>
      </c>
      <c r="BZ20" s="254">
        <f t="shared" si="13"/>
        <v>363.9</v>
      </c>
      <c r="CA20" s="254">
        <f t="shared" si="13"/>
        <v>395</v>
      </c>
      <c r="CB20" s="254">
        <f t="shared" si="13"/>
        <v>415</v>
      </c>
      <c r="CC20" s="254">
        <f t="shared" si="13"/>
        <v>482.27488115923836</v>
      </c>
      <c r="CD20" s="105">
        <f t="shared" si="13"/>
        <v>1656.1748811592383</v>
      </c>
      <c r="CE20" s="254">
        <f t="shared" si="13"/>
        <v>0</v>
      </c>
      <c r="CF20" s="254">
        <f t="shared" si="13"/>
        <v>0</v>
      </c>
      <c r="CG20" s="254">
        <f t="shared" si="13"/>
        <v>0</v>
      </c>
      <c r="CH20" s="254">
        <f t="shared" si="13"/>
        <v>0</v>
      </c>
      <c r="CI20" s="105">
        <f t="shared" si="13"/>
        <v>1932.2314662701201</v>
      </c>
      <c r="CJ20" s="254">
        <f t="shared" si="13"/>
        <v>0</v>
      </c>
      <c r="CK20" s="254">
        <f t="shared" si="13"/>
        <v>0</v>
      </c>
      <c r="CL20" s="254">
        <f t="shared" si="13"/>
        <v>0</v>
      </c>
      <c r="CM20" s="254">
        <f t="shared" si="13"/>
        <v>0</v>
      </c>
      <c r="CN20" s="105">
        <f t="shared" si="13"/>
        <v>2258.5349478576009</v>
      </c>
      <c r="CO20" s="254">
        <f t="shared" si="13"/>
        <v>0</v>
      </c>
      <c r="CP20" s="254">
        <f t="shared" si="13"/>
        <v>0</v>
      </c>
      <c r="CQ20" s="254">
        <f t="shared" si="13"/>
        <v>0</v>
      </c>
      <c r="CR20" s="254">
        <f t="shared" si="13"/>
        <v>0</v>
      </c>
      <c r="CS20" s="105">
        <f t="shared" si="13"/>
        <v>2517.2363865919765</v>
      </c>
      <c r="CT20" s="254">
        <f t="shared" si="13"/>
        <v>0</v>
      </c>
      <c r="CU20" s="254">
        <f t="shared" si="13"/>
        <v>0</v>
      </c>
      <c r="CV20" s="254">
        <f t="shared" si="13"/>
        <v>0</v>
      </c>
      <c r="CW20" s="254">
        <f t="shared" si="13"/>
        <v>0</v>
      </c>
      <c r="CX20" s="105">
        <f t="shared" si="13"/>
        <v>2795.499846511615</v>
      </c>
      <c r="CY20" s="254">
        <f t="shared" si="13"/>
        <v>0</v>
      </c>
      <c r="CZ20" s="254">
        <f t="shared" si="13"/>
        <v>0</v>
      </c>
      <c r="DA20" s="254">
        <f t="shared" ref="DA20:EF20" si="14">DA21+DA22</f>
        <v>0</v>
      </c>
      <c r="DB20" s="254">
        <f t="shared" si="14"/>
        <v>0</v>
      </c>
      <c r="DC20" s="105">
        <f t="shared" si="14"/>
        <v>3084.0701562763261</v>
      </c>
      <c r="DD20" s="254">
        <f t="shared" si="14"/>
        <v>0</v>
      </c>
      <c r="DE20" s="254">
        <f t="shared" si="14"/>
        <v>0</v>
      </c>
      <c r="DF20" s="254">
        <f t="shared" si="14"/>
        <v>0</v>
      </c>
      <c r="DG20" s="254">
        <f t="shared" si="14"/>
        <v>0</v>
      </c>
      <c r="DH20" s="105">
        <f t="shared" si="14"/>
        <v>3365.5275515243966</v>
      </c>
      <c r="DI20" s="254">
        <f t="shared" si="14"/>
        <v>0</v>
      </c>
      <c r="DJ20" s="254">
        <f t="shared" si="14"/>
        <v>0</v>
      </c>
      <c r="DK20" s="254">
        <f t="shared" si="14"/>
        <v>0</v>
      </c>
      <c r="DL20" s="254">
        <f t="shared" si="14"/>
        <v>0</v>
      </c>
      <c r="DM20" s="105">
        <f t="shared" si="14"/>
        <v>3630.3669538683148</v>
      </c>
      <c r="DN20" s="254">
        <f t="shared" si="14"/>
        <v>0</v>
      </c>
      <c r="DO20" s="254">
        <f t="shared" si="14"/>
        <v>0</v>
      </c>
      <c r="DP20" s="254">
        <f t="shared" si="14"/>
        <v>0</v>
      </c>
      <c r="DQ20" s="254">
        <f t="shared" si="14"/>
        <v>0</v>
      </c>
      <c r="DR20" s="105">
        <f t="shared" si="14"/>
        <v>3883.454754946712</v>
      </c>
      <c r="DS20" s="254">
        <f t="shared" si="14"/>
        <v>0</v>
      </c>
      <c r="DT20" s="254">
        <f t="shared" si="14"/>
        <v>0</v>
      </c>
      <c r="DU20" s="254">
        <f t="shared" si="14"/>
        <v>0</v>
      </c>
      <c r="DV20" s="254">
        <f t="shared" si="14"/>
        <v>0</v>
      </c>
      <c r="DW20" s="105">
        <f t="shared" si="14"/>
        <v>4126.7473588147022</v>
      </c>
      <c r="DX20" s="254">
        <f t="shared" si="14"/>
        <v>0</v>
      </c>
      <c r="DY20" s="254">
        <f t="shared" si="14"/>
        <v>0</v>
      </c>
      <c r="DZ20" s="254">
        <f t="shared" si="14"/>
        <v>0</v>
      </c>
      <c r="EA20" s="254">
        <f t="shared" si="14"/>
        <v>0</v>
      </c>
      <c r="EB20" s="105">
        <f t="shared" si="14"/>
        <v>4360.689044868871</v>
      </c>
      <c r="EC20" s="254">
        <f t="shared" si="14"/>
        <v>0</v>
      </c>
      <c r="ED20" s="254">
        <f t="shared" si="14"/>
        <v>0</v>
      </c>
      <c r="EE20" s="254">
        <f t="shared" si="14"/>
        <v>0</v>
      </c>
      <c r="EF20" s="254">
        <f t="shared" si="14"/>
        <v>0</v>
      </c>
      <c r="EG20" s="105">
        <f t="shared" ref="EG20:EL20" si="15">EG21+EG22</f>
        <v>4586.0739471868328</v>
      </c>
      <c r="EH20" s="254">
        <f t="shared" si="15"/>
        <v>0</v>
      </c>
      <c r="EI20" s="254">
        <f t="shared" si="15"/>
        <v>0</v>
      </c>
      <c r="EJ20" s="254">
        <f t="shared" si="15"/>
        <v>0</v>
      </c>
      <c r="EK20" s="254">
        <f t="shared" si="15"/>
        <v>0</v>
      </c>
      <c r="EL20" s="105">
        <f t="shared" si="15"/>
        <v>4803.5093554339219</v>
      </c>
    </row>
    <row r="21" spans="2:142">
      <c r="B21" s="9" t="s">
        <v>97</v>
      </c>
      <c r="C21" s="145"/>
      <c r="D21" s="145"/>
      <c r="E21" s="145"/>
      <c r="F21" s="145"/>
      <c r="G21" s="64"/>
      <c r="H21" s="146"/>
      <c r="I21" s="146"/>
      <c r="J21" s="146"/>
      <c r="K21" s="146"/>
      <c r="L21" s="64"/>
      <c r="M21" s="146"/>
      <c r="N21" s="146"/>
      <c r="O21" s="146"/>
      <c r="P21" s="146"/>
      <c r="Q21" s="64"/>
      <c r="R21" s="146"/>
      <c r="S21" s="146"/>
      <c r="T21" s="146"/>
      <c r="U21" s="146"/>
      <c r="V21" s="64"/>
      <c r="W21" s="146"/>
      <c r="X21" s="146"/>
      <c r="Y21" s="146"/>
      <c r="Z21" s="146"/>
      <c r="AA21" s="64"/>
      <c r="AB21" s="146"/>
      <c r="AC21" s="146"/>
      <c r="AD21" s="146"/>
      <c r="AE21" s="146"/>
      <c r="AF21" s="64"/>
      <c r="AG21" s="146"/>
      <c r="AH21" s="146"/>
      <c r="AI21" s="146"/>
      <c r="AJ21" s="146"/>
      <c r="AK21" s="64"/>
      <c r="AL21" s="146"/>
      <c r="AM21" s="146"/>
      <c r="AN21" s="146"/>
      <c r="AO21" s="146"/>
      <c r="AP21" s="64"/>
      <c r="AQ21" s="146"/>
      <c r="AR21" s="146"/>
      <c r="AS21" s="146"/>
      <c r="AT21" s="146"/>
      <c r="AU21" s="64"/>
      <c r="AV21" s="255"/>
      <c r="AW21" s="255"/>
      <c r="AX21" s="255"/>
      <c r="AY21" s="255"/>
      <c r="AZ21" s="64"/>
      <c r="BA21" s="255"/>
      <c r="BB21" s="255"/>
      <c r="BC21" s="255"/>
      <c r="BD21" s="255"/>
      <c r="BE21" s="64"/>
      <c r="BF21" s="255"/>
      <c r="BG21" s="255"/>
      <c r="BH21" s="255"/>
      <c r="BI21" s="255"/>
      <c r="BJ21" s="101"/>
      <c r="BK21" s="255"/>
      <c r="BL21" s="255"/>
      <c r="BM21" s="255"/>
      <c r="BN21" s="255"/>
      <c r="BO21" s="101"/>
      <c r="BP21" s="255"/>
      <c r="BQ21" s="255"/>
      <c r="BR21" s="255"/>
      <c r="BS21" s="256">
        <v>4.5999999999999996</v>
      </c>
      <c r="BT21" s="64">
        <f>SUM(BP21:BS21)</f>
        <v>4.5999999999999996</v>
      </c>
      <c r="BU21" s="256">
        <v>46.4</v>
      </c>
      <c r="BV21" s="256">
        <v>194.8</v>
      </c>
      <c r="BW21" s="256">
        <v>197.6</v>
      </c>
      <c r="BX21" s="256">
        <v>218.2</v>
      </c>
      <c r="BY21" s="101">
        <f>SUM(BU21:BX21)</f>
        <v>657</v>
      </c>
      <c r="BZ21" s="256">
        <v>188</v>
      </c>
      <c r="CA21" s="255">
        <v>195</v>
      </c>
      <c r="CB21" s="255">
        <v>200</v>
      </c>
      <c r="CC21" s="255">
        <f>CD21-SUM(BZ21:CB21)</f>
        <v>246.67261491567569</v>
      </c>
      <c r="CD21" s="101">
        <f>SMA!L83</f>
        <v>829.67261491567569</v>
      </c>
      <c r="CE21" s="255"/>
      <c r="CF21" s="255"/>
      <c r="CG21" s="255"/>
      <c r="CH21" s="255"/>
      <c r="CI21" s="101">
        <f>SMA!M83</f>
        <v>1003.9409970815475</v>
      </c>
      <c r="CJ21" s="255"/>
      <c r="CK21" s="255"/>
      <c r="CL21" s="255"/>
      <c r="CM21" s="255"/>
      <c r="CN21" s="101">
        <f>SMA!N83</f>
        <v>1259.1314750157812</v>
      </c>
      <c r="CO21" s="255"/>
      <c r="CP21" s="255"/>
      <c r="CQ21" s="255"/>
      <c r="CR21" s="255"/>
      <c r="CS21" s="101">
        <f>SMA!O83</f>
        <v>1507.993628948585</v>
      </c>
      <c r="CT21" s="255"/>
      <c r="CU21" s="255"/>
      <c r="CV21" s="255"/>
      <c r="CW21" s="255"/>
      <c r="CX21" s="101">
        <f>SMA!P83</f>
        <v>1752.4149470566649</v>
      </c>
      <c r="CY21" s="255"/>
      <c r="CZ21" s="255"/>
      <c r="DA21" s="255"/>
      <c r="DB21" s="255"/>
      <c r="DC21" s="101">
        <f>SMA!Q83</f>
        <v>1985.9121355859561</v>
      </c>
      <c r="DD21" s="255"/>
      <c r="DE21" s="255"/>
      <c r="DF21" s="255"/>
      <c r="DG21" s="255"/>
      <c r="DH21" s="101">
        <f>SMA!R83</f>
        <v>2210.3077678372142</v>
      </c>
      <c r="DI21" s="255"/>
      <c r="DJ21" s="255"/>
      <c r="DK21" s="255"/>
      <c r="DL21" s="255"/>
      <c r="DM21" s="101">
        <f>SMA!S83</f>
        <v>2428.3667117262867</v>
      </c>
      <c r="DN21" s="255"/>
      <c r="DO21" s="255"/>
      <c r="DP21" s="255"/>
      <c r="DQ21" s="255"/>
      <c r="DR21" s="101">
        <f>SMA!T83</f>
        <v>2640.3114523336399</v>
      </c>
      <c r="DS21" s="255"/>
      <c r="DT21" s="255"/>
      <c r="DU21" s="255"/>
      <c r="DV21" s="255"/>
      <c r="DW21" s="101">
        <f>SMA!U83</f>
        <v>2846.3560781217161</v>
      </c>
      <c r="DX21" s="255"/>
      <c r="DY21" s="255"/>
      <c r="DZ21" s="255"/>
      <c r="EA21" s="255"/>
      <c r="EB21" s="101">
        <f>SMA!V83</f>
        <v>3046.7066438365264</v>
      </c>
      <c r="EC21" s="255"/>
      <c r="ED21" s="255"/>
      <c r="EE21" s="255"/>
      <c r="EF21" s="255"/>
      <c r="EG21" s="101">
        <f>SMA!W83</f>
        <v>3241.5615163026278</v>
      </c>
      <c r="EH21" s="255"/>
      <c r="EI21" s="255"/>
      <c r="EJ21" s="255"/>
      <c r="EK21" s="255"/>
      <c r="EL21" s="101">
        <f>SMA!X83</f>
        <v>3431.1117039596088</v>
      </c>
    </row>
    <row r="22" spans="2:142">
      <c r="B22" s="9" t="s">
        <v>101</v>
      </c>
      <c r="C22" s="145"/>
      <c r="D22" s="145"/>
      <c r="E22" s="145"/>
      <c r="F22" s="145"/>
      <c r="G22" s="64"/>
      <c r="H22" s="146"/>
      <c r="I22" s="146"/>
      <c r="J22" s="146"/>
      <c r="K22" s="146"/>
      <c r="L22" s="64"/>
      <c r="M22" s="146"/>
      <c r="N22" s="146"/>
      <c r="O22" s="146"/>
      <c r="P22" s="146"/>
      <c r="Q22" s="64"/>
      <c r="R22" s="146"/>
      <c r="S22" s="146"/>
      <c r="T22" s="146"/>
      <c r="U22" s="146"/>
      <c r="V22" s="64"/>
      <c r="W22" s="146"/>
      <c r="X22" s="146"/>
      <c r="Y22" s="146"/>
      <c r="Z22" s="146"/>
      <c r="AA22" s="64"/>
      <c r="AB22" s="146"/>
      <c r="AC22" s="146"/>
      <c r="AD22" s="146"/>
      <c r="AE22" s="146"/>
      <c r="AF22" s="64"/>
      <c r="AG22" s="146"/>
      <c r="AH22" s="146"/>
      <c r="AI22" s="146"/>
      <c r="AJ22" s="146"/>
      <c r="AK22" s="64"/>
      <c r="AL22" s="146"/>
      <c r="AM22" s="146"/>
      <c r="AN22" s="146"/>
      <c r="AO22" s="146"/>
      <c r="AP22" s="64"/>
      <c r="AQ22" s="146"/>
      <c r="AR22" s="146"/>
      <c r="AS22" s="146"/>
      <c r="AT22" s="146"/>
      <c r="AU22" s="64"/>
      <c r="AV22" s="255"/>
      <c r="AW22" s="255"/>
      <c r="AX22" s="255"/>
      <c r="AY22" s="255"/>
      <c r="AZ22" s="64"/>
      <c r="BA22" s="255"/>
      <c r="BB22" s="255"/>
      <c r="BC22" s="255"/>
      <c r="BD22" s="255"/>
      <c r="BE22" s="64"/>
      <c r="BF22" s="255"/>
      <c r="BG22" s="255"/>
      <c r="BH22" s="255"/>
      <c r="BI22" s="255"/>
      <c r="BJ22" s="101"/>
      <c r="BK22" s="255"/>
      <c r="BL22" s="255"/>
      <c r="BM22" s="255"/>
      <c r="BN22" s="255"/>
      <c r="BO22" s="101"/>
      <c r="BP22" s="255"/>
      <c r="BQ22" s="255"/>
      <c r="BR22" s="255"/>
      <c r="BS22" s="256">
        <v>0</v>
      </c>
      <c r="BT22" s="64">
        <f>SUM(BP22:BS22)</f>
        <v>0</v>
      </c>
      <c r="BU22" s="256">
        <v>1</v>
      </c>
      <c r="BV22" s="256">
        <v>8.1</v>
      </c>
      <c r="BW22" s="256">
        <v>73.3</v>
      </c>
      <c r="BX22" s="256">
        <v>144.30000000000001</v>
      </c>
      <c r="BY22" s="101">
        <f>SUM(BU22:BX22)</f>
        <v>226.7</v>
      </c>
      <c r="BZ22" s="256">
        <v>175.9</v>
      </c>
      <c r="CA22" s="255">
        <v>200</v>
      </c>
      <c r="CB22" s="255">
        <v>215</v>
      </c>
      <c r="CC22" s="255">
        <f>CD22-SUM(BZ22:CB22)</f>
        <v>235.60226624356267</v>
      </c>
      <c r="CD22" s="101">
        <f>SMA!L162+SMA!L240</f>
        <v>826.50226624356264</v>
      </c>
      <c r="CE22" s="255"/>
      <c r="CF22" s="255"/>
      <c r="CG22" s="255"/>
      <c r="CH22" s="255"/>
      <c r="CI22" s="101">
        <f>SMA!M162+SMA!M240</f>
        <v>928.29046918857262</v>
      </c>
      <c r="CJ22" s="255"/>
      <c r="CK22" s="255"/>
      <c r="CL22" s="255"/>
      <c r="CM22" s="255"/>
      <c r="CN22" s="101">
        <f>SMA!N162+SMA!N240</f>
        <v>999.40347284181939</v>
      </c>
      <c r="CO22" s="255"/>
      <c r="CP22" s="255"/>
      <c r="CQ22" s="255"/>
      <c r="CR22" s="255"/>
      <c r="CS22" s="101">
        <f>SMA!O162+SMA!O240</f>
        <v>1009.2427576433914</v>
      </c>
      <c r="CT22" s="255"/>
      <c r="CU22" s="255"/>
      <c r="CV22" s="255"/>
      <c r="CW22" s="255"/>
      <c r="CX22" s="101">
        <f>SMA!P162+SMA!P240</f>
        <v>1043.0848994549503</v>
      </c>
      <c r="CY22" s="255"/>
      <c r="CZ22" s="255"/>
      <c r="DA22" s="255"/>
      <c r="DB22" s="255"/>
      <c r="DC22" s="101">
        <f>SMA!Q162+SMA!Q240</f>
        <v>1098.1580206903702</v>
      </c>
      <c r="DD22" s="255"/>
      <c r="DE22" s="255"/>
      <c r="DF22" s="255"/>
      <c r="DG22" s="255"/>
      <c r="DH22" s="101">
        <f>SMA!R162+SMA!R240</f>
        <v>1155.2197836871824</v>
      </c>
      <c r="DI22" s="255"/>
      <c r="DJ22" s="255"/>
      <c r="DK22" s="255"/>
      <c r="DL22" s="255"/>
      <c r="DM22" s="101">
        <f>SMA!S162+SMA!S240</f>
        <v>1202.0002421420281</v>
      </c>
      <c r="DN22" s="255"/>
      <c r="DO22" s="255"/>
      <c r="DP22" s="255"/>
      <c r="DQ22" s="255"/>
      <c r="DR22" s="101">
        <f>SMA!T162+SMA!T240</f>
        <v>1243.1433026130721</v>
      </c>
      <c r="DS22" s="255"/>
      <c r="DT22" s="255"/>
      <c r="DU22" s="255"/>
      <c r="DV22" s="255"/>
      <c r="DW22" s="101">
        <f>SMA!U162+SMA!U240</f>
        <v>1280.3912806929859</v>
      </c>
      <c r="DX22" s="255"/>
      <c r="DY22" s="255"/>
      <c r="DZ22" s="255"/>
      <c r="EA22" s="255"/>
      <c r="EB22" s="101">
        <f>SMA!V162+SMA!V240</f>
        <v>1313.9824010323446</v>
      </c>
      <c r="EC22" s="255"/>
      <c r="ED22" s="255"/>
      <c r="EE22" s="255"/>
      <c r="EF22" s="255"/>
      <c r="EG22" s="101">
        <f>SMA!W162+SMA!W240</f>
        <v>1344.5124308842055</v>
      </c>
      <c r="EH22" s="255"/>
      <c r="EI22" s="255"/>
      <c r="EJ22" s="255"/>
      <c r="EK22" s="255"/>
      <c r="EL22" s="101">
        <f>SMA!X162+SMA!X240</f>
        <v>1372.3976514743135</v>
      </c>
    </row>
    <row r="23" spans="2:142">
      <c r="B23" s="9"/>
      <c r="C23" s="145"/>
      <c r="D23" s="145"/>
      <c r="E23" s="145"/>
      <c r="F23" s="145"/>
      <c r="G23" s="64"/>
      <c r="H23" s="146"/>
      <c r="I23" s="146"/>
      <c r="J23" s="146"/>
      <c r="K23" s="146"/>
      <c r="L23" s="64"/>
      <c r="M23" s="146"/>
      <c r="N23" s="146"/>
      <c r="O23" s="146"/>
      <c r="P23" s="146"/>
      <c r="Q23" s="64"/>
      <c r="R23" s="146"/>
      <c r="S23" s="146"/>
      <c r="T23" s="146"/>
      <c r="U23" s="146"/>
      <c r="V23" s="64"/>
      <c r="W23" s="146"/>
      <c r="X23" s="146"/>
      <c r="Y23" s="146"/>
      <c r="Z23" s="146"/>
      <c r="AA23" s="64"/>
      <c r="AB23" s="146"/>
      <c r="AC23" s="146"/>
      <c r="AD23" s="146"/>
      <c r="AE23" s="146"/>
      <c r="AF23" s="64"/>
      <c r="AG23" s="146"/>
      <c r="AH23" s="146"/>
      <c r="AI23" s="146"/>
      <c r="AJ23" s="146"/>
      <c r="AK23" s="64"/>
      <c r="AL23" s="146"/>
      <c r="AM23" s="146"/>
      <c r="AN23" s="146"/>
      <c r="AO23" s="146"/>
      <c r="AP23" s="64"/>
      <c r="AQ23" s="146"/>
      <c r="AR23" s="146"/>
      <c r="AS23" s="146"/>
      <c r="AT23" s="146"/>
      <c r="AU23" s="64"/>
      <c r="AV23" s="255"/>
      <c r="AW23" s="255"/>
      <c r="AX23" s="255"/>
      <c r="AY23" s="255"/>
      <c r="AZ23" s="64"/>
      <c r="BA23" s="255"/>
      <c r="BB23" s="255"/>
      <c r="BC23" s="255"/>
      <c r="BD23" s="255"/>
      <c r="BE23" s="64"/>
      <c r="BF23" s="255"/>
      <c r="BG23" s="255"/>
      <c r="BH23" s="255"/>
      <c r="BI23" s="255"/>
      <c r="BJ23" s="101"/>
      <c r="BK23" s="255"/>
      <c r="BL23" s="255"/>
      <c r="BM23" s="255"/>
      <c r="BN23" s="255"/>
      <c r="BO23" s="101"/>
      <c r="BP23" s="255"/>
      <c r="BQ23" s="255"/>
      <c r="BR23" s="255"/>
      <c r="BS23" s="255"/>
      <c r="BT23" s="101"/>
      <c r="BU23" s="255"/>
      <c r="BV23" s="255"/>
      <c r="BW23" s="255"/>
      <c r="BX23" s="255"/>
      <c r="BY23" s="101"/>
      <c r="BZ23" s="255"/>
      <c r="CA23" s="255"/>
      <c r="CB23" s="255"/>
      <c r="CC23" s="255"/>
      <c r="CD23" s="101"/>
      <c r="CE23" s="255"/>
      <c r="CF23" s="255"/>
      <c r="CG23" s="255"/>
      <c r="CH23" s="255"/>
      <c r="CI23" s="101"/>
      <c r="CJ23" s="255"/>
      <c r="CK23" s="255"/>
      <c r="CL23" s="255"/>
      <c r="CM23" s="255"/>
      <c r="CN23" s="101"/>
      <c r="CO23" s="255"/>
      <c r="CP23" s="255"/>
      <c r="CQ23" s="255"/>
      <c r="CR23" s="255"/>
      <c r="CS23" s="101"/>
      <c r="CT23" s="255"/>
      <c r="CU23" s="255"/>
      <c r="CV23" s="255"/>
      <c r="CW23" s="255"/>
      <c r="CX23" s="101"/>
      <c r="CY23" s="255"/>
      <c r="CZ23" s="255"/>
      <c r="DA23" s="255"/>
      <c r="DB23" s="255"/>
      <c r="DC23" s="101"/>
      <c r="DD23" s="255"/>
      <c r="DE23" s="255"/>
      <c r="DF23" s="255"/>
      <c r="DG23" s="255"/>
      <c r="DH23" s="101"/>
      <c r="DI23" s="255"/>
      <c r="DJ23" s="255"/>
      <c r="DK23" s="255"/>
      <c r="DL23" s="255"/>
      <c r="DM23" s="101"/>
      <c r="DN23" s="255"/>
      <c r="DO23" s="255"/>
      <c r="DP23" s="255"/>
      <c r="DQ23" s="255"/>
      <c r="DR23" s="101"/>
      <c r="DS23" s="255"/>
      <c r="DT23" s="255"/>
      <c r="DU23" s="255"/>
      <c r="DV23" s="255"/>
      <c r="DW23" s="101"/>
      <c r="DX23" s="255"/>
      <c r="DY23" s="255"/>
      <c r="DZ23" s="255"/>
      <c r="EA23" s="255"/>
      <c r="EB23" s="101"/>
      <c r="EC23" s="255"/>
      <c r="ED23" s="255"/>
      <c r="EE23" s="255"/>
      <c r="EF23" s="255"/>
      <c r="EG23" s="101"/>
      <c r="EH23" s="255"/>
      <c r="EI23" s="255"/>
      <c r="EJ23" s="255"/>
      <c r="EK23" s="255"/>
      <c r="EL23" s="101"/>
    </row>
    <row r="24" spans="2:142" s="4" customFormat="1">
      <c r="B24" s="4" t="s">
        <v>93</v>
      </c>
      <c r="C24" s="137"/>
      <c r="D24" s="137"/>
      <c r="E24" s="137"/>
      <c r="F24" s="137"/>
      <c r="G24" s="105"/>
      <c r="H24" s="138"/>
      <c r="I24" s="138"/>
      <c r="J24" s="138"/>
      <c r="K24" s="138"/>
      <c r="L24" s="105"/>
      <c r="M24" s="138"/>
      <c r="N24" s="138"/>
      <c r="O24" s="138"/>
      <c r="P24" s="138"/>
      <c r="Q24" s="105"/>
      <c r="R24" s="138"/>
      <c r="S24" s="138"/>
      <c r="T24" s="138"/>
      <c r="U24" s="138"/>
      <c r="V24" s="105"/>
      <c r="W24" s="138"/>
      <c r="X24" s="138"/>
      <c r="Y24" s="138"/>
      <c r="Z24" s="138"/>
      <c r="AA24" s="105"/>
      <c r="AB24" s="138"/>
      <c r="AC24" s="138"/>
      <c r="AD24" s="138"/>
      <c r="AE24" s="138"/>
      <c r="AF24" s="105"/>
      <c r="AG24" s="138"/>
      <c r="AH24" s="138"/>
      <c r="AI24" s="138"/>
      <c r="AJ24" s="138"/>
      <c r="AK24" s="105"/>
      <c r="AL24" s="138"/>
      <c r="AM24" s="138"/>
      <c r="AN24" s="138"/>
      <c r="AO24" s="138"/>
      <c r="AP24" s="105"/>
      <c r="AQ24" s="138"/>
      <c r="AR24" s="138"/>
      <c r="AS24" s="138">
        <v>3.1360000000000001</v>
      </c>
      <c r="AT24" s="138">
        <v>10.433</v>
      </c>
      <c r="AU24" s="105">
        <f>SUM(AQ24:AT24)</f>
        <v>13.568999999999999</v>
      </c>
      <c r="AV24" s="254">
        <v>15.04</v>
      </c>
      <c r="AW24" s="254">
        <v>19.681000000000001</v>
      </c>
      <c r="AX24" s="254">
        <v>12.167999999999999</v>
      </c>
      <c r="AY24" s="254">
        <v>10.509</v>
      </c>
      <c r="AZ24" s="105">
        <f>SUM(AV24:AY24)</f>
        <v>57.398000000000003</v>
      </c>
      <c r="BA24" s="254">
        <v>23.202999999999999</v>
      </c>
      <c r="BB24" s="254">
        <v>16.811</v>
      </c>
      <c r="BC24" s="254">
        <v>16.690999999999999</v>
      </c>
      <c r="BD24" s="310">
        <v>17</v>
      </c>
      <c r="BE24" s="105">
        <f>SUM(BA24:BD24)</f>
        <v>73.704999999999998</v>
      </c>
      <c r="BF24" s="310">
        <v>18.960999999999999</v>
      </c>
      <c r="BG24" s="310">
        <v>22.315999999999999</v>
      </c>
      <c r="BH24" s="310">
        <v>20.384</v>
      </c>
      <c r="BI24" s="310">
        <v>18.5</v>
      </c>
      <c r="BJ24" s="105">
        <f>SUM(BF24:BI24)</f>
        <v>80.161000000000001</v>
      </c>
      <c r="BK24" s="310">
        <v>20</v>
      </c>
      <c r="BL24" s="310">
        <v>21.1</v>
      </c>
      <c r="BM24" s="310">
        <v>21</v>
      </c>
      <c r="BN24" s="310">
        <v>27.6</v>
      </c>
      <c r="BO24" s="105">
        <v>89.7</v>
      </c>
      <c r="BP24" s="310">
        <v>20.2</v>
      </c>
      <c r="BQ24" s="310">
        <v>21.6</v>
      </c>
      <c r="BR24" s="310">
        <v>21.1</v>
      </c>
      <c r="BS24" s="310">
        <v>22</v>
      </c>
      <c r="BT24" s="105">
        <f>SUM(BP24:BS24)</f>
        <v>84.9</v>
      </c>
      <c r="BU24" s="310">
        <v>20.5</v>
      </c>
      <c r="BV24" s="310">
        <v>22.6</v>
      </c>
      <c r="BW24" s="310">
        <v>24.3</v>
      </c>
      <c r="BX24" s="310">
        <v>24.2</v>
      </c>
      <c r="BY24" s="105">
        <f>SUM(BU24:BX24)</f>
        <v>91.600000000000009</v>
      </c>
      <c r="BZ24" s="310">
        <v>24.4</v>
      </c>
      <c r="CA24" s="254">
        <f>CD24/4</f>
        <v>21.202287195743402</v>
      </c>
      <c r="CB24" s="254">
        <f>CD24/4</f>
        <v>21.202287195743402</v>
      </c>
      <c r="CC24" s="254">
        <f>CD24/4</f>
        <v>21.202287195743402</v>
      </c>
      <c r="CD24" s="105">
        <f>'ROW MS Market Model'!L181</f>
        <v>84.809148782973608</v>
      </c>
      <c r="CE24" s="254">
        <f>CI24/4</f>
        <v>21.50521476361617</v>
      </c>
      <c r="CF24" s="254">
        <f>CI24/4</f>
        <v>21.50521476361617</v>
      </c>
      <c r="CG24" s="254">
        <f>CI24/4</f>
        <v>21.50521476361617</v>
      </c>
      <c r="CH24" s="254">
        <f>CI24/4</f>
        <v>21.50521476361617</v>
      </c>
      <c r="CI24" s="105">
        <f>'ROW MS Market Model'!M181</f>
        <v>86.02085905446468</v>
      </c>
      <c r="CJ24" s="254">
        <f>CN24/4</f>
        <v>21.844415388550843</v>
      </c>
      <c r="CK24" s="254">
        <f>CN24/4</f>
        <v>21.844415388550843</v>
      </c>
      <c r="CL24" s="254">
        <f>CN24/4</f>
        <v>21.844415388550843</v>
      </c>
      <c r="CM24" s="254">
        <f>CN24/4</f>
        <v>21.844415388550843</v>
      </c>
      <c r="CN24" s="105">
        <f>'ROW MS Market Model'!N181</f>
        <v>87.377661554203371</v>
      </c>
      <c r="CO24" s="254">
        <f>CS24/4</f>
        <v>22.222715550971717</v>
      </c>
      <c r="CP24" s="254">
        <f>CS24/4</f>
        <v>22.222715550971717</v>
      </c>
      <c r="CQ24" s="254">
        <f>CS24/4</f>
        <v>22.222715550971717</v>
      </c>
      <c r="CR24" s="254">
        <f>CS24/4</f>
        <v>22.222715550971717</v>
      </c>
      <c r="CS24" s="105">
        <f>'ROW MS Market Model'!O181</f>
        <v>88.890862203886869</v>
      </c>
      <c r="CT24" s="254">
        <f>CX24/4</f>
        <v>22.643179225254318</v>
      </c>
      <c r="CU24" s="254">
        <f>CX24/4</f>
        <v>22.643179225254318</v>
      </c>
      <c r="CV24" s="254">
        <f>CX24/4</f>
        <v>22.643179225254318</v>
      </c>
      <c r="CW24" s="254">
        <f>CX24/4</f>
        <v>22.643179225254318</v>
      </c>
      <c r="CX24" s="105">
        <f>'ROW MS Market Model'!P181</f>
        <v>90.572716901017273</v>
      </c>
      <c r="CY24" s="254">
        <f>DC24/4</f>
        <v>23.109127656703798</v>
      </c>
      <c r="CZ24" s="254">
        <f>DC24/4</f>
        <v>23.109127656703798</v>
      </c>
      <c r="DA24" s="254">
        <f>DC24/4</f>
        <v>23.109127656703798</v>
      </c>
      <c r="DB24" s="254">
        <f>DC24/4</f>
        <v>23.109127656703798</v>
      </c>
      <c r="DC24" s="105">
        <f>'ROW MS Market Model'!Q181</f>
        <v>92.436510626815192</v>
      </c>
      <c r="DD24" s="254">
        <f>DH24/4</f>
        <v>23.624160788015473</v>
      </c>
      <c r="DE24" s="254">
        <f>DH24/4</f>
        <v>23.624160788015473</v>
      </c>
      <c r="DF24" s="254">
        <f>DH24/4</f>
        <v>23.624160788015473</v>
      </c>
      <c r="DG24" s="254">
        <f>DH24/4</f>
        <v>23.624160788015473</v>
      </c>
      <c r="DH24" s="105">
        <f>'ROW MS Market Model'!R181</f>
        <v>94.496643152061893</v>
      </c>
      <c r="DI24" s="254">
        <f>DM24/4</f>
        <v>24.192180472764004</v>
      </c>
      <c r="DJ24" s="254">
        <f>DM24/4</f>
        <v>24.192180472764004</v>
      </c>
      <c r="DK24" s="254">
        <f>DM24/4</f>
        <v>24.192180472764004</v>
      </c>
      <c r="DL24" s="254">
        <f>DM24/4</f>
        <v>24.192180472764004</v>
      </c>
      <c r="DM24" s="105">
        <f>'ROW MS Market Model'!S181</f>
        <v>96.768721891056018</v>
      </c>
      <c r="DN24" s="254">
        <f>DR24/4</f>
        <v>24.817415624937503</v>
      </c>
      <c r="DO24" s="254">
        <f>DR24/4</f>
        <v>24.817415624937503</v>
      </c>
      <c r="DP24" s="254">
        <f>DR24/4</f>
        <v>24.817415624937503</v>
      </c>
      <c r="DQ24" s="254">
        <f>DR24/4</f>
        <v>24.817415624937503</v>
      </c>
      <c r="DR24" s="105">
        <f>'ROW MS Market Model'!T181</f>
        <v>99.269662499750012</v>
      </c>
      <c r="DS24" s="254">
        <f>DW24/4</f>
        <v>15.055878365493454</v>
      </c>
      <c r="DT24" s="254">
        <f>DW24/4</f>
        <v>15.055878365493454</v>
      </c>
      <c r="DU24" s="254">
        <f>DW24/4</f>
        <v>15.055878365493454</v>
      </c>
      <c r="DV24" s="254">
        <f>DW24/4</f>
        <v>15.055878365493454</v>
      </c>
      <c r="DW24" s="105">
        <f>'ROW MS Market Model'!U181</f>
        <v>60.223513461973816</v>
      </c>
      <c r="DX24" s="254">
        <f>EB24/4</f>
        <v>3.098249897455577</v>
      </c>
      <c r="DY24" s="254">
        <f>EB24/4</f>
        <v>3.098249897455577</v>
      </c>
      <c r="DZ24" s="254">
        <f>EB24/4</f>
        <v>3.098249897455577</v>
      </c>
      <c r="EA24" s="254">
        <f>EB24/4</f>
        <v>3.098249897455577</v>
      </c>
      <c r="EB24" s="105">
        <f>'ROW MS Market Model'!V181</f>
        <v>12.392999589822308</v>
      </c>
      <c r="EC24" s="254">
        <f>EG24/4</f>
        <v>0.63873996035403979</v>
      </c>
      <c r="ED24" s="254">
        <f>EG24/4</f>
        <v>0.63873996035403979</v>
      </c>
      <c r="EE24" s="254">
        <f>EG24/4</f>
        <v>0.63873996035403979</v>
      </c>
      <c r="EF24" s="254">
        <f>EG24/4</f>
        <v>0.63873996035403979</v>
      </c>
      <c r="EG24" s="105">
        <f>'ROW MS Market Model'!W181</f>
        <v>2.5549598414161592</v>
      </c>
      <c r="EH24" s="254">
        <f>EL24/4</f>
        <v>0.13192807761305383</v>
      </c>
      <c r="EI24" s="254">
        <f>EL24/4</f>
        <v>0.13192807761305383</v>
      </c>
      <c r="EJ24" s="254">
        <f>EL24/4</f>
        <v>0.13192807761305383</v>
      </c>
      <c r="EK24" s="254">
        <f>EL24/4</f>
        <v>0.13192807761305383</v>
      </c>
      <c r="EL24" s="105">
        <f>'ROW MS Market Model'!X181</f>
        <v>0.52771231045221534</v>
      </c>
    </row>
    <row r="25" spans="2:142">
      <c r="B25" s="9"/>
      <c r="C25" s="145"/>
      <c r="D25" s="145"/>
      <c r="E25" s="145"/>
      <c r="F25" s="145"/>
      <c r="G25" s="64"/>
      <c r="H25" s="146"/>
      <c r="I25" s="146"/>
      <c r="J25" s="146"/>
      <c r="K25" s="146"/>
      <c r="L25" s="64"/>
      <c r="M25" s="146"/>
      <c r="N25" s="146"/>
      <c r="O25" s="146"/>
      <c r="P25" s="146"/>
      <c r="Q25" s="64"/>
      <c r="R25" s="146"/>
      <c r="S25" s="146"/>
      <c r="T25" s="146"/>
      <c r="U25" s="146"/>
      <c r="V25" s="64"/>
      <c r="W25" s="146"/>
      <c r="X25" s="146"/>
      <c r="Y25" s="146"/>
      <c r="Z25" s="146"/>
      <c r="AA25" s="64"/>
      <c r="AB25" s="146"/>
      <c r="AC25" s="146"/>
      <c r="AD25" s="146"/>
      <c r="AE25" s="146"/>
      <c r="AF25" s="64"/>
      <c r="AG25" s="146"/>
      <c r="AH25" s="146"/>
      <c r="AI25" s="146"/>
      <c r="AJ25" s="146"/>
      <c r="AK25" s="64"/>
      <c r="AL25" s="146"/>
      <c r="AM25" s="146"/>
      <c r="AN25" s="146"/>
      <c r="AO25" s="146"/>
      <c r="AP25" s="64"/>
      <c r="AQ25" s="146"/>
      <c r="AR25" s="146"/>
      <c r="AS25" s="146"/>
      <c r="AT25" s="146"/>
      <c r="AU25" s="64"/>
      <c r="AV25" s="255"/>
      <c r="AW25" s="255"/>
      <c r="AX25" s="255"/>
      <c r="AY25" s="255"/>
      <c r="AZ25" s="64"/>
      <c r="BA25" s="255"/>
      <c r="BB25" s="255"/>
      <c r="BC25" s="255"/>
      <c r="BD25" s="255"/>
      <c r="BE25" s="64"/>
      <c r="BF25" s="255"/>
      <c r="BG25" s="255"/>
      <c r="BH25" s="255"/>
      <c r="BI25" s="255"/>
      <c r="BJ25" s="101"/>
      <c r="BK25" s="255"/>
      <c r="BL25" s="256"/>
      <c r="BM25" s="256"/>
      <c r="BN25" s="255"/>
      <c r="BO25" s="101"/>
      <c r="BP25" s="255"/>
      <c r="BQ25" s="255"/>
      <c r="BR25" s="255"/>
      <c r="BS25" s="255"/>
      <c r="BT25" s="101"/>
      <c r="BU25" s="255"/>
      <c r="BV25" s="255"/>
      <c r="BW25" s="255"/>
      <c r="BX25" s="255"/>
      <c r="BY25" s="101"/>
      <c r="BZ25" s="255"/>
      <c r="CA25" s="255"/>
      <c r="CB25" s="255"/>
      <c r="CC25" s="255"/>
      <c r="CD25" s="101"/>
      <c r="CE25" s="255"/>
      <c r="CF25" s="255"/>
      <c r="CG25" s="255"/>
      <c r="CH25" s="255"/>
      <c r="CI25" s="101"/>
      <c r="CJ25" s="255"/>
      <c r="CK25" s="255"/>
      <c r="CL25" s="255"/>
      <c r="CM25" s="255"/>
      <c r="CN25" s="101"/>
      <c r="CO25" s="255"/>
      <c r="CP25" s="255"/>
      <c r="CQ25" s="255"/>
      <c r="CR25" s="255"/>
      <c r="CS25" s="101"/>
      <c r="CT25" s="255"/>
      <c r="CU25" s="255"/>
      <c r="CV25" s="255"/>
      <c r="CW25" s="255"/>
      <c r="CX25" s="101"/>
      <c r="CY25" s="255"/>
      <c r="CZ25" s="255"/>
      <c r="DA25" s="255"/>
      <c r="DB25" s="255"/>
      <c r="DC25" s="101"/>
      <c r="DD25" s="255"/>
      <c r="DE25" s="255"/>
      <c r="DF25" s="255"/>
      <c r="DG25" s="255"/>
      <c r="DH25" s="101"/>
      <c r="DI25" s="255"/>
      <c r="DJ25" s="255"/>
      <c r="DK25" s="255"/>
      <c r="DL25" s="255"/>
      <c r="DM25" s="101"/>
      <c r="DN25" s="255"/>
      <c r="DO25" s="255"/>
      <c r="DP25" s="255"/>
      <c r="DQ25" s="255"/>
      <c r="DR25" s="101"/>
      <c r="DS25" s="255"/>
      <c r="DT25" s="255"/>
      <c r="DU25" s="255"/>
      <c r="DV25" s="255"/>
      <c r="DW25" s="101"/>
      <c r="DX25" s="255"/>
      <c r="DY25" s="255"/>
      <c r="DZ25" s="255"/>
      <c r="EA25" s="255"/>
      <c r="EB25" s="101"/>
      <c r="EC25" s="255"/>
      <c r="ED25" s="255"/>
      <c r="EE25" s="255"/>
      <c r="EF25" s="255"/>
      <c r="EG25" s="101"/>
      <c r="EH25" s="255"/>
      <c r="EI25" s="255"/>
      <c r="EJ25" s="255"/>
      <c r="EK25" s="255"/>
      <c r="EL25" s="101"/>
    </row>
    <row r="26" spans="2:142">
      <c r="B26" s="23" t="s">
        <v>73</v>
      </c>
      <c r="C26" s="145"/>
      <c r="D26" s="145"/>
      <c r="E26" s="145"/>
      <c r="F26" s="145"/>
      <c r="G26" s="64"/>
      <c r="H26" s="146"/>
      <c r="I26" s="146"/>
      <c r="J26" s="146"/>
      <c r="K26" s="146"/>
      <c r="L26" s="64"/>
      <c r="M26" s="146"/>
      <c r="N26" s="146"/>
      <c r="O26" s="146"/>
      <c r="P26" s="146"/>
      <c r="Q26" s="64"/>
      <c r="R26" s="146">
        <v>0</v>
      </c>
      <c r="S26" s="146">
        <v>0</v>
      </c>
      <c r="T26" s="146">
        <v>6.4370000000000003</v>
      </c>
      <c r="U26" s="146">
        <f>+V26-SUM(R26:T26)</f>
        <v>3.0349999999999993</v>
      </c>
      <c r="V26" s="64">
        <v>9.4719999999999995</v>
      </c>
      <c r="W26" s="146">
        <v>0</v>
      </c>
      <c r="X26" s="146">
        <v>5.1760000000000002</v>
      </c>
      <c r="Y26" s="146">
        <v>7.3520000000000003</v>
      </c>
      <c r="Z26" s="146">
        <f>+AA26-SUM(W26:Y26)</f>
        <v>9.0190000000000001</v>
      </c>
      <c r="AA26" s="64">
        <v>21.547000000000001</v>
      </c>
      <c r="AB26" s="146">
        <v>11.714</v>
      </c>
      <c r="AC26" s="146">
        <v>9.9890000000000008</v>
      </c>
      <c r="AD26" s="146">
        <v>11.087999999999999</v>
      </c>
      <c r="AE26" s="146">
        <f>+AF26-SUM(AB26:AD26)</f>
        <v>10.630999999999993</v>
      </c>
      <c r="AF26" s="64">
        <v>43.421999999999997</v>
      </c>
      <c r="AG26" s="146">
        <v>10.585000000000001</v>
      </c>
      <c r="AH26" s="146">
        <v>12.185</v>
      </c>
      <c r="AI26" s="146">
        <v>12.634</v>
      </c>
      <c r="AJ26" s="146">
        <f>+AK26-SUM(AG26:AI26)</f>
        <v>14.219999999999999</v>
      </c>
      <c r="AK26" s="64">
        <v>49.624000000000002</v>
      </c>
      <c r="AL26" s="146">
        <v>13.05</v>
      </c>
      <c r="AM26" s="146">
        <v>11.840999999999999</v>
      </c>
      <c r="AN26" s="146">
        <v>12.365</v>
      </c>
      <c r="AO26" s="146">
        <f>+AP26-SUM(AL26:AN26)</f>
        <v>13.938000000000002</v>
      </c>
      <c r="AP26" s="64">
        <v>51.194000000000003</v>
      </c>
      <c r="AQ26" s="146">
        <v>12.506</v>
      </c>
      <c r="AR26" s="146">
        <v>15.064</v>
      </c>
      <c r="AS26" s="146">
        <v>13.612</v>
      </c>
      <c r="AT26" s="146">
        <v>13.545999999999999</v>
      </c>
      <c r="AU26" s="64">
        <f>SUM(AQ26:AT26)</f>
        <v>54.728000000000002</v>
      </c>
      <c r="AV26" s="255">
        <v>13.295999999999999</v>
      </c>
      <c r="AW26" s="255">
        <v>14.631</v>
      </c>
      <c r="AX26" s="255">
        <v>15.965</v>
      </c>
      <c r="AY26" s="255">
        <v>15.784000000000001</v>
      </c>
      <c r="AZ26" s="64">
        <f>SUM(AV26:AY26)</f>
        <v>59.675999999999995</v>
      </c>
      <c r="BA26" s="255">
        <v>14.308</v>
      </c>
      <c r="BB26" s="255">
        <v>15.816000000000001</v>
      </c>
      <c r="BC26" s="255">
        <v>16.053000000000001</v>
      </c>
      <c r="BD26" s="256">
        <v>14</v>
      </c>
      <c r="BE26" s="64">
        <f>SUM(BA26:BD26)</f>
        <v>60.177000000000007</v>
      </c>
      <c r="BF26" s="256">
        <v>15.576000000000001</v>
      </c>
      <c r="BG26" s="256">
        <v>15.987</v>
      </c>
      <c r="BH26" s="256">
        <v>16.527999999999999</v>
      </c>
      <c r="BI26" s="256">
        <v>14.4</v>
      </c>
      <c r="BJ26" s="64">
        <f>SUM(BF26:BI26)</f>
        <v>62.491</v>
      </c>
      <c r="BK26" s="256">
        <v>13.6</v>
      </c>
      <c r="BL26" s="256">
        <v>12.7</v>
      </c>
      <c r="BM26" s="256">
        <v>12.5</v>
      </c>
      <c r="BN26" s="256">
        <v>12.6</v>
      </c>
      <c r="BO26" s="64">
        <v>51.4</v>
      </c>
      <c r="BP26" s="256">
        <v>11.4</v>
      </c>
      <c r="BQ26" s="256">
        <v>11.8</v>
      </c>
      <c r="BR26" s="256">
        <v>11.3</v>
      </c>
      <c r="BS26" s="256">
        <v>11.4</v>
      </c>
      <c r="BT26" s="64">
        <f>SUM(BP26:BS26)</f>
        <v>45.9</v>
      </c>
      <c r="BU26" s="256">
        <v>9.6999999999999993</v>
      </c>
      <c r="BV26" s="256">
        <v>10.3</v>
      </c>
      <c r="BW26" s="256">
        <v>10.7</v>
      </c>
      <c r="BX26" s="256">
        <v>8.9</v>
      </c>
      <c r="BY26" s="64">
        <f>SUM(BU26:BX26)</f>
        <v>39.6</v>
      </c>
      <c r="BZ26" s="256">
        <v>7</v>
      </c>
      <c r="CA26" s="255">
        <f>CD26/4</f>
        <v>9.4049999999999994</v>
      </c>
      <c r="CB26" s="255">
        <f>CD26/4</f>
        <v>9.4049999999999994</v>
      </c>
      <c r="CC26" s="255">
        <f>CD26/4</f>
        <v>9.4049999999999994</v>
      </c>
      <c r="CD26" s="64">
        <f>BY26*0.95</f>
        <v>37.619999999999997</v>
      </c>
      <c r="CE26" s="255">
        <f>CI26/4</f>
        <v>8.9347499999999993</v>
      </c>
      <c r="CF26" s="255">
        <f>CI26/4</f>
        <v>8.9347499999999993</v>
      </c>
      <c r="CG26" s="255">
        <f>CI26/4</f>
        <v>8.9347499999999993</v>
      </c>
      <c r="CH26" s="255">
        <f>CI26/4</f>
        <v>8.9347499999999993</v>
      </c>
      <c r="CI26" s="64">
        <f>CD26*0.95</f>
        <v>35.738999999999997</v>
      </c>
      <c r="CJ26" s="255">
        <f>CN26/4</f>
        <v>8.4880124999999982</v>
      </c>
      <c r="CK26" s="255">
        <f>CN26/4</f>
        <v>8.4880124999999982</v>
      </c>
      <c r="CL26" s="255">
        <f>CN26/4</f>
        <v>8.4880124999999982</v>
      </c>
      <c r="CM26" s="255">
        <f>CN26/4</f>
        <v>8.4880124999999982</v>
      </c>
      <c r="CN26" s="64">
        <f>CI26*0.95</f>
        <v>33.952049999999993</v>
      </c>
      <c r="CO26" s="255">
        <f>CS26/4</f>
        <v>8.0636118749999977</v>
      </c>
      <c r="CP26" s="255">
        <f>CS26/4</f>
        <v>8.0636118749999977</v>
      </c>
      <c r="CQ26" s="255">
        <f>CS26/4</f>
        <v>8.0636118749999977</v>
      </c>
      <c r="CR26" s="255">
        <f>CS26/4</f>
        <v>8.0636118749999977</v>
      </c>
      <c r="CS26" s="64">
        <f>CN26*0.95</f>
        <v>32.254447499999991</v>
      </c>
      <c r="CT26" s="255">
        <f>CX26/4</f>
        <v>7.6604312812499975</v>
      </c>
      <c r="CU26" s="255">
        <f>CX26/4</f>
        <v>7.6604312812499975</v>
      </c>
      <c r="CV26" s="255">
        <f>CX26/4</f>
        <v>7.6604312812499975</v>
      </c>
      <c r="CW26" s="255">
        <f>CX26/4</f>
        <v>7.6604312812499975</v>
      </c>
      <c r="CX26" s="64">
        <f>CS26*0.95</f>
        <v>30.64172512499999</v>
      </c>
      <c r="CY26" s="255">
        <f>DC26/4</f>
        <v>7.2774097171874974</v>
      </c>
      <c r="CZ26" s="255">
        <f>DC26/4</f>
        <v>7.2774097171874974</v>
      </c>
      <c r="DA26" s="255">
        <f>DC26/4</f>
        <v>7.2774097171874974</v>
      </c>
      <c r="DB26" s="255">
        <f>DC26/4</f>
        <v>7.2774097171874974</v>
      </c>
      <c r="DC26" s="64">
        <f>CX26*0.95</f>
        <v>29.10963886874999</v>
      </c>
      <c r="DD26" s="255">
        <f>DH26/4</f>
        <v>6.9135392313281221</v>
      </c>
      <c r="DE26" s="255">
        <f>DH26/4</f>
        <v>6.9135392313281221</v>
      </c>
      <c r="DF26" s="255">
        <f>DH26/4</f>
        <v>6.9135392313281221</v>
      </c>
      <c r="DG26" s="255">
        <f>DH26/4</f>
        <v>6.9135392313281221</v>
      </c>
      <c r="DH26" s="64">
        <f>DC26*0.95</f>
        <v>27.654156925312488</v>
      </c>
      <c r="DI26" s="255">
        <f>DM26/4</f>
        <v>6.5678622697617159</v>
      </c>
      <c r="DJ26" s="255">
        <f>DM26/4</f>
        <v>6.5678622697617159</v>
      </c>
      <c r="DK26" s="255">
        <f>DM26/4</f>
        <v>6.5678622697617159</v>
      </c>
      <c r="DL26" s="255">
        <f>DM26/4</f>
        <v>6.5678622697617159</v>
      </c>
      <c r="DM26" s="64">
        <f>DH26*0.95</f>
        <v>26.271449079046864</v>
      </c>
      <c r="DN26" s="255">
        <f>DR26/4</f>
        <v>6.2394691562736302</v>
      </c>
      <c r="DO26" s="255">
        <f>DR26/4</f>
        <v>6.2394691562736302</v>
      </c>
      <c r="DP26" s="255">
        <f>DR26/4</f>
        <v>6.2394691562736302</v>
      </c>
      <c r="DQ26" s="255">
        <f>DR26/4</f>
        <v>6.2394691562736302</v>
      </c>
      <c r="DR26" s="64">
        <f>DM26*0.95</f>
        <v>24.957876625094521</v>
      </c>
      <c r="DS26" s="255">
        <f>DW26/4</f>
        <v>5.9274956984599481</v>
      </c>
      <c r="DT26" s="255">
        <f>DW26/4</f>
        <v>5.9274956984599481</v>
      </c>
      <c r="DU26" s="255">
        <f>DW26/4</f>
        <v>5.9274956984599481</v>
      </c>
      <c r="DV26" s="255">
        <f>DW26/4</f>
        <v>5.9274956984599481</v>
      </c>
      <c r="DW26" s="64">
        <f>DR26*0.95</f>
        <v>23.709982793839792</v>
      </c>
      <c r="DX26" s="255">
        <f>EB26/4</f>
        <v>5.6311209135369502</v>
      </c>
      <c r="DY26" s="255">
        <f>EB26/4</f>
        <v>5.6311209135369502</v>
      </c>
      <c r="DZ26" s="255">
        <f>EB26/4</f>
        <v>5.6311209135369502</v>
      </c>
      <c r="EA26" s="255">
        <f>EB26/4</f>
        <v>5.6311209135369502</v>
      </c>
      <c r="EB26" s="64">
        <f>DW26*0.95</f>
        <v>22.524483654147801</v>
      </c>
      <c r="EC26" s="255">
        <f>EG26/4</f>
        <v>5.3495648678601029</v>
      </c>
      <c r="ED26" s="255">
        <f>EG26/4</f>
        <v>5.3495648678601029</v>
      </c>
      <c r="EE26" s="255">
        <f>EG26/4</f>
        <v>5.3495648678601029</v>
      </c>
      <c r="EF26" s="255">
        <f>EG26/4</f>
        <v>5.3495648678601029</v>
      </c>
      <c r="EG26" s="64">
        <f>EB26*0.95</f>
        <v>21.398259471440412</v>
      </c>
      <c r="EH26" s="255">
        <f>EL26/4</f>
        <v>5.0820866244670979</v>
      </c>
      <c r="EI26" s="255">
        <f>EL26/4</f>
        <v>5.0820866244670979</v>
      </c>
      <c r="EJ26" s="255">
        <f>EL26/4</f>
        <v>5.0820866244670979</v>
      </c>
      <c r="EK26" s="255">
        <f>EL26/4</f>
        <v>5.0820866244670979</v>
      </c>
      <c r="EL26" s="64">
        <f>EG26*0.95</f>
        <v>20.328346497868392</v>
      </c>
    </row>
    <row r="27" spans="2:142">
      <c r="B27" s="9"/>
      <c r="C27" s="145"/>
      <c r="D27" s="145"/>
      <c r="E27" s="145"/>
      <c r="F27" s="145"/>
      <c r="G27" s="64"/>
      <c r="H27" s="146"/>
      <c r="I27" s="146"/>
      <c r="J27" s="146"/>
      <c r="K27" s="146"/>
      <c r="L27" s="64"/>
      <c r="M27" s="146"/>
      <c r="N27" s="146"/>
      <c r="O27" s="146"/>
      <c r="P27" s="146"/>
      <c r="Q27" s="64"/>
      <c r="R27" s="146"/>
      <c r="S27" s="146"/>
      <c r="T27" s="146"/>
      <c r="U27" s="146"/>
      <c r="V27" s="64"/>
      <c r="W27" s="146"/>
      <c r="X27" s="146"/>
      <c r="Y27" s="146"/>
      <c r="Z27" s="146"/>
      <c r="AA27" s="64"/>
      <c r="AB27" s="146"/>
      <c r="AC27" s="146"/>
      <c r="AD27" s="146"/>
      <c r="AE27" s="146"/>
      <c r="AF27" s="64"/>
      <c r="AG27" s="146"/>
      <c r="AH27" s="146"/>
      <c r="AI27" s="146"/>
      <c r="AJ27" s="146"/>
      <c r="AK27" s="64"/>
      <c r="AL27" s="146"/>
      <c r="AM27" s="146"/>
      <c r="AN27" s="146"/>
      <c r="AO27" s="146"/>
      <c r="AP27" s="64"/>
      <c r="AQ27" s="146"/>
      <c r="AR27" s="146"/>
      <c r="AS27" s="146"/>
      <c r="AT27" s="146"/>
      <c r="AU27" s="64"/>
      <c r="AV27" s="255"/>
      <c r="AW27" s="255"/>
      <c r="AX27" s="255"/>
      <c r="AY27" s="255"/>
      <c r="AZ27" s="64"/>
      <c r="BA27" s="255"/>
      <c r="BB27" s="255"/>
      <c r="BC27" s="255"/>
      <c r="BD27" s="255"/>
      <c r="BE27" s="64"/>
      <c r="BF27" s="255"/>
      <c r="BG27" s="255"/>
      <c r="BH27" s="255"/>
      <c r="BI27" s="255"/>
      <c r="BJ27" s="64"/>
      <c r="BK27" s="255"/>
      <c r="BL27" s="255"/>
      <c r="BM27" s="255"/>
      <c r="BN27" s="255"/>
      <c r="BO27" s="64"/>
      <c r="BP27" s="255"/>
      <c r="BQ27" s="255"/>
      <c r="BR27" s="255"/>
      <c r="BS27" s="255"/>
      <c r="BT27" s="64"/>
      <c r="BU27" s="255"/>
      <c r="BV27" s="255"/>
      <c r="BW27" s="255"/>
      <c r="BX27" s="255"/>
      <c r="BY27" s="64"/>
      <c r="BZ27" s="255"/>
      <c r="CA27" s="255"/>
      <c r="CB27" s="255"/>
      <c r="CC27" s="255"/>
      <c r="CD27" s="64"/>
      <c r="CE27" s="255"/>
      <c r="CF27" s="255"/>
      <c r="CG27" s="255"/>
      <c r="CH27" s="255"/>
      <c r="CI27" s="64"/>
      <c r="CJ27" s="255"/>
      <c r="CK27" s="255"/>
      <c r="CL27" s="255"/>
      <c r="CM27" s="255"/>
      <c r="CN27" s="64"/>
      <c r="CO27" s="255"/>
      <c r="CP27" s="255"/>
      <c r="CQ27" s="255"/>
      <c r="CR27" s="255"/>
      <c r="CS27" s="64"/>
      <c r="CT27" s="255"/>
      <c r="CU27" s="255"/>
      <c r="CV27" s="255"/>
      <c r="CW27" s="255"/>
      <c r="CX27" s="64"/>
      <c r="CY27" s="255"/>
      <c r="CZ27" s="255"/>
      <c r="DA27" s="255"/>
      <c r="DB27" s="255"/>
      <c r="DC27" s="64"/>
      <c r="DD27" s="255"/>
      <c r="DE27" s="255"/>
      <c r="DF27" s="255"/>
      <c r="DG27" s="255"/>
      <c r="DH27" s="64"/>
      <c r="DI27" s="255"/>
      <c r="DJ27" s="255"/>
      <c r="DK27" s="255"/>
      <c r="DL27" s="255"/>
      <c r="DM27" s="64"/>
      <c r="DN27" s="255"/>
      <c r="DO27" s="255"/>
      <c r="DP27" s="255"/>
      <c r="DQ27" s="255"/>
      <c r="DR27" s="64"/>
      <c r="DS27" s="255"/>
      <c r="DT27" s="255"/>
      <c r="DU27" s="255"/>
      <c r="DV27" s="255"/>
      <c r="DW27" s="64"/>
      <c r="DX27" s="255"/>
      <c r="DY27" s="255"/>
      <c r="DZ27" s="255"/>
      <c r="EA27" s="255"/>
      <c r="EB27" s="64"/>
      <c r="EC27" s="255"/>
      <c r="ED27" s="255"/>
      <c r="EE27" s="255"/>
      <c r="EF27" s="255"/>
      <c r="EG27" s="64"/>
      <c r="EH27" s="255"/>
      <c r="EI27" s="255"/>
      <c r="EJ27" s="255"/>
      <c r="EK27" s="255"/>
      <c r="EL27" s="64"/>
    </row>
    <row r="28" spans="2:142" s="4" customFormat="1">
      <c r="B28" s="4" t="s">
        <v>74</v>
      </c>
      <c r="C28" s="137"/>
      <c r="D28" s="137"/>
      <c r="E28" s="137"/>
      <c r="F28" s="137"/>
      <c r="G28" s="105"/>
      <c r="H28" s="138"/>
      <c r="I28" s="138"/>
      <c r="J28" s="138"/>
      <c r="K28" s="138"/>
      <c r="L28" s="105"/>
      <c r="M28" s="138"/>
      <c r="N28" s="138"/>
      <c r="O28" s="138"/>
      <c r="P28" s="138"/>
      <c r="Q28" s="105"/>
      <c r="R28" s="138"/>
      <c r="S28" s="138"/>
      <c r="T28" s="138"/>
      <c r="U28" s="138"/>
      <c r="V28" s="105"/>
      <c r="W28" s="138"/>
      <c r="X28" s="138"/>
      <c r="Y28" s="138"/>
      <c r="Z28" s="138"/>
      <c r="AA28" s="105"/>
      <c r="AB28" s="138"/>
      <c r="AC28" s="138"/>
      <c r="AD28" s="138"/>
      <c r="AE28" s="138"/>
      <c r="AF28" s="105"/>
      <c r="AG28" s="138"/>
      <c r="AH28" s="138"/>
      <c r="AI28" s="138"/>
      <c r="AJ28" s="138"/>
      <c r="AK28" s="105"/>
      <c r="AL28" s="138"/>
      <c r="AM28" s="138"/>
      <c r="AN28" s="138"/>
      <c r="AO28" s="138"/>
      <c r="AP28" s="105"/>
      <c r="AQ28" s="138"/>
      <c r="AR28" s="138"/>
      <c r="AS28" s="138"/>
      <c r="AT28" s="138"/>
      <c r="AU28" s="105"/>
      <c r="AV28" s="254"/>
      <c r="AW28" s="254"/>
      <c r="AX28" s="254"/>
      <c r="AY28" s="254"/>
      <c r="AZ28" s="105"/>
      <c r="BA28" s="254"/>
      <c r="BB28" s="254"/>
      <c r="BC28" s="254"/>
      <c r="BD28" s="254"/>
      <c r="BE28" s="105"/>
      <c r="BF28" s="254">
        <f>SUM(BF29:BF31)</f>
        <v>0</v>
      </c>
      <c r="BG28" s="254">
        <f>SUM(BG29:BG31)</f>
        <v>10.397</v>
      </c>
      <c r="BH28" s="254">
        <f>SUM(BH29:BH31)</f>
        <v>46.864999999999995</v>
      </c>
      <c r="BI28" s="254">
        <f>SUM(BI29:BI31)</f>
        <v>77.081000000000003</v>
      </c>
      <c r="BJ28" s="105">
        <f>SUM(BF28:BI28)</f>
        <v>134.34299999999999</v>
      </c>
      <c r="BK28" s="254">
        <f>SUM(BK29:BK31)</f>
        <v>96.622</v>
      </c>
      <c r="BL28" s="254">
        <f>SUM(BL29:BL31)</f>
        <v>128.30000000000001</v>
      </c>
      <c r="BM28" s="254">
        <f>SUM(BM29:BM31)</f>
        <v>157</v>
      </c>
      <c r="BN28" s="254">
        <f>SUM(BN29:BN31)</f>
        <v>172.27800000000002</v>
      </c>
      <c r="BO28" s="105">
        <f>BO29+BO30+BO31</f>
        <v>554.20000000000005</v>
      </c>
      <c r="BP28" s="254">
        <f>SUM(BP29:BP31)</f>
        <v>182.70000000000002</v>
      </c>
      <c r="BQ28" s="254">
        <f>SUM(BQ29:BQ31)</f>
        <v>205</v>
      </c>
      <c r="BR28" s="254">
        <f>SUM(BR29:BR31)</f>
        <v>217</v>
      </c>
      <c r="BS28" s="254">
        <f>SUM(BS29:BS31)</f>
        <v>242.2</v>
      </c>
      <c r="BT28" s="105">
        <f>BT29+BT30+BT31</f>
        <v>846.90000000000009</v>
      </c>
      <c r="BU28" s="254">
        <f>SUM(BU29:BU31)</f>
        <v>74.400000000000006</v>
      </c>
      <c r="BV28" s="254">
        <v>0</v>
      </c>
      <c r="BW28" s="254">
        <v>0</v>
      </c>
      <c r="BX28" s="254">
        <v>0</v>
      </c>
      <c r="BY28" s="105">
        <f>SUM(BU28:BX28)</f>
        <v>74.400000000000006</v>
      </c>
      <c r="BZ28" s="254"/>
      <c r="CA28" s="254"/>
      <c r="CB28" s="254"/>
      <c r="CC28" s="254"/>
      <c r="CD28" s="105"/>
      <c r="CE28" s="254"/>
      <c r="CF28" s="254"/>
      <c r="CG28" s="254"/>
      <c r="CH28" s="254"/>
      <c r="CI28" s="105"/>
      <c r="CJ28" s="254"/>
      <c r="CK28" s="254"/>
      <c r="CL28" s="254"/>
      <c r="CM28" s="254"/>
      <c r="CN28" s="105"/>
      <c r="CO28" s="254"/>
      <c r="CP28" s="254"/>
      <c r="CQ28" s="254"/>
      <c r="CR28" s="254"/>
      <c r="CS28" s="105"/>
      <c r="CT28" s="254"/>
      <c r="CU28" s="254"/>
      <c r="CV28" s="254"/>
      <c r="CW28" s="254"/>
      <c r="CX28" s="105"/>
      <c r="CY28" s="254"/>
      <c r="CZ28" s="254"/>
      <c r="DA28" s="254"/>
      <c r="DB28" s="254"/>
      <c r="DC28" s="105"/>
      <c r="DD28" s="254"/>
      <c r="DE28" s="254"/>
      <c r="DF28" s="254"/>
      <c r="DG28" s="254"/>
      <c r="DH28" s="105"/>
      <c r="DI28" s="254"/>
      <c r="DJ28" s="254"/>
      <c r="DK28" s="254"/>
      <c r="DL28" s="254"/>
      <c r="DM28" s="105"/>
      <c r="DN28" s="254"/>
      <c r="DO28" s="254"/>
      <c r="DP28" s="254"/>
      <c r="DQ28" s="254"/>
      <c r="DR28" s="105"/>
      <c r="DS28" s="254"/>
      <c r="DT28" s="254"/>
      <c r="DU28" s="254"/>
      <c r="DV28" s="254"/>
      <c r="DW28" s="105"/>
      <c r="DX28" s="254"/>
      <c r="DY28" s="254"/>
      <c r="DZ28" s="254"/>
      <c r="EA28" s="254"/>
      <c r="EB28" s="105"/>
      <c r="EC28" s="254"/>
      <c r="ED28" s="254"/>
      <c r="EE28" s="254"/>
      <c r="EF28" s="254"/>
      <c r="EG28" s="105"/>
      <c r="EH28" s="254"/>
      <c r="EI28" s="254"/>
      <c r="EJ28" s="254"/>
      <c r="EK28" s="254"/>
      <c r="EL28" s="105"/>
    </row>
    <row r="29" spans="2:142">
      <c r="B29" s="9" t="s">
        <v>198</v>
      </c>
      <c r="C29" s="145"/>
      <c r="D29" s="145"/>
      <c r="E29" s="145"/>
      <c r="F29" s="145"/>
      <c r="G29" s="64"/>
      <c r="H29" s="146"/>
      <c r="I29" s="146"/>
      <c r="J29" s="146"/>
      <c r="K29" s="146"/>
      <c r="L29" s="64"/>
      <c r="M29" s="146"/>
      <c r="N29" s="146"/>
      <c r="O29" s="146"/>
      <c r="P29" s="146"/>
      <c r="Q29" s="64"/>
      <c r="R29" s="146"/>
      <c r="S29" s="146"/>
      <c r="T29" s="146"/>
      <c r="U29" s="146"/>
      <c r="V29" s="64"/>
      <c r="W29" s="146"/>
      <c r="X29" s="146"/>
      <c r="Y29" s="146"/>
      <c r="Z29" s="146"/>
      <c r="AA29" s="64"/>
      <c r="AB29" s="146"/>
      <c r="AC29" s="146"/>
      <c r="AD29" s="146"/>
      <c r="AE29" s="146"/>
      <c r="AF29" s="64"/>
      <c r="AG29" s="146"/>
      <c r="AH29" s="146"/>
      <c r="AI29" s="146"/>
      <c r="AJ29" s="146"/>
      <c r="AK29" s="64"/>
      <c r="AL29" s="146"/>
      <c r="AM29" s="146"/>
      <c r="AN29" s="146"/>
      <c r="AO29" s="146"/>
      <c r="AP29" s="64"/>
      <c r="AQ29" s="146"/>
      <c r="AR29" s="146"/>
      <c r="AS29" s="146"/>
      <c r="AT29" s="146"/>
      <c r="AU29" s="64"/>
      <c r="AV29" s="255"/>
      <c r="AW29" s="255"/>
      <c r="AX29" s="255"/>
      <c r="AY29" s="255"/>
      <c r="AZ29" s="64"/>
      <c r="BA29" s="255"/>
      <c r="BB29" s="255"/>
      <c r="BC29" s="255"/>
      <c r="BD29" s="255"/>
      <c r="BE29" s="64"/>
      <c r="BF29" s="255">
        <v>0</v>
      </c>
      <c r="BG29" s="255">
        <v>0</v>
      </c>
      <c r="BH29" s="256">
        <v>21.56</v>
      </c>
      <c r="BI29" s="256">
        <v>37.081000000000003</v>
      </c>
      <c r="BJ29" s="64">
        <f>SUM(BF29:BI29)</f>
        <v>58.641000000000005</v>
      </c>
      <c r="BK29" s="256">
        <v>53.622</v>
      </c>
      <c r="BL29" s="256">
        <f>74.3-2</f>
        <v>72.3</v>
      </c>
      <c r="BM29" s="256">
        <v>87</v>
      </c>
      <c r="BN29" s="429">
        <f>BO29-SUM(BK29:BM29)</f>
        <v>95.378000000000014</v>
      </c>
      <c r="BO29" s="280">
        <v>308.3</v>
      </c>
      <c r="BP29" s="256">
        <v>98.7</v>
      </c>
      <c r="BQ29" s="256">
        <v>110.3</v>
      </c>
      <c r="BR29" s="256">
        <v>110</v>
      </c>
      <c r="BS29" s="256">
        <v>126.2</v>
      </c>
      <c r="BT29" s="64">
        <f>SUM(BP29:BS29)</f>
        <v>445.2</v>
      </c>
      <c r="BU29" s="256">
        <v>42.2</v>
      </c>
      <c r="BV29" s="255"/>
      <c r="BW29" s="255"/>
      <c r="BX29" s="255"/>
      <c r="BY29" s="64"/>
      <c r="BZ29" s="256"/>
      <c r="CA29" s="255"/>
      <c r="CB29" s="255"/>
      <c r="CC29" s="255"/>
      <c r="CD29" s="64"/>
      <c r="CE29" s="255"/>
      <c r="CF29" s="255"/>
      <c r="CG29" s="255"/>
      <c r="CH29" s="255"/>
      <c r="CI29" s="64"/>
      <c r="CJ29" s="255"/>
      <c r="CK29" s="255"/>
      <c r="CL29" s="255"/>
      <c r="CM29" s="255"/>
      <c r="CN29" s="64"/>
      <c r="CO29" s="255"/>
      <c r="CP29" s="255"/>
      <c r="CQ29" s="255"/>
      <c r="CR29" s="255"/>
      <c r="CS29" s="64"/>
      <c r="CT29" s="255"/>
      <c r="CU29" s="255"/>
      <c r="CV29" s="255"/>
      <c r="CW29" s="255"/>
      <c r="CX29" s="64"/>
      <c r="CY29" s="255"/>
      <c r="CZ29" s="255"/>
      <c r="DA29" s="255"/>
      <c r="DB29" s="255"/>
      <c r="DC29" s="64"/>
      <c r="DD29" s="255"/>
      <c r="DE29" s="255"/>
      <c r="DF29" s="255"/>
      <c r="DG29" s="255"/>
      <c r="DH29" s="64"/>
      <c r="DI29" s="255"/>
      <c r="DJ29" s="255"/>
      <c r="DK29" s="255"/>
      <c r="DL29" s="255"/>
      <c r="DM29" s="64"/>
      <c r="DN29" s="255"/>
      <c r="DO29" s="255"/>
      <c r="DP29" s="255"/>
      <c r="DQ29" s="255"/>
      <c r="DR29" s="64"/>
      <c r="DS29" s="255"/>
      <c r="DT29" s="255"/>
      <c r="DU29" s="255"/>
      <c r="DV29" s="255"/>
      <c r="DW29" s="64"/>
      <c r="DX29" s="255"/>
      <c r="DY29" s="255"/>
      <c r="DZ29" s="255"/>
      <c r="EA29" s="255"/>
      <c r="EB29" s="64"/>
      <c r="EC29" s="255"/>
      <c r="ED29" s="255"/>
      <c r="EE29" s="255"/>
      <c r="EF29" s="255"/>
      <c r="EG29" s="64"/>
      <c r="EH29" s="255"/>
      <c r="EI29" s="255"/>
      <c r="EJ29" s="255"/>
      <c r="EK29" s="255"/>
      <c r="EL29" s="64"/>
    </row>
    <row r="30" spans="2:142">
      <c r="B30" s="9" t="s">
        <v>197</v>
      </c>
      <c r="C30" s="145"/>
      <c r="D30" s="145"/>
      <c r="E30" s="145"/>
      <c r="F30" s="145"/>
      <c r="G30" s="64"/>
      <c r="H30" s="146"/>
      <c r="I30" s="146"/>
      <c r="J30" s="146"/>
      <c r="K30" s="146"/>
      <c r="L30" s="64"/>
      <c r="M30" s="146"/>
      <c r="N30" s="146"/>
      <c r="O30" s="146"/>
      <c r="P30" s="146"/>
      <c r="Q30" s="64"/>
      <c r="R30" s="146"/>
      <c r="S30" s="146"/>
      <c r="T30" s="146"/>
      <c r="U30" s="146"/>
      <c r="V30" s="64"/>
      <c r="W30" s="146"/>
      <c r="X30" s="146"/>
      <c r="Y30" s="146"/>
      <c r="Z30" s="146"/>
      <c r="AA30" s="64"/>
      <c r="AB30" s="146"/>
      <c r="AC30" s="146"/>
      <c r="AD30" s="146"/>
      <c r="AE30" s="146"/>
      <c r="AF30" s="64"/>
      <c r="AG30" s="146"/>
      <c r="AH30" s="146"/>
      <c r="AI30" s="146"/>
      <c r="AJ30" s="146"/>
      <c r="AK30" s="64"/>
      <c r="AL30" s="146"/>
      <c r="AM30" s="146"/>
      <c r="AN30" s="146"/>
      <c r="AO30" s="146"/>
      <c r="AP30" s="64"/>
      <c r="AQ30" s="146"/>
      <c r="AR30" s="146"/>
      <c r="AS30" s="146"/>
      <c r="AT30" s="146"/>
      <c r="AU30" s="64"/>
      <c r="AV30" s="255"/>
      <c r="AW30" s="255"/>
      <c r="AX30" s="255"/>
      <c r="AY30" s="255"/>
      <c r="AZ30" s="64"/>
      <c r="BA30" s="255"/>
      <c r="BB30" s="255"/>
      <c r="BC30" s="255"/>
      <c r="BD30" s="255"/>
      <c r="BE30" s="64"/>
      <c r="BF30" s="255">
        <v>0</v>
      </c>
      <c r="BG30" s="256">
        <v>10.397</v>
      </c>
      <c r="BH30" s="256">
        <v>25.305</v>
      </c>
      <c r="BI30" s="256">
        <v>36</v>
      </c>
      <c r="BJ30" s="64">
        <f>SUM(BF30:BI30)</f>
        <v>71.701999999999998</v>
      </c>
      <c r="BK30" s="256">
        <v>41</v>
      </c>
      <c r="BL30" s="256">
        <v>49</v>
      </c>
      <c r="BM30" s="256">
        <v>59</v>
      </c>
      <c r="BN30" s="429">
        <f>BO30-SUM(BK30:BM30)</f>
        <v>59.900000000000006</v>
      </c>
      <c r="BO30" s="280">
        <v>208.9</v>
      </c>
      <c r="BP30" s="256">
        <v>64.599999999999994</v>
      </c>
      <c r="BQ30" s="256">
        <v>63</v>
      </c>
      <c r="BR30" s="256">
        <v>66.7</v>
      </c>
      <c r="BS30" s="256">
        <v>73.7</v>
      </c>
      <c r="BT30" s="64">
        <f>SUM(BP30:BS30)</f>
        <v>268</v>
      </c>
      <c r="BU30" s="256">
        <v>21</v>
      </c>
      <c r="BV30" s="255"/>
      <c r="BW30" s="255"/>
      <c r="BX30" s="255"/>
      <c r="BY30" s="64"/>
      <c r="BZ30" s="256"/>
      <c r="CA30" s="255"/>
      <c r="CB30" s="255"/>
      <c r="CC30" s="255"/>
      <c r="CD30" s="64"/>
      <c r="CE30" s="255"/>
      <c r="CF30" s="255"/>
      <c r="CG30" s="255"/>
      <c r="CH30" s="255"/>
      <c r="CI30" s="64"/>
      <c r="CJ30" s="255"/>
      <c r="CK30" s="255"/>
      <c r="CL30" s="255"/>
      <c r="CM30" s="255"/>
      <c r="CN30" s="64"/>
      <c r="CO30" s="255"/>
      <c r="CP30" s="255"/>
      <c r="CQ30" s="255"/>
      <c r="CR30" s="255"/>
      <c r="CS30" s="64"/>
      <c r="CT30" s="255"/>
      <c r="CU30" s="255"/>
      <c r="CV30" s="255"/>
      <c r="CW30" s="255"/>
      <c r="CX30" s="64"/>
      <c r="CY30" s="255"/>
      <c r="CZ30" s="255"/>
      <c r="DA30" s="255"/>
      <c r="DB30" s="255"/>
      <c r="DC30" s="64"/>
      <c r="DD30" s="255"/>
      <c r="DE30" s="255"/>
      <c r="DF30" s="255"/>
      <c r="DG30" s="255"/>
      <c r="DH30" s="64"/>
      <c r="DI30" s="255"/>
      <c r="DJ30" s="255"/>
      <c r="DK30" s="255"/>
      <c r="DL30" s="255"/>
      <c r="DM30" s="64"/>
      <c r="DN30" s="255"/>
      <c r="DO30" s="255"/>
      <c r="DP30" s="255"/>
      <c r="DQ30" s="255"/>
      <c r="DR30" s="64"/>
      <c r="DS30" s="255"/>
      <c r="DT30" s="255"/>
      <c r="DU30" s="255"/>
      <c r="DV30" s="255"/>
      <c r="DW30" s="64"/>
      <c r="DX30" s="255"/>
      <c r="DY30" s="255"/>
      <c r="DZ30" s="255"/>
      <c r="EA30" s="255"/>
      <c r="EB30" s="64"/>
      <c r="EC30" s="255"/>
      <c r="ED30" s="255"/>
      <c r="EE30" s="255"/>
      <c r="EF30" s="255"/>
      <c r="EG30" s="64"/>
      <c r="EH30" s="255"/>
      <c r="EI30" s="255"/>
      <c r="EJ30" s="255"/>
      <c r="EK30" s="255"/>
      <c r="EL30" s="64"/>
    </row>
    <row r="31" spans="2:142">
      <c r="B31" s="9" t="s">
        <v>98</v>
      </c>
      <c r="C31" s="145"/>
      <c r="D31" s="145"/>
      <c r="E31" s="145"/>
      <c r="F31" s="145"/>
      <c r="G31" s="64"/>
      <c r="H31" s="146"/>
      <c r="I31" s="146"/>
      <c r="J31" s="146"/>
      <c r="K31" s="146"/>
      <c r="L31" s="64"/>
      <c r="M31" s="146"/>
      <c r="N31" s="146"/>
      <c r="O31" s="146"/>
      <c r="P31" s="146"/>
      <c r="Q31" s="64"/>
      <c r="R31" s="146"/>
      <c r="S31" s="146"/>
      <c r="T31" s="146"/>
      <c r="U31" s="146"/>
      <c r="V31" s="64"/>
      <c r="W31" s="146"/>
      <c r="X31" s="146"/>
      <c r="Y31" s="146"/>
      <c r="Z31" s="146"/>
      <c r="AA31" s="64"/>
      <c r="AB31" s="146"/>
      <c r="AC31" s="146"/>
      <c r="AD31" s="146"/>
      <c r="AE31" s="146"/>
      <c r="AF31" s="64"/>
      <c r="AG31" s="146"/>
      <c r="AH31" s="146"/>
      <c r="AI31" s="146"/>
      <c r="AJ31" s="146"/>
      <c r="AK31" s="64"/>
      <c r="AL31" s="146"/>
      <c r="AM31" s="146"/>
      <c r="AN31" s="146"/>
      <c r="AO31" s="146"/>
      <c r="AP31" s="64"/>
      <c r="AQ31" s="146"/>
      <c r="AR31" s="146"/>
      <c r="AS31" s="146"/>
      <c r="AT31" s="146"/>
      <c r="AU31" s="64"/>
      <c r="AV31" s="255"/>
      <c r="AW31" s="255"/>
      <c r="AX31" s="255"/>
      <c r="AY31" s="255"/>
      <c r="AZ31" s="64"/>
      <c r="BA31" s="255"/>
      <c r="BB31" s="255"/>
      <c r="BC31" s="255"/>
      <c r="BD31" s="255"/>
      <c r="BE31" s="64"/>
      <c r="BF31" s="255">
        <v>0</v>
      </c>
      <c r="BG31" s="255">
        <v>0</v>
      </c>
      <c r="BH31" s="256">
        <v>0</v>
      </c>
      <c r="BI31" s="256">
        <v>4</v>
      </c>
      <c r="BJ31" s="64">
        <f>SUM(BF31:BI31)</f>
        <v>4</v>
      </c>
      <c r="BK31" s="256">
        <v>2</v>
      </c>
      <c r="BL31" s="256">
        <v>7</v>
      </c>
      <c r="BM31" s="256">
        <v>11</v>
      </c>
      <c r="BN31" s="429">
        <f>BO31-SUM(BK31:BM31)</f>
        <v>17</v>
      </c>
      <c r="BO31" s="280">
        <f>11.4+25.6</f>
        <v>37</v>
      </c>
      <c r="BP31" s="256">
        <f>9+10.4</f>
        <v>19.399999999999999</v>
      </c>
      <c r="BQ31" s="256">
        <f>14.4+17.3</f>
        <v>31.700000000000003</v>
      </c>
      <c r="BR31" s="256">
        <f>21.8+18.5</f>
        <v>40.299999999999997</v>
      </c>
      <c r="BS31" s="256">
        <f>22.8+19.5</f>
        <v>42.3</v>
      </c>
      <c r="BT31" s="64">
        <f>SUM(BP31:BS31)</f>
        <v>133.69999999999999</v>
      </c>
      <c r="BU31" s="256">
        <f>6.2+5</f>
        <v>11.2</v>
      </c>
      <c r="BV31" s="255"/>
      <c r="BW31" s="255"/>
      <c r="BX31" s="255"/>
      <c r="BY31" s="64"/>
      <c r="BZ31" s="256"/>
      <c r="CA31" s="255"/>
      <c r="CB31" s="255"/>
      <c r="CC31" s="255"/>
      <c r="CD31" s="64"/>
      <c r="CE31" s="255"/>
      <c r="CF31" s="255"/>
      <c r="CG31" s="255"/>
      <c r="CH31" s="255"/>
      <c r="CI31" s="64"/>
      <c r="CJ31" s="255"/>
      <c r="CK31" s="255"/>
      <c r="CL31" s="255"/>
      <c r="CM31" s="255"/>
      <c r="CN31" s="64"/>
      <c r="CO31" s="255"/>
      <c r="CP31" s="255"/>
      <c r="CQ31" s="255"/>
      <c r="CR31" s="255"/>
      <c r="CS31" s="64"/>
      <c r="CT31" s="255"/>
      <c r="CU31" s="255"/>
      <c r="CV31" s="255"/>
      <c r="CW31" s="255"/>
      <c r="CX31" s="64"/>
      <c r="CY31" s="255"/>
      <c r="CZ31" s="255"/>
      <c r="DA31" s="255"/>
      <c r="DB31" s="255"/>
      <c r="DC31" s="64"/>
      <c r="DD31" s="255"/>
      <c r="DE31" s="255"/>
      <c r="DF31" s="255"/>
      <c r="DG31" s="255"/>
      <c r="DH31" s="64"/>
      <c r="DI31" s="255"/>
      <c r="DJ31" s="255"/>
      <c r="DK31" s="255"/>
      <c r="DL31" s="255"/>
      <c r="DM31" s="64"/>
      <c r="DN31" s="255"/>
      <c r="DO31" s="255"/>
      <c r="DP31" s="255"/>
      <c r="DQ31" s="255"/>
      <c r="DR31" s="64"/>
      <c r="DS31" s="255"/>
      <c r="DT31" s="255"/>
      <c r="DU31" s="255"/>
      <c r="DV31" s="255"/>
      <c r="DW31" s="64"/>
      <c r="DX31" s="255"/>
      <c r="DY31" s="255"/>
      <c r="DZ31" s="255"/>
      <c r="EA31" s="255"/>
      <c r="EB31" s="64"/>
      <c r="EC31" s="255"/>
      <c r="ED31" s="255"/>
      <c r="EE31" s="255"/>
      <c r="EF31" s="255"/>
      <c r="EG31" s="64"/>
      <c r="EH31" s="255"/>
      <c r="EI31" s="255"/>
      <c r="EJ31" s="255"/>
      <c r="EK31" s="255"/>
      <c r="EL31" s="64"/>
    </row>
    <row r="32" spans="2:142">
      <c r="BK32" s="255"/>
      <c r="BL32" s="255"/>
      <c r="BM32" s="255"/>
      <c r="BN32" s="255"/>
      <c r="BP32" s="255"/>
      <c r="BQ32" s="255"/>
      <c r="BR32" s="255"/>
      <c r="BS32" s="255"/>
      <c r="BU32" s="255"/>
      <c r="BV32" s="255"/>
      <c r="BW32" s="255"/>
      <c r="BX32" s="255"/>
      <c r="BZ32" s="255"/>
      <c r="CA32" s="267"/>
      <c r="CB32" s="267"/>
      <c r="CC32" s="26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row>
    <row r="33" spans="2:142">
      <c r="B33" s="1" t="s">
        <v>75</v>
      </c>
      <c r="C33" s="145"/>
      <c r="D33" s="145"/>
      <c r="E33" s="145"/>
      <c r="F33" s="145"/>
      <c r="G33" s="64"/>
      <c r="H33" s="146"/>
      <c r="I33" s="146"/>
      <c r="J33" s="146"/>
      <c r="K33" s="146"/>
      <c r="L33" s="64"/>
      <c r="M33" s="146"/>
      <c r="N33" s="146"/>
      <c r="O33" s="146"/>
      <c r="P33" s="146"/>
      <c r="Q33" s="64"/>
      <c r="R33" s="146"/>
      <c r="S33" s="146"/>
      <c r="T33" s="146"/>
      <c r="U33" s="146"/>
      <c r="V33" s="64"/>
      <c r="W33" s="146"/>
      <c r="X33" s="146"/>
      <c r="Y33" s="146"/>
      <c r="Z33" s="146"/>
      <c r="AA33" s="64"/>
      <c r="AB33" s="146">
        <v>2.5840000000000001</v>
      </c>
      <c r="AC33" s="146">
        <v>0.17199999999999999</v>
      </c>
      <c r="AD33" s="146">
        <v>2.5099999999999998</v>
      </c>
      <c r="AE33" s="146">
        <f>+AF33-SUM(AB33:AD33)</f>
        <v>-0.16800000000000015</v>
      </c>
      <c r="AF33" s="64">
        <v>5.0979999999999999</v>
      </c>
      <c r="AG33" s="146">
        <v>2.33</v>
      </c>
      <c r="AH33" s="146"/>
      <c r="AI33" s="146">
        <v>2.0630000000000002</v>
      </c>
      <c r="AJ33" s="146"/>
      <c r="AK33" s="64">
        <v>4.3929999999999998</v>
      </c>
      <c r="AL33" s="146"/>
      <c r="AM33" s="146">
        <v>2.1999999999999999E-2</v>
      </c>
      <c r="AN33" s="146">
        <v>0.123</v>
      </c>
      <c r="AO33" s="146">
        <f>+AP33-SUM(AL33:AN33)</f>
        <v>0.11100000000000002</v>
      </c>
      <c r="AP33" s="64">
        <v>0.25600000000000001</v>
      </c>
      <c r="AQ33" s="146">
        <v>0.72499999999999998</v>
      </c>
      <c r="AR33" s="146">
        <v>1.0229999999999999</v>
      </c>
      <c r="AS33" s="146"/>
      <c r="AT33" s="146"/>
      <c r="AU33" s="64">
        <f>SUM(AQ33:AT33)</f>
        <v>1.7479999999999998</v>
      </c>
      <c r="AV33" s="255">
        <v>7.0000000000000001E-3</v>
      </c>
      <c r="AW33" s="255"/>
      <c r="AX33" s="255"/>
      <c r="AY33" s="255"/>
      <c r="AZ33" s="64">
        <f>SUM(AV33:AY33)</f>
        <v>7.0000000000000001E-3</v>
      </c>
      <c r="BA33" s="255"/>
      <c r="BB33" s="255"/>
      <c r="BC33" s="255"/>
      <c r="BD33" s="255"/>
      <c r="BE33" s="64"/>
      <c r="BF33" s="255"/>
      <c r="BG33" s="255"/>
      <c r="BH33" s="255"/>
      <c r="BI33" s="255"/>
      <c r="BJ33" s="64"/>
      <c r="BK33" s="255"/>
      <c r="BL33" s="255"/>
      <c r="BM33" s="255"/>
      <c r="BN33" s="255"/>
      <c r="BO33" s="64"/>
      <c r="BP33" s="256">
        <v>1.8</v>
      </c>
      <c r="BQ33" s="256">
        <v>15.4</v>
      </c>
      <c r="BR33" s="256">
        <f>0.1+30.7</f>
        <v>30.8</v>
      </c>
      <c r="BS33" s="256">
        <v>52.7</v>
      </c>
      <c r="BT33" s="64">
        <f>SUM(BP33:BS33)</f>
        <v>100.7</v>
      </c>
      <c r="BU33" s="256">
        <f>65.3+0.6</f>
        <v>65.899999999999991</v>
      </c>
      <c r="BV33" s="256">
        <f>88.7+1.9</f>
        <v>90.600000000000009</v>
      </c>
      <c r="BW33" s="256">
        <f>99.2+2.2</f>
        <v>101.4</v>
      </c>
      <c r="BX33" s="256">
        <f>117.6+4.3</f>
        <v>121.89999999999999</v>
      </c>
      <c r="BY33" s="64">
        <f>SUM(BU33:BX33)</f>
        <v>379.79999999999995</v>
      </c>
      <c r="BZ33" s="256">
        <v>127.5</v>
      </c>
      <c r="CA33" s="535">
        <v>132.5</v>
      </c>
      <c r="CB33" s="535">
        <v>137.5</v>
      </c>
      <c r="CC33" s="535">
        <v>143.07999999999993</v>
      </c>
      <c r="CD33" s="64">
        <v>540.57999999999993</v>
      </c>
      <c r="CE33" s="64"/>
      <c r="CF33" s="64"/>
      <c r="CG33" s="64"/>
      <c r="CH33" s="64"/>
      <c r="CI33" s="64">
        <v>604.63800000000003</v>
      </c>
      <c r="CJ33" s="64"/>
      <c r="CK33" s="64"/>
      <c r="CL33" s="64"/>
      <c r="CM33" s="64"/>
      <c r="CN33" s="64">
        <v>670.5018</v>
      </c>
      <c r="CO33" s="64"/>
      <c r="CP33" s="64"/>
      <c r="CQ33" s="64"/>
      <c r="CR33" s="64"/>
      <c r="CS33" s="64">
        <v>740.79198000000008</v>
      </c>
      <c r="CT33" s="64"/>
      <c r="CU33" s="64"/>
      <c r="CV33" s="64"/>
      <c r="CW33" s="64"/>
      <c r="CX33" s="64">
        <v>785.28357900000015</v>
      </c>
      <c r="CY33" s="64"/>
      <c r="CZ33" s="64"/>
      <c r="DA33" s="64"/>
      <c r="DB33" s="64"/>
      <c r="DC33" s="64">
        <v>833.11755795000022</v>
      </c>
      <c r="DD33" s="64"/>
      <c r="DE33" s="64"/>
      <c r="DF33" s="64"/>
      <c r="DG33" s="64"/>
      <c r="DH33" s="64">
        <v>884.62870584750033</v>
      </c>
      <c r="DI33" s="64"/>
      <c r="DJ33" s="64"/>
      <c r="DK33" s="64"/>
      <c r="DL33" s="64"/>
      <c r="DM33" s="64">
        <v>934.52692138987538</v>
      </c>
      <c r="DN33" s="64"/>
      <c r="DO33" s="64"/>
      <c r="DP33" s="64"/>
      <c r="DQ33" s="64"/>
      <c r="DR33" s="64">
        <v>987.4867257343692</v>
      </c>
      <c r="DS33" s="64"/>
      <c r="DT33" s="64"/>
      <c r="DU33" s="64"/>
      <c r="DV33" s="64"/>
      <c r="DW33" s="64">
        <v>1043.7178661235876</v>
      </c>
      <c r="DX33" s="64"/>
      <c r="DY33" s="64"/>
      <c r="DZ33" s="64"/>
      <c r="EA33" s="64"/>
      <c r="EB33" s="64">
        <v>1103.4462439425172</v>
      </c>
      <c r="EC33" s="64"/>
      <c r="ED33" s="64"/>
      <c r="EE33" s="64"/>
      <c r="EF33" s="64"/>
      <c r="EG33" s="64">
        <v>1158.618556139643</v>
      </c>
      <c r="EH33" s="64"/>
      <c r="EI33" s="64"/>
      <c r="EJ33" s="64"/>
      <c r="EK33" s="64"/>
      <c r="EL33" s="64">
        <v>1216.5494839466251</v>
      </c>
    </row>
    <row r="34" spans="2:142">
      <c r="C34" s="145"/>
      <c r="D34" s="145"/>
      <c r="E34" s="145"/>
      <c r="F34" s="145"/>
      <c r="G34" s="64"/>
      <c r="H34" s="146"/>
      <c r="I34" s="146"/>
      <c r="J34" s="146"/>
      <c r="K34" s="146"/>
      <c r="L34" s="64"/>
      <c r="M34" s="146"/>
      <c r="N34" s="146"/>
      <c r="O34" s="146"/>
      <c r="P34" s="146"/>
      <c r="Q34" s="64"/>
      <c r="R34" s="146"/>
      <c r="S34" s="146"/>
      <c r="T34" s="146"/>
      <c r="U34" s="146"/>
      <c r="V34" s="64"/>
      <c r="W34" s="146"/>
      <c r="X34" s="146"/>
      <c r="Y34" s="146"/>
      <c r="Z34" s="146"/>
      <c r="AA34" s="64"/>
      <c r="AB34" s="146"/>
      <c r="AC34" s="146"/>
      <c r="AD34" s="146"/>
      <c r="AE34" s="146"/>
      <c r="AF34" s="64"/>
      <c r="AG34" s="146"/>
      <c r="AH34" s="146"/>
      <c r="AI34" s="146"/>
      <c r="AJ34" s="146"/>
      <c r="AK34" s="64"/>
      <c r="AL34" s="146"/>
      <c r="AM34" s="146"/>
      <c r="AN34" s="146"/>
      <c r="AO34" s="146"/>
      <c r="AP34" s="64"/>
      <c r="AQ34" s="146"/>
      <c r="AR34" s="146"/>
      <c r="AS34" s="146"/>
      <c r="AT34" s="146"/>
      <c r="AU34" s="64"/>
      <c r="AV34" s="255"/>
      <c r="AW34" s="255"/>
      <c r="AX34" s="255"/>
      <c r="AY34" s="255"/>
      <c r="AZ34" s="64"/>
      <c r="BA34" s="255"/>
      <c r="BB34" s="255"/>
      <c r="BC34" s="255"/>
      <c r="BD34" s="255"/>
      <c r="BE34" s="64"/>
      <c r="BF34" s="255"/>
      <c r="BG34" s="255"/>
      <c r="BH34" s="255"/>
      <c r="BI34" s="255"/>
      <c r="BJ34" s="64"/>
      <c r="BK34" s="255"/>
      <c r="BL34" s="255"/>
      <c r="BM34" s="255"/>
      <c r="BN34" s="255"/>
      <c r="BO34" s="64"/>
      <c r="BP34" s="255"/>
      <c r="BQ34" s="255"/>
      <c r="BR34" s="255"/>
      <c r="BS34" s="255"/>
      <c r="BT34" s="64"/>
      <c r="BU34" s="255"/>
      <c r="BV34" s="255"/>
      <c r="BW34" s="255"/>
      <c r="BX34" s="255"/>
      <c r="BY34" s="64"/>
      <c r="BZ34" s="255"/>
      <c r="CA34" s="255"/>
      <c r="CB34" s="255"/>
      <c r="CC34" s="255"/>
      <c r="CD34" s="64"/>
      <c r="CE34" s="255"/>
      <c r="CF34" s="255"/>
      <c r="CG34" s="255"/>
      <c r="CH34" s="255"/>
      <c r="CI34" s="64"/>
      <c r="CJ34" s="255"/>
      <c r="CK34" s="255"/>
      <c r="CL34" s="255"/>
      <c r="CM34" s="255"/>
      <c r="CN34" s="64"/>
      <c r="CO34" s="255"/>
      <c r="CP34" s="255"/>
      <c r="CQ34" s="255"/>
      <c r="CR34" s="255"/>
      <c r="CS34" s="64"/>
      <c r="CT34" s="255"/>
      <c r="CU34" s="255"/>
      <c r="CV34" s="255"/>
      <c r="CW34" s="255"/>
      <c r="CX34" s="64"/>
      <c r="CY34" s="255"/>
      <c r="CZ34" s="255"/>
      <c r="DA34" s="255"/>
      <c r="DB34" s="255"/>
      <c r="DC34" s="64"/>
      <c r="DD34" s="255"/>
      <c r="DE34" s="255"/>
      <c r="DF34" s="255"/>
      <c r="DG34" s="255"/>
      <c r="DH34" s="64"/>
      <c r="DI34" s="255"/>
      <c r="DJ34" s="255"/>
      <c r="DK34" s="255"/>
      <c r="DL34" s="255"/>
      <c r="DM34" s="64"/>
      <c r="DN34" s="255"/>
      <c r="DO34" s="255"/>
      <c r="DP34" s="255"/>
      <c r="DQ34" s="255"/>
      <c r="DR34" s="64"/>
      <c r="DS34" s="255"/>
      <c r="DT34" s="255"/>
      <c r="DU34" s="255"/>
      <c r="DV34" s="255"/>
      <c r="DW34" s="64"/>
      <c r="DX34" s="255"/>
      <c r="DY34" s="255"/>
      <c r="DZ34" s="255"/>
      <c r="EA34" s="255"/>
      <c r="EB34" s="64"/>
      <c r="EC34" s="255"/>
      <c r="ED34" s="255"/>
      <c r="EE34" s="255"/>
      <c r="EF34" s="255"/>
      <c r="EG34" s="64"/>
      <c r="EH34" s="255"/>
      <c r="EI34" s="255"/>
      <c r="EJ34" s="255"/>
      <c r="EK34" s="255"/>
      <c r="EL34" s="64"/>
    </row>
    <row r="35" spans="2:142">
      <c r="B35" s="1" t="s">
        <v>102</v>
      </c>
      <c r="C35" s="145"/>
      <c r="D35" s="145"/>
      <c r="E35" s="145"/>
      <c r="F35" s="145"/>
      <c r="G35" s="64"/>
      <c r="H35" s="146"/>
      <c r="I35" s="146"/>
      <c r="J35" s="146"/>
      <c r="K35" s="146"/>
      <c r="L35" s="64"/>
      <c r="M35" s="146"/>
      <c r="N35" s="146"/>
      <c r="O35" s="146"/>
      <c r="P35" s="146"/>
      <c r="Q35" s="64"/>
      <c r="R35" s="146"/>
      <c r="S35" s="146"/>
      <c r="T35" s="146"/>
      <c r="U35" s="146"/>
      <c r="V35" s="64"/>
      <c r="W35" s="146"/>
      <c r="X35" s="146"/>
      <c r="Y35" s="146"/>
      <c r="Z35" s="146"/>
      <c r="AA35" s="64"/>
      <c r="AB35" s="146"/>
      <c r="AC35" s="146"/>
      <c r="AD35" s="146"/>
      <c r="AE35" s="146"/>
      <c r="AF35" s="64"/>
      <c r="AG35" s="146"/>
      <c r="AH35" s="146"/>
      <c r="AI35" s="146"/>
      <c r="AJ35" s="146"/>
      <c r="AK35" s="64"/>
      <c r="AL35" s="146"/>
      <c r="AM35" s="146"/>
      <c r="AN35" s="146"/>
      <c r="AO35" s="146"/>
      <c r="AP35" s="64"/>
      <c r="AQ35" s="146"/>
      <c r="AR35" s="146"/>
      <c r="AS35" s="146"/>
      <c r="AT35" s="146"/>
      <c r="AU35" s="64"/>
      <c r="AV35" s="255"/>
      <c r="AW35" s="255"/>
      <c r="AX35" s="255"/>
      <c r="AY35" s="255"/>
      <c r="AZ35" s="64"/>
      <c r="BA35" s="255"/>
      <c r="BB35" s="255"/>
      <c r="BC35" s="255"/>
      <c r="BD35" s="255"/>
      <c r="BE35" s="64"/>
      <c r="BF35" s="255"/>
      <c r="BG35" s="255"/>
      <c r="BH35" s="255"/>
      <c r="BI35" s="255"/>
      <c r="BJ35" s="64"/>
      <c r="BK35" s="255"/>
      <c r="BL35" s="255"/>
      <c r="BM35" s="255"/>
      <c r="BN35" s="255"/>
      <c r="BO35" s="64"/>
      <c r="BP35" s="255"/>
      <c r="BQ35" s="255"/>
      <c r="BR35" s="255"/>
      <c r="BS35" s="255"/>
      <c r="BT35" s="64"/>
      <c r="BU35" s="255"/>
      <c r="BV35" s="255"/>
      <c r="BW35" s="255"/>
      <c r="BX35" s="255"/>
      <c r="BY35" s="64"/>
      <c r="BZ35" s="255"/>
      <c r="CA35" s="255"/>
      <c r="CB35" s="255"/>
      <c r="CC35" s="255"/>
      <c r="CD35" s="64"/>
      <c r="CE35" s="255"/>
      <c r="CF35" s="255"/>
      <c r="CG35" s="255"/>
      <c r="CH35" s="255"/>
      <c r="CI35" s="64"/>
      <c r="CJ35" s="255"/>
      <c r="CK35" s="255"/>
      <c r="CL35" s="255"/>
      <c r="CM35" s="255"/>
      <c r="CN35" s="64"/>
      <c r="CO35" s="255"/>
      <c r="CP35" s="255"/>
      <c r="CQ35" s="255"/>
      <c r="CR35" s="255"/>
      <c r="CS35" s="64"/>
      <c r="CT35" s="255"/>
      <c r="CU35" s="255"/>
      <c r="CV35" s="255"/>
      <c r="CW35" s="255"/>
      <c r="CX35" s="64"/>
      <c r="CY35" s="255"/>
      <c r="CZ35" s="255"/>
      <c r="DA35" s="255"/>
      <c r="DB35" s="255"/>
      <c r="DC35" s="64"/>
      <c r="DD35" s="255"/>
      <c r="DE35" s="255"/>
      <c r="DF35" s="255"/>
      <c r="DG35" s="255"/>
      <c r="DH35" s="64"/>
      <c r="DI35" s="255"/>
      <c r="DJ35" s="255"/>
      <c r="DK35" s="255"/>
      <c r="DL35" s="255"/>
      <c r="DM35" s="64"/>
      <c r="DN35" s="255"/>
      <c r="DO35" s="255"/>
      <c r="DP35" s="255"/>
      <c r="DQ35" s="255"/>
      <c r="DR35" s="64"/>
      <c r="DS35" s="255"/>
      <c r="DT35" s="255"/>
      <c r="DU35" s="255"/>
      <c r="DV35" s="255"/>
      <c r="DW35" s="64"/>
      <c r="DX35" s="255"/>
      <c r="DY35" s="255"/>
      <c r="DZ35" s="255"/>
      <c r="EA35" s="255"/>
      <c r="EB35" s="64"/>
      <c r="EC35" s="255"/>
      <c r="ED35" s="255"/>
      <c r="EE35" s="255"/>
      <c r="EF35" s="255"/>
      <c r="EG35" s="64"/>
      <c r="EH35" s="255"/>
      <c r="EI35" s="255"/>
      <c r="EJ35" s="255"/>
      <c r="EK35" s="255"/>
      <c r="EL35" s="64"/>
    </row>
    <row r="36" spans="2:142" hidden="1" outlineLevel="1">
      <c r="B36" s="4"/>
      <c r="C36" s="145"/>
      <c r="D36" s="145"/>
      <c r="E36" s="145"/>
      <c r="F36" s="145"/>
      <c r="G36" s="64"/>
      <c r="H36" s="146"/>
      <c r="I36" s="146"/>
      <c r="J36" s="146"/>
      <c r="K36" s="146"/>
      <c r="L36" s="64"/>
      <c r="M36" s="146"/>
      <c r="N36" s="146"/>
      <c r="O36" s="146"/>
      <c r="P36" s="146"/>
      <c r="Q36" s="64"/>
      <c r="R36" s="146"/>
      <c r="S36" s="146"/>
      <c r="T36" s="146"/>
      <c r="U36" s="146"/>
      <c r="V36" s="64"/>
      <c r="W36" s="146"/>
      <c r="X36" s="146"/>
      <c r="Y36" s="146"/>
      <c r="Z36" s="146"/>
      <c r="AA36" s="64"/>
      <c r="AB36" s="146"/>
      <c r="AC36" s="146"/>
      <c r="AD36" s="146"/>
      <c r="AE36" s="146"/>
      <c r="AF36" s="64"/>
      <c r="AG36" s="146"/>
      <c r="AH36" s="146"/>
      <c r="AI36" s="146"/>
      <c r="AJ36" s="146"/>
      <c r="AK36" s="64"/>
      <c r="AL36" s="146"/>
      <c r="AM36" s="146"/>
      <c r="AN36" s="146"/>
      <c r="AO36" s="146"/>
      <c r="AP36" s="64"/>
      <c r="AQ36" s="146"/>
      <c r="AR36" s="146"/>
      <c r="AS36" s="146"/>
      <c r="AT36" s="146"/>
      <c r="AU36" s="64"/>
      <c r="AV36" s="255"/>
      <c r="AW36" s="255"/>
      <c r="AX36" s="255"/>
      <c r="AY36" s="255"/>
      <c r="AZ36" s="64"/>
      <c r="BA36" s="255"/>
      <c r="BB36" s="255"/>
      <c r="BC36" s="255"/>
      <c r="BD36" s="255"/>
      <c r="BE36" s="64"/>
      <c r="BF36" s="255"/>
      <c r="BG36" s="255"/>
      <c r="BH36" s="255"/>
      <c r="BI36" s="255"/>
      <c r="BJ36" s="64"/>
      <c r="BK36" s="255"/>
      <c r="BL36" s="255"/>
      <c r="BM36" s="255"/>
      <c r="BN36" s="255"/>
      <c r="BO36" s="21"/>
      <c r="BP36" s="255"/>
      <c r="BQ36" s="255"/>
      <c r="BR36" s="255"/>
      <c r="BS36" s="255"/>
      <c r="BT36" s="64"/>
      <c r="BU36" s="255"/>
      <c r="BV36" s="255"/>
      <c r="BW36" s="255"/>
      <c r="BX36" s="255"/>
      <c r="BY36" s="64"/>
      <c r="BZ36" s="255"/>
      <c r="CA36" s="255"/>
      <c r="CB36" s="255"/>
      <c r="CC36" s="255"/>
      <c r="CD36" s="64"/>
      <c r="CE36" s="255"/>
      <c r="CF36" s="255"/>
      <c r="CG36" s="255"/>
      <c r="CH36" s="255"/>
      <c r="CI36" s="64"/>
      <c r="CJ36" s="255"/>
      <c r="CK36" s="255"/>
      <c r="CL36" s="255"/>
      <c r="CM36" s="255"/>
      <c r="CN36" s="64"/>
      <c r="CO36" s="255"/>
      <c r="CP36" s="255"/>
      <c r="CQ36" s="255"/>
      <c r="CR36" s="255"/>
      <c r="CS36" s="64"/>
      <c r="CT36" s="255"/>
      <c r="CU36" s="255"/>
      <c r="CV36" s="255"/>
      <c r="CW36" s="255"/>
      <c r="CX36" s="64"/>
      <c r="CY36" s="255"/>
      <c r="CZ36" s="255"/>
      <c r="DA36" s="255"/>
      <c r="DB36" s="255"/>
      <c r="DC36" s="64"/>
      <c r="DD36" s="255"/>
      <c r="DE36" s="255"/>
      <c r="DF36" s="255"/>
      <c r="DG36" s="255"/>
      <c r="DH36" s="64"/>
      <c r="DI36" s="255"/>
      <c r="DJ36" s="255"/>
      <c r="DK36" s="255"/>
      <c r="DL36" s="255"/>
      <c r="DM36" s="64"/>
      <c r="DN36" s="255"/>
      <c r="DO36" s="255"/>
      <c r="DP36" s="255"/>
      <c r="DQ36" s="255"/>
      <c r="DR36" s="64"/>
      <c r="DS36" s="255"/>
      <c r="DT36" s="255"/>
      <c r="DU36" s="255"/>
      <c r="DV36" s="255"/>
      <c r="DW36" s="64"/>
      <c r="DX36" s="255"/>
      <c r="DY36" s="255"/>
      <c r="DZ36" s="255"/>
      <c r="EA36" s="255"/>
      <c r="EB36" s="64"/>
      <c r="EC36" s="255"/>
      <c r="ED36" s="255"/>
      <c r="EE36" s="255"/>
      <c r="EF36" s="255"/>
      <c r="EG36" s="64"/>
      <c r="EH36" s="255"/>
      <c r="EI36" s="255"/>
      <c r="EJ36" s="255"/>
      <c r="EK36" s="255"/>
      <c r="EL36" s="64"/>
    </row>
    <row r="37" spans="2:142" s="4" customFormat="1" hidden="1" outlineLevel="1">
      <c r="B37" s="22" t="s">
        <v>103</v>
      </c>
      <c r="C37" s="137"/>
      <c r="D37" s="137"/>
      <c r="E37" s="137"/>
      <c r="F37" s="137"/>
      <c r="G37" s="105"/>
      <c r="H37" s="138">
        <v>0</v>
      </c>
      <c r="I37" s="138">
        <v>0</v>
      </c>
      <c r="J37" s="138">
        <v>0</v>
      </c>
      <c r="K37" s="138">
        <f>+L37-SUM(H37:J37)</f>
        <v>3.121</v>
      </c>
      <c r="L37" s="105">
        <v>3.121</v>
      </c>
      <c r="M37" s="138">
        <v>5.9459999999999997</v>
      </c>
      <c r="N37" s="138">
        <v>-0.89700000000000002</v>
      </c>
      <c r="O37" s="138">
        <v>-0.19600000000000001</v>
      </c>
      <c r="P37" s="138">
        <f>+Q37-SUM(M37:O37)</f>
        <v>-0.19700000000000006</v>
      </c>
      <c r="Q37" s="105">
        <v>4.6559999999999997</v>
      </c>
      <c r="R37" s="138">
        <v>-0.19600000000000001</v>
      </c>
      <c r="S37" s="138">
        <v>-0.19600000000000001</v>
      </c>
      <c r="T37" s="138">
        <v>18.654</v>
      </c>
      <c r="U37" s="138">
        <f>+V37-SUM(R37:T37)</f>
        <v>17.569000000000003</v>
      </c>
      <c r="V37" s="105">
        <v>35.831000000000003</v>
      </c>
      <c r="W37" s="138">
        <v>29.76</v>
      </c>
      <c r="X37" s="138">
        <v>47.539000000000001</v>
      </c>
      <c r="Y37" s="138">
        <v>62.902999999999999</v>
      </c>
      <c r="Z37" s="138">
        <f>+AA37-SUM(W37:Y37)</f>
        <v>89.641999999999996</v>
      </c>
      <c r="AA37" s="105">
        <v>229.84399999999999</v>
      </c>
      <c r="AB37" s="138">
        <v>114.663</v>
      </c>
      <c r="AC37" s="138">
        <v>147.173</v>
      </c>
      <c r="AD37" s="138">
        <v>171.16900000000001</v>
      </c>
      <c r="AE37" s="138">
        <f>+AF37-SUM(AB37:AD37)</f>
        <v>155.59299999999996</v>
      </c>
      <c r="AF37" s="105">
        <v>588.59799999999996</v>
      </c>
      <c r="AG37" s="138">
        <v>165.20500000000001</v>
      </c>
      <c r="AH37" s="138">
        <v>187.625</v>
      </c>
      <c r="AI37" s="138">
        <v>207.01300000000001</v>
      </c>
      <c r="AJ37" s="138">
        <f>+AK37-SUM(AG37:AI37)</f>
        <v>216.1869999999999</v>
      </c>
      <c r="AK37" s="105">
        <v>776.03</v>
      </c>
      <c r="AL37" s="138">
        <v>218.643</v>
      </c>
      <c r="AM37" s="138">
        <v>219.238</v>
      </c>
      <c r="AN37" s="138">
        <v>220.739</v>
      </c>
      <c r="AO37" s="138">
        <f>+AP37-SUM(AL37:AN37)</f>
        <v>241.63</v>
      </c>
      <c r="AP37" s="105">
        <v>900.25</v>
      </c>
      <c r="AQ37" s="138">
        <v>251.393</v>
      </c>
      <c r="AR37" s="138">
        <v>281.38299999999998</v>
      </c>
      <c r="AS37" s="138">
        <v>277.322</v>
      </c>
      <c r="AT37" s="138">
        <v>269.35000000000002</v>
      </c>
      <c r="AU37" s="105">
        <f>SUM(AQ37:AT37)</f>
        <v>1079.4479999999999</v>
      </c>
      <c r="AV37" s="254">
        <v>285.53199999999998</v>
      </c>
      <c r="AW37" s="254">
        <v>280.423</v>
      </c>
      <c r="AX37" s="254">
        <v>274.76900000000001</v>
      </c>
      <c r="AY37" s="254">
        <v>295.17099999999999</v>
      </c>
      <c r="AZ37" s="105">
        <f>SUM(AV37:AY37)</f>
        <v>1135.895</v>
      </c>
      <c r="BA37" s="254">
        <v>312.17</v>
      </c>
      <c r="BB37" s="254">
        <f>+BB38+BB39</f>
        <v>263.39826640141689</v>
      </c>
      <c r="BC37" s="254"/>
      <c r="BD37" s="254"/>
      <c r="BE37" s="105"/>
      <c r="BF37" s="254"/>
      <c r="BG37" s="254"/>
      <c r="BH37" s="254"/>
      <c r="BI37" s="254"/>
      <c r="BJ37" s="111"/>
      <c r="BK37" s="254"/>
      <c r="BL37" s="254"/>
      <c r="BM37" s="254"/>
      <c r="BN37" s="254"/>
      <c r="BO37" s="111"/>
      <c r="BP37" s="254"/>
      <c r="BQ37" s="254"/>
      <c r="BR37" s="254"/>
      <c r="BS37" s="254"/>
      <c r="BT37" s="111"/>
      <c r="BU37" s="254"/>
      <c r="BV37" s="254"/>
      <c r="BW37" s="254"/>
      <c r="BX37" s="254"/>
      <c r="BY37" s="111"/>
      <c r="BZ37" s="254"/>
      <c r="CA37" s="254"/>
      <c r="CB37" s="254"/>
      <c r="CC37" s="254"/>
      <c r="CD37" s="111"/>
      <c r="CE37" s="254"/>
      <c r="CF37" s="254"/>
      <c r="CG37" s="254"/>
      <c r="CH37" s="254"/>
      <c r="CI37" s="111"/>
      <c r="CJ37" s="254"/>
      <c r="CK37" s="254"/>
      <c r="CL37" s="254"/>
      <c r="CM37" s="254"/>
      <c r="CN37" s="111"/>
      <c r="CO37" s="254"/>
      <c r="CP37" s="254"/>
      <c r="CQ37" s="254"/>
      <c r="CR37" s="254"/>
      <c r="CS37" s="111"/>
      <c r="CT37" s="254"/>
      <c r="CU37" s="254"/>
      <c r="CV37" s="254"/>
      <c r="CW37" s="254"/>
      <c r="CX37" s="111"/>
      <c r="CY37" s="254"/>
      <c r="CZ37" s="254"/>
      <c r="DA37" s="254"/>
      <c r="DB37" s="254"/>
      <c r="DC37" s="111"/>
      <c r="DD37" s="254"/>
      <c r="DE37" s="254"/>
      <c r="DF37" s="254"/>
      <c r="DG37" s="254"/>
      <c r="DH37" s="111"/>
      <c r="DI37" s="254"/>
      <c r="DJ37" s="254"/>
      <c r="DK37" s="254"/>
      <c r="DL37" s="254"/>
      <c r="DM37" s="111"/>
      <c r="DN37" s="254"/>
      <c r="DO37" s="254"/>
      <c r="DP37" s="254"/>
      <c r="DQ37" s="254"/>
      <c r="DR37" s="111"/>
      <c r="DS37" s="254"/>
      <c r="DT37" s="254"/>
      <c r="DU37" s="254"/>
      <c r="DV37" s="254"/>
      <c r="DW37" s="111"/>
      <c r="DX37" s="254"/>
      <c r="DY37" s="254"/>
      <c r="DZ37" s="254"/>
      <c r="EA37" s="254"/>
      <c r="EB37" s="111"/>
      <c r="EC37" s="254"/>
      <c r="ED37" s="254"/>
      <c r="EE37" s="254"/>
      <c r="EF37" s="254"/>
      <c r="EG37" s="111"/>
      <c r="EH37" s="254"/>
      <c r="EI37" s="254"/>
      <c r="EJ37" s="254"/>
      <c r="EK37" s="254"/>
      <c r="EL37" s="111"/>
    </row>
    <row r="38" spans="2:142" hidden="1" outlineLevel="1">
      <c r="B38" s="11" t="s">
        <v>97</v>
      </c>
      <c r="C38" s="145"/>
      <c r="D38" s="145"/>
      <c r="E38" s="145"/>
      <c r="F38" s="145"/>
      <c r="G38" s="64"/>
      <c r="H38" s="146"/>
      <c r="I38" s="146"/>
      <c r="J38" s="146"/>
      <c r="K38" s="146"/>
      <c r="L38" s="64"/>
      <c r="M38" s="146"/>
      <c r="N38" s="146"/>
      <c r="O38" s="146">
        <v>-0.19600000000000001</v>
      </c>
      <c r="P38" s="146"/>
      <c r="Q38" s="64">
        <v>4.6559999999999997</v>
      </c>
      <c r="R38" s="146">
        <v>-0.19600000000000001</v>
      </c>
      <c r="S38" s="146">
        <v>-0.19600000000000001</v>
      </c>
      <c r="T38" s="146">
        <v>15.9</v>
      </c>
      <c r="U38" s="146">
        <f>+V38-SUM(R38:T38)</f>
        <v>10.391999999999998</v>
      </c>
      <c r="V38" s="64">
        <v>25.9</v>
      </c>
      <c r="W38" s="146">
        <v>17.100000000000001</v>
      </c>
      <c r="X38" s="146">
        <v>22.3</v>
      </c>
      <c r="Y38" s="146">
        <v>28.1</v>
      </c>
      <c r="Z38" s="146">
        <f>+AA38-SUM(W38:Y38)</f>
        <v>36.900000000000006</v>
      </c>
      <c r="AA38" s="64">
        <v>104.4</v>
      </c>
      <c r="AB38" s="146">
        <v>41.3</v>
      </c>
      <c r="AC38" s="146">
        <v>46.5</v>
      </c>
      <c r="AD38" s="146">
        <v>56.2</v>
      </c>
      <c r="AE38" s="146">
        <f>+AF38-SUM(AB38:AD38)</f>
        <v>52.400000000000006</v>
      </c>
      <c r="AF38" s="64">
        <v>196.4</v>
      </c>
      <c r="AG38" s="146">
        <v>53</v>
      </c>
      <c r="AH38" s="146">
        <v>57.3</v>
      </c>
      <c r="AI38" s="146">
        <v>59.3</v>
      </c>
      <c r="AJ38" s="146">
        <f>+AK38-SUM(AG38:AI38)</f>
        <v>62.200000000000017</v>
      </c>
      <c r="AK38" s="64">
        <v>231.8</v>
      </c>
      <c r="AL38" s="146">
        <v>60.4</v>
      </c>
      <c r="AM38" s="146">
        <v>62.1</v>
      </c>
      <c r="AN38" s="146">
        <v>60.6</v>
      </c>
      <c r="AO38" s="146">
        <f>+AP38-SUM(AL38:AN38)</f>
        <v>69.700000000000017</v>
      </c>
      <c r="AP38" s="64">
        <v>252.8</v>
      </c>
      <c r="AQ38" s="146">
        <v>73.2</v>
      </c>
      <c r="AR38" s="146">
        <v>81.2</v>
      </c>
      <c r="AS38" s="146">
        <v>85.387662000000006</v>
      </c>
      <c r="AT38" s="146">
        <v>87</v>
      </c>
      <c r="AU38" s="64">
        <f>SUM(AQ38:AT38)</f>
        <v>326.78766200000001</v>
      </c>
      <c r="AV38" s="255">
        <v>87</v>
      </c>
      <c r="AW38" s="255">
        <v>81</v>
      </c>
      <c r="AX38" s="255">
        <v>98</v>
      </c>
      <c r="AY38" s="255">
        <v>104</v>
      </c>
      <c r="AZ38" s="64">
        <f>SUM(AV38:AY38)</f>
        <v>370</v>
      </c>
      <c r="BA38" s="255">
        <v>111.1488811312153</v>
      </c>
      <c r="BB38" s="255">
        <v>94.398266401416862</v>
      </c>
      <c r="BC38" s="255"/>
      <c r="BD38" s="255"/>
      <c r="BE38" s="64"/>
      <c r="BF38" s="255"/>
      <c r="BG38" s="255"/>
      <c r="BH38" s="255"/>
      <c r="BI38" s="255"/>
      <c r="BJ38" s="101"/>
      <c r="BK38" s="255"/>
      <c r="BL38" s="255"/>
      <c r="BM38" s="255"/>
      <c r="BN38" s="255"/>
      <c r="BO38" s="101"/>
      <c r="BP38" s="255"/>
      <c r="BQ38" s="255"/>
      <c r="BR38" s="255"/>
      <c r="BS38" s="255"/>
      <c r="BT38" s="101"/>
      <c r="BU38" s="255"/>
      <c r="BV38" s="255"/>
      <c r="BW38" s="255"/>
      <c r="BX38" s="255"/>
      <c r="BY38" s="101"/>
      <c r="BZ38" s="255"/>
      <c r="CA38" s="255"/>
      <c r="CB38" s="255"/>
      <c r="CC38" s="255"/>
      <c r="CD38" s="101"/>
      <c r="CE38" s="255"/>
      <c r="CF38" s="255"/>
      <c r="CG38" s="255"/>
      <c r="CH38" s="255"/>
      <c r="CI38" s="101"/>
      <c r="CJ38" s="255"/>
      <c r="CK38" s="255"/>
      <c r="CL38" s="255"/>
      <c r="CM38" s="255"/>
      <c r="CN38" s="101"/>
      <c r="CO38" s="255"/>
      <c r="CP38" s="255"/>
      <c r="CQ38" s="255"/>
      <c r="CR38" s="255"/>
      <c r="CS38" s="101"/>
      <c r="CT38" s="255"/>
      <c r="CU38" s="255"/>
      <c r="CV38" s="255"/>
      <c r="CW38" s="255"/>
      <c r="CX38" s="101"/>
      <c r="CY38" s="255"/>
      <c r="CZ38" s="255"/>
      <c r="DA38" s="255"/>
      <c r="DB38" s="255"/>
      <c r="DC38" s="101"/>
      <c r="DD38" s="255"/>
      <c r="DE38" s="255"/>
      <c r="DF38" s="255"/>
      <c r="DG38" s="255"/>
      <c r="DH38" s="101"/>
      <c r="DI38" s="255"/>
      <c r="DJ38" s="255"/>
      <c r="DK38" s="255"/>
      <c r="DL38" s="255"/>
      <c r="DM38" s="101"/>
      <c r="DN38" s="255"/>
      <c r="DO38" s="255"/>
      <c r="DP38" s="255"/>
      <c r="DQ38" s="255"/>
      <c r="DR38" s="101"/>
      <c r="DS38" s="255"/>
      <c r="DT38" s="255"/>
      <c r="DU38" s="255"/>
      <c r="DV38" s="255"/>
      <c r="DW38" s="101"/>
      <c r="DX38" s="255"/>
      <c r="DY38" s="255"/>
      <c r="DZ38" s="255"/>
      <c r="EA38" s="255"/>
      <c r="EB38" s="101"/>
      <c r="EC38" s="255"/>
      <c r="ED38" s="255"/>
      <c r="EE38" s="255"/>
      <c r="EF38" s="255"/>
      <c r="EG38" s="101"/>
      <c r="EH38" s="255"/>
      <c r="EI38" s="255"/>
      <c r="EJ38" s="255"/>
      <c r="EK38" s="255"/>
      <c r="EL38" s="101"/>
    </row>
    <row r="39" spans="2:142" hidden="1" outlineLevel="1">
      <c r="B39" s="11" t="s">
        <v>101</v>
      </c>
      <c r="C39" s="145"/>
      <c r="D39" s="145"/>
      <c r="E39" s="145"/>
      <c r="F39" s="145"/>
      <c r="G39" s="64"/>
      <c r="H39" s="146"/>
      <c r="I39" s="146"/>
      <c r="J39" s="146"/>
      <c r="K39" s="146"/>
      <c r="L39" s="64"/>
      <c r="M39" s="146"/>
      <c r="N39" s="146"/>
      <c r="O39" s="146">
        <f>+O37-O38</f>
        <v>0</v>
      </c>
      <c r="P39" s="146"/>
      <c r="Q39" s="64">
        <f>+Q37-Q38</f>
        <v>0</v>
      </c>
      <c r="R39" s="146">
        <f>+R37-R38</f>
        <v>0</v>
      </c>
      <c r="S39" s="146">
        <f>+S37-S38</f>
        <v>0</v>
      </c>
      <c r="T39" s="146">
        <f>+T37-T38</f>
        <v>2.7539999999999996</v>
      </c>
      <c r="U39" s="146">
        <f>+V39-SUM(R39:T39)</f>
        <v>7.1770000000000049</v>
      </c>
      <c r="V39" s="64">
        <f>+V37-V38</f>
        <v>9.9310000000000045</v>
      </c>
      <c r="W39" s="146">
        <f>+W37-W38</f>
        <v>12.66</v>
      </c>
      <c r="X39" s="146">
        <f>+X37-X38</f>
        <v>25.239000000000001</v>
      </c>
      <c r="Y39" s="146">
        <f>+Y37-Y38</f>
        <v>34.802999999999997</v>
      </c>
      <c r="Z39" s="146">
        <f>+AA39-SUM(W39:Y39)</f>
        <v>52.74199999999999</v>
      </c>
      <c r="AA39" s="64">
        <f>+AA37-AA38</f>
        <v>125.44399999999999</v>
      </c>
      <c r="AB39" s="146">
        <f>+AB37-AB38</f>
        <v>73.363</v>
      </c>
      <c r="AC39" s="146">
        <f>+AC37-AC38</f>
        <v>100.673</v>
      </c>
      <c r="AD39" s="146">
        <f>+AD37-AD38</f>
        <v>114.96900000000001</v>
      </c>
      <c r="AE39" s="146">
        <f>+AF39-SUM(AB39:AD39)</f>
        <v>103.19299999999998</v>
      </c>
      <c r="AF39" s="64">
        <f>+AF37-AF38</f>
        <v>392.19799999999998</v>
      </c>
      <c r="AG39" s="146">
        <f>+AG37-AG38</f>
        <v>112.20500000000001</v>
      </c>
      <c r="AH39" s="146">
        <f>+AH37-AH38</f>
        <v>130.32499999999999</v>
      </c>
      <c r="AI39" s="146">
        <f>+AI37-AI38</f>
        <v>147.71300000000002</v>
      </c>
      <c r="AJ39" s="146">
        <f>+AK39-SUM(AG39:AI39)</f>
        <v>153.98699999999997</v>
      </c>
      <c r="AK39" s="64">
        <f>+AK37-AK38</f>
        <v>544.23</v>
      </c>
      <c r="AL39" s="146">
        <f>+AL37-AL38</f>
        <v>158.24299999999999</v>
      </c>
      <c r="AM39" s="146">
        <f>+AM37-AM38</f>
        <v>157.13800000000001</v>
      </c>
      <c r="AN39" s="146">
        <f>+AN37-AN38</f>
        <v>160.13900000000001</v>
      </c>
      <c r="AO39" s="146">
        <f>+AP39-SUM(AL39:AN39)</f>
        <v>171.93000000000006</v>
      </c>
      <c r="AP39" s="64">
        <f>+AP37-AP38</f>
        <v>647.45000000000005</v>
      </c>
      <c r="AQ39" s="146">
        <f>+AQ37-AQ38</f>
        <v>178.19299999999998</v>
      </c>
      <c r="AR39" s="146">
        <f>+AR37-AR38</f>
        <v>200.18299999999999</v>
      </c>
      <c r="AS39" s="146">
        <f>+AS37-AS38</f>
        <v>191.934338</v>
      </c>
      <c r="AT39" s="146">
        <v>182</v>
      </c>
      <c r="AU39" s="64">
        <f>SUM(AQ39:AT39)</f>
        <v>752.310338</v>
      </c>
      <c r="AV39" s="255">
        <v>198</v>
      </c>
      <c r="AW39" s="255">
        <v>200</v>
      </c>
      <c r="AX39" s="255">
        <v>177</v>
      </c>
      <c r="AY39" s="255">
        <v>191</v>
      </c>
      <c r="AZ39" s="64">
        <f>SUM(AV39:AY39)</f>
        <v>766</v>
      </c>
      <c r="BA39" s="255">
        <v>199</v>
      </c>
      <c r="BB39" s="255">
        <v>169</v>
      </c>
      <c r="BC39" s="255"/>
      <c r="BD39" s="255"/>
      <c r="BE39" s="64"/>
      <c r="BF39" s="255"/>
      <c r="BG39" s="255"/>
      <c r="BH39" s="255"/>
      <c r="BI39" s="255"/>
      <c r="BJ39" s="101"/>
      <c r="BK39" s="255"/>
      <c r="BL39" s="255"/>
      <c r="BM39" s="255"/>
      <c r="BN39" s="255"/>
      <c r="BO39" s="101"/>
      <c r="BP39" s="255"/>
      <c r="BQ39" s="255"/>
      <c r="BR39" s="255"/>
      <c r="BS39" s="255"/>
      <c r="BT39" s="101"/>
      <c r="BU39" s="255"/>
      <c r="BV39" s="255"/>
      <c r="BW39" s="255"/>
      <c r="BX39" s="255"/>
      <c r="BY39" s="101"/>
      <c r="BZ39" s="255"/>
      <c r="CA39" s="255"/>
      <c r="CB39" s="255"/>
      <c r="CC39" s="255"/>
      <c r="CD39" s="101"/>
      <c r="CE39" s="255"/>
      <c r="CF39" s="255"/>
      <c r="CG39" s="255"/>
      <c r="CH39" s="255"/>
      <c r="CI39" s="101"/>
      <c r="CJ39" s="255"/>
      <c r="CK39" s="255"/>
      <c r="CL39" s="255"/>
      <c r="CM39" s="255"/>
      <c r="CN39" s="101"/>
      <c r="CO39" s="255"/>
      <c r="CP39" s="255"/>
      <c r="CQ39" s="255"/>
      <c r="CR39" s="255"/>
      <c r="CS39" s="101"/>
      <c r="CT39" s="255"/>
      <c r="CU39" s="255"/>
      <c r="CV39" s="255"/>
      <c r="CW39" s="255"/>
      <c r="CX39" s="101"/>
      <c r="CY39" s="255"/>
      <c r="CZ39" s="255"/>
      <c r="DA39" s="255"/>
      <c r="DB39" s="255"/>
      <c r="DC39" s="101"/>
      <c r="DD39" s="255"/>
      <c r="DE39" s="255"/>
      <c r="DF39" s="255"/>
      <c r="DG39" s="255"/>
      <c r="DH39" s="101"/>
      <c r="DI39" s="255"/>
      <c r="DJ39" s="255"/>
      <c r="DK39" s="255"/>
      <c r="DL39" s="255"/>
      <c r="DM39" s="101"/>
      <c r="DN39" s="255"/>
      <c r="DO39" s="255"/>
      <c r="DP39" s="255"/>
      <c r="DQ39" s="255"/>
      <c r="DR39" s="101"/>
      <c r="DS39" s="255"/>
      <c r="DT39" s="255"/>
      <c r="DU39" s="255"/>
      <c r="DV39" s="255"/>
      <c r="DW39" s="101"/>
      <c r="DX39" s="255"/>
      <c r="DY39" s="255"/>
      <c r="DZ39" s="255"/>
      <c r="EA39" s="255"/>
      <c r="EB39" s="101"/>
      <c r="EC39" s="255"/>
      <c r="ED39" s="255"/>
      <c r="EE39" s="255"/>
      <c r="EF39" s="255"/>
      <c r="EG39" s="101"/>
      <c r="EH39" s="255"/>
      <c r="EI39" s="255"/>
      <c r="EJ39" s="255"/>
      <c r="EK39" s="255"/>
      <c r="EL39" s="101"/>
    </row>
    <row r="40" spans="2:142" hidden="1" outlineLevel="1">
      <c r="B40" s="9"/>
      <c r="C40" s="145"/>
      <c r="D40" s="145"/>
      <c r="E40" s="145"/>
      <c r="F40" s="145"/>
      <c r="G40" s="64"/>
      <c r="H40" s="146"/>
      <c r="I40" s="146"/>
      <c r="J40" s="146"/>
      <c r="K40" s="146"/>
      <c r="L40" s="64"/>
      <c r="M40" s="146"/>
      <c r="N40" s="146"/>
      <c r="O40" s="146"/>
      <c r="P40" s="146"/>
      <c r="Q40" s="64"/>
      <c r="R40" s="146"/>
      <c r="S40" s="146"/>
      <c r="T40" s="146"/>
      <c r="U40" s="146"/>
      <c r="V40" s="64"/>
      <c r="W40" s="146"/>
      <c r="X40" s="146"/>
      <c r="Y40" s="146"/>
      <c r="Z40" s="146"/>
      <c r="AA40" s="64"/>
      <c r="AB40" s="146"/>
      <c r="AC40" s="146"/>
      <c r="AD40" s="146"/>
      <c r="AE40" s="146"/>
      <c r="AF40" s="64"/>
      <c r="AG40" s="146"/>
      <c r="AH40" s="146"/>
      <c r="AI40" s="146"/>
      <c r="AJ40" s="146"/>
      <c r="AK40" s="64"/>
      <c r="AL40" s="146"/>
      <c r="AM40" s="146"/>
      <c r="AN40" s="146"/>
      <c r="AO40" s="146"/>
      <c r="AP40" s="64"/>
      <c r="AQ40" s="146"/>
      <c r="AR40" s="146"/>
      <c r="AS40" s="146"/>
      <c r="AT40" s="146"/>
      <c r="AU40" s="64"/>
      <c r="AV40" s="255"/>
      <c r="AW40" s="255"/>
      <c r="AX40" s="255"/>
      <c r="AY40" s="255"/>
      <c r="AZ40" s="64"/>
      <c r="BA40" s="255"/>
      <c r="BB40" s="255"/>
      <c r="BC40" s="255"/>
      <c r="BD40" s="255"/>
      <c r="BE40" s="64"/>
      <c r="BF40" s="255"/>
      <c r="BG40" s="255"/>
      <c r="BH40" s="255"/>
      <c r="BI40" s="255"/>
      <c r="BJ40" s="101"/>
      <c r="BK40" s="255"/>
      <c r="BL40" s="255"/>
      <c r="BM40" s="255"/>
      <c r="BN40" s="255"/>
      <c r="BO40" s="101"/>
      <c r="BP40" s="255"/>
      <c r="BQ40" s="255"/>
      <c r="BR40" s="255"/>
      <c r="BS40" s="255"/>
      <c r="BT40" s="101"/>
      <c r="BU40" s="255"/>
      <c r="BV40" s="255"/>
      <c r="BW40" s="255"/>
      <c r="BX40" s="255"/>
      <c r="BY40" s="101"/>
      <c r="BZ40" s="255"/>
      <c r="CA40" s="255"/>
      <c r="CB40" s="255"/>
      <c r="CC40" s="255"/>
      <c r="CD40" s="101"/>
      <c r="CE40" s="255"/>
      <c r="CF40" s="255"/>
      <c r="CG40" s="255"/>
      <c r="CH40" s="255"/>
      <c r="CI40" s="101"/>
      <c r="CJ40" s="255"/>
      <c r="CK40" s="255"/>
      <c r="CL40" s="255"/>
      <c r="CM40" s="255"/>
      <c r="CN40" s="101"/>
      <c r="CO40" s="255"/>
      <c r="CP40" s="255"/>
      <c r="CQ40" s="255"/>
      <c r="CR40" s="255"/>
      <c r="CS40" s="101"/>
      <c r="CT40" s="255"/>
      <c r="CU40" s="255"/>
      <c r="CV40" s="255"/>
      <c r="CW40" s="255"/>
      <c r="CX40" s="101"/>
      <c r="CY40" s="255"/>
      <c r="CZ40" s="255"/>
      <c r="DA40" s="255"/>
      <c r="DB40" s="255"/>
      <c r="DC40" s="101"/>
      <c r="DD40" s="255"/>
      <c r="DE40" s="255"/>
      <c r="DF40" s="255"/>
      <c r="DG40" s="255"/>
      <c r="DH40" s="101"/>
      <c r="DI40" s="255"/>
      <c r="DJ40" s="255"/>
      <c r="DK40" s="255"/>
      <c r="DL40" s="255"/>
      <c r="DM40" s="101"/>
      <c r="DN40" s="255"/>
      <c r="DO40" s="255"/>
      <c r="DP40" s="255"/>
      <c r="DQ40" s="255"/>
      <c r="DR40" s="101"/>
      <c r="DS40" s="255"/>
      <c r="DT40" s="255"/>
      <c r="DU40" s="255"/>
      <c r="DV40" s="255"/>
      <c r="DW40" s="101"/>
      <c r="DX40" s="255"/>
      <c r="DY40" s="255"/>
      <c r="DZ40" s="255"/>
      <c r="EA40" s="255"/>
      <c r="EB40" s="101"/>
      <c r="EC40" s="255"/>
      <c r="ED40" s="255"/>
      <c r="EE40" s="255"/>
      <c r="EF40" s="255"/>
      <c r="EG40" s="101"/>
      <c r="EH40" s="255"/>
      <c r="EI40" s="255"/>
      <c r="EJ40" s="255"/>
      <c r="EK40" s="255"/>
      <c r="EL40" s="101"/>
    </row>
    <row r="41" spans="2:142" s="3" customFormat="1" hidden="1" outlineLevel="1">
      <c r="B41" s="24" t="s">
        <v>72</v>
      </c>
      <c r="C41" s="145">
        <v>3.82</v>
      </c>
      <c r="D41" s="145">
        <v>6.8730000000000002</v>
      </c>
      <c r="E41" s="145">
        <v>12.381</v>
      </c>
      <c r="F41" s="145">
        <f>+G41-SUM(C41:E41)</f>
        <v>17.340000000000003</v>
      </c>
      <c r="G41" s="64">
        <v>40.414000000000001</v>
      </c>
      <c r="H41" s="146">
        <v>12.987</v>
      </c>
      <c r="I41" s="146">
        <v>12.116</v>
      </c>
      <c r="J41" s="146">
        <v>8.2219999999999995</v>
      </c>
      <c r="K41" s="146">
        <f>+L41-SUM(H41:J41)</f>
        <v>9.7049999999999983</v>
      </c>
      <c r="L41" s="64">
        <v>43.03</v>
      </c>
      <c r="M41" s="146">
        <v>12.016</v>
      </c>
      <c r="N41" s="146">
        <v>12.456</v>
      </c>
      <c r="O41" s="146">
        <v>11.631</v>
      </c>
      <c r="P41" s="146">
        <f>+Q41-SUM(M41:O41)</f>
        <v>12.353999999999999</v>
      </c>
      <c r="Q41" s="64">
        <v>48.457000000000001</v>
      </c>
      <c r="R41" s="146">
        <v>8.2780000000000005</v>
      </c>
      <c r="S41" s="146">
        <v>2.46</v>
      </c>
      <c r="T41" s="146">
        <v>0.41099999999999998</v>
      </c>
      <c r="U41" s="146">
        <f>+V41-SUM(R41:T41)</f>
        <v>0.375</v>
      </c>
      <c r="V41" s="64">
        <v>11.523999999999999</v>
      </c>
      <c r="W41" s="146">
        <v>0.216</v>
      </c>
      <c r="X41" s="146">
        <v>2E-3</v>
      </c>
      <c r="Y41" s="146">
        <v>8.6999999999999994E-2</v>
      </c>
      <c r="Z41" s="146">
        <f>+AA41-SUM(W41:Y41)</f>
        <v>0.39499999999999996</v>
      </c>
      <c r="AA41" s="64">
        <v>0.7</v>
      </c>
      <c r="AB41" s="146"/>
      <c r="AC41" s="146"/>
      <c r="AD41" s="146"/>
      <c r="AE41" s="146"/>
      <c r="AF41" s="64"/>
      <c r="AG41" s="146"/>
      <c r="AH41" s="146"/>
      <c r="AI41" s="146"/>
      <c r="AJ41" s="146"/>
      <c r="AK41" s="64"/>
      <c r="AL41" s="146"/>
      <c r="AM41" s="146"/>
      <c r="AN41" s="146"/>
      <c r="AO41" s="146"/>
      <c r="AP41" s="64"/>
      <c r="AQ41" s="146"/>
      <c r="AR41" s="146"/>
      <c r="AS41" s="146"/>
      <c r="AT41" s="146"/>
      <c r="AU41" s="64"/>
      <c r="AV41" s="255"/>
      <c r="AW41" s="255"/>
      <c r="AX41" s="255"/>
      <c r="AY41" s="255"/>
      <c r="AZ41" s="64"/>
      <c r="BA41" s="255"/>
      <c r="BB41" s="255"/>
      <c r="BC41" s="255"/>
      <c r="BD41" s="255"/>
      <c r="BE41" s="64"/>
      <c r="BF41" s="255"/>
      <c r="BG41" s="255"/>
      <c r="BH41" s="255"/>
      <c r="BI41" s="255"/>
      <c r="BJ41" s="64"/>
      <c r="BK41" s="255"/>
      <c r="BL41" s="255"/>
      <c r="BM41" s="255"/>
      <c r="BN41" s="255"/>
      <c r="BO41" s="64"/>
      <c r="BP41" s="255"/>
      <c r="BQ41" s="255"/>
      <c r="BR41" s="255"/>
      <c r="BS41" s="255"/>
      <c r="BT41" s="64"/>
      <c r="BU41" s="255"/>
      <c r="BV41" s="255"/>
      <c r="BW41" s="255"/>
      <c r="BX41" s="255"/>
      <c r="BY41" s="64"/>
      <c r="BZ41" s="255"/>
      <c r="CA41" s="255"/>
      <c r="CB41" s="255"/>
      <c r="CC41" s="255"/>
      <c r="CD41" s="64"/>
      <c r="CE41" s="255"/>
      <c r="CF41" s="255"/>
      <c r="CG41" s="255"/>
      <c r="CH41" s="255"/>
      <c r="CI41" s="64"/>
      <c r="CJ41" s="255"/>
      <c r="CK41" s="255"/>
      <c r="CL41" s="255"/>
      <c r="CM41" s="255"/>
      <c r="CN41" s="64"/>
      <c r="CO41" s="255"/>
      <c r="CP41" s="255"/>
      <c r="CQ41" s="255"/>
      <c r="CR41" s="255"/>
      <c r="CS41" s="64"/>
      <c r="CT41" s="255"/>
      <c r="CU41" s="255"/>
      <c r="CV41" s="255"/>
      <c r="CW41" s="255"/>
      <c r="CX41" s="64"/>
      <c r="CY41" s="255"/>
      <c r="CZ41" s="255"/>
      <c r="DA41" s="255"/>
      <c r="DB41" s="255"/>
      <c r="DC41" s="64"/>
      <c r="DD41" s="255"/>
      <c r="DE41" s="255"/>
      <c r="DF41" s="255"/>
      <c r="DG41" s="255"/>
      <c r="DH41" s="64"/>
      <c r="DI41" s="255"/>
      <c r="DJ41" s="255"/>
      <c r="DK41" s="255"/>
      <c r="DL41" s="255"/>
      <c r="DM41" s="64"/>
      <c r="DN41" s="255"/>
      <c r="DO41" s="255"/>
      <c r="DP41" s="255"/>
      <c r="DQ41" s="255"/>
      <c r="DR41" s="64"/>
      <c r="DS41" s="255"/>
      <c r="DT41" s="255"/>
      <c r="DU41" s="255"/>
      <c r="DV41" s="255"/>
      <c r="DW41" s="64"/>
      <c r="DX41" s="255"/>
      <c r="DY41" s="255"/>
      <c r="DZ41" s="255"/>
      <c r="EA41" s="255"/>
      <c r="EB41" s="64"/>
      <c r="EC41" s="255"/>
      <c r="ED41" s="255"/>
      <c r="EE41" s="255"/>
      <c r="EF41" s="255"/>
      <c r="EG41" s="64"/>
      <c r="EH41" s="255"/>
      <c r="EI41" s="255"/>
      <c r="EJ41" s="255"/>
      <c r="EK41" s="255"/>
      <c r="EL41" s="64"/>
    </row>
    <row r="42" spans="2:142" hidden="1" outlineLevel="1">
      <c r="B42" s="9"/>
      <c r="C42" s="145"/>
      <c r="D42" s="145"/>
      <c r="E42" s="145"/>
      <c r="F42" s="145"/>
      <c r="G42" s="64"/>
      <c r="H42" s="146"/>
      <c r="I42" s="146"/>
      <c r="J42" s="146"/>
      <c r="K42" s="146"/>
      <c r="L42" s="64"/>
      <c r="M42" s="146"/>
      <c r="N42" s="146"/>
      <c r="O42" s="146"/>
      <c r="P42" s="146"/>
      <c r="Q42" s="64"/>
      <c r="R42" s="146"/>
      <c r="S42" s="146"/>
      <c r="T42" s="146"/>
      <c r="U42" s="146"/>
      <c r="V42" s="64"/>
      <c r="W42" s="146"/>
      <c r="X42" s="146"/>
      <c r="Y42" s="146"/>
      <c r="Z42" s="146"/>
      <c r="AA42" s="64"/>
      <c r="AB42" s="146"/>
      <c r="AC42" s="146"/>
      <c r="AD42" s="146"/>
      <c r="AE42" s="146"/>
      <c r="AF42" s="64"/>
      <c r="AG42" s="146"/>
      <c r="AH42" s="146"/>
      <c r="AI42" s="146"/>
      <c r="AJ42" s="146"/>
      <c r="AK42" s="64"/>
      <c r="AL42" s="146"/>
      <c r="AM42" s="146"/>
      <c r="AN42" s="146"/>
      <c r="AO42" s="146"/>
      <c r="AP42" s="64"/>
      <c r="AQ42" s="146"/>
      <c r="AR42" s="146"/>
      <c r="AS42" s="146"/>
      <c r="AT42" s="146"/>
      <c r="AU42" s="64"/>
      <c r="AV42" s="255"/>
      <c r="AW42" s="255"/>
      <c r="AX42" s="255"/>
      <c r="AY42" s="255"/>
      <c r="AZ42" s="64"/>
      <c r="BA42" s="255"/>
      <c r="BB42" s="255"/>
      <c r="BC42" s="255"/>
      <c r="BD42" s="255"/>
      <c r="BE42" s="64"/>
      <c r="BF42" s="255"/>
      <c r="BG42" s="255"/>
      <c r="BH42" s="255"/>
      <c r="BI42" s="255"/>
      <c r="BJ42" s="64"/>
      <c r="BK42" s="255"/>
      <c r="BL42" s="255"/>
      <c r="BM42" s="255"/>
      <c r="BN42" s="255"/>
      <c r="BO42" s="64"/>
      <c r="BP42" s="255"/>
      <c r="BQ42" s="255"/>
      <c r="BR42" s="255"/>
      <c r="BS42" s="255"/>
      <c r="BT42" s="64"/>
      <c r="BU42" s="255"/>
      <c r="BV42" s="255"/>
      <c r="BW42" s="255"/>
      <c r="BX42" s="255"/>
      <c r="BY42" s="64"/>
      <c r="BZ42" s="255"/>
      <c r="CA42" s="255"/>
      <c r="CB42" s="255"/>
      <c r="CC42" s="255"/>
      <c r="CD42" s="64"/>
      <c r="CE42" s="255"/>
      <c r="CF42" s="255"/>
      <c r="CG42" s="255"/>
      <c r="CH42" s="255"/>
      <c r="CI42" s="64"/>
      <c r="CJ42" s="255"/>
      <c r="CK42" s="255"/>
      <c r="CL42" s="255"/>
      <c r="CM42" s="255"/>
      <c r="CN42" s="64"/>
      <c r="CO42" s="255"/>
      <c r="CP42" s="255"/>
      <c r="CQ42" s="255"/>
      <c r="CR42" s="255"/>
      <c r="CS42" s="64"/>
      <c r="CT42" s="255"/>
      <c r="CU42" s="255"/>
      <c r="CV42" s="255"/>
      <c r="CW42" s="255"/>
      <c r="CX42" s="64"/>
      <c r="CY42" s="255"/>
      <c r="CZ42" s="255"/>
      <c r="DA42" s="255"/>
      <c r="DB42" s="255"/>
      <c r="DC42" s="64"/>
      <c r="DD42" s="255"/>
      <c r="DE42" s="255"/>
      <c r="DF42" s="255"/>
      <c r="DG42" s="255"/>
      <c r="DH42" s="64"/>
      <c r="DI42" s="255"/>
      <c r="DJ42" s="255"/>
      <c r="DK42" s="255"/>
      <c r="DL42" s="255"/>
      <c r="DM42" s="64"/>
      <c r="DN42" s="255"/>
      <c r="DO42" s="255"/>
      <c r="DP42" s="255"/>
      <c r="DQ42" s="255"/>
      <c r="DR42" s="64"/>
      <c r="DS42" s="255"/>
      <c r="DT42" s="255"/>
      <c r="DU42" s="255"/>
      <c r="DV42" s="255"/>
      <c r="DW42" s="64"/>
      <c r="DX42" s="255"/>
      <c r="DY42" s="255"/>
      <c r="DZ42" s="255"/>
      <c r="EA42" s="255"/>
      <c r="EB42" s="64"/>
      <c r="EC42" s="255"/>
      <c r="ED42" s="255"/>
      <c r="EE42" s="255"/>
      <c r="EF42" s="255"/>
      <c r="EG42" s="64"/>
      <c r="EH42" s="255"/>
      <c r="EI42" s="255"/>
      <c r="EJ42" s="255"/>
      <c r="EK42" s="255"/>
      <c r="EL42" s="64"/>
    </row>
    <row r="43" spans="2:142" s="3" customFormat="1" hidden="1" outlineLevel="1">
      <c r="B43" s="24" t="s">
        <v>71</v>
      </c>
      <c r="C43" s="145">
        <v>5.6630000000000003</v>
      </c>
      <c r="D43" s="145">
        <v>4.9800000000000004</v>
      </c>
      <c r="E43" s="145">
        <v>4.4269999999999996</v>
      </c>
      <c r="F43" s="145">
        <f>+G43-SUM(C43:E43)</f>
        <v>4.532</v>
      </c>
      <c r="G43" s="64">
        <v>19.602</v>
      </c>
      <c r="H43" s="146">
        <v>4.8319999999999999</v>
      </c>
      <c r="I43" s="146">
        <v>4.5540000000000003</v>
      </c>
      <c r="J43" s="146">
        <v>5.2220000000000004</v>
      </c>
      <c r="K43" s="146">
        <f>+L43-SUM(H43:J43)</f>
        <v>8.4280000000000008</v>
      </c>
      <c r="L43" s="64">
        <v>23.036000000000001</v>
      </c>
      <c r="M43" s="146">
        <v>6.0359999999999996</v>
      </c>
      <c r="N43" s="146">
        <v>5.4740000000000002</v>
      </c>
      <c r="O43" s="146">
        <v>5.2229999999999999</v>
      </c>
      <c r="P43" s="146">
        <f>+Q43-SUM(M43:O43)</f>
        <v>4.0730000000000004</v>
      </c>
      <c r="Q43" s="64">
        <v>20.806000000000001</v>
      </c>
      <c r="R43" s="146">
        <v>5.01</v>
      </c>
      <c r="S43" s="146">
        <v>4.4400000000000004</v>
      </c>
      <c r="T43" s="146">
        <v>4.4379999999999997</v>
      </c>
      <c r="U43" s="146">
        <f>+V43-SUM(R43:T43)</f>
        <v>3.8790000000000013</v>
      </c>
      <c r="V43" s="64">
        <v>17.766999999999999</v>
      </c>
      <c r="W43" s="146">
        <v>5.6029999999999998</v>
      </c>
      <c r="X43" s="146">
        <v>4.29</v>
      </c>
      <c r="Y43" s="146">
        <v>4.3490000000000002</v>
      </c>
      <c r="Z43" s="146">
        <f>+AA43-SUM(W43:Y43)</f>
        <v>2.6460000000000008</v>
      </c>
      <c r="AA43" s="64">
        <f>17.588-AA41</f>
        <v>16.888000000000002</v>
      </c>
      <c r="AB43" s="146"/>
      <c r="AC43" s="146"/>
      <c r="AD43" s="146"/>
      <c r="AE43" s="146"/>
      <c r="AF43" s="64"/>
      <c r="AG43" s="146"/>
      <c r="AH43" s="146"/>
      <c r="AI43" s="146"/>
      <c r="AJ43" s="146"/>
      <c r="AK43" s="64"/>
      <c r="AL43" s="146"/>
      <c r="AM43" s="146"/>
      <c r="AN43" s="146"/>
      <c r="AO43" s="146"/>
      <c r="AP43" s="64"/>
      <c r="AQ43" s="146"/>
      <c r="AR43" s="146"/>
      <c r="AS43" s="146"/>
      <c r="AT43" s="146"/>
      <c r="AU43" s="64"/>
      <c r="AV43" s="255"/>
      <c r="AW43" s="255"/>
      <c r="AX43" s="255"/>
      <c r="AY43" s="255"/>
      <c r="AZ43" s="64"/>
      <c r="BA43" s="255"/>
      <c r="BB43" s="255"/>
      <c r="BC43" s="255"/>
      <c r="BD43" s="255"/>
      <c r="BE43" s="64"/>
      <c r="BF43" s="255"/>
      <c r="BG43" s="255"/>
      <c r="BH43" s="255"/>
      <c r="BI43" s="255"/>
      <c r="BJ43" s="64"/>
      <c r="BK43" s="255"/>
      <c r="BL43" s="255"/>
      <c r="BM43" s="255"/>
      <c r="BN43" s="255"/>
      <c r="BO43" s="64"/>
      <c r="BP43" s="255"/>
      <c r="BQ43" s="255"/>
      <c r="BR43" s="255"/>
      <c r="BS43" s="255"/>
      <c r="BT43" s="64"/>
      <c r="BU43" s="255"/>
      <c r="BV43" s="255"/>
      <c r="BW43" s="255"/>
      <c r="BX43" s="255"/>
      <c r="BY43" s="64"/>
      <c r="BZ43" s="255"/>
      <c r="CA43" s="255"/>
      <c r="CB43" s="255"/>
      <c r="CC43" s="255"/>
      <c r="CD43" s="64"/>
      <c r="CE43" s="255"/>
      <c r="CF43" s="255"/>
      <c r="CG43" s="255"/>
      <c r="CH43" s="255"/>
      <c r="CI43" s="64"/>
      <c r="CJ43" s="255"/>
      <c r="CK43" s="255"/>
      <c r="CL43" s="255"/>
      <c r="CM43" s="255"/>
      <c r="CN43" s="64"/>
      <c r="CO43" s="255"/>
      <c r="CP43" s="255"/>
      <c r="CQ43" s="255"/>
      <c r="CR43" s="255"/>
      <c r="CS43" s="64"/>
      <c r="CT43" s="255"/>
      <c r="CU43" s="255"/>
      <c r="CV43" s="255"/>
      <c r="CW43" s="255"/>
      <c r="CX43" s="64"/>
      <c r="CY43" s="255"/>
      <c r="CZ43" s="255"/>
      <c r="DA43" s="255"/>
      <c r="DB43" s="255"/>
      <c r="DC43" s="64"/>
      <c r="DD43" s="255"/>
      <c r="DE43" s="255"/>
      <c r="DF43" s="255"/>
      <c r="DG43" s="255"/>
      <c r="DH43" s="64"/>
      <c r="DI43" s="255"/>
      <c r="DJ43" s="255"/>
      <c r="DK43" s="255"/>
      <c r="DL43" s="255"/>
      <c r="DM43" s="64"/>
      <c r="DN43" s="255"/>
      <c r="DO43" s="255"/>
      <c r="DP43" s="255"/>
      <c r="DQ43" s="255"/>
      <c r="DR43" s="64"/>
      <c r="DS43" s="255"/>
      <c r="DT43" s="255"/>
      <c r="DU43" s="255"/>
      <c r="DV43" s="255"/>
      <c r="DW43" s="64"/>
      <c r="DX43" s="255"/>
      <c r="DY43" s="255"/>
      <c r="DZ43" s="255"/>
      <c r="EA43" s="255"/>
      <c r="EB43" s="64"/>
      <c r="EC43" s="255"/>
      <c r="ED43" s="255"/>
      <c r="EE43" s="255"/>
      <c r="EF43" s="255"/>
      <c r="EG43" s="64"/>
      <c r="EH43" s="255"/>
      <c r="EI43" s="255"/>
      <c r="EJ43" s="255"/>
      <c r="EK43" s="255"/>
      <c r="EL43" s="64"/>
    </row>
    <row r="44" spans="2:142" hidden="1" outlineLevel="1">
      <c r="B44" s="11" t="s">
        <v>97</v>
      </c>
      <c r="C44" s="145"/>
      <c r="D44" s="145"/>
      <c r="E44" s="145"/>
      <c r="F44" s="145"/>
      <c r="G44" s="64"/>
      <c r="H44" s="146">
        <v>4.8319999999999999</v>
      </c>
      <c r="I44" s="146">
        <v>4.5540000000000003</v>
      </c>
      <c r="J44" s="146">
        <v>5.2220000000000004</v>
      </c>
      <c r="K44" s="146">
        <f>+L44-SUM(H44:J44)</f>
        <v>4</v>
      </c>
      <c r="L44" s="64">
        <v>18.608000000000001</v>
      </c>
      <c r="M44" s="146">
        <v>5.3</v>
      </c>
      <c r="N44" s="146">
        <v>4.7240000000000002</v>
      </c>
      <c r="O44" s="146">
        <v>4.4729999999999999</v>
      </c>
      <c r="P44" s="146">
        <f>+Q44-SUM(M44:O44)</f>
        <v>4.9540000000000006</v>
      </c>
      <c r="Q44" s="64">
        <v>19.451000000000001</v>
      </c>
      <c r="R44" s="146">
        <v>4.26</v>
      </c>
      <c r="S44" s="146">
        <v>4</v>
      </c>
      <c r="T44" s="146">
        <v>4</v>
      </c>
      <c r="U44" s="146">
        <f>+V44-SUM(R44:T44)</f>
        <v>4.1399999999999988</v>
      </c>
      <c r="V44" s="64">
        <v>16.399999999999999</v>
      </c>
      <c r="W44" s="146">
        <v>3.5</v>
      </c>
      <c r="X44" s="146">
        <v>3.84</v>
      </c>
      <c r="Y44" s="146">
        <v>3.899</v>
      </c>
      <c r="Z44" s="146">
        <f>+AA44-SUM(W44:Y44)</f>
        <v>2.6609999999999996</v>
      </c>
      <c r="AA44" s="64">
        <v>13.9</v>
      </c>
      <c r="AB44" s="146"/>
      <c r="AC44" s="146"/>
      <c r="AD44" s="146"/>
      <c r="AE44" s="146"/>
      <c r="AF44" s="64"/>
      <c r="AG44" s="146"/>
      <c r="AH44" s="146"/>
      <c r="AI44" s="146"/>
      <c r="AJ44" s="146"/>
      <c r="AK44" s="64"/>
      <c r="AL44" s="146"/>
      <c r="AM44" s="146"/>
      <c r="AN44" s="146"/>
      <c r="AO44" s="146"/>
      <c r="AP44" s="64"/>
      <c r="AQ44" s="146"/>
      <c r="AR44" s="146"/>
      <c r="AS44" s="146"/>
      <c r="AT44" s="146"/>
      <c r="AU44" s="64"/>
      <c r="AV44" s="255"/>
      <c r="AW44" s="255"/>
      <c r="AX44" s="255"/>
      <c r="AY44" s="255"/>
      <c r="AZ44" s="64"/>
      <c r="BA44" s="255"/>
      <c r="BB44" s="255"/>
      <c r="BC44" s="255"/>
      <c r="BD44" s="255"/>
      <c r="BE44" s="64"/>
      <c r="BF44" s="255"/>
      <c r="BG44" s="255"/>
      <c r="BH44" s="255"/>
      <c r="BI44" s="255"/>
      <c r="BJ44" s="64"/>
      <c r="BK44" s="255"/>
      <c r="BL44" s="255"/>
      <c r="BM44" s="255"/>
      <c r="BN44" s="255"/>
      <c r="BO44" s="64"/>
      <c r="BP44" s="255"/>
      <c r="BQ44" s="255"/>
      <c r="BR44" s="255"/>
      <c r="BS44" s="255"/>
      <c r="BT44" s="64"/>
      <c r="BU44" s="255"/>
      <c r="BV44" s="255"/>
      <c r="BW44" s="255"/>
      <c r="BX44" s="255"/>
      <c r="BY44" s="64"/>
      <c r="BZ44" s="255"/>
      <c r="CA44" s="255"/>
      <c r="CB44" s="255"/>
      <c r="CC44" s="255"/>
      <c r="CD44" s="64"/>
      <c r="CE44" s="255"/>
      <c r="CF44" s="255"/>
      <c r="CG44" s="255"/>
      <c r="CH44" s="255"/>
      <c r="CI44" s="64"/>
      <c r="CJ44" s="255"/>
      <c r="CK44" s="255"/>
      <c r="CL44" s="255"/>
      <c r="CM44" s="255"/>
      <c r="CN44" s="64"/>
      <c r="CO44" s="255"/>
      <c r="CP44" s="255"/>
      <c r="CQ44" s="255"/>
      <c r="CR44" s="255"/>
      <c r="CS44" s="64"/>
      <c r="CT44" s="255"/>
      <c r="CU44" s="255"/>
      <c r="CV44" s="255"/>
      <c r="CW44" s="255"/>
      <c r="CX44" s="64"/>
      <c r="CY44" s="255"/>
      <c r="CZ44" s="255"/>
      <c r="DA44" s="255"/>
      <c r="DB44" s="255"/>
      <c r="DC44" s="64"/>
      <c r="DD44" s="255"/>
      <c r="DE44" s="255"/>
      <c r="DF44" s="255"/>
      <c r="DG44" s="255"/>
      <c r="DH44" s="64"/>
      <c r="DI44" s="255"/>
      <c r="DJ44" s="255"/>
      <c r="DK44" s="255"/>
      <c r="DL44" s="255"/>
      <c r="DM44" s="64"/>
      <c r="DN44" s="255"/>
      <c r="DO44" s="255"/>
      <c r="DP44" s="255"/>
      <c r="DQ44" s="255"/>
      <c r="DR44" s="64"/>
      <c r="DS44" s="255"/>
      <c r="DT44" s="255"/>
      <c r="DU44" s="255"/>
      <c r="DV44" s="255"/>
      <c r="DW44" s="64"/>
      <c r="DX44" s="255"/>
      <c r="DY44" s="255"/>
      <c r="DZ44" s="255"/>
      <c r="EA44" s="255"/>
      <c r="EB44" s="64"/>
      <c r="EC44" s="255"/>
      <c r="ED44" s="255"/>
      <c r="EE44" s="255"/>
      <c r="EF44" s="255"/>
      <c r="EG44" s="64"/>
      <c r="EH44" s="255"/>
      <c r="EI44" s="255"/>
      <c r="EJ44" s="255"/>
      <c r="EK44" s="255"/>
      <c r="EL44" s="64"/>
    </row>
    <row r="45" spans="2:142" hidden="1" outlineLevel="1">
      <c r="B45" s="11" t="s">
        <v>101</v>
      </c>
      <c r="C45" s="145"/>
      <c r="D45" s="145"/>
      <c r="E45" s="145"/>
      <c r="F45" s="145"/>
      <c r="G45" s="64"/>
      <c r="H45" s="146"/>
      <c r="I45" s="146"/>
      <c r="J45" s="146"/>
      <c r="K45" s="146"/>
      <c r="L45" s="64"/>
      <c r="M45" s="146">
        <v>0.73599999999999999</v>
      </c>
      <c r="N45" s="146">
        <v>0.75</v>
      </c>
      <c r="O45" s="146">
        <v>0.75</v>
      </c>
      <c r="P45" s="146">
        <f>+Q45-SUM(M45:O45)</f>
        <v>-0.88099999999999934</v>
      </c>
      <c r="Q45" s="64">
        <f>+Q43-Q44</f>
        <v>1.3550000000000004</v>
      </c>
      <c r="R45" s="146">
        <v>0.75</v>
      </c>
      <c r="S45" s="146">
        <v>0.44</v>
      </c>
      <c r="T45" s="146">
        <v>0.5</v>
      </c>
      <c r="U45" s="146">
        <f>+V45-SUM(R45:T45)</f>
        <v>-0.32299999999999907</v>
      </c>
      <c r="V45" s="64">
        <f>+V43-V44</f>
        <v>1.3670000000000009</v>
      </c>
      <c r="W45" s="146">
        <v>0.45</v>
      </c>
      <c r="X45" s="146">
        <v>0.45</v>
      </c>
      <c r="Y45" s="146">
        <v>0.45</v>
      </c>
      <c r="Z45" s="146">
        <f>+AA45-SUM(W45:Y45)</f>
        <v>1.6380000000000012</v>
      </c>
      <c r="AA45" s="64">
        <f>+AA43-AA44</f>
        <v>2.9880000000000013</v>
      </c>
      <c r="AB45" s="146"/>
      <c r="AC45" s="146"/>
      <c r="AD45" s="146"/>
      <c r="AE45" s="146"/>
      <c r="AF45" s="64"/>
      <c r="AG45" s="146"/>
      <c r="AH45" s="146"/>
      <c r="AI45" s="146"/>
      <c r="AJ45" s="146"/>
      <c r="AK45" s="64"/>
      <c r="AL45" s="146"/>
      <c r="AM45" s="146"/>
      <c r="AN45" s="146"/>
      <c r="AO45" s="146"/>
      <c r="AP45" s="64"/>
      <c r="AQ45" s="146"/>
      <c r="AR45" s="146"/>
      <c r="AS45" s="146"/>
      <c r="AT45" s="146"/>
      <c r="AU45" s="64"/>
      <c r="AV45" s="255"/>
      <c r="AW45" s="255"/>
      <c r="AX45" s="255"/>
      <c r="AY45" s="255"/>
      <c r="AZ45" s="64"/>
      <c r="BA45" s="255"/>
      <c r="BB45" s="255"/>
      <c r="BC45" s="255"/>
      <c r="BD45" s="255"/>
      <c r="BE45" s="64"/>
      <c r="BF45" s="255"/>
      <c r="BG45" s="255"/>
      <c r="BH45" s="255"/>
      <c r="BI45" s="255"/>
      <c r="BJ45" s="64"/>
      <c r="BK45" s="255"/>
      <c r="BL45" s="255"/>
      <c r="BM45" s="255"/>
      <c r="BN45" s="255"/>
      <c r="BO45" s="64"/>
      <c r="BP45" s="255"/>
      <c r="BQ45" s="255"/>
      <c r="BR45" s="255"/>
      <c r="BS45" s="255"/>
      <c r="BT45" s="64"/>
      <c r="BU45" s="255"/>
      <c r="BV45" s="255"/>
      <c r="BW45" s="255"/>
      <c r="BX45" s="255"/>
      <c r="BY45" s="64"/>
      <c r="BZ45" s="255"/>
      <c r="CA45" s="255"/>
      <c r="CB45" s="255"/>
      <c r="CC45" s="255"/>
      <c r="CD45" s="64"/>
      <c r="CE45" s="255"/>
      <c r="CF45" s="255"/>
      <c r="CG45" s="255"/>
      <c r="CH45" s="255"/>
      <c r="CI45" s="64"/>
      <c r="CJ45" s="255"/>
      <c r="CK45" s="255"/>
      <c r="CL45" s="255"/>
      <c r="CM45" s="255"/>
      <c r="CN45" s="64"/>
      <c r="CO45" s="255"/>
      <c r="CP45" s="255"/>
      <c r="CQ45" s="255"/>
      <c r="CR45" s="255"/>
      <c r="CS45" s="64"/>
      <c r="CT45" s="255"/>
      <c r="CU45" s="255"/>
      <c r="CV45" s="255"/>
      <c r="CW45" s="255"/>
      <c r="CX45" s="64"/>
      <c r="CY45" s="255"/>
      <c r="CZ45" s="255"/>
      <c r="DA45" s="255"/>
      <c r="DB45" s="255"/>
      <c r="DC45" s="64"/>
      <c r="DD45" s="255"/>
      <c r="DE45" s="255"/>
      <c r="DF45" s="255"/>
      <c r="DG45" s="255"/>
      <c r="DH45" s="64"/>
      <c r="DI45" s="255"/>
      <c r="DJ45" s="255"/>
      <c r="DK45" s="255"/>
      <c r="DL45" s="255"/>
      <c r="DM45" s="64"/>
      <c r="DN45" s="255"/>
      <c r="DO45" s="255"/>
      <c r="DP45" s="255"/>
      <c r="DQ45" s="255"/>
      <c r="DR45" s="64"/>
      <c r="DS45" s="255"/>
      <c r="DT45" s="255"/>
      <c r="DU45" s="255"/>
      <c r="DV45" s="255"/>
      <c r="DW45" s="64"/>
      <c r="DX45" s="255"/>
      <c r="DY45" s="255"/>
      <c r="DZ45" s="255"/>
      <c r="EA45" s="255"/>
      <c r="EB45" s="64"/>
      <c r="EC45" s="255"/>
      <c r="ED45" s="255"/>
      <c r="EE45" s="255"/>
      <c r="EF45" s="255"/>
      <c r="EG45" s="64"/>
      <c r="EH45" s="255"/>
      <c r="EI45" s="255"/>
      <c r="EJ45" s="255"/>
      <c r="EK45" s="255"/>
      <c r="EL45" s="64"/>
    </row>
    <row r="46" spans="2:142" collapsed="1">
      <c r="C46" s="178"/>
      <c r="D46" s="178"/>
      <c r="E46" s="178"/>
      <c r="F46" s="178"/>
      <c r="G46" s="64"/>
      <c r="H46" s="146"/>
      <c r="I46" s="146"/>
      <c r="J46" s="146"/>
      <c r="K46" s="146"/>
      <c r="L46" s="64"/>
      <c r="M46" s="146"/>
      <c r="N46" s="146"/>
      <c r="O46" s="146"/>
      <c r="P46" s="146"/>
      <c r="Q46" s="64"/>
      <c r="R46" s="146"/>
      <c r="S46" s="146"/>
      <c r="T46" s="146"/>
      <c r="U46" s="146"/>
      <c r="V46" s="64"/>
      <c r="W46" s="146"/>
      <c r="X46" s="146"/>
      <c r="Y46" s="146"/>
      <c r="Z46" s="146"/>
      <c r="AA46" s="64"/>
      <c r="AB46" s="146"/>
      <c r="AC46" s="146"/>
      <c r="AD46" s="146"/>
      <c r="AE46" s="146"/>
      <c r="AF46" s="64"/>
      <c r="AG46" s="146"/>
      <c r="AH46" s="146"/>
      <c r="AI46" s="146"/>
      <c r="AJ46" s="146"/>
      <c r="AK46" s="64"/>
      <c r="AL46" s="146"/>
      <c r="AM46" s="146"/>
      <c r="AN46" s="146"/>
      <c r="AO46" s="146"/>
      <c r="AP46" s="64"/>
      <c r="AQ46" s="146"/>
      <c r="AR46" s="146"/>
      <c r="AS46" s="146"/>
      <c r="AT46" s="146"/>
      <c r="AU46" s="64"/>
      <c r="AV46" s="255"/>
      <c r="AW46" s="255"/>
      <c r="AX46" s="255"/>
      <c r="AY46" s="255"/>
      <c r="AZ46" s="64"/>
      <c r="BA46" s="255"/>
      <c r="BB46" s="255"/>
      <c r="BC46" s="255"/>
      <c r="BD46" s="255"/>
      <c r="BE46" s="64"/>
      <c r="BF46" s="255"/>
      <c r="BG46" s="255"/>
      <c r="BH46" s="255"/>
      <c r="BI46" s="255"/>
      <c r="BJ46" s="64"/>
      <c r="BK46" s="255"/>
      <c r="BL46" s="255"/>
      <c r="BM46" s="255"/>
      <c r="BN46" s="255"/>
      <c r="BO46" s="64"/>
      <c r="BP46" s="255"/>
      <c r="BQ46" s="255"/>
      <c r="BR46" s="255"/>
      <c r="BS46" s="255"/>
      <c r="BT46" s="64"/>
      <c r="BU46" s="255"/>
      <c r="BV46" s="255"/>
      <c r="BW46" s="255"/>
      <c r="BX46" s="255"/>
      <c r="BY46" s="64"/>
      <c r="BZ46" s="255"/>
      <c r="CA46" s="255"/>
      <c r="CB46" s="255"/>
      <c r="CC46" s="255"/>
      <c r="CD46" s="64"/>
      <c r="CE46" s="255"/>
      <c r="CF46" s="255"/>
      <c r="CG46" s="255"/>
      <c r="CH46" s="255"/>
      <c r="CI46" s="64"/>
      <c r="CJ46" s="255"/>
      <c r="CK46" s="255"/>
      <c r="CL46" s="255"/>
      <c r="CM46" s="255"/>
      <c r="CN46" s="64"/>
      <c r="CO46" s="255"/>
      <c r="CP46" s="255"/>
      <c r="CQ46" s="255"/>
      <c r="CR46" s="255"/>
      <c r="CS46" s="64"/>
      <c r="CT46" s="255"/>
      <c r="CU46" s="255"/>
      <c r="CV46" s="255"/>
      <c r="CW46" s="255"/>
      <c r="CX46" s="64"/>
      <c r="CY46" s="255"/>
      <c r="CZ46" s="255"/>
      <c r="DA46" s="255"/>
      <c r="DB46" s="255"/>
      <c r="DC46" s="64"/>
      <c r="DD46" s="255"/>
      <c r="DE46" s="255"/>
      <c r="DF46" s="255"/>
      <c r="DG46" s="255"/>
      <c r="DH46" s="64"/>
      <c r="DI46" s="255"/>
      <c r="DJ46" s="255"/>
      <c r="DK46" s="255"/>
      <c r="DL46" s="255"/>
      <c r="DM46" s="64"/>
      <c r="DN46" s="255"/>
      <c r="DO46" s="255"/>
      <c r="DP46" s="255"/>
      <c r="DQ46" s="255"/>
      <c r="DR46" s="64"/>
      <c r="DS46" s="255"/>
      <c r="DT46" s="255"/>
      <c r="DU46" s="255"/>
      <c r="DV46" s="255"/>
      <c r="DW46" s="64"/>
      <c r="DX46" s="255"/>
      <c r="DY46" s="255"/>
      <c r="DZ46" s="255"/>
      <c r="EA46" s="255"/>
      <c r="EB46" s="64"/>
      <c r="EC46" s="255"/>
      <c r="ED46" s="255"/>
      <c r="EE46" s="255"/>
      <c r="EF46" s="255"/>
      <c r="EG46" s="64"/>
      <c r="EH46" s="255"/>
      <c r="EI46" s="255"/>
      <c r="EJ46" s="255"/>
      <c r="EK46" s="255"/>
      <c r="EL46" s="64"/>
    </row>
    <row r="47" spans="2:142" s="4" customFormat="1">
      <c r="B47" s="4" t="s">
        <v>76</v>
      </c>
      <c r="C47" s="137">
        <f t="shared" ref="C47:AA47" si="16">C4+C37+C43+C41+C26+C33</f>
        <v>283.84000000000003</v>
      </c>
      <c r="D47" s="137">
        <f t="shared" si="16"/>
        <v>298.12900000000002</v>
      </c>
      <c r="E47" s="137">
        <f t="shared" si="16"/>
        <v>314.53600000000006</v>
      </c>
      <c r="F47" s="137">
        <f t="shared" si="16"/>
        <v>331.76400000000001</v>
      </c>
      <c r="G47" s="105">
        <f t="shared" si="16"/>
        <v>1228.4930000000002</v>
      </c>
      <c r="H47" s="138">
        <f t="shared" si="16"/>
        <v>372.53700000000003</v>
      </c>
      <c r="I47" s="138">
        <f t="shared" si="16"/>
        <v>363.18599999999998</v>
      </c>
      <c r="J47" s="138">
        <f t="shared" si="16"/>
        <v>359.69199999999995</v>
      </c>
      <c r="K47" s="138">
        <f t="shared" si="16"/>
        <v>390.92899999999986</v>
      </c>
      <c r="L47" s="105">
        <f t="shared" si="16"/>
        <v>1486.3440000000001</v>
      </c>
      <c r="M47" s="138">
        <f t="shared" si="16"/>
        <v>397.58400000000006</v>
      </c>
      <c r="N47" s="138">
        <f t="shared" si="16"/>
        <v>398.822</v>
      </c>
      <c r="O47" s="138">
        <f t="shared" si="16"/>
        <v>391.36599999999999</v>
      </c>
      <c r="P47" s="138">
        <f t="shared" si="16"/>
        <v>429.23199999999997</v>
      </c>
      <c r="Q47" s="105">
        <f t="shared" si="16"/>
        <v>1617.0040000000001</v>
      </c>
      <c r="R47" s="138">
        <f t="shared" si="16"/>
        <v>406.51900000000001</v>
      </c>
      <c r="S47" s="138">
        <f t="shared" si="16"/>
        <v>436.08099999999996</v>
      </c>
      <c r="T47" s="138">
        <f t="shared" si="16"/>
        <v>475.096</v>
      </c>
      <c r="U47" s="138">
        <f t="shared" si="16"/>
        <v>463.61700000000008</v>
      </c>
      <c r="V47" s="105">
        <f t="shared" si="16"/>
        <v>1781.3129999999999</v>
      </c>
      <c r="W47" s="138">
        <f t="shared" si="16"/>
        <v>484.38800000000003</v>
      </c>
      <c r="X47" s="138">
        <f t="shared" si="16"/>
        <v>518.625</v>
      </c>
      <c r="Y47" s="138">
        <f t="shared" si="16"/>
        <v>529.58100000000002</v>
      </c>
      <c r="Z47" s="138">
        <f t="shared" si="16"/>
        <v>604.22700000000009</v>
      </c>
      <c r="AA47" s="105">
        <f t="shared" si="16"/>
        <v>2136.8209999999999</v>
      </c>
      <c r="AB47" s="138">
        <f>AB4+AB37+AB26+AB33+AB24+AB28+AB12</f>
        <v>665.07</v>
      </c>
      <c r="AC47" s="138">
        <f>AC4+AC37+AC26+AC33+AC24+AC28+AC12</f>
        <v>684.4860000000001</v>
      </c>
      <c r="AD47" s="138">
        <f>AD4+AD37+AD26+AD33+AD24+AD28+AD12</f>
        <v>758.26</v>
      </c>
      <c r="AE47" s="138">
        <f>AE4+AE37+AE26+AE33+AE24+AE28+AE12</f>
        <v>731.8349999999997</v>
      </c>
      <c r="AF47" s="105">
        <f>AF4+AF37+AF43+AF41+AF26+AF33</f>
        <v>2839.6509999999998</v>
      </c>
      <c r="AG47" s="138">
        <f>AG4+AG37+AG26+AG33+AG24+AG28+AG12</f>
        <v>733.40900000000011</v>
      </c>
      <c r="AH47" s="138">
        <f>AH4+AH37+AH26+AH33+AH24+AH28+AH12</f>
        <v>790.96999999999991</v>
      </c>
      <c r="AI47" s="138">
        <f>AI4+AI37+AI26+AI33+AI24+AI28+AI12</f>
        <v>801.68900000000008</v>
      </c>
      <c r="AJ47" s="138">
        <f>AJ4+AJ37+AJ26+AJ33+AJ24+AJ28+AJ12</f>
        <v>826.87299999999982</v>
      </c>
      <c r="AK47" s="105">
        <f>AK4+AK37+AK43+AK41+AK26+AK33</f>
        <v>3152.9409999999998</v>
      </c>
      <c r="AL47" s="138">
        <f>AL4+AL37+AL26+AL33+AL24+AL28+AL12</f>
        <v>824.22</v>
      </c>
      <c r="AM47" s="138">
        <f>AM4+AM37+AM26+AM33+AM24+AM28+AM12</f>
        <v>859.23500000000013</v>
      </c>
      <c r="AN47" s="138">
        <f>AN4+AN37+AN26+AN33+AN24+AN28+AN12</f>
        <v>876.85000000000014</v>
      </c>
      <c r="AO47" s="138">
        <f>AO4+AO37+AO26+AO33+AO24+AO28+AO12</f>
        <v>909.75100000000009</v>
      </c>
      <c r="AP47" s="105">
        <f>AP4+AP37+AP43+AP41+AP26+AP33</f>
        <v>3470.056</v>
      </c>
      <c r="AQ47" s="138">
        <f>AQ4+AQ37+AQ26+AQ33+AQ24+AQ28+AQ12</f>
        <v>907.10199999999998</v>
      </c>
      <c r="AR47" s="138">
        <f>AR4+AR37+AR26+AR33+AR24+AR28+AR12</f>
        <v>956.70299999999997</v>
      </c>
      <c r="AS47" s="138">
        <f>AS4+AS37+AS26+AS33+AS24+AS28+AS12</f>
        <v>975.75699999999995</v>
      </c>
      <c r="AT47" s="138">
        <f>AT4+AT37+AT26+AT33+AT24+AT28+AT12</f>
        <v>996.55500000000006</v>
      </c>
      <c r="AU47" s="105">
        <f>AU4+AU37+AU43+AU41+AU26+AU33</f>
        <v>3822.5479999999998</v>
      </c>
      <c r="AV47" s="254">
        <f t="shared" ref="AV47:BA47" si="17">AV4+AV37+AV26+AV33+AV24+AV28+AV12</f>
        <v>975.48799999999994</v>
      </c>
      <c r="AW47" s="254">
        <f t="shared" si="17"/>
        <v>1076.8000000000002</v>
      </c>
      <c r="AX47" s="254">
        <f t="shared" si="17"/>
        <v>1039.1099999999999</v>
      </c>
      <c r="AY47" s="254">
        <f t="shared" si="17"/>
        <v>1074.6760000000002</v>
      </c>
      <c r="AZ47" s="105">
        <f t="shared" si="17"/>
        <v>4166.0739999999996</v>
      </c>
      <c r="BA47" s="254">
        <f t="shared" si="17"/>
        <v>1095.779</v>
      </c>
      <c r="BB47" s="254">
        <f>BB4+BB8+BB26+BB33+BB24+BB28+BB12</f>
        <v>1385.9180000000001</v>
      </c>
      <c r="BC47" s="254">
        <f>BC4+BC8+BC26+BC33+BC24+BC28+BC12</f>
        <v>1453.5540000000001</v>
      </c>
      <c r="BD47" s="254">
        <f>BD4+BD8+BD26+BD33+BD24+BD28+BD12</f>
        <v>1607</v>
      </c>
      <c r="BE47" s="105">
        <f>SUM(BA47:BD47)</f>
        <v>5542.2510000000002</v>
      </c>
      <c r="BF47" s="254">
        <f>BF4+BF8+BF26+BF33+BF24+BF28+BF12</f>
        <v>1742.7650000000001</v>
      </c>
      <c r="BG47" s="254">
        <f>BG4+BG8+BG26+BG33+BG24+BG28+BG12</f>
        <v>2056.2919999999999</v>
      </c>
      <c r="BH47" s="254">
        <f>BH4+BH8+BH26+BH33+BH24+BH28+BH12</f>
        <v>2117.366</v>
      </c>
      <c r="BI47" s="254">
        <f>BI4+BI8+BI26+BI33+BI24+BI28+BI12</f>
        <v>2286.9809999999998</v>
      </c>
      <c r="BJ47" s="105">
        <f>SUM(BF47:BI47)</f>
        <v>8203.4039999999986</v>
      </c>
      <c r="BK47" s="254">
        <f t="shared" ref="BK47:BR47" si="18">BK4+BK8+BK26+BK33+BK24+BK28+BK12+BK16</f>
        <v>2172.2219999999998</v>
      </c>
      <c r="BL47" s="254">
        <f t="shared" si="18"/>
        <v>2198.8999999999996</v>
      </c>
      <c r="BM47" s="254">
        <f t="shared" si="18"/>
        <v>2392</v>
      </c>
      <c r="BN47" s="254">
        <f t="shared" si="18"/>
        <v>2425.2779999999998</v>
      </c>
      <c r="BO47" s="105">
        <f t="shared" si="18"/>
        <v>9188.3999999999978</v>
      </c>
      <c r="BP47" s="254">
        <f t="shared" si="18"/>
        <v>2309.4</v>
      </c>
      <c r="BQ47" s="254">
        <f t="shared" si="18"/>
        <v>2466</v>
      </c>
      <c r="BR47" s="254">
        <f t="shared" si="18"/>
        <v>2539.6</v>
      </c>
      <c r="BS47" s="254">
        <f>BS4+BS8+BS26+BS33+BS24+BS28+BS12+BS16+BS20</f>
        <v>2502.9</v>
      </c>
      <c r="BT47" s="105">
        <f>BT4+BT8+BT26+BT33+BT24+BT28+BT12+BT16+BT20</f>
        <v>9817.9</v>
      </c>
      <c r="BU47" s="254">
        <f>BU4+BU8+BU26+BU33+BU24+BU12+BU16+BU20+BU28</f>
        <v>2380.1000000000004</v>
      </c>
      <c r="BV47" s="254">
        <f>BV4+BV8+BV26+BV33+BV24+BV12+BV16+BV20</f>
        <v>2639.7</v>
      </c>
      <c r="BW47" s="254">
        <f>BW4+BW8+BW26+BW33+BW24+BW12+BW16+BW20</f>
        <v>2622.5</v>
      </c>
      <c r="BX47" s="254">
        <f>BX4+BX8+BX26+BX33+BX24+BX12+BX16+BX20</f>
        <v>2712.3999999999996</v>
      </c>
      <c r="BY47" s="105">
        <f>BY4+BY8+BY26+BY33+BY24+BY12+BY16+BY20+BY28</f>
        <v>10354.700000000003</v>
      </c>
      <c r="BZ47" s="254">
        <f>BZ4+BZ8+BZ26+BZ33+BZ24+BZ12+BZ16+BZ20</f>
        <v>2523.5000000000005</v>
      </c>
      <c r="CA47" s="254">
        <f>CA4+CA8+CA26+CA33+CA24+CA12+CA16+CA20</f>
        <v>2693.8553360948135</v>
      </c>
      <c r="CB47" s="254">
        <f>CB4+CB8+CB26+CB33+CB24+CB12+CB16+CB20</f>
        <v>2673.6639670647455</v>
      </c>
      <c r="CC47" s="254">
        <f>CC4+CC8+CC26+CC33+CC24+CC12+CC16+CC20</f>
        <v>2939.8635620144969</v>
      </c>
      <c r="CD47" s="105">
        <f>CD4+CD8+CD26+CD33+CD24+CD12+CD16+CD20</f>
        <v>10826.771237457038</v>
      </c>
      <c r="CE47" s="254">
        <f>CE4+CE8+CE26+CE33+CE24+CE12+CE16</f>
        <v>2133.7628842894201</v>
      </c>
      <c r="CF47" s="254">
        <f>CF4+CF8+CF26+CF33+CF24+CF12+CF16</f>
        <v>2140.8423107649246</v>
      </c>
      <c r="CG47" s="254">
        <f>CG4+CG8+CG26+CG33+CG24+CG12+CG16</f>
        <v>2171.1882415208679</v>
      </c>
      <c r="CH47" s="254">
        <f>CH4+CH8+CH26+CH33+CH24+CH12+CH16</f>
        <v>2208.5357800069751</v>
      </c>
      <c r="CI47" s="105">
        <f>CI4+CI8+CI26+CI33+CI24+CI12+CI16+CI20</f>
        <v>11191.198682852308</v>
      </c>
      <c r="CJ47" s="254">
        <f>CJ4+CJ8+CJ26+CJ33+CJ24+CJ12+CJ16</f>
        <v>2148.5628590693559</v>
      </c>
      <c r="CK47" s="254">
        <f>CK4+CK8+CK26+CK33+CK24+CK12+CK16</f>
        <v>2157.3459303319632</v>
      </c>
      <c r="CL47" s="254">
        <f>CL4+CL8+CL26+CL33+CL24+CL12+CL16</f>
        <v>2188.7453837674639</v>
      </c>
      <c r="CM47" s="254">
        <f>CM4+CM8+CM26+CM33+CM24+CM12+CM16</f>
        <v>2227.248164884591</v>
      </c>
      <c r="CN47" s="105">
        <f>CN4+CN8+CN26+CN33+CN24+CN12+CN16+CN20</f>
        <v>11650.939085910975</v>
      </c>
      <c r="CO47" s="254">
        <f>CO4+CO8+CO26+CO33+CO24+CO12+CO16</f>
        <v>2151.6458283192078</v>
      </c>
      <c r="CP47" s="254">
        <f>CP4+CP8+CP26+CP33+CP24+CP12+CP16</f>
        <v>2161.5015008200244</v>
      </c>
      <c r="CQ47" s="254">
        <f>CQ4+CQ8+CQ26+CQ33+CQ24+CQ12+CQ16</f>
        <v>2193.5789596542804</v>
      </c>
      <c r="CR47" s="254">
        <f>CR4+CR8+CR26+CR33+CR24+CR12+CR16</f>
        <v>2232.8104822938003</v>
      </c>
      <c r="CS47" s="105">
        <f>CS4+CS8+CS26+CS33+CS24+CS12+CS16+CS20</f>
        <v>11997.565137679288</v>
      </c>
      <c r="CT47" s="254">
        <f>CT4+CT8+CT26+CT33+CT24+CT12+CT16</f>
        <v>2145.0662734434877</v>
      </c>
      <c r="CU47" s="254">
        <f>CU4+CU8+CU26+CU33+CU24+CU12+CU16</f>
        <v>2155.1557196766812</v>
      </c>
      <c r="CV47" s="254">
        <f>CV4+CV8+CV26+CV33+CV24+CV12+CV16</f>
        <v>2187.3670654469415</v>
      </c>
      <c r="CW47" s="254">
        <f>CW4+CW8+CW26+CW33+CW24+CW12+CW16</f>
        <v>2226.8373140474832</v>
      </c>
      <c r="CX47" s="105">
        <f>CX4+CX8+CX26+CX33+CX24+CX12+CX16+CX20</f>
        <v>12295.209798126209</v>
      </c>
      <c r="CY47" s="254">
        <f>CY4+CY8+CY26+CY33+CY24+CY12+CY16</f>
        <v>2134.1414299584494</v>
      </c>
      <c r="CZ47" s="254">
        <f>CZ4+CZ8+CZ26+CZ33+CZ24+CZ12+CZ16</f>
        <v>2144.3768215383834</v>
      </c>
      <c r="DA47" s="254">
        <f>DA4+DA8+DA26+DA33+DA24+DA12+DA16</f>
        <v>2176.7326763465171</v>
      </c>
      <c r="DB47" s="254">
        <f>DB4+DB8+DB26+DB33+DB24+DB12+DB16</f>
        <v>2216.4492638283909</v>
      </c>
      <c r="DC47" s="105">
        <f>DC4+DC8+DC26+DC33+DC24+DC12+DC16+DC20</f>
        <v>12588.887905898069</v>
      </c>
      <c r="DD47" s="254">
        <f>DD4+DD8+DD26+DD33+DD24+DD12+DD16</f>
        <v>2131.1724924608288</v>
      </c>
      <c r="DE47" s="254">
        <f>DE4+DE8+DE26+DE33+DE24+DE12+DE16</f>
        <v>2141.6733767955411</v>
      </c>
      <c r="DF47" s="254">
        <f>DF4+DF8+DF26+DF33+DF24+DF12+DF16</f>
        <v>2174.4175583749657</v>
      </c>
      <c r="DG47" s="254">
        <f>DG4+DG8+DG26+DG33+DG24+DG12+DG16</f>
        <v>2214.6035852078489</v>
      </c>
      <c r="DH47" s="105">
        <f>DH4+DH8+DH26+DH33+DH24+DH12+DH16+DH20</f>
        <v>12912.023270211081</v>
      </c>
      <c r="DI47" s="254">
        <f>DI4+DI8+DI26+DI33+DI24+DI12+DI16</f>
        <v>1937.8368794655394</v>
      </c>
      <c r="DJ47" s="254">
        <f>DJ4+DJ8+DJ26+DJ33+DJ24+DJ12+DJ16</f>
        <v>1940.8659281023765</v>
      </c>
      <c r="DK47" s="254">
        <f>DK4+DK8+DK26+DK33+DK24+DK12+DK16</f>
        <v>1966.4980871504829</v>
      </c>
      <c r="DL47" s="254">
        <f>DL4+DL8+DL26+DL33+DL24+DL12+DL16</f>
        <v>1999.4939622624081</v>
      </c>
      <c r="DM47" s="105">
        <f>DM4+DM8+DM26+DM33+DM24+DM12+DM16+DM20</f>
        <v>12409.588732238997</v>
      </c>
      <c r="DN47" s="254">
        <f>DN4+DN8+DN26+DN33+DN24+DN12+DN16</f>
        <v>1637.5248529954158</v>
      </c>
      <c r="DO47" s="254">
        <f>DO4+DO8+DO26+DO33+DO24+DO12+DO16</f>
        <v>1629.3446034936619</v>
      </c>
      <c r="DP47" s="254">
        <f>DP4+DP8+DP26+DP33+DP24+DP12+DP16</f>
        <v>1644.4959018823392</v>
      </c>
      <c r="DQ47" s="254">
        <f>DQ4+DQ8+DQ26+DQ33+DQ24+DQ12+DQ16</f>
        <v>1666.6363160473106</v>
      </c>
      <c r="DR47" s="105">
        <f>DR4+DR8+DR26+DR33+DR24+DR12+DR16+DR20</f>
        <v>11448.943155099809</v>
      </c>
      <c r="DS47" s="254">
        <f>DS4+DS8+DS26+DS33+DS24+DS12+DS16</f>
        <v>1176.8058809321706</v>
      </c>
      <c r="DT47" s="254">
        <f>DT4+DT8+DT26+DT33+DT24+DT12+DT16</f>
        <v>1154.9605638972944</v>
      </c>
      <c r="DU47" s="254">
        <f>DU4+DU8+DU26+DU33+DU24+DU12+DU16</f>
        <v>1157.796354213483</v>
      </c>
      <c r="DV47" s="254">
        <f>DV4+DV8+DV26+DV33+DV24+DV12+DV16</f>
        <v>1166.6937962828554</v>
      </c>
      <c r="DW47" s="105">
        <f>DW4+DW8+DW26+DW33+DW24+DW12+DW16+DW20</f>
        <v>9826.7218202640943</v>
      </c>
      <c r="DX47" s="254">
        <f>DX4+DX8+DX26+DX33+DX24+DX12+DX16</f>
        <v>1022.7830408774496</v>
      </c>
      <c r="DY47" s="254">
        <f>DY4+DY8+DY26+DY33+DY24+DY12+DY16</f>
        <v>995.28862601698893</v>
      </c>
      <c r="DZ47" s="254">
        <f>DZ4+DZ8+DZ26+DZ33+DZ24+DZ12+DZ16</f>
        <v>993.35136403028628</v>
      </c>
      <c r="EA47" s="254">
        <f>EA4+EA8+EA26+EA33+EA24+EA12+EA16</f>
        <v>997.10658617188437</v>
      </c>
      <c r="EB47" s="105">
        <f>EB4+EB8+EB26+EB33+EB24+EB12+EB16+EB20</f>
        <v>9472.6649059079973</v>
      </c>
      <c r="EC47" s="254">
        <f>EC4+EC8+EC26+EC33+EC24+EC12+EC16</f>
        <v>904.71061337900278</v>
      </c>
      <c r="ED47" s="254">
        <f>ED4+ED8+ED26+ED33+ED24+ED12+ED16</f>
        <v>874.54698358204814</v>
      </c>
      <c r="EE47" s="254">
        <f>EE4+EE8+EE26+EE33+EE24+EE12+EE16</f>
        <v>870.63200773596975</v>
      </c>
      <c r="EF47" s="254">
        <f>EF4+EF8+EF26+EF33+EF24+EF12+EF16</f>
        <v>872.28968834400735</v>
      </c>
      <c r="EG47" s="105">
        <f>EG4+EG8+EG26+EG33+EG24+EG12+EG16+EG20</f>
        <v>9266.8717963675044</v>
      </c>
      <c r="EH47" s="254">
        <f>EH4+EH8+EH26+EH33+EH24+EH12+EH16</f>
        <v>855.82180088440441</v>
      </c>
      <c r="EI47" s="254">
        <f>EI4+EI8+EI26+EI33+EI24+EI12+EI16</f>
        <v>824.68017786523615</v>
      </c>
      <c r="EJ47" s="254">
        <f>EJ4+EJ8+EJ26+EJ33+EJ24+EJ12+EJ16</f>
        <v>820.32974143150193</v>
      </c>
      <c r="EK47" s="254">
        <f>EK4+EK8+EK26+EK33+EK24+EK12+EK16</f>
        <v>821.64546866127603</v>
      </c>
      <c r="EL47" s="105">
        <f>EL4+EL8+EL26+EL33+EL24+EL12+EL16+EL20</f>
        <v>9342.5360282229667</v>
      </c>
    </row>
    <row r="48" spans="2:142" s="4" customFormat="1">
      <c r="C48" s="137"/>
      <c r="D48" s="137"/>
      <c r="E48" s="137"/>
      <c r="F48" s="137"/>
      <c r="G48" s="105"/>
      <c r="H48" s="138"/>
      <c r="I48" s="138"/>
      <c r="J48" s="138"/>
      <c r="K48" s="138"/>
      <c r="L48" s="105"/>
      <c r="M48" s="138"/>
      <c r="N48" s="138"/>
      <c r="O48" s="138"/>
      <c r="P48" s="138"/>
      <c r="Q48" s="105"/>
      <c r="R48" s="138"/>
      <c r="S48" s="138"/>
      <c r="T48" s="138"/>
      <c r="U48" s="138"/>
      <c r="V48" s="105"/>
      <c r="W48" s="138"/>
      <c r="X48" s="138"/>
      <c r="Y48" s="138"/>
      <c r="Z48" s="138"/>
      <c r="AA48" s="105"/>
      <c r="AB48" s="138"/>
      <c r="AC48" s="138"/>
      <c r="AD48" s="138"/>
      <c r="AE48" s="138"/>
      <c r="AF48" s="105"/>
      <c r="AG48" s="138"/>
      <c r="AH48" s="138"/>
      <c r="AI48" s="138"/>
      <c r="AJ48" s="138"/>
      <c r="AK48" s="105"/>
      <c r="AL48" s="138"/>
      <c r="AM48" s="138"/>
      <c r="AN48" s="138"/>
      <c r="AO48" s="138"/>
      <c r="AP48" s="105"/>
      <c r="AQ48" s="138"/>
      <c r="AR48" s="138"/>
      <c r="AS48" s="138"/>
      <c r="AT48" s="138"/>
      <c r="AU48" s="105"/>
      <c r="AV48" s="254"/>
      <c r="AW48" s="254"/>
      <c r="AX48" s="254"/>
      <c r="AY48" s="254"/>
      <c r="AZ48" s="105"/>
      <c r="BA48" s="254"/>
      <c r="BB48" s="254"/>
      <c r="BC48" s="254"/>
      <c r="BD48" s="254"/>
      <c r="BE48" s="105"/>
      <c r="BF48" s="254"/>
      <c r="BG48" s="254"/>
      <c r="BH48" s="254"/>
      <c r="BI48" s="254"/>
      <c r="BJ48" s="105"/>
      <c r="BK48" s="254"/>
      <c r="BL48" s="254"/>
      <c r="BM48" s="254"/>
      <c r="BN48" s="254"/>
      <c r="BO48" s="105"/>
      <c r="BP48" s="254"/>
      <c r="BQ48" s="254"/>
      <c r="BR48" s="254"/>
      <c r="BS48" s="254"/>
      <c r="BT48" s="105"/>
      <c r="BU48" s="254"/>
      <c r="BV48" s="254"/>
      <c r="BW48" s="254"/>
      <c r="BX48" s="254"/>
      <c r="BY48" s="105"/>
      <c r="BZ48" s="254"/>
      <c r="CA48" s="254"/>
      <c r="CB48" s="254"/>
      <c r="CC48" s="254"/>
      <c r="CD48" s="105"/>
      <c r="CE48" s="254"/>
      <c r="CF48" s="254"/>
      <c r="CG48" s="254"/>
      <c r="CH48" s="254"/>
      <c r="CI48" s="105"/>
      <c r="CJ48" s="254"/>
      <c r="CK48" s="254"/>
      <c r="CL48" s="254"/>
      <c r="CM48" s="254"/>
      <c r="CN48" s="105"/>
      <c r="CO48" s="254"/>
      <c r="CP48" s="254"/>
      <c r="CQ48" s="254"/>
      <c r="CR48" s="254"/>
      <c r="CS48" s="105"/>
      <c r="CT48" s="254"/>
      <c r="CU48" s="254"/>
      <c r="CV48" s="254"/>
      <c r="CW48" s="254"/>
      <c r="CX48" s="105"/>
      <c r="CY48" s="254"/>
      <c r="CZ48" s="254"/>
      <c r="DA48" s="254"/>
      <c r="DB48" s="254"/>
      <c r="DC48" s="105"/>
      <c r="DD48" s="254"/>
      <c r="DE48" s="254"/>
      <c r="DF48" s="254"/>
      <c r="DG48" s="254"/>
      <c r="DH48" s="105"/>
      <c r="DI48" s="254"/>
      <c r="DJ48" s="254"/>
      <c r="DK48" s="254"/>
      <c r="DL48" s="254"/>
      <c r="DM48" s="105"/>
      <c r="DN48" s="254"/>
      <c r="DO48" s="254"/>
      <c r="DP48" s="254"/>
      <c r="DQ48" s="254"/>
      <c r="DR48" s="105"/>
      <c r="DS48" s="254"/>
      <c r="DT48" s="254"/>
      <c r="DU48" s="254"/>
      <c r="DV48" s="254"/>
      <c r="DW48" s="105"/>
      <c r="DX48" s="254"/>
      <c r="DY48" s="254"/>
      <c r="DZ48" s="254"/>
      <c r="EA48" s="254"/>
      <c r="EB48" s="105"/>
      <c r="EC48" s="254"/>
      <c r="ED48" s="254"/>
      <c r="EE48" s="254"/>
      <c r="EF48" s="254"/>
      <c r="EG48" s="105"/>
      <c r="EH48" s="254"/>
      <c r="EI48" s="254"/>
      <c r="EJ48" s="254"/>
      <c r="EK48" s="254"/>
      <c r="EL48" s="105"/>
    </row>
    <row r="49" spans="2:142" s="2" customFormat="1">
      <c r="B49" s="4" t="s">
        <v>825</v>
      </c>
      <c r="C49" s="137">
        <v>110.9</v>
      </c>
      <c r="D49" s="137">
        <v>118.4</v>
      </c>
      <c r="E49" s="137">
        <v>134</v>
      </c>
      <c r="F49" s="137">
        <v>129.69999999999999</v>
      </c>
      <c r="G49" s="105">
        <v>493</v>
      </c>
      <c r="H49" s="138">
        <v>133.95500000000001</v>
      </c>
      <c r="I49" s="138">
        <v>151.15700000000001</v>
      </c>
      <c r="J49" s="138">
        <v>159.50700000000001</v>
      </c>
      <c r="K49" s="138">
        <v>171.12400000000002</v>
      </c>
      <c r="L49" s="105">
        <v>615.74300000000005</v>
      </c>
      <c r="M49" s="138">
        <v>160.453</v>
      </c>
      <c r="N49" s="138">
        <v>184.934</v>
      </c>
      <c r="O49" s="138">
        <v>181.59700000000001</v>
      </c>
      <c r="P49" s="138">
        <v>181.89699999999993</v>
      </c>
      <c r="Q49" s="105">
        <v>708.88099999999997</v>
      </c>
      <c r="R49" s="138">
        <v>183.38</v>
      </c>
      <c r="S49" s="138">
        <v>206.095</v>
      </c>
      <c r="T49" s="138">
        <v>203.82</v>
      </c>
      <c r="U49" s="138">
        <v>217.56899999999996</v>
      </c>
      <c r="V49" s="105">
        <v>810.86400000000003</v>
      </c>
      <c r="W49" s="138">
        <v>207.16399999999999</v>
      </c>
      <c r="X49" s="138">
        <v>230.59</v>
      </c>
      <c r="Y49" s="138">
        <v>234.637</v>
      </c>
      <c r="Z49" s="138">
        <v>253.70699999999988</v>
      </c>
      <c r="AA49" s="105">
        <v>926.09799999999996</v>
      </c>
      <c r="AB49" s="138">
        <v>247.22300000000001</v>
      </c>
      <c r="AC49" s="138">
        <v>278.822</v>
      </c>
      <c r="AD49" s="138">
        <v>298.97899999999998</v>
      </c>
      <c r="AE49" s="138">
        <v>303.21399999999994</v>
      </c>
      <c r="AF49" s="105">
        <v>1128.2380000000001</v>
      </c>
      <c r="AG49" s="138">
        <v>278.81799999999998</v>
      </c>
      <c r="AH49" s="138">
        <v>275.57</v>
      </c>
      <c r="AI49" s="138">
        <v>283.91899999999998</v>
      </c>
      <c r="AJ49" s="138">
        <v>256.55600000000015</v>
      </c>
      <c r="AK49" s="105">
        <v>1094.8630000000001</v>
      </c>
      <c r="AL49" s="138">
        <v>254.928</v>
      </c>
      <c r="AM49" s="138">
        <v>306.37099999999998</v>
      </c>
      <c r="AN49" s="138">
        <v>257.98099999999999</v>
      </c>
      <c r="AO49" s="138">
        <v>257.96399999999994</v>
      </c>
      <c r="AP49" s="105">
        <v>1077.2439999999999</v>
      </c>
      <c r="AQ49" s="138">
        <v>256.12400000000002</v>
      </c>
      <c r="AR49" s="138">
        <v>216.458</v>
      </c>
      <c r="AS49" s="138">
        <v>266.471</v>
      </c>
      <c r="AT49" s="138">
        <v>257.5</v>
      </c>
      <c r="AU49" s="105">
        <v>996.553</v>
      </c>
      <c r="AV49" s="254">
        <v>284.55200000000002</v>
      </c>
      <c r="AW49" s="254">
        <v>284.63</v>
      </c>
      <c r="AX49" s="254">
        <v>287.79199999999997</v>
      </c>
      <c r="AY49" s="254">
        <v>280.94799999999998</v>
      </c>
      <c r="AZ49" s="105">
        <v>1137.922</v>
      </c>
      <c r="BA49" s="254">
        <v>264.60599999999999</v>
      </c>
      <c r="BB49" s="254">
        <v>288.78500000000003</v>
      </c>
      <c r="BC49" s="254">
        <v>303.20999999999998</v>
      </c>
      <c r="BD49" s="254">
        <f>'Roche Royalty Model'!BD4</f>
        <v>269.41599999999994</v>
      </c>
      <c r="BE49" s="105">
        <f>SUM(BA49:BD49)</f>
        <v>1126.0170000000001</v>
      </c>
      <c r="BF49" s="310">
        <v>296.88499999999999</v>
      </c>
      <c r="BG49" s="310">
        <v>303.29599999999999</v>
      </c>
      <c r="BH49" s="310">
        <v>290.678</v>
      </c>
      <c r="BI49" s="310">
        <v>304.52999999999997</v>
      </c>
      <c r="BJ49" s="105">
        <f>SUM(BF49:BI49)</f>
        <v>1195.3890000000001</v>
      </c>
      <c r="BK49" s="310">
        <v>330.61099999999999</v>
      </c>
      <c r="BL49" s="310">
        <v>337.5</v>
      </c>
      <c r="BM49" s="310">
        <v>337.2</v>
      </c>
      <c r="BN49" s="310">
        <v>333.9</v>
      </c>
      <c r="BO49" s="105">
        <f>SUM(BK49:BN49)</f>
        <v>1339.2109999999998</v>
      </c>
      <c r="BP49" s="310">
        <v>329.5</v>
      </c>
      <c r="BQ49" s="310">
        <v>349.2</v>
      </c>
      <c r="BR49" s="310">
        <v>317.60000000000002</v>
      </c>
      <c r="BS49" s="310">
        <v>318.2</v>
      </c>
      <c r="BT49" s="105">
        <f>SUM(BP49:BS49)</f>
        <v>1314.5</v>
      </c>
      <c r="BU49" s="310">
        <v>340.6</v>
      </c>
      <c r="BV49" s="310">
        <v>397.1</v>
      </c>
      <c r="BW49" s="310">
        <v>406.5</v>
      </c>
      <c r="BX49" s="310">
        <v>415</v>
      </c>
      <c r="BY49" s="105">
        <f>SUM(BU49:BX49)</f>
        <v>1559.2</v>
      </c>
      <c r="BZ49" s="310">
        <v>443.2</v>
      </c>
      <c r="CA49" s="254">
        <f>'Roche Royalty Model'!CA4</f>
        <v>400.49360084236167</v>
      </c>
      <c r="CB49" s="254">
        <f>'Roche Royalty Model'!CB4</f>
        <v>397.89369281709082</v>
      </c>
      <c r="CC49" s="254">
        <f>'Roche Royalty Model'!CC4</f>
        <v>399.92111608445066</v>
      </c>
      <c r="CD49" s="105">
        <f>'Roche Royalty Model'!CD4</f>
        <v>1642.308409743903</v>
      </c>
      <c r="CE49" s="254">
        <f>'Roche Royalty Model'!CE4</f>
        <v>452.28360348877516</v>
      </c>
      <c r="CF49" s="254">
        <f>'Roche Royalty Model'!CF4</f>
        <v>452.28360348877516</v>
      </c>
      <c r="CG49" s="254">
        <f>'Roche Royalty Model'!CG4</f>
        <v>452.28360348877516</v>
      </c>
      <c r="CH49" s="254">
        <f>'Roche Royalty Model'!CH4</f>
        <v>452.28360348877516</v>
      </c>
      <c r="CI49" s="105">
        <f>'Roche Royalty Model'!CI4</f>
        <v>1809.1344139551006</v>
      </c>
      <c r="CJ49" s="254">
        <f>'Roche Royalty Model'!CJ4</f>
        <v>500.33835234599917</v>
      </c>
      <c r="CK49" s="254">
        <f>'Roche Royalty Model'!CK4</f>
        <v>500.33835234599917</v>
      </c>
      <c r="CL49" s="254">
        <f>'Roche Royalty Model'!CL4</f>
        <v>500.33835234599917</v>
      </c>
      <c r="CM49" s="254">
        <f>'Roche Royalty Model'!CM4</f>
        <v>500.33835234599917</v>
      </c>
      <c r="CN49" s="105">
        <f>'Roche Royalty Model'!CN4</f>
        <v>2001.3534093839967</v>
      </c>
      <c r="CO49" s="254"/>
      <c r="CP49" s="254"/>
      <c r="CQ49" s="254"/>
      <c r="CR49" s="254"/>
      <c r="CS49" s="105">
        <f>'Roche Royalty Model'!CS4</f>
        <v>2156.708292300842</v>
      </c>
      <c r="CT49" s="254"/>
      <c r="CU49" s="254"/>
      <c r="CV49" s="254"/>
      <c r="CW49" s="254"/>
      <c r="CX49" s="105">
        <f>'Roche Royalty Model'!CX4</f>
        <v>2184.3132502969675</v>
      </c>
      <c r="CY49" s="254"/>
      <c r="CZ49" s="254"/>
      <c r="DA49" s="254"/>
      <c r="DB49" s="254"/>
      <c r="DC49" s="105">
        <f>'Roche Royalty Model'!DC4</f>
        <v>2220.5012419364994</v>
      </c>
      <c r="DD49" s="254"/>
      <c r="DE49" s="254"/>
      <c r="DF49" s="254"/>
      <c r="DG49" s="254"/>
      <c r="DH49" s="105">
        <f>'Roche Royalty Model'!DH4</f>
        <v>2233.5565654918219</v>
      </c>
      <c r="DI49" s="254"/>
      <c r="DJ49" s="254"/>
      <c r="DK49" s="254"/>
      <c r="DL49" s="254"/>
      <c r="DM49" s="105">
        <f>'Roche Royalty Model'!DM4</f>
        <v>2217.7449231368478</v>
      </c>
      <c r="DN49" s="254"/>
      <c r="DO49" s="254"/>
      <c r="DP49" s="254"/>
      <c r="DQ49" s="254"/>
      <c r="DR49" s="105">
        <f>'Roche Royalty Model'!DR4</f>
        <v>2244.3593981062581</v>
      </c>
      <c r="DS49" s="254"/>
      <c r="DT49" s="254"/>
      <c r="DU49" s="254"/>
      <c r="DV49" s="254"/>
      <c r="DW49" s="105">
        <f>'Roche Royalty Model'!DW4</f>
        <v>2295.082517724964</v>
      </c>
      <c r="DX49" s="254"/>
      <c r="DY49" s="254"/>
      <c r="DZ49" s="254"/>
      <c r="EA49" s="254"/>
      <c r="EB49" s="105">
        <f>'Roche Royalty Model'!EB4</f>
        <v>2337.3688089315001</v>
      </c>
      <c r="EC49" s="254"/>
      <c r="ED49" s="254"/>
      <c r="EE49" s="254"/>
      <c r="EF49" s="254"/>
      <c r="EG49" s="105">
        <f>'Roche Royalty Model'!EG4</f>
        <v>2378.9127696117348</v>
      </c>
      <c r="EH49" s="254"/>
      <c r="EI49" s="254"/>
      <c r="EJ49" s="254"/>
      <c r="EK49" s="254"/>
      <c r="EL49" s="105">
        <f>'Roche Royalty Model'!EL4</f>
        <v>2419.6773807284826</v>
      </c>
    </row>
    <row r="50" spans="2:142" s="3" customFormat="1">
      <c r="B50" s="8"/>
      <c r="C50" s="145"/>
      <c r="D50" s="171"/>
      <c r="E50" s="171"/>
      <c r="F50" s="171"/>
      <c r="G50" s="103"/>
      <c r="H50" s="144"/>
      <c r="I50" s="144"/>
      <c r="J50" s="144"/>
      <c r="K50" s="144"/>
      <c r="L50" s="103"/>
      <c r="M50" s="144"/>
      <c r="N50" s="144"/>
      <c r="O50" s="144"/>
      <c r="P50" s="144"/>
      <c r="Q50" s="103"/>
      <c r="R50" s="144"/>
      <c r="S50" s="144"/>
      <c r="T50" s="144"/>
      <c r="U50" s="144"/>
      <c r="V50" s="103"/>
      <c r="W50" s="144"/>
      <c r="X50" s="144"/>
      <c r="Y50" s="144"/>
      <c r="Z50" s="144"/>
      <c r="AA50" s="103"/>
      <c r="AB50" s="144"/>
      <c r="AC50" s="144"/>
      <c r="AD50" s="144"/>
      <c r="AE50" s="144"/>
      <c r="AF50" s="103"/>
      <c r="AG50" s="144"/>
      <c r="AH50" s="146"/>
      <c r="AI50" s="146"/>
      <c r="AJ50" s="146"/>
      <c r="AK50" s="64"/>
      <c r="AL50" s="146"/>
      <c r="AM50" s="146"/>
      <c r="AN50" s="146"/>
      <c r="AO50" s="146"/>
      <c r="AP50" s="64"/>
      <c r="AQ50" s="146"/>
      <c r="AR50" s="146"/>
      <c r="AS50" s="146"/>
      <c r="AT50" s="146"/>
      <c r="AU50" s="64"/>
      <c r="AV50" s="255"/>
      <c r="AW50" s="255"/>
      <c r="AX50" s="255"/>
      <c r="AY50" s="255"/>
      <c r="AZ50" s="64"/>
      <c r="BA50" s="255"/>
      <c r="BB50" s="255"/>
      <c r="BC50" s="255"/>
      <c r="BD50" s="255"/>
      <c r="BE50" s="64"/>
      <c r="BF50" s="255"/>
      <c r="BG50" s="255"/>
      <c r="BH50" s="255"/>
      <c r="BI50" s="255"/>
      <c r="BJ50" s="64"/>
      <c r="BK50" s="255"/>
      <c r="BL50" s="255"/>
      <c r="BM50" s="255"/>
      <c r="BN50" s="255"/>
      <c r="BO50" s="64"/>
      <c r="BP50" s="255"/>
      <c r="BQ50" s="255"/>
      <c r="BR50" s="255"/>
      <c r="BS50" s="255"/>
      <c r="BT50" s="64"/>
      <c r="BU50" s="255"/>
      <c r="BV50" s="255"/>
      <c r="BW50" s="255"/>
      <c r="BX50" s="255"/>
      <c r="BY50" s="64"/>
      <c r="BZ50" s="255"/>
      <c r="CA50" s="255"/>
      <c r="CB50" s="255"/>
      <c r="CC50" s="255"/>
      <c r="CD50" s="64"/>
      <c r="CE50" s="255"/>
      <c r="CF50" s="255"/>
      <c r="CG50" s="255"/>
      <c r="CH50" s="255"/>
      <c r="CI50" s="64"/>
      <c r="CJ50" s="255"/>
      <c r="CK50" s="255"/>
      <c r="CL50" s="255"/>
      <c r="CM50" s="255"/>
      <c r="CN50" s="64"/>
      <c r="CO50" s="255"/>
      <c r="CP50" s="255"/>
      <c r="CQ50" s="255"/>
      <c r="CR50" s="255"/>
      <c r="CS50" s="64"/>
      <c r="CT50" s="255"/>
      <c r="CU50" s="255"/>
      <c r="CV50" s="255"/>
      <c r="CW50" s="255"/>
      <c r="CX50" s="64"/>
      <c r="CY50" s="255"/>
      <c r="CZ50" s="255"/>
      <c r="DA50" s="255"/>
      <c r="DB50" s="255"/>
      <c r="DC50" s="64"/>
      <c r="DD50" s="255"/>
      <c r="DE50" s="255"/>
      <c r="DF50" s="255"/>
      <c r="DG50" s="255"/>
      <c r="DH50" s="64"/>
      <c r="DI50" s="255"/>
      <c r="DJ50" s="255"/>
      <c r="DK50" s="255"/>
      <c r="DL50" s="255"/>
      <c r="DM50" s="64"/>
      <c r="DN50" s="255"/>
      <c r="DO50" s="255"/>
      <c r="DP50" s="255"/>
      <c r="DQ50" s="255"/>
      <c r="DR50" s="64"/>
      <c r="DS50" s="255"/>
      <c r="DT50" s="255"/>
      <c r="DU50" s="255"/>
      <c r="DV50" s="255"/>
      <c r="DW50" s="64"/>
      <c r="DX50" s="255"/>
      <c r="DY50" s="255"/>
      <c r="DZ50" s="255"/>
      <c r="EA50" s="255"/>
      <c r="EB50" s="64"/>
      <c r="EC50" s="255"/>
      <c r="ED50" s="255"/>
      <c r="EE50" s="255"/>
      <c r="EF50" s="255"/>
      <c r="EG50" s="64"/>
      <c r="EH50" s="255"/>
      <c r="EI50" s="255"/>
      <c r="EJ50" s="255"/>
      <c r="EK50" s="255"/>
      <c r="EL50" s="64"/>
    </row>
    <row r="51" spans="2:142">
      <c r="B51" s="113" t="s">
        <v>899</v>
      </c>
      <c r="C51" s="145">
        <v>41.4</v>
      </c>
      <c r="D51" s="145">
        <v>30.5</v>
      </c>
      <c r="E51" s="145">
        <v>28.6</v>
      </c>
      <c r="F51" s="145">
        <f>+G51-SUM(C51:E51)</f>
        <v>26.700000000000003</v>
      </c>
      <c r="G51" s="64">
        <v>127.2</v>
      </c>
      <c r="H51" s="146">
        <v>25.213000000000001</v>
      </c>
      <c r="I51" s="146">
        <v>24.297000000000001</v>
      </c>
      <c r="J51" s="146">
        <v>23.86</v>
      </c>
      <c r="K51" s="146">
        <f>+L51-SUM(H51:J51)</f>
        <v>25.574999999999989</v>
      </c>
      <c r="L51" s="64">
        <v>98.944999999999993</v>
      </c>
      <c r="M51" s="146">
        <v>26.748999999999999</v>
      </c>
      <c r="N51" s="146">
        <v>21.734000000000002</v>
      </c>
      <c r="O51" s="146">
        <v>23.117000000000001</v>
      </c>
      <c r="P51" s="146">
        <f>+Q51-SUM(M51:O51)</f>
        <v>21.592999999999989</v>
      </c>
      <c r="Q51" s="64">
        <v>93.192999999999998</v>
      </c>
      <c r="R51" s="146">
        <v>20.561</v>
      </c>
      <c r="S51" s="146">
        <v>18.286000000000001</v>
      </c>
      <c r="T51" s="146">
        <v>21.867000000000001</v>
      </c>
      <c r="U51" s="146">
        <f>+V51-SUM(R51:T51)</f>
        <v>25.516999999999996</v>
      </c>
      <c r="V51" s="64">
        <v>86.230999999999995</v>
      </c>
      <c r="W51" s="146">
        <v>22.986999999999998</v>
      </c>
      <c r="X51" s="146">
        <v>22.648</v>
      </c>
      <c r="Y51" s="146">
        <v>23.536999999999999</v>
      </c>
      <c r="Z51" s="146">
        <f>+AA51-SUM(W51:Y51)</f>
        <v>32.969000000000008</v>
      </c>
      <c r="AA51" s="64">
        <v>102.14100000000001</v>
      </c>
      <c r="AB51" s="146">
        <v>23.981000000000002</v>
      </c>
      <c r="AC51" s="146">
        <v>28.114999999999998</v>
      </c>
      <c r="AD51" s="146">
        <v>35.161999999999999</v>
      </c>
      <c r="AE51" s="146">
        <f>+AF51-SUM(AB51:AD51)</f>
        <v>28.965999999999994</v>
      </c>
      <c r="AF51" s="64">
        <v>116.224</v>
      </c>
      <c r="AG51" s="146">
        <v>24.082999999999998</v>
      </c>
      <c r="AH51" s="146">
        <v>25.009</v>
      </c>
      <c r="AI51" s="146">
        <v>34.537999999999997</v>
      </c>
      <c r="AJ51" s="146">
        <f>+AK51-SUM(AG51:AI51)</f>
        <v>40.808000000000007</v>
      </c>
      <c r="AK51" s="64">
        <v>124.438</v>
      </c>
      <c r="AL51" s="146">
        <v>26.023</v>
      </c>
      <c r="AM51" s="146">
        <v>30.097999999999999</v>
      </c>
      <c r="AN51" s="146">
        <v>35.951999999999998</v>
      </c>
      <c r="AO51" s="146">
        <f>+AP51-SUM(AL51:AN51)</f>
        <v>45.328000000000017</v>
      </c>
      <c r="AP51" s="64">
        <v>137.40100000000001</v>
      </c>
      <c r="AQ51" s="146">
        <v>25.577999999999999</v>
      </c>
      <c r="AR51" s="146">
        <v>28.649000000000001</v>
      </c>
      <c r="AS51" s="146">
        <v>51.585000000000001</v>
      </c>
      <c r="AT51" s="146">
        <v>52.686</v>
      </c>
      <c r="AU51" s="64">
        <f>SUM(AQ51:AT51)</f>
        <v>158.49800000000002</v>
      </c>
      <c r="AV51" s="255">
        <v>28.8</v>
      </c>
      <c r="AW51" s="255">
        <v>37.084000000000003</v>
      </c>
      <c r="AX51" s="255">
        <f>31.719+46.625</f>
        <v>78.343999999999994</v>
      </c>
      <c r="AY51" s="255">
        <f>56.17+15.073</f>
        <v>71.242999999999995</v>
      </c>
      <c r="AZ51" s="64">
        <f>SUM(AV51:AY51)</f>
        <v>215.471</v>
      </c>
      <c r="BA51" s="255">
        <v>32.82</v>
      </c>
      <c r="BB51" s="255">
        <v>38.110999999999997</v>
      </c>
      <c r="BC51" s="255">
        <f>54.144</f>
        <v>54.143999999999998</v>
      </c>
      <c r="BD51" s="256">
        <v>61</v>
      </c>
      <c r="BE51" s="64">
        <f>SUM(BA51:BD51)</f>
        <v>186.07499999999999</v>
      </c>
      <c r="BF51" s="256">
        <v>37.856000000000002</v>
      </c>
      <c r="BG51" s="256">
        <v>40.344000000000001</v>
      </c>
      <c r="BH51" s="256">
        <v>67.147999999999996</v>
      </c>
      <c r="BI51" s="256">
        <v>31.350999999999999</v>
      </c>
      <c r="BJ51" s="64">
        <f>SUM(BF51:BI51)</f>
        <v>176.69900000000001</v>
      </c>
      <c r="BK51" s="256">
        <v>18.899999999999999</v>
      </c>
      <c r="BL51" s="256">
        <v>17.2</v>
      </c>
      <c r="BM51" s="256">
        <v>15.3</v>
      </c>
      <c r="BN51" s="256">
        <v>10</v>
      </c>
      <c r="BO51" s="64">
        <f>SUM(BK51:BN51)</f>
        <v>61.399999999999991</v>
      </c>
      <c r="BP51" s="256">
        <v>11.5</v>
      </c>
      <c r="BQ51" s="256">
        <v>19.600000000000001</v>
      </c>
      <c r="BR51" s="256">
        <v>-0.9</v>
      </c>
      <c r="BS51" s="255">
        <f>BT51-BP51-BQ51-BR51</f>
        <v>9.0999999999999961</v>
      </c>
      <c r="BT51" s="280">
        <v>39.299999999999997</v>
      </c>
      <c r="BU51" s="255">
        <f>90-BU54</f>
        <v>6.2999999999999972</v>
      </c>
      <c r="BV51" s="255">
        <f>41.6-BV54</f>
        <v>9</v>
      </c>
      <c r="BW51" s="255">
        <f>48.8-BW54</f>
        <v>6.1999999999999957</v>
      </c>
      <c r="BX51" s="255">
        <f>179.6-BX54</f>
        <v>15.000000000000028</v>
      </c>
      <c r="BY51" s="64">
        <f>SUM(BU51:BX51)</f>
        <v>36.500000000000021</v>
      </c>
      <c r="BZ51" s="255">
        <f>164.4-BZ54</f>
        <v>13.200000000000017</v>
      </c>
      <c r="CA51" s="255">
        <v>15</v>
      </c>
      <c r="CB51" s="255">
        <v>15</v>
      </c>
      <c r="CC51" s="255">
        <f>CD51-BZ51-CA51-CB51</f>
        <v>16.799999999999983</v>
      </c>
      <c r="CD51" s="64">
        <f>'Zinbryta Collaboration'!CD20+15*4</f>
        <v>60</v>
      </c>
      <c r="CE51" s="255">
        <f>CI51/4</f>
        <v>15</v>
      </c>
      <c r="CF51" s="255">
        <f t="shared" ref="CF51:CH51" si="19">CE51</f>
        <v>15</v>
      </c>
      <c r="CG51" s="255">
        <f t="shared" si="19"/>
        <v>15</v>
      </c>
      <c r="CH51" s="255">
        <f t="shared" si="19"/>
        <v>15</v>
      </c>
      <c r="CI51" s="64">
        <f>'Zinbryta Collaboration'!CI20+15*4</f>
        <v>60</v>
      </c>
      <c r="CJ51" s="255">
        <f>CN51/4</f>
        <v>15</v>
      </c>
      <c r="CK51" s="255">
        <f t="shared" ref="CK51:CM51" si="20">CJ51</f>
        <v>15</v>
      </c>
      <c r="CL51" s="255">
        <f t="shared" si="20"/>
        <v>15</v>
      </c>
      <c r="CM51" s="255">
        <f t="shared" si="20"/>
        <v>15</v>
      </c>
      <c r="CN51" s="64">
        <f>'Zinbryta Collaboration'!CN20+15*4</f>
        <v>60</v>
      </c>
      <c r="CO51" s="255">
        <f>CS51/4</f>
        <v>15</v>
      </c>
      <c r="CP51" s="255">
        <f t="shared" ref="CP51" si="21">CO51</f>
        <v>15</v>
      </c>
      <c r="CQ51" s="255">
        <f t="shared" ref="CQ51" si="22">CP51</f>
        <v>15</v>
      </c>
      <c r="CR51" s="255">
        <f t="shared" ref="CR51" si="23">CQ51</f>
        <v>15</v>
      </c>
      <c r="CS51" s="64">
        <f>'Zinbryta Collaboration'!CS20+15*4</f>
        <v>60</v>
      </c>
      <c r="CT51" s="255">
        <f>CX51/4</f>
        <v>15</v>
      </c>
      <c r="CU51" s="255">
        <f t="shared" ref="CU51" si="24">CT51</f>
        <v>15</v>
      </c>
      <c r="CV51" s="255">
        <f t="shared" ref="CV51" si="25">CU51</f>
        <v>15</v>
      </c>
      <c r="CW51" s="255">
        <f t="shared" ref="CW51" si="26">CV51</f>
        <v>15</v>
      </c>
      <c r="CX51" s="64">
        <f>'Zinbryta Collaboration'!CX20+15*4</f>
        <v>60</v>
      </c>
      <c r="CY51" s="255">
        <f>DC51/4</f>
        <v>15</v>
      </c>
      <c r="CZ51" s="255">
        <f t="shared" ref="CZ51" si="27">CY51</f>
        <v>15</v>
      </c>
      <c r="DA51" s="255">
        <f t="shared" ref="DA51" si="28">CZ51</f>
        <v>15</v>
      </c>
      <c r="DB51" s="255">
        <f t="shared" ref="DB51" si="29">DA51</f>
        <v>15</v>
      </c>
      <c r="DC51" s="64">
        <f>'Zinbryta Collaboration'!DC20+15*4</f>
        <v>60</v>
      </c>
      <c r="DD51" s="255">
        <f>DH51/4</f>
        <v>15</v>
      </c>
      <c r="DE51" s="255">
        <f t="shared" ref="DE51" si="30">DD51</f>
        <v>15</v>
      </c>
      <c r="DF51" s="255">
        <f t="shared" ref="DF51" si="31">DE51</f>
        <v>15</v>
      </c>
      <c r="DG51" s="255">
        <f t="shared" ref="DG51" si="32">DF51</f>
        <v>15</v>
      </c>
      <c r="DH51" s="64">
        <f>'Zinbryta Collaboration'!DH20+15*4</f>
        <v>60</v>
      </c>
      <c r="DI51" s="255">
        <f>DM51/4</f>
        <v>15</v>
      </c>
      <c r="DJ51" s="255">
        <f t="shared" ref="DJ51" si="33">DI51</f>
        <v>15</v>
      </c>
      <c r="DK51" s="255">
        <f t="shared" ref="DK51" si="34">DJ51</f>
        <v>15</v>
      </c>
      <c r="DL51" s="255">
        <f t="shared" ref="DL51" si="35">DK51</f>
        <v>15</v>
      </c>
      <c r="DM51" s="64">
        <f>'Zinbryta Collaboration'!DM20+15*4</f>
        <v>60</v>
      </c>
      <c r="DN51" s="255">
        <f>DR51/4</f>
        <v>15</v>
      </c>
      <c r="DO51" s="255">
        <f t="shared" ref="DO51" si="36">DN51</f>
        <v>15</v>
      </c>
      <c r="DP51" s="255">
        <f t="shared" ref="DP51" si="37">DO51</f>
        <v>15</v>
      </c>
      <c r="DQ51" s="255">
        <f t="shared" ref="DQ51" si="38">DP51</f>
        <v>15</v>
      </c>
      <c r="DR51" s="64">
        <f>'Zinbryta Collaboration'!DR20+15*4</f>
        <v>60</v>
      </c>
      <c r="DS51" s="255">
        <f>DW51/4</f>
        <v>15</v>
      </c>
      <c r="DT51" s="255">
        <f t="shared" ref="DT51" si="39">DS51</f>
        <v>15</v>
      </c>
      <c r="DU51" s="255">
        <f t="shared" ref="DU51" si="40">DT51</f>
        <v>15</v>
      </c>
      <c r="DV51" s="255">
        <f t="shared" ref="DV51" si="41">DU51</f>
        <v>15</v>
      </c>
      <c r="DW51" s="64">
        <f>'Zinbryta Collaboration'!DW20+15*4</f>
        <v>60</v>
      </c>
      <c r="DX51" s="255">
        <f>EB51/4</f>
        <v>15</v>
      </c>
      <c r="DY51" s="255">
        <f t="shared" ref="DY51" si="42">DX51</f>
        <v>15</v>
      </c>
      <c r="DZ51" s="255">
        <f t="shared" ref="DZ51" si="43">DY51</f>
        <v>15</v>
      </c>
      <c r="EA51" s="255">
        <f t="shared" ref="EA51" si="44">DZ51</f>
        <v>15</v>
      </c>
      <c r="EB51" s="64">
        <f>'Zinbryta Collaboration'!EB20+15*4</f>
        <v>60</v>
      </c>
      <c r="EC51" s="255">
        <f>EG51/4</f>
        <v>15</v>
      </c>
      <c r="ED51" s="255">
        <f t="shared" ref="ED51" si="45">EC51</f>
        <v>15</v>
      </c>
      <c r="EE51" s="255">
        <f t="shared" ref="EE51" si="46">ED51</f>
        <v>15</v>
      </c>
      <c r="EF51" s="255">
        <f t="shared" ref="EF51" si="47">EE51</f>
        <v>15</v>
      </c>
      <c r="EG51" s="64">
        <f>'Zinbryta Collaboration'!EG20+15*4</f>
        <v>60</v>
      </c>
      <c r="EH51" s="255">
        <f>EL51/4</f>
        <v>15</v>
      </c>
      <c r="EI51" s="255">
        <f t="shared" ref="EI51" si="48">EH51</f>
        <v>15</v>
      </c>
      <c r="EJ51" s="255">
        <f t="shared" ref="EJ51" si="49">EI51</f>
        <v>15</v>
      </c>
      <c r="EK51" s="255">
        <f t="shared" ref="EK51" si="50">EJ51</f>
        <v>15</v>
      </c>
      <c r="EL51" s="64">
        <f>'Zinbryta Collaboration'!EL20+15*4</f>
        <v>60</v>
      </c>
    </row>
    <row r="52" spans="2:142" outlineLevel="1">
      <c r="B52" s="9" t="s">
        <v>908</v>
      </c>
      <c r="C52" s="145"/>
      <c r="D52" s="145"/>
      <c r="E52" s="145"/>
      <c r="F52" s="145"/>
      <c r="G52" s="64"/>
      <c r="H52" s="146"/>
      <c r="I52" s="146"/>
      <c r="J52" s="146"/>
      <c r="K52" s="146"/>
      <c r="L52" s="64"/>
      <c r="M52" s="146"/>
      <c r="N52" s="146"/>
      <c r="O52" s="146"/>
      <c r="P52" s="146"/>
      <c r="Q52" s="64"/>
      <c r="R52" s="146"/>
      <c r="S52" s="146"/>
      <c r="T52" s="146"/>
      <c r="U52" s="146"/>
      <c r="V52" s="64"/>
      <c r="W52" s="146"/>
      <c r="X52" s="146"/>
      <c r="Y52" s="146"/>
      <c r="Z52" s="146"/>
      <c r="AA52" s="64"/>
      <c r="AB52" s="146"/>
      <c r="AC52" s="146"/>
      <c r="AD52" s="146"/>
      <c r="AE52" s="146"/>
      <c r="AF52" s="64"/>
      <c r="AG52" s="146"/>
      <c r="AH52" s="146"/>
      <c r="AI52" s="146"/>
      <c r="AJ52" s="146"/>
      <c r="AK52" s="64"/>
      <c r="AL52" s="146"/>
      <c r="AM52" s="146"/>
      <c r="AN52" s="146"/>
      <c r="AO52" s="146"/>
      <c r="AP52" s="64"/>
      <c r="AQ52" s="146"/>
      <c r="AR52" s="146"/>
      <c r="AS52" s="146"/>
      <c r="AT52" s="146"/>
      <c r="AU52" s="64"/>
      <c r="AV52" s="255"/>
      <c r="AW52" s="255"/>
      <c r="AX52" s="255"/>
      <c r="AY52" s="255"/>
      <c r="AZ52" s="64"/>
      <c r="BA52" s="255"/>
      <c r="BB52" s="255"/>
      <c r="BC52" s="255"/>
      <c r="BD52" s="256"/>
      <c r="BE52" s="64"/>
      <c r="BF52" s="256"/>
      <c r="BG52" s="256"/>
      <c r="BH52" s="256"/>
      <c r="BI52" s="256"/>
      <c r="BJ52" s="64"/>
      <c r="BK52" s="256">
        <v>13.3</v>
      </c>
      <c r="BL52" s="256">
        <v>29.8</v>
      </c>
      <c r="BM52" s="256">
        <v>24.7</v>
      </c>
      <c r="BN52" s="256">
        <f>BO52-BK52-BL52-BM52</f>
        <v>59.400000000000006</v>
      </c>
      <c r="BO52" s="64">
        <f>188.6-BO51</f>
        <v>127.2</v>
      </c>
      <c r="BP52" s="256">
        <v>55.7</v>
      </c>
      <c r="BQ52" s="256">
        <v>50.8</v>
      </c>
      <c r="BR52" s="256">
        <v>92.9</v>
      </c>
      <c r="BS52" s="255">
        <f>BT52-BP52-BQ52-BR52</f>
        <v>31.200000000000031</v>
      </c>
      <c r="BT52" s="64">
        <f>BT54-BT53</f>
        <v>230.60000000000002</v>
      </c>
      <c r="BU52" s="256">
        <v>58.2</v>
      </c>
      <c r="BV52" s="256">
        <v>20.8</v>
      </c>
      <c r="BW52" s="256">
        <v>30.8</v>
      </c>
      <c r="BX52" s="255">
        <f>BY52-BU52-BV52-BW52</f>
        <v>143.89999999999998</v>
      </c>
      <c r="BY52" s="280">
        <f>253.7</f>
        <v>253.7</v>
      </c>
      <c r="BZ52" s="256">
        <f>BZ54-BZ53</f>
        <v>140.6</v>
      </c>
      <c r="CA52" s="255"/>
      <c r="CB52" s="255"/>
      <c r="CC52" s="255"/>
      <c r="CD52" s="64"/>
      <c r="CE52" s="255"/>
      <c r="CF52" s="255"/>
      <c r="CG52" s="255"/>
      <c r="CH52" s="255"/>
      <c r="CI52" s="64"/>
      <c r="CJ52" s="255"/>
      <c r="CK52" s="255"/>
      <c r="CL52" s="255"/>
      <c r="CM52" s="255"/>
      <c r="CN52" s="64"/>
      <c r="CO52" s="255"/>
      <c r="CP52" s="255"/>
      <c r="CQ52" s="255"/>
      <c r="CR52" s="255"/>
      <c r="CS52" s="64"/>
      <c r="CT52" s="255"/>
      <c r="CU52" s="255"/>
      <c r="CV52" s="255"/>
      <c r="CW52" s="255"/>
      <c r="CX52" s="64"/>
      <c r="CY52" s="255"/>
      <c r="CZ52" s="255"/>
      <c r="DA52" s="255"/>
      <c r="DB52" s="255"/>
      <c r="DC52" s="64"/>
      <c r="DD52" s="255"/>
      <c r="DE52" s="255"/>
      <c r="DF52" s="255"/>
      <c r="DG52" s="255"/>
      <c r="DH52" s="64"/>
      <c r="DI52" s="255"/>
      <c r="DJ52" s="255"/>
      <c r="DK52" s="255"/>
      <c r="DL52" s="255"/>
      <c r="DM52" s="64"/>
      <c r="DN52" s="255"/>
      <c r="DO52" s="255"/>
      <c r="DP52" s="255"/>
      <c r="DQ52" s="255"/>
      <c r="DR52" s="64"/>
      <c r="DS52" s="255"/>
      <c r="DT52" s="255"/>
      <c r="DU52" s="255"/>
      <c r="DV52" s="255"/>
      <c r="DW52" s="64"/>
      <c r="DX52" s="255"/>
      <c r="DY52" s="255"/>
      <c r="DZ52" s="255"/>
      <c r="EA52" s="255"/>
      <c r="EB52" s="64"/>
      <c r="EC52" s="255"/>
      <c r="ED52" s="255"/>
      <c r="EE52" s="255"/>
      <c r="EF52" s="255"/>
      <c r="EG52" s="64"/>
      <c r="EH52" s="255"/>
      <c r="EI52" s="255"/>
      <c r="EJ52" s="255"/>
      <c r="EK52" s="255"/>
      <c r="EL52" s="64"/>
    </row>
    <row r="53" spans="2:142" outlineLevel="1">
      <c r="B53" s="9" t="s">
        <v>190</v>
      </c>
      <c r="C53" s="145"/>
      <c r="D53" s="145"/>
      <c r="E53" s="145"/>
      <c r="F53" s="145"/>
      <c r="G53" s="64"/>
      <c r="H53" s="146"/>
      <c r="I53" s="146"/>
      <c r="J53" s="146"/>
      <c r="K53" s="146"/>
      <c r="L53" s="64"/>
      <c r="M53" s="146"/>
      <c r="N53" s="146"/>
      <c r="O53" s="146"/>
      <c r="P53" s="146"/>
      <c r="Q53" s="64"/>
      <c r="R53" s="146"/>
      <c r="S53" s="146"/>
      <c r="T53" s="146"/>
      <c r="U53" s="146"/>
      <c r="V53" s="64"/>
      <c r="W53" s="146"/>
      <c r="X53" s="146"/>
      <c r="Y53" s="146"/>
      <c r="Z53" s="146"/>
      <c r="AA53" s="64"/>
      <c r="AB53" s="146"/>
      <c r="AC53" s="146"/>
      <c r="AD53" s="146"/>
      <c r="AE53" s="146"/>
      <c r="AF53" s="64"/>
      <c r="AG53" s="146"/>
      <c r="AH53" s="146"/>
      <c r="AI53" s="146"/>
      <c r="AJ53" s="146"/>
      <c r="AK53" s="64"/>
      <c r="AL53" s="146"/>
      <c r="AM53" s="146"/>
      <c r="AN53" s="146"/>
      <c r="AO53" s="146"/>
      <c r="AP53" s="64"/>
      <c r="AQ53" s="146"/>
      <c r="AR53" s="146"/>
      <c r="AS53" s="146"/>
      <c r="AT53" s="146"/>
      <c r="AU53" s="64"/>
      <c r="AV53" s="255"/>
      <c r="AW53" s="255"/>
      <c r="AX53" s="255"/>
      <c r="AY53" s="255"/>
      <c r="AZ53" s="64"/>
      <c r="BA53" s="255"/>
      <c r="BB53" s="255"/>
      <c r="BC53" s="255"/>
      <c r="BD53" s="256"/>
      <c r="BE53" s="64"/>
      <c r="BF53" s="256"/>
      <c r="BG53" s="256"/>
      <c r="BH53" s="256"/>
      <c r="BI53" s="256"/>
      <c r="BJ53" s="64"/>
      <c r="BK53" s="256">
        <v>19.8</v>
      </c>
      <c r="BL53" s="256">
        <v>8.6</v>
      </c>
      <c r="BM53" s="256">
        <v>9</v>
      </c>
      <c r="BN53" s="256">
        <f>BO53-BK53-BL53-BM53</f>
        <v>10.100000000000001</v>
      </c>
      <c r="BO53" s="64">
        <f>47.5</f>
        <v>47.5</v>
      </c>
      <c r="BP53" s="256">
        <v>20.7</v>
      </c>
      <c r="BQ53" s="256">
        <v>8.6</v>
      </c>
      <c r="BR53" s="256">
        <v>6.6</v>
      </c>
      <c r="BS53" s="255">
        <f>BT53-BP53-BQ53-BR53</f>
        <v>10.600000000000003</v>
      </c>
      <c r="BT53" s="64">
        <v>46.5</v>
      </c>
      <c r="BU53" s="256">
        <v>25.5</v>
      </c>
      <c r="BV53" s="256">
        <v>11.8</v>
      </c>
      <c r="BW53" s="256">
        <v>11.8</v>
      </c>
      <c r="BX53" s="255">
        <f>BY53-BU53-BV53-BW53</f>
        <v>20.7</v>
      </c>
      <c r="BY53" s="280">
        <f>69.8</f>
        <v>69.8</v>
      </c>
      <c r="BZ53" s="256">
        <v>10.6</v>
      </c>
      <c r="CA53" s="255"/>
      <c r="CB53" s="255"/>
      <c r="CC53" s="255"/>
      <c r="CD53" s="64"/>
      <c r="CE53" s="255"/>
      <c r="CF53" s="255"/>
      <c r="CG53" s="255"/>
      <c r="CH53" s="255"/>
      <c r="CI53" s="64"/>
      <c r="CJ53" s="255"/>
      <c r="CK53" s="255"/>
      <c r="CL53" s="255"/>
      <c r="CM53" s="255"/>
      <c r="CN53" s="64"/>
      <c r="CO53" s="255"/>
      <c r="CP53" s="255"/>
      <c r="CQ53" s="255"/>
      <c r="CR53" s="255"/>
      <c r="CS53" s="64"/>
      <c r="CT53" s="255"/>
      <c r="CU53" s="255"/>
      <c r="CV53" s="255"/>
      <c r="CW53" s="255"/>
      <c r="CX53" s="64"/>
      <c r="CY53" s="255"/>
      <c r="CZ53" s="255"/>
      <c r="DA53" s="255"/>
      <c r="DB53" s="255"/>
      <c r="DC53" s="64"/>
      <c r="DD53" s="255"/>
      <c r="DE53" s="255"/>
      <c r="DF53" s="255"/>
      <c r="DG53" s="255"/>
      <c r="DH53" s="64"/>
      <c r="DI53" s="255"/>
      <c r="DJ53" s="255"/>
      <c r="DK53" s="255"/>
      <c r="DL53" s="255"/>
      <c r="DM53" s="64"/>
      <c r="DN53" s="255"/>
      <c r="DO53" s="255"/>
      <c r="DP53" s="255"/>
      <c r="DQ53" s="255"/>
      <c r="DR53" s="64"/>
      <c r="DS53" s="255"/>
      <c r="DT53" s="255"/>
      <c r="DU53" s="255"/>
      <c r="DV53" s="255"/>
      <c r="DW53" s="64"/>
      <c r="DX53" s="255"/>
      <c r="DY53" s="255"/>
      <c r="DZ53" s="255"/>
      <c r="EA53" s="255"/>
      <c r="EB53" s="64"/>
      <c r="EC53" s="255"/>
      <c r="ED53" s="255"/>
      <c r="EE53" s="255"/>
      <c r="EF53" s="255"/>
      <c r="EG53" s="64"/>
      <c r="EH53" s="255"/>
      <c r="EI53" s="255"/>
      <c r="EJ53" s="255"/>
      <c r="EK53" s="255"/>
      <c r="EL53" s="64"/>
    </row>
    <row r="54" spans="2:142">
      <c r="B54" s="113" t="s">
        <v>900</v>
      </c>
      <c r="C54" s="145">
        <f>436.8-C51-C47-C49</f>
        <v>0.65999999999999659</v>
      </c>
      <c r="D54" s="145">
        <f>447.2-D51-D47-D49</f>
        <v>0.17099999999996385</v>
      </c>
      <c r="E54" s="145">
        <f>477.2-E51-E47-E49</f>
        <v>6.3999999999907686E-2</v>
      </c>
      <c r="F54" s="145">
        <f>491.1-F51-F47-F49</f>
        <v>2.9360000000000355</v>
      </c>
      <c r="G54" s="64">
        <f>1852.4-G51-G47-G49</f>
        <v>3.7069999999998799</v>
      </c>
      <c r="H54" s="146">
        <v>10.037000000000001</v>
      </c>
      <c r="I54" s="146">
        <v>0.123</v>
      </c>
      <c r="J54" s="146">
        <v>0.217</v>
      </c>
      <c r="K54" s="146">
        <f>+L54-SUM(H54:J54)</f>
        <v>0.15299999999999869</v>
      </c>
      <c r="L54" s="64">
        <v>10.53</v>
      </c>
      <c r="M54" s="146">
        <v>3.016</v>
      </c>
      <c r="N54" s="146">
        <v>0.14399999999999999</v>
      </c>
      <c r="O54" s="146">
        <v>0.13100000000000001</v>
      </c>
      <c r="P54" s="146">
        <f>+Q54-SUM(M54:O54)</f>
        <v>0.13099999999999978</v>
      </c>
      <c r="Q54" s="64">
        <v>3.4220000000000002</v>
      </c>
      <c r="R54" s="146">
        <v>0.71499999999999997</v>
      </c>
      <c r="S54" s="146">
        <v>-0.42099999999999999</v>
      </c>
      <c r="T54" s="146">
        <v>2.7090000000000001</v>
      </c>
      <c r="U54" s="146">
        <f>+V54-SUM(R54:T54)</f>
        <v>1.6379999999999999</v>
      </c>
      <c r="V54" s="64">
        <v>4.641</v>
      </c>
      <c r="W54" s="146">
        <v>1.371</v>
      </c>
      <c r="X54" s="146">
        <v>1.3129999999999999</v>
      </c>
      <c r="Y54" s="146">
        <v>1.476</v>
      </c>
      <c r="Z54" s="146">
        <f>+AA54-SUM(W54:Y54)</f>
        <v>2.3970000000000002</v>
      </c>
      <c r="AA54" s="64">
        <v>6.5570000000000004</v>
      </c>
      <c r="AB54" s="146">
        <v>5.9119999999999999</v>
      </c>
      <c r="AC54" s="146">
        <v>2.0209999999999999</v>
      </c>
      <c r="AD54" s="146">
        <v>0.56299999999999994</v>
      </c>
      <c r="AE54" s="146">
        <f>+AF54-SUM(AB54:AD54)</f>
        <v>4.8979999999999997</v>
      </c>
      <c r="AF54" s="64">
        <v>13.394</v>
      </c>
      <c r="AG54" s="146">
        <v>0.17399999999999999</v>
      </c>
      <c r="AH54" s="146">
        <v>1.74</v>
      </c>
      <c r="AI54" s="146">
        <v>0.372</v>
      </c>
      <c r="AJ54" s="146">
        <f>+AK54-SUM(AG54:AI54)</f>
        <v>2.82</v>
      </c>
      <c r="AK54" s="64">
        <v>5.1059999999999999</v>
      </c>
      <c r="AL54" s="146">
        <v>3.6890000000000001</v>
      </c>
      <c r="AM54" s="146">
        <v>16.998000000000001</v>
      </c>
      <c r="AN54" s="146">
        <v>5.0060000000000002</v>
      </c>
      <c r="AO54" s="146">
        <f>+AP54-SUM(AL54:AN54)</f>
        <v>6.0289999999999999</v>
      </c>
      <c r="AP54" s="64">
        <v>31.722000000000001</v>
      </c>
      <c r="AQ54" s="146">
        <v>14.538</v>
      </c>
      <c r="AR54" s="146">
        <v>6.8369999999999997</v>
      </c>
      <c r="AS54" s="146">
        <v>16.120999999999999</v>
      </c>
      <c r="AT54" s="146">
        <v>19.925999999999998</v>
      </c>
      <c r="AU54" s="64">
        <f>SUM(AQ54:AT54)</f>
        <v>57.421999999999997</v>
      </c>
      <c r="AV54" s="255">
        <v>3.1739999999999999</v>
      </c>
      <c r="AW54" s="255">
        <v>22.437000000000001</v>
      </c>
      <c r="AX54" s="255">
        <v>12.026999999999999</v>
      </c>
      <c r="AY54" s="255">
        <v>6.1470000000000002</v>
      </c>
      <c r="AZ54" s="64">
        <f>SUM(AV54:AY54)</f>
        <v>43.784999999999997</v>
      </c>
      <c r="BA54" s="255">
        <v>21.890999999999998</v>
      </c>
      <c r="BB54" s="255">
        <v>10.659000000000001</v>
      </c>
      <c r="BC54" s="255">
        <v>16.872</v>
      </c>
      <c r="BD54" s="256">
        <v>29</v>
      </c>
      <c r="BE54" s="64">
        <f>SUM(BA54:BD54)</f>
        <v>78.421999999999997</v>
      </c>
      <c r="BF54" s="256">
        <v>52.244999999999997</v>
      </c>
      <c r="BG54" s="256">
        <v>21.52</v>
      </c>
      <c r="BH54" s="256">
        <v>36.253999999999998</v>
      </c>
      <c r="BI54" s="256">
        <v>17.812999999999999</v>
      </c>
      <c r="BJ54" s="64">
        <f>SUM(BF54:BI54)</f>
        <v>127.83200000000001</v>
      </c>
      <c r="BK54" s="255">
        <f>BK52+BK53</f>
        <v>33.1</v>
      </c>
      <c r="BL54" s="255">
        <f>BL52+BL53</f>
        <v>38.4</v>
      </c>
      <c r="BM54" s="255">
        <f>BM52+BM53</f>
        <v>33.700000000000003</v>
      </c>
      <c r="BN54" s="255">
        <f>BN52+BN53</f>
        <v>69.5</v>
      </c>
      <c r="BO54" s="64">
        <f>SUM(BK54:BN54)</f>
        <v>174.7</v>
      </c>
      <c r="BP54" s="255">
        <f>BP52+BP53</f>
        <v>76.400000000000006</v>
      </c>
      <c r="BQ54" s="255">
        <f>BQ52+BQ53</f>
        <v>59.4</v>
      </c>
      <c r="BR54" s="255">
        <f>BR52+BR53</f>
        <v>99.5</v>
      </c>
      <c r="BS54" s="255">
        <f>BT54-BP54-BQ54-BR54</f>
        <v>41.800000000000011</v>
      </c>
      <c r="BT54" s="64">
        <v>277.10000000000002</v>
      </c>
      <c r="BU54" s="255">
        <f>BU53+BU52</f>
        <v>83.7</v>
      </c>
      <c r="BV54" s="255">
        <f>BV53+BV52</f>
        <v>32.6</v>
      </c>
      <c r="BW54" s="255">
        <f>BW53+BW52</f>
        <v>42.6</v>
      </c>
      <c r="BX54" s="255">
        <f>BX53+BX52</f>
        <v>164.59999999999997</v>
      </c>
      <c r="BY54" s="64">
        <f>SUM(BU54:BX54)</f>
        <v>323.5</v>
      </c>
      <c r="BZ54" s="255">
        <v>151.19999999999999</v>
      </c>
      <c r="CA54" s="255">
        <v>50</v>
      </c>
      <c r="CB54" s="255">
        <v>75</v>
      </c>
      <c r="CC54" s="255">
        <f>CD54-SUM(BZ54:CB54)</f>
        <v>63.475000000000023</v>
      </c>
      <c r="CD54" s="64">
        <f>BY54*1.05</f>
        <v>339.67500000000001</v>
      </c>
      <c r="CE54" s="255"/>
      <c r="CF54" s="255"/>
      <c r="CG54" s="255"/>
      <c r="CH54" s="255"/>
      <c r="CI54" s="64">
        <f>CD54*1.05</f>
        <v>356.65875000000005</v>
      </c>
      <c r="CJ54" s="255"/>
      <c r="CK54" s="255"/>
      <c r="CL54" s="255"/>
      <c r="CM54" s="255"/>
      <c r="CN54" s="64">
        <f>CI54*1.05</f>
        <v>374.49168750000007</v>
      </c>
      <c r="CO54" s="255"/>
      <c r="CP54" s="255"/>
      <c r="CQ54" s="255"/>
      <c r="CR54" s="255"/>
      <c r="CS54" s="64">
        <f>CN54*1.05</f>
        <v>393.21627187500007</v>
      </c>
      <c r="CT54" s="255"/>
      <c r="CU54" s="255"/>
      <c r="CV54" s="255"/>
      <c r="CW54" s="255"/>
      <c r="CX54" s="64">
        <f>CS54*1.05</f>
        <v>412.87708546875012</v>
      </c>
      <c r="CY54" s="255"/>
      <c r="CZ54" s="255"/>
      <c r="DA54" s="255"/>
      <c r="DB54" s="255"/>
      <c r="DC54" s="64">
        <f>CX54*1.05</f>
        <v>433.52093974218764</v>
      </c>
      <c r="DD54" s="255"/>
      <c r="DE54" s="255"/>
      <c r="DF54" s="255"/>
      <c r="DG54" s="255"/>
      <c r="DH54" s="64">
        <f>DC54*1.05</f>
        <v>455.19698672929701</v>
      </c>
      <c r="DI54" s="255"/>
      <c r="DJ54" s="255"/>
      <c r="DK54" s="255"/>
      <c r="DL54" s="255"/>
      <c r="DM54" s="64">
        <f>DH54*1.05</f>
        <v>477.95683606576188</v>
      </c>
      <c r="DN54" s="255"/>
      <c r="DO54" s="255"/>
      <c r="DP54" s="255"/>
      <c r="DQ54" s="255"/>
      <c r="DR54" s="64">
        <f>DM54*1.05</f>
        <v>501.85467786904997</v>
      </c>
      <c r="DS54" s="255"/>
      <c r="DT54" s="255"/>
      <c r="DU54" s="255"/>
      <c r="DV54" s="255"/>
      <c r="DW54" s="64">
        <f>DR54*1.05</f>
        <v>526.9474117625025</v>
      </c>
      <c r="DX54" s="255"/>
      <c r="DY54" s="255"/>
      <c r="DZ54" s="255"/>
      <c r="EA54" s="255"/>
      <c r="EB54" s="64">
        <f>DW54*1.05</f>
        <v>553.29478235062766</v>
      </c>
      <c r="EC54" s="255"/>
      <c r="ED54" s="255"/>
      <c r="EE54" s="255"/>
      <c r="EF54" s="255"/>
      <c r="EG54" s="64">
        <f>EB54*1.05</f>
        <v>580.9595214681591</v>
      </c>
      <c r="EH54" s="255"/>
      <c r="EI54" s="255"/>
      <c r="EJ54" s="255"/>
      <c r="EK54" s="255"/>
      <c r="EL54" s="64">
        <f>EG54*1.05</f>
        <v>610.00749754156709</v>
      </c>
    </row>
    <row r="55" spans="2:142">
      <c r="B55" s="9"/>
      <c r="C55" s="145"/>
      <c r="D55" s="145"/>
      <c r="E55" s="145"/>
      <c r="F55" s="145"/>
      <c r="G55" s="64"/>
      <c r="H55" s="146"/>
      <c r="I55" s="146"/>
      <c r="J55" s="146"/>
      <c r="K55" s="146"/>
      <c r="L55" s="64"/>
      <c r="M55" s="146"/>
      <c r="N55" s="146"/>
      <c r="O55" s="146"/>
      <c r="P55" s="146"/>
      <c r="Q55" s="64"/>
      <c r="R55" s="146"/>
      <c r="S55" s="146"/>
      <c r="T55" s="146"/>
      <c r="U55" s="146"/>
      <c r="V55" s="64"/>
      <c r="W55" s="146"/>
      <c r="X55" s="146"/>
      <c r="Y55" s="146"/>
      <c r="Z55" s="146"/>
      <c r="AA55" s="64"/>
      <c r="AB55" s="146"/>
      <c r="AC55" s="146"/>
      <c r="AD55" s="146"/>
      <c r="AE55" s="146"/>
      <c r="AF55" s="64"/>
      <c r="AG55" s="146"/>
      <c r="AH55" s="146"/>
      <c r="AI55" s="146"/>
      <c r="AJ55" s="146"/>
      <c r="AK55" s="64"/>
      <c r="AL55" s="146"/>
      <c r="AM55" s="146"/>
      <c r="AN55" s="146"/>
      <c r="AO55" s="146"/>
      <c r="AP55" s="64"/>
      <c r="AQ55" s="146"/>
      <c r="AR55" s="146"/>
      <c r="AS55" s="146"/>
      <c r="AT55" s="146"/>
      <c r="AU55" s="64"/>
      <c r="AV55" s="255"/>
      <c r="AW55" s="255"/>
      <c r="AX55" s="255"/>
      <c r="AY55" s="255"/>
      <c r="AZ55" s="64"/>
      <c r="BA55" s="255"/>
      <c r="BB55" s="255"/>
      <c r="BC55" s="255"/>
      <c r="BD55" s="255"/>
      <c r="BE55" s="64"/>
      <c r="BF55" s="255"/>
      <c r="BG55" s="255"/>
      <c r="BH55" s="255"/>
      <c r="BI55" s="255"/>
      <c r="BJ55" s="64"/>
      <c r="BK55" s="255"/>
      <c r="BL55" s="255"/>
      <c r="BM55" s="255"/>
      <c r="BN55" s="255"/>
      <c r="BO55" s="64"/>
      <c r="BP55" s="255"/>
      <c r="BQ55" s="255"/>
      <c r="BR55" s="255"/>
      <c r="BS55" s="255"/>
      <c r="BT55" s="64"/>
      <c r="BU55" s="255"/>
      <c r="BV55" s="255"/>
      <c r="BW55" s="255"/>
      <c r="BX55" s="255"/>
      <c r="BY55" s="64"/>
      <c r="BZ55" s="255"/>
      <c r="CA55" s="255"/>
      <c r="CB55" s="255"/>
      <c r="CC55" s="255"/>
      <c r="CD55" s="64"/>
      <c r="CE55" s="255"/>
      <c r="CF55" s="255"/>
      <c r="CG55" s="255"/>
      <c r="CH55" s="255"/>
      <c r="CI55" s="64"/>
      <c r="CJ55" s="255"/>
      <c r="CK55" s="255"/>
      <c r="CL55" s="255"/>
      <c r="CM55" s="255"/>
      <c r="CN55" s="64"/>
      <c r="CO55" s="255"/>
      <c r="CP55" s="255"/>
      <c r="CQ55" s="255"/>
      <c r="CR55" s="255"/>
      <c r="CS55" s="64"/>
      <c r="CT55" s="255"/>
      <c r="CU55" s="255"/>
      <c r="CV55" s="255"/>
      <c r="CW55" s="255"/>
      <c r="CX55" s="64"/>
      <c r="CY55" s="255"/>
      <c r="CZ55" s="255"/>
      <c r="DA55" s="255"/>
      <c r="DB55" s="255"/>
      <c r="DC55" s="64"/>
      <c r="DD55" s="255"/>
      <c r="DE55" s="255"/>
      <c r="DF55" s="255"/>
      <c r="DG55" s="255"/>
      <c r="DH55" s="64"/>
      <c r="DI55" s="255"/>
      <c r="DJ55" s="255"/>
      <c r="DK55" s="255"/>
      <c r="DL55" s="255"/>
      <c r="DM55" s="64"/>
      <c r="DN55" s="255"/>
      <c r="DO55" s="255"/>
      <c r="DP55" s="255"/>
      <c r="DQ55" s="255"/>
      <c r="DR55" s="64"/>
      <c r="DS55" s="255"/>
      <c r="DT55" s="255"/>
      <c r="DU55" s="255"/>
      <c r="DV55" s="255"/>
      <c r="DW55" s="64"/>
      <c r="DX55" s="255"/>
      <c r="DY55" s="255"/>
      <c r="DZ55" s="255"/>
      <c r="EA55" s="255"/>
      <c r="EB55" s="64"/>
      <c r="EC55" s="255"/>
      <c r="ED55" s="255"/>
      <c r="EE55" s="255"/>
      <c r="EF55" s="255"/>
      <c r="EG55" s="64"/>
      <c r="EH55" s="255"/>
      <c r="EI55" s="255"/>
      <c r="EJ55" s="255"/>
      <c r="EK55" s="255"/>
      <c r="EL55" s="64"/>
    </row>
    <row r="56" spans="2:142" ht="13.5" thickBot="1">
      <c r="B56" s="26" t="s">
        <v>85</v>
      </c>
      <c r="C56" s="152">
        <f t="shared" ref="C56:AH56" si="51">C47+C54+C51+C49</f>
        <v>436.79999999999995</v>
      </c>
      <c r="D56" s="152">
        <f t="shared" si="51"/>
        <v>447.19999999999993</v>
      </c>
      <c r="E56" s="152">
        <f t="shared" si="51"/>
        <v>477.2</v>
      </c>
      <c r="F56" s="152">
        <f t="shared" si="51"/>
        <v>491.1</v>
      </c>
      <c r="G56" s="106">
        <f t="shared" si="51"/>
        <v>1852.4</v>
      </c>
      <c r="H56" s="153">
        <f t="shared" si="51"/>
        <v>541.74200000000008</v>
      </c>
      <c r="I56" s="153">
        <f t="shared" si="51"/>
        <v>538.76300000000003</v>
      </c>
      <c r="J56" s="153">
        <f t="shared" si="51"/>
        <v>543.27599999999995</v>
      </c>
      <c r="K56" s="153">
        <f t="shared" si="51"/>
        <v>587.78099999999995</v>
      </c>
      <c r="L56" s="106">
        <f t="shared" si="51"/>
        <v>2211.5619999999999</v>
      </c>
      <c r="M56" s="153">
        <f t="shared" si="51"/>
        <v>587.80200000000013</v>
      </c>
      <c r="N56" s="153">
        <f t="shared" si="51"/>
        <v>605.63400000000001</v>
      </c>
      <c r="O56" s="153">
        <f t="shared" si="51"/>
        <v>596.21100000000001</v>
      </c>
      <c r="P56" s="153">
        <f t="shared" si="51"/>
        <v>632.85299999999984</v>
      </c>
      <c r="Q56" s="106">
        <f t="shared" si="51"/>
        <v>2422.5</v>
      </c>
      <c r="R56" s="153">
        <f t="shared" si="51"/>
        <v>611.17499999999995</v>
      </c>
      <c r="S56" s="153">
        <f t="shared" si="51"/>
        <v>660.04099999999994</v>
      </c>
      <c r="T56" s="153">
        <f t="shared" si="51"/>
        <v>703.49199999999996</v>
      </c>
      <c r="U56" s="153">
        <f t="shared" si="51"/>
        <v>708.34100000000001</v>
      </c>
      <c r="V56" s="106">
        <f t="shared" si="51"/>
        <v>2683.049</v>
      </c>
      <c r="W56" s="153">
        <f t="shared" si="51"/>
        <v>715.91000000000008</v>
      </c>
      <c r="X56" s="153">
        <f t="shared" si="51"/>
        <v>773.17600000000004</v>
      </c>
      <c r="Y56" s="153">
        <f t="shared" si="51"/>
        <v>789.23099999999999</v>
      </c>
      <c r="Z56" s="153">
        <f t="shared" si="51"/>
        <v>893.30000000000007</v>
      </c>
      <c r="AA56" s="106">
        <f t="shared" si="51"/>
        <v>3171.6169999999997</v>
      </c>
      <c r="AB56" s="153">
        <f t="shared" si="51"/>
        <v>942.18600000000015</v>
      </c>
      <c r="AC56" s="153">
        <f t="shared" si="51"/>
        <v>993.44400000000007</v>
      </c>
      <c r="AD56" s="153">
        <f t="shared" si="51"/>
        <v>1092.9639999999999</v>
      </c>
      <c r="AE56" s="153">
        <f t="shared" si="51"/>
        <v>1068.9129999999996</v>
      </c>
      <c r="AF56" s="106">
        <f t="shared" si="51"/>
        <v>4097.5069999999996</v>
      </c>
      <c r="AG56" s="153">
        <f t="shared" si="51"/>
        <v>1036.4839999999999</v>
      </c>
      <c r="AH56" s="153">
        <f t="shared" si="51"/>
        <v>1093.289</v>
      </c>
      <c r="AI56" s="153">
        <f t="shared" ref="AI56:AY56" si="52">AI47+AI54+AI51+AI49</f>
        <v>1120.518</v>
      </c>
      <c r="AJ56" s="153">
        <f t="shared" si="52"/>
        <v>1127.057</v>
      </c>
      <c r="AK56" s="106">
        <f t="shared" si="52"/>
        <v>4377.348</v>
      </c>
      <c r="AL56" s="153">
        <f t="shared" si="52"/>
        <v>1108.8600000000001</v>
      </c>
      <c r="AM56" s="153">
        <f t="shared" si="52"/>
        <v>1212.7020000000002</v>
      </c>
      <c r="AN56" s="153">
        <f t="shared" si="52"/>
        <v>1175.7890000000002</v>
      </c>
      <c r="AO56" s="153">
        <f t="shared" si="52"/>
        <v>1219.0720000000001</v>
      </c>
      <c r="AP56" s="106">
        <f t="shared" si="52"/>
        <v>4716.4229999999998</v>
      </c>
      <c r="AQ56" s="153">
        <f t="shared" si="52"/>
        <v>1203.3420000000001</v>
      </c>
      <c r="AR56" s="153">
        <f t="shared" si="52"/>
        <v>1208.6469999999999</v>
      </c>
      <c r="AS56" s="153">
        <f t="shared" si="52"/>
        <v>1309.934</v>
      </c>
      <c r="AT56" s="153">
        <f t="shared" si="52"/>
        <v>1326.6670000000001</v>
      </c>
      <c r="AU56" s="106">
        <f t="shared" si="52"/>
        <v>5035.0209999999997</v>
      </c>
      <c r="AV56" s="260">
        <f t="shared" si="52"/>
        <v>1292.0139999999999</v>
      </c>
      <c r="AW56" s="260">
        <f t="shared" si="52"/>
        <v>1420.951</v>
      </c>
      <c r="AX56" s="260">
        <f t="shared" si="52"/>
        <v>1417.2729999999999</v>
      </c>
      <c r="AY56" s="260">
        <f t="shared" si="52"/>
        <v>1433.0140000000001</v>
      </c>
      <c r="AZ56" s="106">
        <f>SUM(AV56:AY56)</f>
        <v>5563.2520000000004</v>
      </c>
      <c r="BA56" s="260">
        <f>BA47+BA54+BA51+BA49</f>
        <v>1415.096</v>
      </c>
      <c r="BB56" s="260">
        <f>BB47+BB54+BB51+BB49</f>
        <v>1723.4730000000004</v>
      </c>
      <c r="BC56" s="260">
        <f>BC47+BC54+BC51+BC49</f>
        <v>1827.7800000000002</v>
      </c>
      <c r="BD56" s="260">
        <f>BD47+BD54+BD51+BD49</f>
        <v>1966.4159999999999</v>
      </c>
      <c r="BE56" s="106">
        <f>SUM(BA56:BD56)</f>
        <v>6932.7650000000003</v>
      </c>
      <c r="BF56" s="260">
        <f t="shared" ref="BF56:CK56" si="53">BF47+BF54+BF51+BF49</f>
        <v>2129.7510000000002</v>
      </c>
      <c r="BG56" s="260">
        <f t="shared" si="53"/>
        <v>2421.4519999999998</v>
      </c>
      <c r="BH56" s="260">
        <f t="shared" si="53"/>
        <v>2511.4459999999999</v>
      </c>
      <c r="BI56" s="260">
        <f t="shared" si="53"/>
        <v>2640.6750000000002</v>
      </c>
      <c r="BJ56" s="106">
        <f t="shared" si="53"/>
        <v>9703.3240000000005</v>
      </c>
      <c r="BK56" s="260">
        <f t="shared" si="53"/>
        <v>2554.8329999999996</v>
      </c>
      <c r="BL56" s="260">
        <f t="shared" si="53"/>
        <v>2591.9999999999995</v>
      </c>
      <c r="BM56" s="260">
        <f t="shared" si="53"/>
        <v>2778.2</v>
      </c>
      <c r="BN56" s="260">
        <f t="shared" si="53"/>
        <v>2838.6779999999999</v>
      </c>
      <c r="BO56" s="106">
        <f t="shared" si="53"/>
        <v>10763.710999999998</v>
      </c>
      <c r="BP56" s="260">
        <f t="shared" si="53"/>
        <v>2726.8</v>
      </c>
      <c r="BQ56" s="260">
        <f t="shared" si="53"/>
        <v>2894.2</v>
      </c>
      <c r="BR56" s="260">
        <f t="shared" si="53"/>
        <v>2955.7999999999997</v>
      </c>
      <c r="BS56" s="260">
        <f t="shared" si="53"/>
        <v>2872</v>
      </c>
      <c r="BT56" s="106">
        <f t="shared" si="53"/>
        <v>11448.8</v>
      </c>
      <c r="BU56" s="260">
        <f t="shared" si="53"/>
        <v>2810.7000000000003</v>
      </c>
      <c r="BV56" s="260">
        <f t="shared" si="53"/>
        <v>3078.3999999999996</v>
      </c>
      <c r="BW56" s="260">
        <f t="shared" si="53"/>
        <v>3077.7999999999997</v>
      </c>
      <c r="BX56" s="260">
        <f t="shared" si="53"/>
        <v>3306.9999999999995</v>
      </c>
      <c r="BY56" s="106">
        <f t="shared" si="53"/>
        <v>12273.900000000003</v>
      </c>
      <c r="BZ56" s="260">
        <f t="shared" si="53"/>
        <v>3131.1</v>
      </c>
      <c r="CA56" s="260">
        <f t="shared" si="53"/>
        <v>3159.348936937175</v>
      </c>
      <c r="CB56" s="260">
        <f t="shared" si="53"/>
        <v>3161.5576598818361</v>
      </c>
      <c r="CC56" s="260">
        <f t="shared" si="53"/>
        <v>3420.0596780989476</v>
      </c>
      <c r="CD56" s="106">
        <f t="shared" si="53"/>
        <v>12868.75464720094</v>
      </c>
      <c r="CE56" s="260">
        <f t="shared" si="53"/>
        <v>2601.0464877781951</v>
      </c>
      <c r="CF56" s="260">
        <f t="shared" si="53"/>
        <v>2608.1259142536996</v>
      </c>
      <c r="CG56" s="260">
        <f t="shared" si="53"/>
        <v>2638.4718450096429</v>
      </c>
      <c r="CH56" s="260">
        <f t="shared" si="53"/>
        <v>2675.8193834957501</v>
      </c>
      <c r="CI56" s="106">
        <f t="shared" si="53"/>
        <v>13416.991846807408</v>
      </c>
      <c r="CJ56" s="260">
        <f t="shared" si="53"/>
        <v>2663.9012114153552</v>
      </c>
      <c r="CK56" s="260">
        <f t="shared" si="53"/>
        <v>2672.6842826779625</v>
      </c>
      <c r="CL56" s="260">
        <f t="shared" ref="CL56:DQ56" si="54">CL47+CL54+CL51+CL49</f>
        <v>2704.0837361134631</v>
      </c>
      <c r="CM56" s="260">
        <f t="shared" si="54"/>
        <v>2742.5865172305903</v>
      </c>
      <c r="CN56" s="106">
        <f t="shared" si="54"/>
        <v>14086.784182794972</v>
      </c>
      <c r="CO56" s="260">
        <f t="shared" si="54"/>
        <v>2166.6458283192078</v>
      </c>
      <c r="CP56" s="260">
        <f t="shared" si="54"/>
        <v>2176.5015008200244</v>
      </c>
      <c r="CQ56" s="260">
        <f t="shared" si="54"/>
        <v>2208.5789596542804</v>
      </c>
      <c r="CR56" s="260">
        <f t="shared" si="54"/>
        <v>2247.8104822938003</v>
      </c>
      <c r="CS56" s="106">
        <f t="shared" si="54"/>
        <v>14607.489701855131</v>
      </c>
      <c r="CT56" s="260">
        <f t="shared" si="54"/>
        <v>2160.0662734434877</v>
      </c>
      <c r="CU56" s="260">
        <f t="shared" si="54"/>
        <v>2170.1557196766812</v>
      </c>
      <c r="CV56" s="260">
        <f t="shared" si="54"/>
        <v>2202.3670654469415</v>
      </c>
      <c r="CW56" s="260">
        <f t="shared" si="54"/>
        <v>2241.8373140474832</v>
      </c>
      <c r="CX56" s="106">
        <f t="shared" si="54"/>
        <v>14952.400133891926</v>
      </c>
      <c r="CY56" s="260">
        <f t="shared" si="54"/>
        <v>2149.1414299584494</v>
      </c>
      <c r="CZ56" s="260">
        <f t="shared" si="54"/>
        <v>2159.3768215383834</v>
      </c>
      <c r="DA56" s="260">
        <f t="shared" si="54"/>
        <v>2191.7326763465171</v>
      </c>
      <c r="DB56" s="260">
        <f t="shared" si="54"/>
        <v>2231.4492638283909</v>
      </c>
      <c r="DC56" s="106">
        <f t="shared" si="54"/>
        <v>15302.910087576756</v>
      </c>
      <c r="DD56" s="260">
        <f t="shared" si="54"/>
        <v>2146.1724924608288</v>
      </c>
      <c r="DE56" s="260">
        <f t="shared" si="54"/>
        <v>2156.6733767955411</v>
      </c>
      <c r="DF56" s="260">
        <f t="shared" si="54"/>
        <v>2189.4175583749657</v>
      </c>
      <c r="DG56" s="260">
        <f t="shared" si="54"/>
        <v>2229.6035852078489</v>
      </c>
      <c r="DH56" s="106">
        <f t="shared" si="54"/>
        <v>15660.776822432199</v>
      </c>
      <c r="DI56" s="260">
        <f t="shared" si="54"/>
        <v>1952.8368794655394</v>
      </c>
      <c r="DJ56" s="260">
        <f t="shared" si="54"/>
        <v>1955.8659281023765</v>
      </c>
      <c r="DK56" s="260">
        <f t="shared" si="54"/>
        <v>1981.4980871504829</v>
      </c>
      <c r="DL56" s="260">
        <f t="shared" si="54"/>
        <v>2014.4939622624081</v>
      </c>
      <c r="DM56" s="106">
        <f t="shared" si="54"/>
        <v>15165.290491441607</v>
      </c>
      <c r="DN56" s="260">
        <f t="shared" si="54"/>
        <v>1652.5248529954158</v>
      </c>
      <c r="DO56" s="260">
        <f t="shared" si="54"/>
        <v>1644.3446034936619</v>
      </c>
      <c r="DP56" s="260">
        <f t="shared" si="54"/>
        <v>1659.4959018823392</v>
      </c>
      <c r="DQ56" s="260">
        <f t="shared" si="54"/>
        <v>1681.6363160473106</v>
      </c>
      <c r="DR56" s="106">
        <f t="shared" ref="DR56:EL56" si="55">DR47+DR54+DR51+DR49</f>
        <v>14255.157231075118</v>
      </c>
      <c r="DS56" s="260">
        <f t="shared" si="55"/>
        <v>1191.8058809321706</v>
      </c>
      <c r="DT56" s="260">
        <f t="shared" si="55"/>
        <v>1169.9605638972944</v>
      </c>
      <c r="DU56" s="260">
        <f t="shared" si="55"/>
        <v>1172.796354213483</v>
      </c>
      <c r="DV56" s="260">
        <f t="shared" si="55"/>
        <v>1181.6937962828554</v>
      </c>
      <c r="DW56" s="106">
        <f t="shared" si="55"/>
        <v>12708.751749751562</v>
      </c>
      <c r="DX56" s="260">
        <f t="shared" si="55"/>
        <v>1037.7830408774496</v>
      </c>
      <c r="DY56" s="260">
        <f t="shared" si="55"/>
        <v>1010.2886260169889</v>
      </c>
      <c r="DZ56" s="260">
        <f t="shared" si="55"/>
        <v>1008.3513640302863</v>
      </c>
      <c r="EA56" s="260">
        <f t="shared" si="55"/>
        <v>1012.1065861718844</v>
      </c>
      <c r="EB56" s="106">
        <f t="shared" si="55"/>
        <v>12423.328497190125</v>
      </c>
      <c r="EC56" s="260">
        <f t="shared" si="55"/>
        <v>919.71061337900278</v>
      </c>
      <c r="ED56" s="260">
        <f t="shared" si="55"/>
        <v>889.54698358204814</v>
      </c>
      <c r="EE56" s="260">
        <f t="shared" si="55"/>
        <v>885.63200773596975</v>
      </c>
      <c r="EF56" s="260">
        <f t="shared" si="55"/>
        <v>887.28968834400735</v>
      </c>
      <c r="EG56" s="106">
        <f t="shared" si="55"/>
        <v>12286.744087447398</v>
      </c>
      <c r="EH56" s="260">
        <f t="shared" si="55"/>
        <v>870.82180088440441</v>
      </c>
      <c r="EI56" s="260">
        <f t="shared" si="55"/>
        <v>839.68017786523615</v>
      </c>
      <c r="EJ56" s="260">
        <f t="shared" si="55"/>
        <v>835.32974143150193</v>
      </c>
      <c r="EK56" s="260">
        <f t="shared" si="55"/>
        <v>836.64546866127603</v>
      </c>
      <c r="EL56" s="106">
        <f t="shared" si="55"/>
        <v>12432.220906493016</v>
      </c>
    </row>
    <row r="57" spans="2:142">
      <c r="C57" s="179"/>
      <c r="D57" s="179"/>
      <c r="E57" s="179"/>
      <c r="F57" s="179"/>
      <c r="G57" s="6"/>
      <c r="H57" s="179"/>
      <c r="I57" s="179"/>
      <c r="J57" s="179"/>
      <c r="K57" s="179"/>
      <c r="L57" s="6"/>
      <c r="M57" s="179"/>
      <c r="N57" s="179"/>
      <c r="O57" s="179"/>
      <c r="P57" s="179"/>
      <c r="Q57" s="6"/>
      <c r="R57" s="179"/>
      <c r="S57" s="179"/>
      <c r="T57" s="179"/>
      <c r="U57" s="179"/>
      <c r="V57" s="6"/>
      <c r="W57" s="179"/>
      <c r="X57" s="179"/>
      <c r="Y57" s="179"/>
      <c r="Z57" s="179"/>
      <c r="AA57" s="6"/>
      <c r="AB57" s="179"/>
      <c r="AC57" s="179"/>
      <c r="AD57" s="179"/>
      <c r="AE57" s="179"/>
      <c r="AF57" s="6"/>
      <c r="AG57" s="179"/>
      <c r="AH57" s="179"/>
      <c r="AI57" s="179"/>
      <c r="AJ57" s="179"/>
      <c r="AK57" s="6"/>
      <c r="AL57" s="179"/>
      <c r="AM57" s="179"/>
      <c r="AN57" s="179"/>
      <c r="AO57" s="179"/>
      <c r="AP57" s="6"/>
      <c r="AQ57" s="179"/>
      <c r="AR57" s="179"/>
      <c r="AS57" s="179"/>
      <c r="AT57" s="179"/>
      <c r="AU57" s="6"/>
      <c r="AV57" s="307"/>
      <c r="AW57" s="307"/>
      <c r="AX57" s="307"/>
      <c r="AY57" s="307"/>
      <c r="AZ57" s="6"/>
      <c r="BA57" s="311"/>
      <c r="BB57" s="311"/>
      <c r="BC57" s="311"/>
      <c r="BD57" s="311"/>
      <c r="BE57" s="12"/>
      <c r="BF57" s="311"/>
      <c r="BG57" s="311"/>
      <c r="BH57" s="311"/>
      <c r="BI57" s="311"/>
      <c r="BJ57" s="12"/>
      <c r="BK57" s="311"/>
      <c r="BL57" s="311"/>
      <c r="BM57" s="311"/>
      <c r="BN57" s="311"/>
      <c r="BO57" s="12"/>
      <c r="BP57" s="311"/>
      <c r="BQ57" s="311"/>
      <c r="BR57" s="311"/>
      <c r="BS57" s="311"/>
      <c r="BT57" s="12"/>
      <c r="BU57" s="311"/>
      <c r="BV57" s="311"/>
      <c r="BW57" s="311"/>
      <c r="BX57" s="311"/>
      <c r="BY57" s="12"/>
      <c r="BZ57" s="311"/>
      <c r="CA57" s="311"/>
      <c r="CB57" s="311"/>
      <c r="CC57" s="311"/>
      <c r="CD57" s="12"/>
      <c r="CE57" s="311"/>
      <c r="CF57" s="311"/>
      <c r="CG57" s="311"/>
      <c r="CH57" s="311"/>
      <c r="CI57" s="12"/>
      <c r="CJ57" s="311"/>
      <c r="CK57" s="311"/>
      <c r="CL57" s="311"/>
      <c r="CM57" s="311"/>
      <c r="CN57" s="12"/>
      <c r="CO57" s="311"/>
      <c r="CP57" s="311"/>
      <c r="CQ57" s="311"/>
      <c r="CR57" s="311"/>
      <c r="CS57" s="12"/>
      <c r="CT57" s="311"/>
      <c r="CU57" s="311"/>
      <c r="CV57" s="311"/>
      <c r="CW57" s="311"/>
      <c r="CX57" s="12"/>
      <c r="CY57" s="311"/>
      <c r="CZ57" s="311"/>
      <c r="DA57" s="311"/>
      <c r="DB57" s="311"/>
      <c r="DC57" s="12"/>
      <c r="DD57" s="311"/>
      <c r="DE57" s="311"/>
      <c r="DF57" s="311"/>
      <c r="DG57" s="311"/>
      <c r="DH57" s="12"/>
      <c r="DI57" s="311"/>
      <c r="DJ57" s="311"/>
      <c r="DK57" s="311"/>
      <c r="DL57" s="311"/>
      <c r="DM57" s="12"/>
      <c r="DN57" s="311"/>
      <c r="DO57" s="311"/>
      <c r="DP57" s="311"/>
      <c r="DQ57" s="311"/>
      <c r="DR57" s="12"/>
      <c r="DS57" s="311"/>
      <c r="DT57" s="311"/>
      <c r="DU57" s="311"/>
      <c r="DV57" s="311"/>
      <c r="DW57" s="12"/>
      <c r="DX57" s="311"/>
      <c r="DY57" s="311"/>
      <c r="DZ57" s="311"/>
      <c r="EA57" s="311"/>
      <c r="EB57" s="12"/>
      <c r="EC57" s="311"/>
      <c r="ED57" s="311"/>
      <c r="EE57" s="311"/>
      <c r="EF57" s="311"/>
      <c r="EG57" s="12"/>
      <c r="EH57" s="311"/>
      <c r="EI57" s="311"/>
      <c r="EJ57" s="311"/>
      <c r="EK57" s="311"/>
      <c r="EL57" s="12"/>
    </row>
    <row r="58" spans="2:142">
      <c r="B58" s="4" t="s">
        <v>99</v>
      </c>
      <c r="C58" s="175"/>
      <c r="D58" s="175"/>
      <c r="E58" s="175"/>
      <c r="F58" s="175"/>
      <c r="H58" s="175"/>
      <c r="I58" s="175"/>
      <c r="J58" s="175"/>
      <c r="K58" s="175"/>
      <c r="M58" s="175"/>
      <c r="N58" s="175"/>
      <c r="O58" s="175"/>
      <c r="P58" s="175"/>
      <c r="R58" s="175"/>
      <c r="S58" s="175"/>
      <c r="T58" s="175"/>
      <c r="U58" s="175"/>
      <c r="W58" s="175"/>
      <c r="X58" s="175"/>
      <c r="Y58" s="175"/>
      <c r="Z58" s="175"/>
      <c r="AB58" s="175"/>
      <c r="AC58" s="175"/>
      <c r="AD58" s="175"/>
      <c r="AE58" s="175"/>
      <c r="AG58" s="175"/>
      <c r="AH58" s="175"/>
      <c r="AI58" s="175"/>
      <c r="AJ58" s="175"/>
      <c r="AL58" s="175"/>
      <c r="AM58" s="175"/>
      <c r="AN58" s="175"/>
      <c r="AO58" s="175"/>
      <c r="AQ58" s="175"/>
      <c r="AR58" s="175"/>
      <c r="AS58" s="175"/>
      <c r="AT58" s="175"/>
      <c r="AV58" s="276"/>
      <c r="AW58" s="276"/>
      <c r="AX58" s="276"/>
      <c r="AY58" s="276"/>
      <c r="BA58" s="276"/>
      <c r="BB58" s="276"/>
      <c r="BC58" s="276"/>
      <c r="BD58" s="276"/>
      <c r="BF58" s="276"/>
      <c r="BG58" s="276"/>
      <c r="BH58" s="276"/>
      <c r="BI58" s="276"/>
      <c r="BK58" s="276"/>
      <c r="BL58" s="276"/>
      <c r="BM58" s="276"/>
      <c r="BN58" s="276"/>
      <c r="BP58" s="276"/>
      <c r="BQ58" s="276"/>
      <c r="BR58" s="276"/>
      <c r="BS58" s="276"/>
      <c r="BT58" s="64"/>
      <c r="BU58" s="276"/>
      <c r="BV58" s="276"/>
      <c r="BW58" s="276"/>
      <c r="BX58" s="276"/>
      <c r="BZ58" s="276"/>
      <c r="CA58" s="276"/>
      <c r="CB58" s="276"/>
      <c r="CC58" s="276"/>
      <c r="CE58" s="276"/>
      <c r="CF58" s="276"/>
      <c r="CG58" s="276"/>
      <c r="CH58" s="276"/>
      <c r="CJ58" s="276"/>
      <c r="CK58" s="276"/>
      <c r="CL58" s="276"/>
      <c r="CM58" s="276"/>
      <c r="CO58" s="276"/>
      <c r="CP58" s="276"/>
      <c r="CQ58" s="276"/>
      <c r="CR58" s="276"/>
      <c r="CT58" s="276"/>
      <c r="CU58" s="276"/>
      <c r="CV58" s="276"/>
      <c r="CW58" s="276"/>
      <c r="CY58" s="276"/>
      <c r="CZ58" s="276"/>
      <c r="DA58" s="276"/>
      <c r="DB58" s="276"/>
      <c r="DD58" s="276"/>
      <c r="DE58" s="276"/>
      <c r="DF58" s="276"/>
      <c r="DG58" s="276"/>
      <c r="DI58" s="276"/>
      <c r="DJ58" s="276"/>
      <c r="DK58" s="276"/>
      <c r="DL58" s="276"/>
      <c r="DN58" s="276"/>
      <c r="DO58" s="276"/>
      <c r="DP58" s="276"/>
      <c r="DQ58" s="276"/>
      <c r="DS58" s="276"/>
      <c r="DT58" s="276"/>
      <c r="DU58" s="276"/>
      <c r="DV58" s="276"/>
      <c r="DX58" s="276"/>
      <c r="DY58" s="276"/>
      <c r="DZ58" s="276"/>
      <c r="EA58" s="276"/>
      <c r="EC58" s="276"/>
      <c r="ED58" s="276"/>
      <c r="EE58" s="276"/>
      <c r="EF58" s="276"/>
      <c r="EH58" s="276"/>
      <c r="EI58" s="276"/>
      <c r="EJ58" s="276"/>
      <c r="EK58" s="276"/>
    </row>
    <row r="59" spans="2:142" outlineLevel="1">
      <c r="B59" s="1" t="s">
        <v>104</v>
      </c>
      <c r="C59" s="175"/>
      <c r="D59" s="175"/>
      <c r="E59" s="175"/>
      <c r="F59" s="175"/>
      <c r="H59" s="175"/>
      <c r="I59" s="175"/>
      <c r="J59" s="175"/>
      <c r="K59" s="175"/>
      <c r="M59" s="175"/>
      <c r="N59" s="175"/>
      <c r="O59" s="175"/>
      <c r="P59" s="175"/>
      <c r="R59" s="175"/>
      <c r="S59" s="175"/>
      <c r="T59" s="175"/>
      <c r="U59" s="175"/>
      <c r="W59" s="175"/>
      <c r="X59" s="175"/>
      <c r="Y59" s="175"/>
      <c r="Z59" s="175"/>
      <c r="AB59" s="175"/>
      <c r="AC59" s="175"/>
      <c r="AD59" s="175"/>
      <c r="AE59" s="175"/>
      <c r="AG59" s="175"/>
      <c r="AH59" s="175"/>
      <c r="AI59" s="175"/>
      <c r="AJ59" s="175"/>
      <c r="AL59" s="175"/>
      <c r="AM59" s="175"/>
      <c r="AN59" s="175"/>
      <c r="AO59" s="175"/>
      <c r="AQ59" s="175"/>
      <c r="AR59" s="175"/>
      <c r="AS59" s="175"/>
      <c r="AT59" s="175"/>
      <c r="AV59" s="276"/>
      <c r="AW59" s="276"/>
      <c r="AX59" s="276"/>
      <c r="AY59" s="276"/>
      <c r="BA59" s="276"/>
      <c r="BB59" s="276"/>
      <c r="BC59" s="276"/>
      <c r="BD59" s="276"/>
      <c r="BF59" s="276"/>
      <c r="BG59" s="276"/>
      <c r="BH59" s="276"/>
      <c r="BI59" s="276"/>
      <c r="BK59" s="276"/>
      <c r="BL59" s="276"/>
      <c r="BM59" s="276"/>
      <c r="BN59" s="276"/>
      <c r="BP59" s="276"/>
      <c r="BQ59" s="276"/>
      <c r="BR59" s="276"/>
      <c r="BS59" s="276"/>
      <c r="BU59" s="276"/>
      <c r="BV59" s="276"/>
      <c r="BW59" s="276"/>
      <c r="BX59" s="276"/>
      <c r="BZ59" s="276"/>
      <c r="CA59" s="276"/>
      <c r="CB59" s="276"/>
      <c r="CC59" s="276"/>
      <c r="CE59" s="276"/>
      <c r="CF59" s="276"/>
      <c r="CG59" s="276"/>
      <c r="CH59" s="276"/>
      <c r="CJ59" s="276"/>
      <c r="CK59" s="276"/>
      <c r="CL59" s="276"/>
      <c r="CM59" s="276"/>
      <c r="CO59" s="276"/>
      <c r="CP59" s="276"/>
      <c r="CQ59" s="276"/>
      <c r="CR59" s="276"/>
      <c r="CT59" s="276"/>
      <c r="CU59" s="276"/>
      <c r="CV59" s="276"/>
      <c r="CW59" s="276"/>
      <c r="CY59" s="276"/>
      <c r="CZ59" s="276"/>
      <c r="DA59" s="276"/>
      <c r="DB59" s="276"/>
      <c r="DD59" s="276"/>
      <c r="DE59" s="276"/>
      <c r="DF59" s="276"/>
      <c r="DG59" s="276"/>
      <c r="DI59" s="276"/>
      <c r="DJ59" s="276"/>
      <c r="DK59" s="276"/>
      <c r="DL59" s="276"/>
      <c r="DN59" s="276"/>
      <c r="DO59" s="276"/>
      <c r="DP59" s="276"/>
      <c r="DQ59" s="276"/>
      <c r="DS59" s="276"/>
      <c r="DT59" s="276"/>
      <c r="DU59" s="276"/>
      <c r="DV59" s="276"/>
      <c r="DX59" s="276"/>
      <c r="DY59" s="276"/>
      <c r="DZ59" s="276"/>
      <c r="EA59" s="276"/>
      <c r="EC59" s="276"/>
      <c r="ED59" s="276"/>
      <c r="EE59" s="276"/>
      <c r="EF59" s="276"/>
      <c r="EH59" s="276"/>
      <c r="EI59" s="276"/>
      <c r="EJ59" s="276"/>
      <c r="EK59" s="276"/>
    </row>
    <row r="60" spans="2:142" outlineLevel="1">
      <c r="B60" s="11" t="s">
        <v>96</v>
      </c>
      <c r="C60" s="175"/>
      <c r="D60" s="175"/>
      <c r="E60" s="175"/>
      <c r="F60" s="175"/>
      <c r="H60" s="175"/>
      <c r="I60" s="175"/>
      <c r="J60" s="175"/>
      <c r="K60" s="175"/>
      <c r="M60" s="175"/>
      <c r="N60" s="175"/>
      <c r="O60" s="175"/>
      <c r="P60" s="175"/>
      <c r="R60" s="175"/>
      <c r="S60" s="175"/>
      <c r="T60" s="175"/>
      <c r="U60" s="175"/>
      <c r="W60" s="175"/>
      <c r="X60" s="175"/>
      <c r="Y60" s="175"/>
      <c r="Z60" s="180"/>
      <c r="AA60" s="7"/>
      <c r="AB60" s="175"/>
      <c r="AC60" s="180"/>
      <c r="AD60" s="180"/>
      <c r="AE60" s="180"/>
      <c r="AF60" s="7"/>
      <c r="AG60" s="175"/>
      <c r="AH60" s="180"/>
      <c r="AI60" s="180"/>
      <c r="AJ60" s="180"/>
      <c r="AK60" s="7"/>
      <c r="AL60" s="180"/>
      <c r="AM60" s="181">
        <v>0</v>
      </c>
      <c r="AN60" s="181">
        <v>0.02</v>
      </c>
      <c r="AO60" s="181">
        <v>0.04</v>
      </c>
      <c r="AP60" s="29"/>
      <c r="AQ60" s="181">
        <v>0.08</v>
      </c>
      <c r="AR60" s="181">
        <v>-0.01</v>
      </c>
      <c r="AS60" s="181">
        <v>0.01</v>
      </c>
      <c r="AT60" s="181">
        <v>0.01</v>
      </c>
      <c r="AU60" s="29"/>
      <c r="AV60" s="308">
        <v>-0.04</v>
      </c>
      <c r="AW60" s="308">
        <v>0.11</v>
      </c>
      <c r="AX60" s="308">
        <v>0.05</v>
      </c>
      <c r="AY60" s="308">
        <v>0.04</v>
      </c>
      <c r="BA60" s="259">
        <v>0.04</v>
      </c>
      <c r="BB60" s="259">
        <v>0</v>
      </c>
      <c r="BC60" s="259">
        <v>-0.03</v>
      </c>
      <c r="BD60" s="309">
        <v>-0.06</v>
      </c>
      <c r="BF60" s="259">
        <v>0.01</v>
      </c>
      <c r="BG60" s="309">
        <v>-7.0000000000000007E-2</v>
      </c>
      <c r="BH60" s="393">
        <v>-0.05</v>
      </c>
      <c r="BI60" s="276"/>
      <c r="BK60" s="276"/>
      <c r="BL60" s="276"/>
      <c r="BM60" s="276"/>
      <c r="BN60" s="276"/>
      <c r="BP60" s="276"/>
      <c r="BQ60" s="276"/>
      <c r="BR60" s="276"/>
      <c r="BS60" s="276"/>
      <c r="BU60" s="276"/>
      <c r="BV60" s="276"/>
      <c r="BW60" s="276"/>
      <c r="BX60" s="276"/>
      <c r="BZ60" s="276"/>
      <c r="CA60" s="276"/>
      <c r="CB60" s="276"/>
      <c r="CC60" s="276"/>
      <c r="CE60" s="276"/>
      <c r="CF60" s="276"/>
      <c r="CG60" s="276"/>
      <c r="CH60" s="276"/>
      <c r="CJ60" s="276"/>
      <c r="CK60" s="276"/>
      <c r="CL60" s="276"/>
      <c r="CM60" s="276"/>
      <c r="CO60" s="276"/>
      <c r="CP60" s="276"/>
      <c r="CQ60" s="276"/>
      <c r="CR60" s="276"/>
      <c r="CT60" s="276"/>
      <c r="CU60" s="276"/>
      <c r="CV60" s="276"/>
      <c r="CW60" s="276"/>
      <c r="CY60" s="276"/>
      <c r="CZ60" s="276"/>
      <c r="DA60" s="276"/>
      <c r="DB60" s="276"/>
      <c r="DD60" s="276"/>
      <c r="DE60" s="276"/>
      <c r="DF60" s="276"/>
      <c r="DG60" s="276"/>
      <c r="DI60" s="276"/>
      <c r="DJ60" s="276"/>
      <c r="DK60" s="276"/>
      <c r="DL60" s="276"/>
      <c r="DN60" s="276"/>
      <c r="DO60" s="276"/>
      <c r="DP60" s="276"/>
      <c r="DQ60" s="276"/>
      <c r="DS60" s="276"/>
      <c r="DT60" s="276"/>
      <c r="DU60" s="276"/>
      <c r="DV60" s="276"/>
      <c r="DX60" s="276"/>
      <c r="DY60" s="276"/>
      <c r="DZ60" s="276"/>
      <c r="EA60" s="276"/>
      <c r="EC60" s="276"/>
      <c r="ED60" s="276"/>
      <c r="EE60" s="276"/>
      <c r="EF60" s="276"/>
      <c r="EH60" s="276"/>
      <c r="EI60" s="276"/>
      <c r="EJ60" s="276"/>
      <c r="EK60" s="276"/>
    </row>
    <row r="61" spans="2:142" outlineLevel="1">
      <c r="B61" s="11" t="s">
        <v>97</v>
      </c>
      <c r="C61" s="175"/>
      <c r="D61" s="175"/>
      <c r="E61" s="175"/>
      <c r="F61" s="175"/>
      <c r="H61" s="175"/>
      <c r="I61" s="175"/>
      <c r="J61" s="175"/>
      <c r="K61" s="175"/>
      <c r="M61" s="175"/>
      <c r="N61" s="175"/>
      <c r="O61" s="175"/>
      <c r="P61" s="175"/>
      <c r="R61" s="175"/>
      <c r="S61" s="175"/>
      <c r="T61" s="175"/>
      <c r="U61" s="175"/>
      <c r="W61" s="175"/>
      <c r="X61" s="175"/>
      <c r="Y61" s="175"/>
      <c r="Z61" s="180"/>
      <c r="AA61" s="7"/>
      <c r="AB61" s="175"/>
      <c r="AC61" s="180"/>
      <c r="AD61" s="180"/>
      <c r="AE61" s="180"/>
      <c r="AF61" s="7"/>
      <c r="AG61" s="175"/>
      <c r="AH61" s="180"/>
      <c r="AI61" s="180"/>
      <c r="AJ61" s="180"/>
      <c r="AK61" s="7"/>
      <c r="AL61" s="180"/>
      <c r="AM61" s="181">
        <v>-7.0000000000000007E-2</v>
      </c>
      <c r="AN61" s="181">
        <v>-0.03</v>
      </c>
      <c r="AO61" s="181">
        <v>-0.04</v>
      </c>
      <c r="AP61" s="29"/>
      <c r="AQ61" s="181">
        <v>0</v>
      </c>
      <c r="AR61" s="181">
        <v>-0.03</v>
      </c>
      <c r="AS61" s="181">
        <v>-0.06</v>
      </c>
      <c r="AT61" s="181">
        <v>-0.03</v>
      </c>
      <c r="AU61" s="29"/>
      <c r="AV61" s="308">
        <v>-0.08</v>
      </c>
      <c r="AW61" s="308">
        <v>-0.02</v>
      </c>
      <c r="AX61" s="308">
        <v>0.01</v>
      </c>
      <c r="AY61" s="308">
        <v>-0.01</v>
      </c>
      <c r="BA61" s="259">
        <v>0.08</v>
      </c>
      <c r="BB61" s="259">
        <v>-0.05</v>
      </c>
      <c r="BC61" s="259">
        <v>-0.17</v>
      </c>
      <c r="BD61" s="309">
        <v>-0.15</v>
      </c>
      <c r="BF61" s="259">
        <v>-0.16</v>
      </c>
      <c r="BG61" s="309">
        <v>-0.11</v>
      </c>
      <c r="BH61" s="393">
        <v>-0.05</v>
      </c>
      <c r="BI61" s="276"/>
      <c r="BK61" s="276"/>
      <c r="BL61" s="276"/>
      <c r="BM61" s="276"/>
      <c r="BN61" s="276"/>
      <c r="BP61" s="276"/>
      <c r="BQ61" s="276"/>
      <c r="BR61" s="276"/>
      <c r="BS61" s="276"/>
      <c r="BU61" s="276"/>
      <c r="BV61" s="276"/>
      <c r="BW61" s="276"/>
      <c r="BX61" s="276"/>
      <c r="BZ61" s="276"/>
      <c r="CA61" s="276"/>
      <c r="CB61" s="276"/>
      <c r="CC61" s="276"/>
      <c r="CE61" s="276"/>
      <c r="CF61" s="276"/>
      <c r="CG61" s="276"/>
      <c r="CH61" s="276"/>
      <c r="CJ61" s="276"/>
      <c r="CK61" s="276"/>
      <c r="CL61" s="276"/>
      <c r="CM61" s="276"/>
      <c r="CO61" s="276"/>
      <c r="CP61" s="276"/>
      <c r="CQ61" s="276"/>
      <c r="CR61" s="276"/>
      <c r="CT61" s="276"/>
      <c r="CU61" s="276"/>
      <c r="CV61" s="276"/>
      <c r="CW61" s="276"/>
      <c r="CY61" s="276"/>
      <c r="CZ61" s="276"/>
      <c r="DA61" s="276"/>
      <c r="DB61" s="276"/>
      <c r="DD61" s="276"/>
      <c r="DE61" s="276"/>
      <c r="DF61" s="276"/>
      <c r="DG61" s="276"/>
      <c r="DI61" s="276"/>
      <c r="DJ61" s="276"/>
      <c r="DK61" s="276"/>
      <c r="DL61" s="276"/>
      <c r="DN61" s="276"/>
      <c r="DO61" s="276"/>
      <c r="DP61" s="276"/>
      <c r="DQ61" s="276"/>
      <c r="DS61" s="276"/>
      <c r="DT61" s="276"/>
      <c r="DU61" s="276"/>
      <c r="DV61" s="276"/>
      <c r="DX61" s="276"/>
      <c r="DY61" s="276"/>
      <c r="DZ61" s="276"/>
      <c r="EA61" s="276"/>
      <c r="EC61" s="276"/>
      <c r="ED61" s="276"/>
      <c r="EE61" s="276"/>
      <c r="EF61" s="276"/>
      <c r="EH61" s="276"/>
      <c r="EI61" s="276"/>
      <c r="EJ61" s="276"/>
      <c r="EK61" s="276"/>
    </row>
    <row r="62" spans="2:142" outlineLevel="1">
      <c r="B62" s="11" t="s">
        <v>98</v>
      </c>
      <c r="C62" s="175"/>
      <c r="D62" s="175"/>
      <c r="E62" s="175"/>
      <c r="F62" s="175"/>
      <c r="H62" s="175"/>
      <c r="I62" s="175"/>
      <c r="J62" s="175"/>
      <c r="K62" s="175"/>
      <c r="M62" s="175"/>
      <c r="N62" s="175"/>
      <c r="O62" s="175"/>
      <c r="P62" s="175"/>
      <c r="R62" s="175"/>
      <c r="S62" s="175"/>
      <c r="T62" s="175"/>
      <c r="U62" s="175"/>
      <c r="W62" s="175"/>
      <c r="X62" s="175"/>
      <c r="Y62" s="175"/>
      <c r="Z62" s="180"/>
      <c r="AA62" s="7"/>
      <c r="AB62" s="175"/>
      <c r="AC62" s="180"/>
      <c r="AD62" s="180"/>
      <c r="AE62" s="180"/>
      <c r="AF62" s="7"/>
      <c r="AG62" s="175"/>
      <c r="AH62" s="180"/>
      <c r="AI62" s="180"/>
      <c r="AJ62" s="180"/>
      <c r="AK62" s="7"/>
      <c r="AL62" s="180"/>
      <c r="AM62" s="181">
        <v>0.06</v>
      </c>
      <c r="AN62" s="181">
        <v>0.06</v>
      </c>
      <c r="AO62" s="181">
        <v>0.1</v>
      </c>
      <c r="AP62" s="29"/>
      <c r="AQ62" s="181">
        <v>0.14000000000000001</v>
      </c>
      <c r="AR62" s="181">
        <v>0.01</v>
      </c>
      <c r="AS62" s="181">
        <v>0.06</v>
      </c>
      <c r="AT62" s="181">
        <v>0.04</v>
      </c>
      <c r="AU62" s="29"/>
      <c r="AV62" s="308">
        <v>0</v>
      </c>
      <c r="AW62" s="308">
        <v>0.19</v>
      </c>
      <c r="AX62" s="308">
        <v>0.08</v>
      </c>
      <c r="AY62" s="308">
        <v>7.0000000000000007E-2</v>
      </c>
      <c r="BA62" s="259">
        <v>0.01</v>
      </c>
      <c r="BB62" s="259">
        <v>0.03</v>
      </c>
      <c r="BC62" s="259">
        <v>0.05</v>
      </c>
      <c r="BD62" s="309">
        <v>-0.01</v>
      </c>
      <c r="BF62" s="259">
        <v>0.12</v>
      </c>
      <c r="BG62" s="309">
        <v>-0.05</v>
      </c>
      <c r="BH62" s="393">
        <v>-0.05</v>
      </c>
      <c r="BI62" s="276"/>
      <c r="BK62" s="276"/>
      <c r="BL62" s="276"/>
      <c r="BM62" s="276"/>
      <c r="BN62" s="276"/>
      <c r="BP62" s="276"/>
      <c r="BQ62" s="276"/>
      <c r="BR62" s="276"/>
      <c r="BS62" s="276"/>
      <c r="BU62" s="276"/>
      <c r="BV62" s="276"/>
      <c r="BW62" s="276"/>
      <c r="BX62" s="276"/>
      <c r="BZ62" s="276"/>
      <c r="CA62" s="276"/>
      <c r="CB62" s="276"/>
      <c r="CC62" s="276"/>
      <c r="CE62" s="276"/>
      <c r="CF62" s="276"/>
      <c r="CG62" s="276"/>
      <c r="CH62" s="276"/>
      <c r="CJ62" s="276"/>
      <c r="CK62" s="276"/>
      <c r="CL62" s="276"/>
      <c r="CM62" s="276"/>
      <c r="CO62" s="276"/>
      <c r="CP62" s="276"/>
      <c r="CQ62" s="276"/>
      <c r="CR62" s="276"/>
      <c r="CT62" s="276"/>
      <c r="CU62" s="276"/>
      <c r="CV62" s="276"/>
      <c r="CW62" s="276"/>
      <c r="CY62" s="276"/>
      <c r="CZ62" s="276"/>
      <c r="DA62" s="276"/>
      <c r="DB62" s="276"/>
      <c r="DD62" s="276"/>
      <c r="DE62" s="276"/>
      <c r="DF62" s="276"/>
      <c r="DG62" s="276"/>
      <c r="DI62" s="276"/>
      <c r="DJ62" s="276"/>
      <c r="DK62" s="276"/>
      <c r="DL62" s="276"/>
      <c r="DN62" s="276"/>
      <c r="DO62" s="276"/>
      <c r="DP62" s="276"/>
      <c r="DQ62" s="276"/>
      <c r="DS62" s="276"/>
      <c r="DT62" s="276"/>
      <c r="DU62" s="276"/>
      <c r="DV62" s="276"/>
      <c r="DX62" s="276"/>
      <c r="DY62" s="276"/>
      <c r="DZ62" s="276"/>
      <c r="EA62" s="276"/>
      <c r="EC62" s="276"/>
      <c r="ED62" s="276"/>
      <c r="EE62" s="276"/>
      <c r="EF62" s="276"/>
      <c r="EH62" s="276"/>
      <c r="EI62" s="276"/>
      <c r="EJ62" s="276"/>
      <c r="EK62" s="276"/>
    </row>
    <row r="63" spans="2:142" outlineLevel="1">
      <c r="B63" s="1" t="s">
        <v>105</v>
      </c>
      <c r="C63" s="175"/>
      <c r="D63" s="175"/>
      <c r="E63" s="175"/>
      <c r="F63" s="175"/>
      <c r="H63" s="175"/>
      <c r="I63" s="175"/>
      <c r="J63" s="175"/>
      <c r="K63" s="175"/>
      <c r="M63" s="175"/>
      <c r="N63" s="175"/>
      <c r="O63" s="175"/>
      <c r="P63" s="175"/>
      <c r="R63" s="175"/>
      <c r="S63" s="175"/>
      <c r="T63" s="175"/>
      <c r="U63" s="175"/>
      <c r="W63" s="175"/>
      <c r="X63" s="175"/>
      <c r="Y63" s="175"/>
      <c r="Z63" s="175"/>
      <c r="AB63" s="175"/>
      <c r="AC63" s="175"/>
      <c r="AD63" s="175"/>
      <c r="AE63" s="175"/>
      <c r="AG63" s="175"/>
      <c r="AH63" s="175"/>
      <c r="AI63" s="175"/>
      <c r="AJ63" s="175"/>
      <c r="AL63" s="175"/>
      <c r="AM63" s="182"/>
      <c r="AN63" s="182"/>
      <c r="AO63" s="182"/>
      <c r="AP63" s="30"/>
      <c r="AQ63" s="182"/>
      <c r="AR63" s="182"/>
      <c r="AS63" s="182"/>
      <c r="AT63" s="182"/>
      <c r="AU63" s="30"/>
      <c r="AV63" s="309"/>
      <c r="AW63" s="309"/>
      <c r="AX63" s="309"/>
      <c r="AY63" s="309"/>
      <c r="BA63" s="259"/>
      <c r="BB63" s="259"/>
      <c r="BC63" s="259"/>
      <c r="BD63" s="312"/>
      <c r="BF63" s="259"/>
      <c r="BG63" s="312"/>
      <c r="BH63" s="276"/>
      <c r="BI63" s="276"/>
      <c r="BK63" s="276"/>
      <c r="BL63" s="276"/>
      <c r="BM63" s="276"/>
      <c r="BN63" s="276"/>
      <c r="BP63" s="276"/>
      <c r="BQ63" s="276"/>
      <c r="BR63" s="276"/>
      <c r="BS63" s="276"/>
      <c r="BU63" s="276"/>
      <c r="BV63" s="276"/>
      <c r="BW63" s="276"/>
      <c r="BX63" s="276"/>
      <c r="BZ63" s="276"/>
      <c r="CA63" s="276"/>
      <c r="CB63" s="276"/>
      <c r="CC63" s="276"/>
      <c r="CE63" s="276"/>
      <c r="CF63" s="276"/>
      <c r="CG63" s="276"/>
      <c r="CH63" s="276"/>
      <c r="CJ63" s="276"/>
      <c r="CK63" s="276"/>
      <c r="CL63" s="276"/>
      <c r="CM63" s="276"/>
      <c r="CO63" s="276"/>
      <c r="CP63" s="276"/>
      <c r="CQ63" s="276"/>
      <c r="CR63" s="276"/>
      <c r="CT63" s="276"/>
      <c r="CU63" s="276"/>
      <c r="CV63" s="276"/>
      <c r="CW63" s="276"/>
      <c r="CY63" s="276"/>
      <c r="CZ63" s="276"/>
      <c r="DA63" s="276"/>
      <c r="DB63" s="276"/>
      <c r="DD63" s="276"/>
      <c r="DE63" s="276"/>
      <c r="DF63" s="276"/>
      <c r="DG63" s="276"/>
      <c r="DI63" s="276"/>
      <c r="DJ63" s="276"/>
      <c r="DK63" s="276"/>
      <c r="DL63" s="276"/>
      <c r="DN63" s="276"/>
      <c r="DO63" s="276"/>
      <c r="DP63" s="276"/>
      <c r="DQ63" s="276"/>
      <c r="DS63" s="276"/>
      <c r="DT63" s="276"/>
      <c r="DU63" s="276"/>
      <c r="DV63" s="276"/>
      <c r="DX63" s="276"/>
      <c r="DY63" s="276"/>
      <c r="DZ63" s="276"/>
      <c r="EA63" s="276"/>
      <c r="EC63" s="276"/>
      <c r="ED63" s="276"/>
      <c r="EE63" s="276"/>
      <c r="EF63" s="276"/>
      <c r="EH63" s="276"/>
      <c r="EI63" s="276"/>
      <c r="EJ63" s="276"/>
      <c r="EK63" s="276"/>
    </row>
    <row r="64" spans="2:142" outlineLevel="1">
      <c r="B64" s="11" t="s">
        <v>96</v>
      </c>
      <c r="C64" s="175"/>
      <c r="D64" s="175"/>
      <c r="E64" s="175"/>
      <c r="F64" s="175"/>
      <c r="H64" s="175"/>
      <c r="I64" s="175"/>
      <c r="J64" s="175"/>
      <c r="K64" s="175"/>
      <c r="M64" s="175"/>
      <c r="N64" s="175"/>
      <c r="O64" s="175"/>
      <c r="P64" s="175"/>
      <c r="R64" s="175"/>
      <c r="S64" s="175"/>
      <c r="T64" s="175"/>
      <c r="U64" s="175"/>
      <c r="W64" s="175"/>
      <c r="X64" s="175"/>
      <c r="Y64" s="175"/>
      <c r="Z64" s="180"/>
      <c r="AA64" s="7"/>
      <c r="AB64" s="175"/>
      <c r="AC64" s="180"/>
      <c r="AD64" s="180"/>
      <c r="AE64" s="180"/>
      <c r="AF64" s="7"/>
      <c r="AG64" s="175"/>
      <c r="AH64" s="180"/>
      <c r="AI64" s="180"/>
      <c r="AJ64" s="180"/>
      <c r="AK64" s="7"/>
      <c r="AL64" s="180"/>
      <c r="AM64" s="181">
        <v>0.05</v>
      </c>
      <c r="AN64" s="181">
        <v>0</v>
      </c>
      <c r="AO64" s="181">
        <v>0.03</v>
      </c>
      <c r="AP64" s="29"/>
      <c r="AQ64" s="181">
        <v>0.01</v>
      </c>
      <c r="AR64" s="181">
        <v>-0.04</v>
      </c>
      <c r="AS64" s="181">
        <v>0.01</v>
      </c>
      <c r="AT64" s="181">
        <v>0.03</v>
      </c>
      <c r="AU64" s="29"/>
      <c r="AV64" s="308">
        <v>-0.04</v>
      </c>
      <c r="AW64" s="308">
        <v>0.1</v>
      </c>
      <c r="AX64" s="308">
        <v>-0.03</v>
      </c>
      <c r="AY64" s="308">
        <v>0.02</v>
      </c>
      <c r="BA64" s="259">
        <v>-0.04</v>
      </c>
      <c r="BB64" s="259">
        <v>0.06</v>
      </c>
      <c r="BC64" s="259">
        <v>-7.0000000000000007E-2</v>
      </c>
      <c r="BD64" s="309">
        <v>-0.01</v>
      </c>
      <c r="BF64" s="259">
        <v>0.03</v>
      </c>
      <c r="BG64" s="309">
        <v>-0.03</v>
      </c>
      <c r="BH64" s="393">
        <v>-0.05</v>
      </c>
      <c r="BI64" s="276"/>
      <c r="BK64" s="276"/>
      <c r="BL64" s="276"/>
      <c r="BM64" s="276"/>
      <c r="BN64" s="276"/>
      <c r="BP64" s="276"/>
      <c r="BQ64" s="276"/>
      <c r="BR64" s="276"/>
      <c r="BS64" s="276"/>
      <c r="BU64" s="276"/>
      <c r="BV64" s="276"/>
      <c r="BW64" s="276"/>
      <c r="BX64" s="276"/>
      <c r="BZ64" s="276"/>
      <c r="CA64" s="276"/>
      <c r="CB64" s="276"/>
      <c r="CC64" s="276"/>
      <c r="CE64" s="276"/>
      <c r="CF64" s="276"/>
      <c r="CG64" s="276"/>
      <c r="CH64" s="276"/>
      <c r="CJ64" s="276"/>
      <c r="CK64" s="276"/>
      <c r="CL64" s="276"/>
      <c r="CM64" s="276"/>
      <c r="CO64" s="276"/>
      <c r="CP64" s="276"/>
      <c r="CQ64" s="276"/>
      <c r="CR64" s="276"/>
      <c r="CT64" s="276"/>
      <c r="CU64" s="276"/>
      <c r="CV64" s="276"/>
      <c r="CW64" s="276"/>
      <c r="CY64" s="276"/>
      <c r="CZ64" s="276"/>
      <c r="DA64" s="276"/>
      <c r="DB64" s="276"/>
      <c r="DD64" s="276"/>
      <c r="DE64" s="276"/>
      <c r="DF64" s="276"/>
      <c r="DG64" s="276"/>
      <c r="DI64" s="276"/>
      <c r="DJ64" s="276"/>
      <c r="DK64" s="276"/>
      <c r="DL64" s="276"/>
      <c r="DN64" s="276"/>
      <c r="DO64" s="276"/>
      <c r="DP64" s="276"/>
      <c r="DQ64" s="276"/>
      <c r="DS64" s="276"/>
      <c r="DT64" s="276"/>
      <c r="DU64" s="276"/>
      <c r="DV64" s="276"/>
      <c r="DX64" s="276"/>
      <c r="DY64" s="276"/>
      <c r="DZ64" s="276"/>
      <c r="EA64" s="276"/>
      <c r="EC64" s="276"/>
      <c r="ED64" s="276"/>
      <c r="EE64" s="276"/>
      <c r="EF64" s="276"/>
      <c r="EH64" s="276"/>
      <c r="EI64" s="276"/>
      <c r="EJ64" s="276"/>
      <c r="EK64" s="276"/>
    </row>
    <row r="65" spans="2:141" outlineLevel="1">
      <c r="B65" s="11" t="s">
        <v>97</v>
      </c>
      <c r="C65" s="175"/>
      <c r="D65" s="175"/>
      <c r="E65" s="175"/>
      <c r="F65" s="175"/>
      <c r="H65" s="175"/>
      <c r="I65" s="175"/>
      <c r="J65" s="175"/>
      <c r="K65" s="175"/>
      <c r="M65" s="175"/>
      <c r="N65" s="175"/>
      <c r="O65" s="175"/>
      <c r="P65" s="175"/>
      <c r="R65" s="175"/>
      <c r="S65" s="175"/>
      <c r="T65" s="175"/>
      <c r="U65" s="175"/>
      <c r="W65" s="175"/>
      <c r="X65" s="175"/>
      <c r="Y65" s="175"/>
      <c r="Z65" s="180"/>
      <c r="AA65" s="7"/>
      <c r="AB65" s="175"/>
      <c r="AC65" s="180"/>
      <c r="AD65" s="180"/>
      <c r="AE65" s="180"/>
      <c r="AF65" s="7"/>
      <c r="AG65" s="175"/>
      <c r="AH65" s="180"/>
      <c r="AI65" s="180"/>
      <c r="AJ65" s="180"/>
      <c r="AK65" s="7"/>
      <c r="AL65" s="180"/>
      <c r="AM65" s="181">
        <v>0.04</v>
      </c>
      <c r="AN65" s="181">
        <v>0.01</v>
      </c>
      <c r="AO65" s="181">
        <v>-0.02</v>
      </c>
      <c r="AP65" s="29"/>
      <c r="AQ65" s="181">
        <v>-0.02</v>
      </c>
      <c r="AR65" s="181">
        <v>0</v>
      </c>
      <c r="AS65" s="181">
        <v>-0.01</v>
      </c>
      <c r="AT65" s="181">
        <v>0</v>
      </c>
      <c r="AU65" s="29"/>
      <c r="AV65" s="308">
        <v>-0.08</v>
      </c>
      <c r="AW65" s="308">
        <v>7.0000000000000007E-2</v>
      </c>
      <c r="AX65" s="308">
        <v>0.02</v>
      </c>
      <c r="AY65" s="308">
        <v>-0.01</v>
      </c>
      <c r="BA65" s="259">
        <v>0</v>
      </c>
      <c r="BB65" s="259">
        <v>-0.05</v>
      </c>
      <c r="BC65" s="259">
        <v>-0.11</v>
      </c>
      <c r="BD65" s="309">
        <v>0.01</v>
      </c>
      <c r="BF65" s="259">
        <v>-0.02</v>
      </c>
      <c r="BG65" s="309">
        <v>0</v>
      </c>
      <c r="BH65" s="393">
        <v>-0.05</v>
      </c>
      <c r="BI65" s="276"/>
      <c r="BK65" s="276"/>
      <c r="BL65" s="276"/>
      <c r="BM65" s="276"/>
      <c r="BN65" s="276"/>
      <c r="BP65" s="276"/>
      <c r="BQ65" s="276"/>
      <c r="BR65" s="276"/>
      <c r="BS65" s="276"/>
      <c r="BU65" s="276"/>
      <c r="BV65" s="276"/>
      <c r="BW65" s="276"/>
      <c r="BX65" s="276"/>
      <c r="BZ65" s="276"/>
      <c r="CA65" s="276"/>
      <c r="CB65" s="276"/>
      <c r="CC65" s="276"/>
      <c r="CE65" s="276"/>
      <c r="CF65" s="276"/>
      <c r="CG65" s="276"/>
      <c r="CH65" s="276"/>
      <c r="CJ65" s="276"/>
      <c r="CK65" s="276"/>
      <c r="CL65" s="276"/>
      <c r="CM65" s="276"/>
      <c r="CO65" s="276"/>
      <c r="CP65" s="276"/>
      <c r="CQ65" s="276"/>
      <c r="CR65" s="276"/>
      <c r="CT65" s="276"/>
      <c r="CU65" s="276"/>
      <c r="CV65" s="276"/>
      <c r="CW65" s="276"/>
      <c r="CY65" s="276"/>
      <c r="CZ65" s="276"/>
      <c r="DA65" s="276"/>
      <c r="DB65" s="276"/>
      <c r="DD65" s="276"/>
      <c r="DE65" s="276"/>
      <c r="DF65" s="276"/>
      <c r="DG65" s="276"/>
      <c r="DI65" s="276"/>
      <c r="DJ65" s="276"/>
      <c r="DK65" s="276"/>
      <c r="DL65" s="276"/>
      <c r="DN65" s="276"/>
      <c r="DO65" s="276"/>
      <c r="DP65" s="276"/>
      <c r="DQ65" s="276"/>
      <c r="DS65" s="276"/>
      <c r="DT65" s="276"/>
      <c r="DU65" s="276"/>
      <c r="DV65" s="276"/>
      <c r="DX65" s="276"/>
      <c r="DY65" s="276"/>
      <c r="DZ65" s="276"/>
      <c r="EA65" s="276"/>
      <c r="EC65" s="276"/>
      <c r="ED65" s="276"/>
      <c r="EE65" s="276"/>
      <c r="EF65" s="276"/>
      <c r="EH65" s="276"/>
      <c r="EI65" s="276"/>
      <c r="EJ65" s="276"/>
      <c r="EK65" s="276"/>
    </row>
    <row r="66" spans="2:141" outlineLevel="1">
      <c r="B66" s="11" t="s">
        <v>98</v>
      </c>
      <c r="C66" s="175"/>
      <c r="D66" s="175"/>
      <c r="E66" s="175"/>
      <c r="F66" s="175"/>
      <c r="H66" s="175"/>
      <c r="I66" s="175"/>
      <c r="J66" s="175"/>
      <c r="K66" s="175"/>
      <c r="M66" s="175"/>
      <c r="N66" s="175"/>
      <c r="O66" s="175"/>
      <c r="P66" s="175"/>
      <c r="R66" s="175"/>
      <c r="S66" s="175"/>
      <c r="T66" s="175"/>
      <c r="U66" s="175"/>
      <c r="W66" s="175"/>
      <c r="X66" s="175"/>
      <c r="Y66" s="175"/>
      <c r="Z66" s="180"/>
      <c r="AA66" s="7"/>
      <c r="AB66" s="175"/>
      <c r="AC66" s="180"/>
      <c r="AD66" s="180"/>
      <c r="AE66" s="180"/>
      <c r="AF66" s="7"/>
      <c r="AG66" s="175"/>
      <c r="AH66" s="180"/>
      <c r="AI66" s="180"/>
      <c r="AJ66" s="180"/>
      <c r="AK66" s="7"/>
      <c r="AL66" s="180"/>
      <c r="AM66" s="181">
        <v>0.06</v>
      </c>
      <c r="AN66" s="181">
        <v>-0.01</v>
      </c>
      <c r="AO66" s="181">
        <v>0.06</v>
      </c>
      <c r="AP66" s="29"/>
      <c r="AQ66" s="181">
        <v>0.03</v>
      </c>
      <c r="AR66" s="181">
        <v>-7.0000000000000007E-2</v>
      </c>
      <c r="AS66" s="181">
        <v>0.03</v>
      </c>
      <c r="AT66" s="181">
        <v>0.05</v>
      </c>
      <c r="AU66" s="29"/>
      <c r="AV66" s="308">
        <v>-0.01</v>
      </c>
      <c r="AW66" s="308">
        <v>0.12</v>
      </c>
      <c r="AX66" s="308">
        <v>-0.06</v>
      </c>
      <c r="AY66" s="308">
        <v>0.04</v>
      </c>
      <c r="BA66" s="259">
        <v>-7.0000000000000007E-2</v>
      </c>
      <c r="BB66" s="259">
        <v>0.14000000000000001</v>
      </c>
      <c r="BC66" s="259">
        <v>-0.04</v>
      </c>
      <c r="BD66" s="309">
        <v>-0.02</v>
      </c>
      <c r="BF66" s="259">
        <v>0.05</v>
      </c>
      <c r="BG66" s="309">
        <v>-0.04</v>
      </c>
      <c r="BH66" s="393">
        <v>-0.04</v>
      </c>
      <c r="BI66" s="276"/>
      <c r="BK66" s="276"/>
      <c r="BL66" s="276"/>
      <c r="BM66" s="276"/>
      <c r="BN66" s="276"/>
      <c r="BP66" s="276"/>
      <c r="BQ66" s="276"/>
      <c r="BR66" s="276"/>
      <c r="BS66" s="276"/>
      <c r="BU66" s="276"/>
      <c r="BV66" s="276"/>
      <c r="BW66" s="276"/>
      <c r="BX66" s="276"/>
      <c r="BZ66" s="276"/>
      <c r="CA66" s="276"/>
      <c r="CB66" s="276"/>
      <c r="CC66" s="276"/>
      <c r="CE66" s="276"/>
      <c r="CF66" s="276"/>
      <c r="CG66" s="276"/>
      <c r="CH66" s="276"/>
      <c r="CJ66" s="276"/>
      <c r="CK66" s="276"/>
      <c r="CL66" s="276"/>
      <c r="CM66" s="276"/>
      <c r="CO66" s="276"/>
      <c r="CP66" s="276"/>
      <c r="CQ66" s="276"/>
      <c r="CR66" s="276"/>
      <c r="CT66" s="276"/>
      <c r="CU66" s="276"/>
      <c r="CV66" s="276"/>
      <c r="CW66" s="276"/>
      <c r="CY66" s="276"/>
      <c r="CZ66" s="276"/>
      <c r="DA66" s="276"/>
      <c r="DB66" s="276"/>
      <c r="DD66" s="276"/>
      <c r="DE66" s="276"/>
      <c r="DF66" s="276"/>
      <c r="DG66" s="276"/>
      <c r="DI66" s="276"/>
      <c r="DJ66" s="276"/>
      <c r="DK66" s="276"/>
      <c r="DL66" s="276"/>
      <c r="DN66" s="276"/>
      <c r="DO66" s="276"/>
      <c r="DP66" s="276"/>
      <c r="DQ66" s="276"/>
      <c r="DS66" s="276"/>
      <c r="DT66" s="276"/>
      <c r="DU66" s="276"/>
      <c r="DV66" s="276"/>
      <c r="DX66" s="276"/>
      <c r="DY66" s="276"/>
      <c r="DZ66" s="276"/>
      <c r="EA66" s="276"/>
      <c r="EC66" s="276"/>
      <c r="ED66" s="276"/>
      <c r="EE66" s="276"/>
      <c r="EF66" s="276"/>
      <c r="EH66" s="276"/>
      <c r="EI66" s="276"/>
      <c r="EJ66" s="276"/>
      <c r="EK66" s="276"/>
    </row>
    <row r="67" spans="2:141" outlineLevel="1">
      <c r="B67" s="1" t="s">
        <v>106</v>
      </c>
      <c r="C67" s="175"/>
      <c r="D67" s="175"/>
      <c r="E67" s="175"/>
      <c r="F67" s="175"/>
      <c r="H67" s="175"/>
      <c r="I67" s="175"/>
      <c r="J67" s="175"/>
      <c r="K67" s="175"/>
      <c r="M67" s="175"/>
      <c r="N67" s="175"/>
      <c r="O67" s="175"/>
      <c r="P67" s="175"/>
      <c r="R67" s="175"/>
      <c r="S67" s="175"/>
      <c r="T67" s="175"/>
      <c r="U67" s="175"/>
      <c r="W67" s="175"/>
      <c r="X67" s="175"/>
      <c r="Y67" s="175"/>
      <c r="Z67" s="175"/>
      <c r="AB67" s="175"/>
      <c r="AC67" s="175"/>
      <c r="AD67" s="175"/>
      <c r="AE67" s="175"/>
      <c r="AG67" s="175"/>
      <c r="AH67" s="175"/>
      <c r="AI67" s="175"/>
      <c r="AJ67" s="175"/>
      <c r="AL67" s="175"/>
      <c r="AM67" s="182"/>
      <c r="AN67" s="182"/>
      <c r="AO67" s="182"/>
      <c r="AP67" s="30"/>
      <c r="AQ67" s="182"/>
      <c r="AR67" s="182"/>
      <c r="AS67" s="182"/>
      <c r="AT67" s="182"/>
      <c r="AU67" s="30"/>
      <c r="AV67" s="309"/>
      <c r="AW67" s="309"/>
      <c r="AX67" s="309"/>
      <c r="AY67" s="309"/>
      <c r="BA67" s="259"/>
      <c r="BB67" s="259"/>
      <c r="BC67" s="259"/>
      <c r="BD67" s="312"/>
      <c r="BF67" s="259"/>
      <c r="BG67" s="312"/>
      <c r="BH67" s="276"/>
      <c r="BI67" s="276"/>
      <c r="BK67" s="276"/>
      <c r="BL67" s="276"/>
      <c r="BM67" s="276"/>
      <c r="BN67" s="276"/>
      <c r="BP67" s="276"/>
      <c r="BQ67" s="276"/>
      <c r="BR67" s="276"/>
      <c r="BS67" s="276"/>
      <c r="BU67" s="276"/>
      <c r="BV67" s="276"/>
      <c r="BW67" s="276"/>
      <c r="BX67" s="276"/>
      <c r="BZ67" s="276"/>
      <c r="CA67" s="276"/>
      <c r="CB67" s="276"/>
      <c r="CC67" s="276"/>
      <c r="CE67" s="276"/>
      <c r="CF67" s="276"/>
      <c r="CG67" s="276"/>
      <c r="CH67" s="276"/>
      <c r="CJ67" s="276"/>
      <c r="CK67" s="276"/>
      <c r="CL67" s="276"/>
      <c r="CM67" s="276"/>
      <c r="CO67" s="276"/>
      <c r="CP67" s="276"/>
      <c r="CQ67" s="276"/>
      <c r="CR67" s="276"/>
      <c r="CT67" s="276"/>
      <c r="CU67" s="276"/>
      <c r="CV67" s="276"/>
      <c r="CW67" s="276"/>
      <c r="CY67" s="276"/>
      <c r="CZ67" s="276"/>
      <c r="DA67" s="276"/>
      <c r="DB67" s="276"/>
      <c r="DD67" s="276"/>
      <c r="DE67" s="276"/>
      <c r="DF67" s="276"/>
      <c r="DG67" s="276"/>
      <c r="DI67" s="276"/>
      <c r="DJ67" s="276"/>
      <c r="DK67" s="276"/>
      <c r="DL67" s="276"/>
      <c r="DN67" s="276"/>
      <c r="DO67" s="276"/>
      <c r="DP67" s="276"/>
      <c r="DQ67" s="276"/>
      <c r="DS67" s="276"/>
      <c r="DT67" s="276"/>
      <c r="DU67" s="276"/>
      <c r="DV67" s="276"/>
      <c r="DX67" s="276"/>
      <c r="DY67" s="276"/>
      <c r="DZ67" s="276"/>
      <c r="EA67" s="276"/>
      <c r="EC67" s="276"/>
      <c r="ED67" s="276"/>
      <c r="EE67" s="276"/>
      <c r="EF67" s="276"/>
      <c r="EH67" s="276"/>
      <c r="EI67" s="276"/>
      <c r="EJ67" s="276"/>
      <c r="EK67" s="276"/>
    </row>
    <row r="68" spans="2:141" outlineLevel="1">
      <c r="B68" s="11" t="s">
        <v>96</v>
      </c>
      <c r="C68" s="175"/>
      <c r="D68" s="175"/>
      <c r="E68" s="175"/>
      <c r="F68" s="175"/>
      <c r="H68" s="175"/>
      <c r="I68" s="175"/>
      <c r="J68" s="175"/>
      <c r="K68" s="175"/>
      <c r="M68" s="175"/>
      <c r="N68" s="175"/>
      <c r="O68" s="175"/>
      <c r="P68" s="175"/>
      <c r="R68" s="175"/>
      <c r="S68" s="175"/>
      <c r="T68" s="175"/>
      <c r="U68" s="175"/>
      <c r="W68" s="175"/>
      <c r="X68" s="175"/>
      <c r="Y68" s="175"/>
      <c r="Z68" s="175"/>
      <c r="AA68" s="7"/>
      <c r="AB68" s="175"/>
      <c r="AC68" s="180"/>
      <c r="AD68" s="180"/>
      <c r="AE68" s="180"/>
      <c r="AF68" s="7"/>
      <c r="AG68" s="175"/>
      <c r="AH68" s="180"/>
      <c r="AI68" s="180"/>
      <c r="AJ68" s="180"/>
      <c r="AK68" s="7"/>
      <c r="AL68" s="183"/>
      <c r="AM68" s="181">
        <v>0.22</v>
      </c>
      <c r="AN68" s="181">
        <v>0.11</v>
      </c>
      <c r="AO68" s="181">
        <v>0.13</v>
      </c>
      <c r="AP68" s="29"/>
      <c r="AQ68" s="181">
        <v>0.15</v>
      </c>
      <c r="AR68" s="181">
        <v>0.15</v>
      </c>
      <c r="AS68" s="181">
        <v>0.16</v>
      </c>
      <c r="AT68" s="181">
        <v>0.15</v>
      </c>
      <c r="AU68" s="29"/>
      <c r="AV68" s="308">
        <v>0.18</v>
      </c>
      <c r="AW68" s="308">
        <v>0.1</v>
      </c>
      <c r="AX68" s="308">
        <v>0.09</v>
      </c>
      <c r="AY68" s="308">
        <v>0.14000000000000001</v>
      </c>
      <c r="BA68" s="259">
        <v>0.12</v>
      </c>
      <c r="BB68" s="259">
        <v>0.01</v>
      </c>
      <c r="BC68" s="259">
        <v>-0.03</v>
      </c>
      <c r="BD68" s="309">
        <v>-0.09</v>
      </c>
      <c r="BF68" s="259">
        <v>-0.1</v>
      </c>
      <c r="BG68" s="309">
        <v>0.04</v>
      </c>
      <c r="BH68" s="393">
        <v>0.16</v>
      </c>
      <c r="BI68" s="276"/>
      <c r="BK68" s="276"/>
      <c r="BL68" s="276"/>
      <c r="BM68" s="276"/>
      <c r="BN68" s="276"/>
      <c r="BP68" s="276"/>
      <c r="BQ68" s="276"/>
      <c r="BR68" s="276"/>
      <c r="BS68" s="276"/>
      <c r="BU68" s="276"/>
      <c r="BV68" s="276"/>
      <c r="BW68" s="276"/>
      <c r="BX68" s="276"/>
      <c r="BZ68" s="276"/>
      <c r="CA68" s="276"/>
      <c r="CB68" s="276"/>
      <c r="CC68" s="276"/>
      <c r="CE68" s="276"/>
      <c r="CF68" s="276"/>
      <c r="CG68" s="276"/>
      <c r="CH68" s="276"/>
      <c r="CJ68" s="276"/>
      <c r="CK68" s="276"/>
      <c r="CL68" s="276"/>
      <c r="CM68" s="276"/>
      <c r="CO68" s="276"/>
      <c r="CP68" s="276"/>
      <c r="CQ68" s="276"/>
      <c r="CR68" s="276"/>
      <c r="CT68" s="276"/>
      <c r="CU68" s="276"/>
      <c r="CV68" s="276"/>
      <c r="CW68" s="276"/>
      <c r="CY68" s="276"/>
      <c r="CZ68" s="276"/>
      <c r="DA68" s="276"/>
      <c r="DB68" s="276"/>
      <c r="DD68" s="276"/>
      <c r="DE68" s="276"/>
      <c r="DF68" s="276"/>
      <c r="DG68" s="276"/>
      <c r="DI68" s="276"/>
      <c r="DJ68" s="276"/>
      <c r="DK68" s="276"/>
      <c r="DL68" s="276"/>
      <c r="DN68" s="276"/>
      <c r="DO68" s="276"/>
      <c r="DP68" s="276"/>
      <c r="DQ68" s="276"/>
      <c r="DS68" s="276"/>
      <c r="DT68" s="276"/>
      <c r="DU68" s="276"/>
      <c r="DV68" s="276"/>
      <c r="DX68" s="276"/>
      <c r="DY68" s="276"/>
      <c r="DZ68" s="276"/>
      <c r="EA68" s="276"/>
      <c r="EC68" s="276"/>
      <c r="ED68" s="276"/>
      <c r="EE68" s="276"/>
      <c r="EF68" s="276"/>
      <c r="EH68" s="276"/>
      <c r="EI68" s="276"/>
      <c r="EJ68" s="276"/>
      <c r="EK68" s="276"/>
    </row>
    <row r="69" spans="2:141" outlineLevel="1">
      <c r="B69" s="11" t="s">
        <v>97</v>
      </c>
      <c r="C69" s="175"/>
      <c r="D69" s="175"/>
      <c r="E69" s="175"/>
      <c r="F69" s="175"/>
      <c r="H69" s="175"/>
      <c r="I69" s="175"/>
      <c r="J69" s="175"/>
      <c r="K69" s="175"/>
      <c r="M69" s="175"/>
      <c r="N69" s="175"/>
      <c r="O69" s="175"/>
      <c r="P69" s="175"/>
      <c r="R69" s="175"/>
      <c r="S69" s="175"/>
      <c r="T69" s="175"/>
      <c r="U69" s="175"/>
      <c r="W69" s="175"/>
      <c r="X69" s="175"/>
      <c r="Y69" s="175"/>
      <c r="Z69" s="175"/>
      <c r="AA69" s="7"/>
      <c r="AB69" s="175"/>
      <c r="AC69" s="180"/>
      <c r="AD69" s="180"/>
      <c r="AE69" s="180"/>
      <c r="AF69" s="7"/>
      <c r="AG69" s="175"/>
      <c r="AH69" s="180"/>
      <c r="AI69" s="180"/>
      <c r="AJ69" s="180"/>
      <c r="AK69" s="7"/>
      <c r="AL69" s="183"/>
      <c r="AM69" s="181">
        <v>0.15</v>
      </c>
      <c r="AN69" s="181">
        <v>0.06</v>
      </c>
      <c r="AO69" s="181">
        <v>7.0000000000000007E-2</v>
      </c>
      <c r="AP69" s="29"/>
      <c r="AQ69" s="181">
        <v>0.11</v>
      </c>
      <c r="AR69" s="181">
        <v>0.1</v>
      </c>
      <c r="AS69" s="181">
        <v>0.15</v>
      </c>
      <c r="AT69" s="181">
        <v>0.1</v>
      </c>
      <c r="AU69" s="29"/>
      <c r="AV69" s="308">
        <v>0.09</v>
      </c>
      <c r="AW69" s="308">
        <v>0.09</v>
      </c>
      <c r="AX69" s="308">
        <v>0.1</v>
      </c>
      <c r="AY69" s="308">
        <v>0.16</v>
      </c>
      <c r="BA69" s="259">
        <v>0.22</v>
      </c>
      <c r="BB69" s="259">
        <v>-0.05</v>
      </c>
      <c r="BC69" s="259">
        <v>-0.06</v>
      </c>
      <c r="BD69" s="309">
        <v>-0.06</v>
      </c>
      <c r="BE69" s="5"/>
      <c r="BF69" s="259">
        <v>-0.22</v>
      </c>
      <c r="BG69" s="309">
        <v>0.04</v>
      </c>
      <c r="BH69" s="393">
        <v>0.09</v>
      </c>
      <c r="BI69" s="276"/>
      <c r="BK69" s="276"/>
      <c r="BL69" s="276"/>
      <c r="BM69" s="276"/>
      <c r="BN69" s="276"/>
      <c r="BP69" s="276"/>
      <c r="BQ69" s="276"/>
      <c r="BR69" s="276"/>
      <c r="BS69" s="276"/>
      <c r="BU69" s="276"/>
      <c r="BV69" s="276"/>
      <c r="BW69" s="276"/>
      <c r="BX69" s="276"/>
      <c r="BZ69" s="276"/>
      <c r="CA69" s="276"/>
      <c r="CB69" s="276"/>
      <c r="CC69" s="276"/>
      <c r="CE69" s="276"/>
      <c r="CF69" s="276"/>
      <c r="CG69" s="276"/>
      <c r="CH69" s="276"/>
      <c r="CJ69" s="276"/>
      <c r="CK69" s="276"/>
      <c r="CL69" s="276"/>
      <c r="CM69" s="276"/>
      <c r="CO69" s="276"/>
      <c r="CP69" s="276"/>
      <c r="CQ69" s="276"/>
      <c r="CR69" s="276"/>
      <c r="CT69" s="276"/>
      <c r="CU69" s="276"/>
      <c r="CV69" s="276"/>
      <c r="CW69" s="276"/>
      <c r="CY69" s="276"/>
      <c r="CZ69" s="276"/>
      <c r="DA69" s="276"/>
      <c r="DB69" s="276"/>
      <c r="DD69" s="276"/>
      <c r="DE69" s="276"/>
      <c r="DF69" s="276"/>
      <c r="DG69" s="276"/>
      <c r="DI69" s="276"/>
      <c r="DJ69" s="276"/>
      <c r="DK69" s="276"/>
      <c r="DL69" s="276"/>
      <c r="DN69" s="276"/>
      <c r="DO69" s="276"/>
      <c r="DP69" s="276"/>
      <c r="DQ69" s="276"/>
      <c r="DS69" s="276"/>
      <c r="DT69" s="276"/>
      <c r="DU69" s="276"/>
      <c r="DV69" s="276"/>
      <c r="DX69" s="276"/>
      <c r="DY69" s="276"/>
      <c r="DZ69" s="276"/>
      <c r="EA69" s="276"/>
      <c r="EC69" s="276"/>
      <c r="ED69" s="276"/>
      <c r="EE69" s="276"/>
      <c r="EF69" s="276"/>
      <c r="EH69" s="276"/>
      <c r="EI69" s="276"/>
      <c r="EJ69" s="276"/>
      <c r="EK69" s="276"/>
    </row>
    <row r="70" spans="2:141" outlineLevel="1">
      <c r="B70" s="11" t="s">
        <v>98</v>
      </c>
      <c r="C70" s="175"/>
      <c r="D70" s="175"/>
      <c r="E70" s="175"/>
      <c r="F70" s="175"/>
      <c r="H70" s="175"/>
      <c r="I70" s="175"/>
      <c r="J70" s="175"/>
      <c r="K70" s="175"/>
      <c r="M70" s="175"/>
      <c r="N70" s="175"/>
      <c r="O70" s="175"/>
      <c r="P70" s="175"/>
      <c r="R70" s="175"/>
      <c r="S70" s="175"/>
      <c r="T70" s="175"/>
      <c r="U70" s="175"/>
      <c r="W70" s="175"/>
      <c r="X70" s="175"/>
      <c r="Y70" s="175"/>
      <c r="Z70" s="175"/>
      <c r="AA70" s="7"/>
      <c r="AB70" s="175"/>
      <c r="AC70" s="180"/>
      <c r="AD70" s="180"/>
      <c r="AE70" s="180"/>
      <c r="AF70" s="7"/>
      <c r="AG70" s="175"/>
      <c r="AH70" s="180"/>
      <c r="AI70" s="180"/>
      <c r="AJ70" s="180"/>
      <c r="AK70" s="7"/>
      <c r="AL70" s="183"/>
      <c r="AM70" s="181">
        <v>0.28000000000000003</v>
      </c>
      <c r="AN70" s="181">
        <v>0.15</v>
      </c>
      <c r="AO70" s="181">
        <v>0.19</v>
      </c>
      <c r="AP70" s="29"/>
      <c r="AQ70" s="181">
        <v>0.19</v>
      </c>
      <c r="AR70" s="181">
        <v>0.2</v>
      </c>
      <c r="AS70" s="181">
        <v>0.18</v>
      </c>
      <c r="AT70" s="181">
        <v>0.2</v>
      </c>
      <c r="AU70" s="29"/>
      <c r="AV70" s="308">
        <v>0.24</v>
      </c>
      <c r="AW70" s="308">
        <v>0.11</v>
      </c>
      <c r="AX70" s="308">
        <v>0.08</v>
      </c>
      <c r="AY70" s="308">
        <v>0.13</v>
      </c>
      <c r="BA70" s="259">
        <v>0.05</v>
      </c>
      <c r="BB70" s="259">
        <v>0.05</v>
      </c>
      <c r="BC70" s="259">
        <v>0</v>
      </c>
      <c r="BD70" s="309">
        <v>-0.11</v>
      </c>
      <c r="BE70" s="5"/>
      <c r="BF70" s="259">
        <v>0</v>
      </c>
      <c r="BG70" s="309">
        <v>0.03</v>
      </c>
      <c r="BH70" s="393">
        <v>0.21</v>
      </c>
      <c r="BI70" s="276"/>
      <c r="BK70" s="276"/>
      <c r="BL70" s="276"/>
      <c r="BM70" s="276"/>
      <c r="BN70" s="276"/>
      <c r="BP70" s="276"/>
      <c r="BQ70" s="276"/>
      <c r="BR70" s="276"/>
      <c r="BS70" s="276"/>
      <c r="BU70" s="276"/>
      <c r="BV70" s="276"/>
      <c r="BW70" s="276"/>
      <c r="BX70" s="276"/>
      <c r="BZ70" s="276"/>
      <c r="CA70" s="276"/>
      <c r="CB70" s="276"/>
      <c r="CC70" s="276"/>
      <c r="CE70" s="276"/>
      <c r="CF70" s="276"/>
      <c r="CG70" s="276"/>
      <c r="CH70" s="276"/>
      <c r="CJ70" s="276"/>
      <c r="CK70" s="276"/>
      <c r="CL70" s="276"/>
      <c r="CM70" s="276"/>
      <c r="CO70" s="276"/>
      <c r="CP70" s="276"/>
      <c r="CQ70" s="276"/>
      <c r="CR70" s="276"/>
      <c r="CT70" s="276"/>
      <c r="CU70" s="276"/>
      <c r="CV70" s="276"/>
      <c r="CW70" s="276"/>
      <c r="CY70" s="276"/>
      <c r="CZ70" s="276"/>
      <c r="DA70" s="276"/>
      <c r="DB70" s="276"/>
      <c r="DD70" s="276"/>
      <c r="DE70" s="276"/>
      <c r="DF70" s="276"/>
      <c r="DG70" s="276"/>
      <c r="DI70" s="276"/>
      <c r="DJ70" s="276"/>
      <c r="DK70" s="276"/>
      <c r="DL70" s="276"/>
      <c r="DN70" s="276"/>
      <c r="DO70" s="276"/>
      <c r="DP70" s="276"/>
      <c r="DQ70" s="276"/>
      <c r="DS70" s="276"/>
      <c r="DT70" s="276"/>
      <c r="DU70" s="276"/>
      <c r="DV70" s="276"/>
      <c r="DX70" s="276"/>
      <c r="DY70" s="276"/>
      <c r="DZ70" s="276"/>
      <c r="EA70" s="276"/>
      <c r="EC70" s="276"/>
      <c r="ED70" s="276"/>
      <c r="EE70" s="276"/>
      <c r="EF70" s="276"/>
      <c r="EH70" s="276"/>
      <c r="EI70" s="276"/>
      <c r="EJ70" s="276"/>
      <c r="EK70" s="276"/>
    </row>
    <row r="71" spans="2:141" outlineLevel="1">
      <c r="B71" s="1" t="s">
        <v>107</v>
      </c>
      <c r="C71" s="175"/>
      <c r="D71" s="175"/>
      <c r="E71" s="175"/>
      <c r="F71" s="175"/>
      <c r="H71" s="175"/>
      <c r="I71" s="175"/>
      <c r="J71" s="175"/>
      <c r="K71" s="175"/>
      <c r="M71" s="175"/>
      <c r="N71" s="175"/>
      <c r="O71" s="175"/>
      <c r="P71" s="175"/>
      <c r="R71" s="175"/>
      <c r="S71" s="175"/>
      <c r="T71" s="175"/>
      <c r="U71" s="175"/>
      <c r="W71" s="175"/>
      <c r="X71" s="175"/>
      <c r="Y71" s="175"/>
      <c r="Z71" s="175"/>
      <c r="AB71" s="175"/>
      <c r="AC71" s="175"/>
      <c r="AD71" s="175"/>
      <c r="AE71" s="175"/>
      <c r="AG71" s="175"/>
      <c r="AH71" s="175"/>
      <c r="AI71" s="175"/>
      <c r="AJ71" s="175"/>
      <c r="AL71" s="180"/>
      <c r="AM71" s="182"/>
      <c r="AN71" s="182"/>
      <c r="AO71" s="182"/>
      <c r="AP71" s="30"/>
      <c r="AQ71" s="184"/>
      <c r="AR71" s="182"/>
      <c r="AS71" s="182"/>
      <c r="AT71" s="182"/>
      <c r="AU71" s="30"/>
      <c r="AV71" s="309"/>
      <c r="AW71" s="309"/>
      <c r="AX71" s="309"/>
      <c r="AY71" s="309"/>
      <c r="BA71" s="259"/>
      <c r="BB71" s="259"/>
      <c r="BC71" s="259"/>
      <c r="BD71" s="312"/>
      <c r="BF71" s="259"/>
      <c r="BG71" s="276"/>
      <c r="BH71" s="276"/>
      <c r="BI71" s="276"/>
      <c r="BK71" s="276"/>
      <c r="BL71" s="276"/>
      <c r="BM71" s="276"/>
      <c r="BN71" s="276"/>
      <c r="BP71" s="276"/>
      <c r="BQ71" s="276"/>
      <c r="BR71" s="276"/>
      <c r="BS71" s="276"/>
      <c r="BU71" s="276"/>
      <c r="BV71" s="276"/>
      <c r="BW71" s="276"/>
      <c r="BX71" s="276"/>
      <c r="BZ71" s="276"/>
      <c r="CA71" s="276"/>
      <c r="CB71" s="276"/>
      <c r="CC71" s="276"/>
      <c r="CE71" s="276"/>
      <c r="CF71" s="276"/>
      <c r="CG71" s="276"/>
      <c r="CH71" s="276"/>
      <c r="CJ71" s="276"/>
      <c r="CK71" s="276"/>
      <c r="CL71" s="276"/>
      <c r="CM71" s="276"/>
      <c r="CO71" s="276"/>
      <c r="CP71" s="276"/>
      <c r="CQ71" s="276"/>
      <c r="CR71" s="276"/>
      <c r="CT71" s="276"/>
      <c r="CU71" s="276"/>
      <c r="CV71" s="276"/>
      <c r="CW71" s="276"/>
      <c r="CY71" s="276"/>
      <c r="CZ71" s="276"/>
      <c r="DA71" s="276"/>
      <c r="DB71" s="276"/>
      <c r="DD71" s="276"/>
      <c r="DE71" s="276"/>
      <c r="DF71" s="276"/>
      <c r="DG71" s="276"/>
      <c r="DI71" s="276"/>
      <c r="DJ71" s="276"/>
      <c r="DK71" s="276"/>
      <c r="DL71" s="276"/>
      <c r="DN71" s="276"/>
      <c r="DO71" s="276"/>
      <c r="DP71" s="276"/>
      <c r="DQ71" s="276"/>
      <c r="DS71" s="276"/>
      <c r="DT71" s="276"/>
      <c r="DU71" s="276"/>
      <c r="DV71" s="276"/>
      <c r="DX71" s="276"/>
      <c r="DY71" s="276"/>
      <c r="DZ71" s="276"/>
      <c r="EA71" s="276"/>
      <c r="EC71" s="276"/>
      <c r="ED71" s="276"/>
      <c r="EE71" s="276"/>
      <c r="EF71" s="276"/>
      <c r="EH71" s="276"/>
      <c r="EI71" s="276"/>
      <c r="EJ71" s="276"/>
      <c r="EK71" s="276"/>
    </row>
    <row r="72" spans="2:141" outlineLevel="1">
      <c r="B72" s="11" t="s">
        <v>96</v>
      </c>
      <c r="C72" s="175"/>
      <c r="D72" s="175"/>
      <c r="E72" s="175"/>
      <c r="F72" s="175"/>
      <c r="H72" s="175"/>
      <c r="I72" s="175"/>
      <c r="J72" s="175"/>
      <c r="K72" s="175"/>
      <c r="M72" s="175"/>
      <c r="N72" s="175"/>
      <c r="O72" s="175"/>
      <c r="P72" s="175"/>
      <c r="R72" s="175"/>
      <c r="S72" s="175"/>
      <c r="T72" s="175"/>
      <c r="U72" s="175"/>
      <c r="W72" s="175"/>
      <c r="X72" s="175"/>
      <c r="Y72" s="175"/>
      <c r="Z72" s="175"/>
      <c r="AA72" s="7"/>
      <c r="AB72" s="175"/>
      <c r="AC72" s="180"/>
      <c r="AD72" s="180"/>
      <c r="AE72" s="180"/>
      <c r="AF72" s="7"/>
      <c r="AG72" s="175"/>
      <c r="AH72" s="180"/>
      <c r="AI72" s="180"/>
      <c r="AJ72" s="180"/>
      <c r="AK72" s="7"/>
      <c r="AL72" s="183"/>
      <c r="AM72" s="181">
        <v>7.0000000000000007E-2</v>
      </c>
      <c r="AN72" s="181">
        <v>-0.01</v>
      </c>
      <c r="AO72" s="181">
        <v>0.05</v>
      </c>
      <c r="AP72" s="29"/>
      <c r="AQ72" s="181">
        <v>0.04</v>
      </c>
      <c r="AR72" s="181">
        <v>7.0000000000000007E-2</v>
      </c>
      <c r="AS72" s="181">
        <v>0</v>
      </c>
      <c r="AT72" s="181">
        <v>0.04</v>
      </c>
      <c r="AU72" s="29"/>
      <c r="AV72" s="308">
        <v>0.06</v>
      </c>
      <c r="AW72" s="308">
        <v>0.01</v>
      </c>
      <c r="AX72" s="308">
        <v>-0.02</v>
      </c>
      <c r="AY72" s="308">
        <v>0.09</v>
      </c>
      <c r="BA72" s="259">
        <v>0.04</v>
      </c>
      <c r="BB72" s="259">
        <v>-0.1</v>
      </c>
      <c r="BC72" s="259">
        <v>-0.05</v>
      </c>
      <c r="BD72" s="309">
        <v>0.02</v>
      </c>
      <c r="BF72" s="259">
        <v>0.03</v>
      </c>
      <c r="BG72" s="309">
        <v>0.04</v>
      </c>
      <c r="BH72" s="393">
        <v>0.06</v>
      </c>
      <c r="BI72" s="276"/>
      <c r="BK72" s="276"/>
      <c r="BL72" s="276"/>
      <c r="BM72" s="276"/>
      <c r="BN72" s="276"/>
      <c r="BP72" s="276"/>
      <c r="BQ72" s="276"/>
      <c r="BR72" s="276"/>
      <c r="BS72" s="276"/>
      <c r="BU72" s="276"/>
      <c r="BV72" s="276"/>
      <c r="BW72" s="276"/>
      <c r="BX72" s="276"/>
      <c r="BZ72" s="276"/>
      <c r="CA72" s="276"/>
      <c r="CB72" s="276"/>
      <c r="CC72" s="276"/>
      <c r="CE72" s="276"/>
      <c r="CF72" s="276"/>
      <c r="CG72" s="276"/>
      <c r="CH72" s="276"/>
      <c r="CJ72" s="276"/>
      <c r="CK72" s="276"/>
      <c r="CL72" s="276"/>
      <c r="CM72" s="276"/>
      <c r="CO72" s="276"/>
      <c r="CP72" s="276"/>
      <c r="CQ72" s="276"/>
      <c r="CR72" s="276"/>
      <c r="CT72" s="276"/>
      <c r="CU72" s="276"/>
      <c r="CV72" s="276"/>
      <c r="CW72" s="276"/>
      <c r="CY72" s="276"/>
      <c r="CZ72" s="276"/>
      <c r="DA72" s="276"/>
      <c r="DB72" s="276"/>
      <c r="DD72" s="276"/>
      <c r="DE72" s="276"/>
      <c r="DF72" s="276"/>
      <c r="DG72" s="276"/>
      <c r="DI72" s="276"/>
      <c r="DJ72" s="276"/>
      <c r="DK72" s="276"/>
      <c r="DL72" s="276"/>
      <c r="DN72" s="276"/>
      <c r="DO72" s="276"/>
      <c r="DP72" s="276"/>
      <c r="DQ72" s="276"/>
      <c r="DS72" s="276"/>
      <c r="DT72" s="276"/>
      <c r="DU72" s="276"/>
      <c r="DV72" s="276"/>
      <c r="DX72" s="276"/>
      <c r="DY72" s="276"/>
      <c r="DZ72" s="276"/>
      <c r="EA72" s="276"/>
      <c r="EC72" s="276"/>
      <c r="ED72" s="276"/>
      <c r="EE72" s="276"/>
      <c r="EF72" s="276"/>
      <c r="EH72" s="276"/>
      <c r="EI72" s="276"/>
      <c r="EJ72" s="276"/>
      <c r="EK72" s="276"/>
    </row>
    <row r="73" spans="2:141" outlineLevel="1">
      <c r="B73" s="11" t="s">
        <v>97</v>
      </c>
      <c r="C73" s="175"/>
      <c r="D73" s="175"/>
      <c r="E73" s="175"/>
      <c r="F73" s="175"/>
      <c r="H73" s="175"/>
      <c r="I73" s="175"/>
      <c r="J73" s="175"/>
      <c r="K73" s="175"/>
      <c r="M73" s="175"/>
      <c r="N73" s="175"/>
      <c r="O73" s="175"/>
      <c r="P73" s="175"/>
      <c r="R73" s="175"/>
      <c r="S73" s="175"/>
      <c r="T73" s="175"/>
      <c r="U73" s="175"/>
      <c r="W73" s="175"/>
      <c r="X73" s="175"/>
      <c r="Y73" s="175"/>
      <c r="Z73" s="175"/>
      <c r="AA73" s="7"/>
      <c r="AB73" s="175"/>
      <c r="AC73" s="180"/>
      <c r="AD73" s="180"/>
      <c r="AE73" s="180"/>
      <c r="AF73" s="7"/>
      <c r="AG73" s="175"/>
      <c r="AH73" s="180"/>
      <c r="AI73" s="180"/>
      <c r="AJ73" s="180"/>
      <c r="AK73" s="7"/>
      <c r="AL73" s="183"/>
      <c r="AM73" s="181">
        <v>0.09</v>
      </c>
      <c r="AN73" s="181">
        <v>0.04</v>
      </c>
      <c r="AO73" s="181">
        <v>0.05</v>
      </c>
      <c r="AP73" s="29"/>
      <c r="AQ73" s="181">
        <v>0.01</v>
      </c>
      <c r="AR73" s="181">
        <v>7.0000000000000007E-2</v>
      </c>
      <c r="AS73" s="181">
        <v>0.01</v>
      </c>
      <c r="AT73" s="181">
        <v>0.01</v>
      </c>
      <c r="AU73" s="29"/>
      <c r="AV73" s="308">
        <v>0</v>
      </c>
      <c r="AW73" s="308">
        <v>7.0000000000000007E-2</v>
      </c>
      <c r="AX73" s="308">
        <v>0.02</v>
      </c>
      <c r="AY73" s="308">
        <v>0.06</v>
      </c>
      <c r="BA73" s="259">
        <v>0.05</v>
      </c>
      <c r="BB73" s="259">
        <v>-0.17</v>
      </c>
      <c r="BC73" s="259">
        <v>0.01</v>
      </c>
      <c r="BD73" s="309">
        <v>0.06</v>
      </c>
      <c r="BF73" s="259">
        <v>-0.12</v>
      </c>
      <c r="BG73" s="309">
        <v>0.11</v>
      </c>
      <c r="BH73" s="393">
        <v>0.06</v>
      </c>
      <c r="BI73" s="276"/>
      <c r="BK73" s="276"/>
      <c r="BL73" s="276"/>
      <c r="BM73" s="276"/>
      <c r="BN73" s="276"/>
      <c r="BP73" s="276"/>
      <c r="BQ73" s="276"/>
      <c r="BR73" s="276"/>
      <c r="BS73" s="276"/>
      <c r="BU73" s="276"/>
      <c r="BV73" s="276"/>
      <c r="BW73" s="276"/>
      <c r="BX73" s="276"/>
      <c r="BZ73" s="276"/>
      <c r="CA73" s="276"/>
      <c r="CB73" s="276"/>
      <c r="CC73" s="276"/>
      <c r="CE73" s="276"/>
      <c r="CF73" s="276"/>
      <c r="CG73" s="276"/>
      <c r="CH73" s="276"/>
      <c r="CJ73" s="276"/>
      <c r="CK73" s="276"/>
      <c r="CL73" s="276"/>
      <c r="CM73" s="276"/>
      <c r="CO73" s="276"/>
      <c r="CP73" s="276"/>
      <c r="CQ73" s="276"/>
      <c r="CR73" s="276"/>
      <c r="CT73" s="276"/>
      <c r="CU73" s="276"/>
      <c r="CV73" s="276"/>
      <c r="CW73" s="276"/>
      <c r="CY73" s="276"/>
      <c r="CZ73" s="276"/>
      <c r="DA73" s="276"/>
      <c r="DB73" s="276"/>
      <c r="DD73" s="276"/>
      <c r="DE73" s="276"/>
      <c r="DF73" s="276"/>
      <c r="DG73" s="276"/>
      <c r="DI73" s="276"/>
      <c r="DJ73" s="276"/>
      <c r="DK73" s="276"/>
      <c r="DL73" s="276"/>
      <c r="DN73" s="276"/>
      <c r="DO73" s="276"/>
      <c r="DP73" s="276"/>
      <c r="DQ73" s="276"/>
      <c r="DS73" s="276"/>
      <c r="DT73" s="276"/>
      <c r="DU73" s="276"/>
      <c r="DV73" s="276"/>
      <c r="DX73" s="276"/>
      <c r="DY73" s="276"/>
      <c r="DZ73" s="276"/>
      <c r="EA73" s="276"/>
      <c r="EC73" s="276"/>
      <c r="ED73" s="276"/>
      <c r="EE73" s="276"/>
      <c r="EF73" s="276"/>
      <c r="EH73" s="276"/>
      <c r="EI73" s="276"/>
      <c r="EJ73" s="276"/>
      <c r="EK73" s="276"/>
    </row>
    <row r="74" spans="2:141" outlineLevel="1">
      <c r="B74" s="11" t="s">
        <v>98</v>
      </c>
      <c r="C74" s="175"/>
      <c r="D74" s="175"/>
      <c r="E74" s="175"/>
      <c r="F74" s="175"/>
      <c r="H74" s="175"/>
      <c r="I74" s="175"/>
      <c r="J74" s="175"/>
      <c r="K74" s="175"/>
      <c r="M74" s="175"/>
      <c r="N74" s="175"/>
      <c r="O74" s="175"/>
      <c r="P74" s="175"/>
      <c r="R74" s="175"/>
      <c r="S74" s="175"/>
      <c r="T74" s="175"/>
      <c r="U74" s="175"/>
      <c r="W74" s="175"/>
      <c r="X74" s="175"/>
      <c r="Y74" s="175"/>
      <c r="Z74" s="175"/>
      <c r="AA74" s="7"/>
      <c r="AB74" s="175"/>
      <c r="AC74" s="180"/>
      <c r="AD74" s="180"/>
      <c r="AE74" s="180"/>
      <c r="AF74" s="7"/>
      <c r="AG74" s="175"/>
      <c r="AH74" s="180"/>
      <c r="AI74" s="180"/>
      <c r="AJ74" s="180"/>
      <c r="AK74" s="7"/>
      <c r="AL74" s="183"/>
      <c r="AM74" s="181">
        <v>0.06</v>
      </c>
      <c r="AN74" s="181">
        <v>0.02</v>
      </c>
      <c r="AO74" s="181">
        <v>0.04</v>
      </c>
      <c r="AP74" s="29"/>
      <c r="AQ74" s="181">
        <v>0.06</v>
      </c>
      <c r="AR74" s="181">
        <v>7.0000000000000007E-2</v>
      </c>
      <c r="AS74" s="181">
        <v>-0.01</v>
      </c>
      <c r="AT74" s="181">
        <v>0.06</v>
      </c>
      <c r="AU74" s="29"/>
      <c r="AV74" s="308">
        <v>0.1</v>
      </c>
      <c r="AW74" s="308">
        <v>-0.04</v>
      </c>
      <c r="AX74" s="308">
        <v>-0.04</v>
      </c>
      <c r="AY74" s="308">
        <v>0.11</v>
      </c>
      <c r="BA74" s="259">
        <v>0.03</v>
      </c>
      <c r="BB74" s="259">
        <v>-0.04</v>
      </c>
      <c r="BC74" s="259">
        <v>-0.09</v>
      </c>
      <c r="BD74" s="309">
        <v>-0.01</v>
      </c>
      <c r="BF74" s="259">
        <v>0.16</v>
      </c>
      <c r="BG74" s="309">
        <v>-0.01</v>
      </c>
      <c r="BH74" s="393">
        <v>0.06</v>
      </c>
      <c r="BI74" s="276"/>
      <c r="BK74" s="276"/>
      <c r="BL74" s="276"/>
      <c r="BM74" s="276"/>
      <c r="BN74" s="276"/>
      <c r="BP74" s="276"/>
      <c r="BQ74" s="276"/>
      <c r="BR74" s="276"/>
      <c r="BS74" s="276"/>
      <c r="BU74" s="276"/>
      <c r="BV74" s="276"/>
      <c r="BW74" s="276"/>
      <c r="BX74" s="276"/>
      <c r="BZ74" s="276"/>
      <c r="CA74" s="276"/>
      <c r="CB74" s="276"/>
      <c r="CC74" s="276"/>
      <c r="CE74" s="276"/>
      <c r="CF74" s="276"/>
      <c r="CG74" s="276"/>
      <c r="CH74" s="276"/>
      <c r="CJ74" s="276"/>
      <c r="CK74" s="276"/>
      <c r="CL74" s="276"/>
      <c r="CM74" s="276"/>
      <c r="CO74" s="276"/>
      <c r="CP74" s="276"/>
      <c r="CQ74" s="276"/>
      <c r="CR74" s="276"/>
      <c r="CT74" s="276"/>
      <c r="CU74" s="276"/>
      <c r="CV74" s="276"/>
      <c r="CW74" s="276"/>
      <c r="CY74" s="276"/>
      <c r="CZ74" s="276"/>
      <c r="DA74" s="276"/>
      <c r="DB74" s="276"/>
      <c r="DD74" s="276"/>
      <c r="DE74" s="276"/>
      <c r="DF74" s="276"/>
      <c r="DG74" s="276"/>
      <c r="DI74" s="276"/>
      <c r="DJ74" s="276"/>
      <c r="DK74" s="276"/>
      <c r="DL74" s="276"/>
      <c r="DN74" s="276"/>
      <c r="DO74" s="276"/>
      <c r="DP74" s="276"/>
      <c r="DQ74" s="276"/>
      <c r="DS74" s="276"/>
      <c r="DT74" s="276"/>
      <c r="DU74" s="276"/>
      <c r="DV74" s="276"/>
      <c r="DX74" s="276"/>
      <c r="DY74" s="276"/>
      <c r="DZ74" s="276"/>
      <c r="EA74" s="276"/>
      <c r="EC74" s="276"/>
      <c r="ED74" s="276"/>
      <c r="EE74" s="276"/>
      <c r="EF74" s="276"/>
      <c r="EH74" s="276"/>
      <c r="EI74" s="276"/>
      <c r="EJ74" s="276"/>
      <c r="EK74" s="276"/>
    </row>
    <row r="75" spans="2:141" outlineLevel="1">
      <c r="B75" s="113" t="s">
        <v>651</v>
      </c>
      <c r="C75" s="175"/>
      <c r="D75" s="175"/>
      <c r="E75" s="175"/>
      <c r="F75" s="175"/>
      <c r="H75" s="175"/>
      <c r="I75" s="175"/>
      <c r="J75" s="175"/>
      <c r="K75" s="175"/>
      <c r="M75" s="175"/>
      <c r="N75" s="175"/>
      <c r="O75" s="175"/>
      <c r="P75" s="175"/>
      <c r="R75" s="175"/>
      <c r="S75" s="175"/>
      <c r="T75" s="175"/>
      <c r="U75" s="175"/>
      <c r="W75" s="175"/>
      <c r="X75" s="175"/>
      <c r="Y75" s="175"/>
      <c r="Z75" s="175"/>
      <c r="AA75" s="7"/>
      <c r="AB75" s="175"/>
      <c r="AC75" s="180"/>
      <c r="AD75" s="180"/>
      <c r="AE75" s="180"/>
      <c r="AF75" s="7"/>
      <c r="AG75" s="175"/>
      <c r="AH75" s="180"/>
      <c r="AI75" s="180"/>
      <c r="AJ75" s="180"/>
      <c r="AK75" s="7"/>
      <c r="AL75" s="183"/>
      <c r="AM75" s="181"/>
      <c r="AN75" s="181"/>
      <c r="AO75" s="181"/>
      <c r="AP75" s="29"/>
      <c r="AQ75" s="181"/>
      <c r="AR75" s="181"/>
      <c r="AS75" s="181"/>
      <c r="AT75" s="181"/>
      <c r="AU75" s="29"/>
      <c r="AV75" s="308"/>
      <c r="AW75" s="308"/>
      <c r="AX75" s="308"/>
      <c r="AY75" s="308"/>
      <c r="BA75" s="259"/>
      <c r="BB75" s="259"/>
      <c r="BC75" s="259"/>
      <c r="BD75" s="309"/>
      <c r="BF75" s="259"/>
      <c r="BG75" s="309"/>
      <c r="BH75" s="276"/>
      <c r="BI75" s="276"/>
      <c r="BK75" s="276"/>
      <c r="BL75" s="276"/>
      <c r="BM75" s="276"/>
      <c r="BN75" s="276"/>
      <c r="BP75" s="276"/>
      <c r="BQ75" s="276"/>
      <c r="BR75" s="276"/>
      <c r="BS75" s="276"/>
      <c r="BU75" s="276"/>
      <c r="BV75" s="276"/>
      <c r="BW75" s="276"/>
      <c r="BX75" s="276"/>
      <c r="BZ75" s="276"/>
      <c r="CA75" s="276"/>
      <c r="CB75" s="276"/>
      <c r="CC75" s="276"/>
      <c r="CE75" s="276"/>
      <c r="CF75" s="276"/>
      <c r="CG75" s="276"/>
      <c r="CH75" s="276"/>
      <c r="CJ75" s="276"/>
      <c r="CK75" s="276"/>
      <c r="CL75" s="276"/>
      <c r="CM75" s="276"/>
      <c r="CO75" s="276"/>
      <c r="CP75" s="276"/>
      <c r="CQ75" s="276"/>
      <c r="CR75" s="276"/>
      <c r="CT75" s="276"/>
      <c r="CU75" s="276"/>
      <c r="CV75" s="276"/>
      <c r="CW75" s="276"/>
      <c r="CY75" s="276"/>
      <c r="CZ75" s="276"/>
      <c r="DA75" s="276"/>
      <c r="DB75" s="276"/>
      <c r="DD75" s="276"/>
      <c r="DE75" s="276"/>
      <c r="DF75" s="276"/>
      <c r="DG75" s="276"/>
      <c r="DI75" s="276"/>
      <c r="DJ75" s="276"/>
      <c r="DK75" s="276"/>
      <c r="DL75" s="276"/>
      <c r="DN75" s="276"/>
      <c r="DO75" s="276"/>
      <c r="DP75" s="276"/>
      <c r="DQ75" s="276"/>
      <c r="DS75" s="276"/>
      <c r="DT75" s="276"/>
      <c r="DU75" s="276"/>
      <c r="DV75" s="276"/>
      <c r="DX75" s="276"/>
      <c r="DY75" s="276"/>
      <c r="DZ75" s="276"/>
      <c r="EA75" s="276"/>
      <c r="EC75" s="276"/>
      <c r="ED75" s="276"/>
      <c r="EE75" s="276"/>
      <c r="EF75" s="276"/>
      <c r="EH75" s="276"/>
      <c r="EI75" s="276"/>
      <c r="EJ75" s="276"/>
      <c r="EK75" s="276"/>
    </row>
    <row r="76" spans="2:141" outlineLevel="1">
      <c r="B76" s="11" t="s">
        <v>96</v>
      </c>
      <c r="C76" s="175"/>
      <c r="D76" s="175"/>
      <c r="E76" s="175"/>
      <c r="F76" s="175"/>
      <c r="H76" s="175"/>
      <c r="I76" s="175"/>
      <c r="J76" s="175"/>
      <c r="K76" s="175"/>
      <c r="M76" s="175"/>
      <c r="N76" s="175"/>
      <c r="O76" s="175"/>
      <c r="P76" s="175"/>
      <c r="R76" s="175"/>
      <c r="S76" s="175"/>
      <c r="T76" s="175"/>
      <c r="U76" s="175"/>
      <c r="W76" s="175"/>
      <c r="X76" s="175"/>
      <c r="Y76" s="175"/>
      <c r="Z76" s="175"/>
      <c r="AA76" s="7"/>
      <c r="AB76" s="175"/>
      <c r="AC76" s="180"/>
      <c r="AD76" s="180"/>
      <c r="AE76" s="180"/>
      <c r="AF76" s="7"/>
      <c r="AG76" s="175"/>
      <c r="AH76" s="180"/>
      <c r="AI76" s="180"/>
      <c r="AJ76" s="180"/>
      <c r="AK76" s="7"/>
      <c r="AL76" s="183"/>
      <c r="AM76" s="181"/>
      <c r="AN76" s="181"/>
      <c r="AO76" s="181"/>
      <c r="AP76" s="29"/>
      <c r="AQ76" s="181"/>
      <c r="AR76" s="181"/>
      <c r="AS76" s="181"/>
      <c r="AT76" s="181"/>
      <c r="AU76" s="29"/>
      <c r="AV76" s="308"/>
      <c r="AW76" s="308"/>
      <c r="AX76" s="308"/>
      <c r="AY76" s="308"/>
      <c r="BA76" s="259"/>
      <c r="BB76" s="259"/>
      <c r="BC76" s="259"/>
      <c r="BD76" s="309"/>
      <c r="BF76" s="259"/>
      <c r="BG76" s="309">
        <v>0.38</v>
      </c>
      <c r="BH76" s="276"/>
      <c r="BI76" s="276"/>
      <c r="BK76" s="276"/>
      <c r="BL76" s="276"/>
      <c r="BM76" s="276"/>
      <c r="BN76" s="276"/>
      <c r="BP76" s="276"/>
      <c r="BQ76" s="276"/>
      <c r="BR76" s="276"/>
      <c r="BS76" s="276"/>
      <c r="BU76" s="276"/>
      <c r="BV76" s="276"/>
      <c r="BW76" s="276"/>
      <c r="BX76" s="276"/>
      <c r="BZ76" s="276"/>
      <c r="CA76" s="276"/>
      <c r="CB76" s="276"/>
      <c r="CC76" s="276"/>
      <c r="CE76" s="276"/>
      <c r="CF76" s="276"/>
      <c r="CG76" s="276"/>
      <c r="CH76" s="276"/>
      <c r="CJ76" s="276"/>
      <c r="CK76" s="276"/>
      <c r="CL76" s="276"/>
      <c r="CM76" s="276"/>
      <c r="CO76" s="276"/>
      <c r="CP76" s="276"/>
      <c r="CQ76" s="276"/>
      <c r="CR76" s="276"/>
      <c r="CT76" s="276"/>
      <c r="CU76" s="276"/>
      <c r="CV76" s="276"/>
      <c r="CW76" s="276"/>
      <c r="CY76" s="276"/>
      <c r="CZ76" s="276"/>
      <c r="DA76" s="276"/>
      <c r="DB76" s="276"/>
      <c r="DD76" s="276"/>
      <c r="DE76" s="276"/>
      <c r="DF76" s="276"/>
      <c r="DG76" s="276"/>
      <c r="DI76" s="276"/>
      <c r="DJ76" s="276"/>
      <c r="DK76" s="276"/>
      <c r="DL76" s="276"/>
      <c r="DN76" s="276"/>
      <c r="DO76" s="276"/>
      <c r="DP76" s="276"/>
      <c r="DQ76" s="276"/>
      <c r="DS76" s="276"/>
      <c r="DT76" s="276"/>
      <c r="DU76" s="276"/>
      <c r="DV76" s="276"/>
      <c r="DX76" s="276"/>
      <c r="DY76" s="276"/>
      <c r="DZ76" s="276"/>
      <c r="EA76" s="276"/>
      <c r="EC76" s="276"/>
      <c r="ED76" s="276"/>
      <c r="EE76" s="276"/>
      <c r="EF76" s="276"/>
      <c r="EH76" s="276"/>
      <c r="EI76" s="276"/>
      <c r="EJ76" s="276"/>
      <c r="EK76" s="276"/>
    </row>
    <row r="77" spans="2:141" outlineLevel="1">
      <c r="B77" s="11" t="s">
        <v>97</v>
      </c>
      <c r="C77" s="175"/>
      <c r="D77" s="175"/>
      <c r="E77" s="175"/>
      <c r="F77" s="175"/>
      <c r="H77" s="175"/>
      <c r="I77" s="175"/>
      <c r="J77" s="175"/>
      <c r="K77" s="175"/>
      <c r="M77" s="175"/>
      <c r="N77" s="175"/>
      <c r="O77" s="175"/>
      <c r="P77" s="175"/>
      <c r="R77" s="175"/>
      <c r="S77" s="175"/>
      <c r="T77" s="175"/>
      <c r="U77" s="175"/>
      <c r="W77" s="175"/>
      <c r="X77" s="175"/>
      <c r="Y77" s="175"/>
      <c r="Z77" s="175"/>
      <c r="AA77" s="7"/>
      <c r="AB77" s="175"/>
      <c r="AC77" s="180"/>
      <c r="AD77" s="180"/>
      <c r="AE77" s="180"/>
      <c r="AF77" s="7"/>
      <c r="AG77" s="175"/>
      <c r="AH77" s="180"/>
      <c r="AI77" s="180"/>
      <c r="AJ77" s="180"/>
      <c r="AK77" s="7"/>
      <c r="AL77" s="183"/>
      <c r="AM77" s="181"/>
      <c r="AN77" s="181"/>
      <c r="AO77" s="181"/>
      <c r="AP77" s="29"/>
      <c r="AQ77" s="181"/>
      <c r="AR77" s="181"/>
      <c r="AS77" s="181"/>
      <c r="AT77" s="181"/>
      <c r="AU77" s="29"/>
      <c r="AV77" s="308"/>
      <c r="AW77" s="308"/>
      <c r="AX77" s="308"/>
      <c r="AY77" s="308"/>
      <c r="BA77" s="259"/>
      <c r="BB77" s="259"/>
      <c r="BC77" s="259"/>
      <c r="BD77" s="309"/>
      <c r="BF77" s="259"/>
      <c r="BG77" s="309">
        <v>0.27</v>
      </c>
      <c r="BH77" s="276"/>
      <c r="BI77" s="276"/>
      <c r="BK77" s="276"/>
      <c r="BL77" s="276"/>
      <c r="BM77" s="276"/>
      <c r="BN77" s="276"/>
      <c r="BP77" s="276"/>
      <c r="BQ77" s="276"/>
      <c r="BR77" s="276"/>
      <c r="BS77" s="276"/>
      <c r="BU77" s="276"/>
      <c r="BV77" s="276"/>
      <c r="BW77" s="276"/>
      <c r="BX77" s="276"/>
      <c r="BZ77" s="276"/>
      <c r="CA77" s="276"/>
      <c r="CB77" s="276"/>
      <c r="CC77" s="276"/>
      <c r="CE77" s="276"/>
      <c r="CF77" s="276"/>
      <c r="CG77" s="276"/>
      <c r="CH77" s="276"/>
      <c r="CJ77" s="276"/>
      <c r="CK77" s="276"/>
      <c r="CL77" s="276"/>
      <c r="CM77" s="276"/>
      <c r="CO77" s="276"/>
      <c r="CP77" s="276"/>
      <c r="CQ77" s="276"/>
      <c r="CR77" s="276"/>
      <c r="CT77" s="276"/>
      <c r="CU77" s="276"/>
      <c r="CV77" s="276"/>
      <c r="CW77" s="276"/>
      <c r="CY77" s="276"/>
      <c r="CZ77" s="276"/>
      <c r="DA77" s="276"/>
      <c r="DB77" s="276"/>
      <c r="DD77" s="276"/>
      <c r="DE77" s="276"/>
      <c r="DF77" s="276"/>
      <c r="DG77" s="276"/>
      <c r="DI77" s="276"/>
      <c r="DJ77" s="276"/>
      <c r="DK77" s="276"/>
      <c r="DL77" s="276"/>
      <c r="DN77" s="276"/>
      <c r="DO77" s="276"/>
      <c r="DP77" s="276"/>
      <c r="DQ77" s="276"/>
      <c r="DS77" s="276"/>
      <c r="DT77" s="276"/>
      <c r="DU77" s="276"/>
      <c r="DV77" s="276"/>
      <c r="DX77" s="276"/>
      <c r="DY77" s="276"/>
      <c r="DZ77" s="276"/>
      <c r="EA77" s="276"/>
      <c r="EC77" s="276"/>
      <c r="ED77" s="276"/>
      <c r="EE77" s="276"/>
      <c r="EF77" s="276"/>
      <c r="EH77" s="276"/>
      <c r="EI77" s="276"/>
      <c r="EJ77" s="276"/>
      <c r="EK77" s="276"/>
    </row>
    <row r="78" spans="2:141" outlineLevel="1">
      <c r="B78" s="11" t="s">
        <v>98</v>
      </c>
      <c r="C78" s="175"/>
      <c r="D78" s="175"/>
      <c r="E78" s="175"/>
      <c r="F78" s="175"/>
      <c r="H78" s="175"/>
      <c r="I78" s="175"/>
      <c r="J78" s="175"/>
      <c r="K78" s="175"/>
      <c r="M78" s="175"/>
      <c r="N78" s="175"/>
      <c r="O78" s="175"/>
      <c r="P78" s="175"/>
      <c r="R78" s="175"/>
      <c r="S78" s="175"/>
      <c r="T78" s="175"/>
      <c r="U78" s="175"/>
      <c r="W78" s="175"/>
      <c r="X78" s="175"/>
      <c r="Y78" s="175"/>
      <c r="Z78" s="175"/>
      <c r="AA78" s="7"/>
      <c r="AB78" s="175"/>
      <c r="AC78" s="180"/>
      <c r="AD78" s="180"/>
      <c r="AE78" s="180"/>
      <c r="AF78" s="7"/>
      <c r="AG78" s="175"/>
      <c r="AH78" s="180"/>
      <c r="AI78" s="180"/>
      <c r="AJ78" s="180"/>
      <c r="AK78" s="7"/>
      <c r="AL78" s="183"/>
      <c r="AM78" s="181"/>
      <c r="AN78" s="181"/>
      <c r="AO78" s="181"/>
      <c r="AP78" s="29"/>
      <c r="AQ78" s="181"/>
      <c r="AR78" s="181"/>
      <c r="AS78" s="181"/>
      <c r="AT78" s="181"/>
      <c r="AU78" s="29"/>
      <c r="AV78" s="308"/>
      <c r="AW78" s="308"/>
      <c r="AX78" s="308"/>
      <c r="AY78" s="308"/>
      <c r="BA78" s="259"/>
      <c r="BB78" s="259"/>
      <c r="BC78" s="259"/>
      <c r="BD78" s="309"/>
      <c r="BF78" s="259"/>
      <c r="BG78" s="309">
        <v>1.51</v>
      </c>
      <c r="BH78" s="276"/>
      <c r="BI78" s="276"/>
      <c r="BK78" s="276"/>
      <c r="BL78" s="276"/>
      <c r="BM78" s="276"/>
      <c r="BN78" s="276"/>
      <c r="BP78" s="276"/>
      <c r="BQ78" s="276"/>
      <c r="BR78" s="276"/>
      <c r="BS78" s="276"/>
      <c r="BU78" s="276"/>
      <c r="BV78" s="276"/>
      <c r="BW78" s="276"/>
      <c r="BX78" s="276"/>
      <c r="BZ78" s="276"/>
      <c r="CA78" s="276"/>
      <c r="CB78" s="276"/>
      <c r="CC78" s="276"/>
      <c r="CE78" s="276"/>
      <c r="CF78" s="276"/>
      <c r="CG78" s="276"/>
      <c r="CH78" s="276"/>
      <c r="CJ78" s="276"/>
      <c r="CK78" s="276"/>
      <c r="CL78" s="276"/>
      <c r="CM78" s="276"/>
      <c r="CO78" s="276"/>
      <c r="CP78" s="276"/>
      <c r="CQ78" s="276"/>
      <c r="CR78" s="276"/>
      <c r="CT78" s="276"/>
      <c r="CU78" s="276"/>
      <c r="CV78" s="276"/>
      <c r="CW78" s="276"/>
      <c r="CY78" s="276"/>
      <c r="CZ78" s="276"/>
      <c r="DA78" s="276"/>
      <c r="DB78" s="276"/>
      <c r="DD78" s="276"/>
      <c r="DE78" s="276"/>
      <c r="DF78" s="276"/>
      <c r="DG78" s="276"/>
      <c r="DI78" s="276"/>
      <c r="DJ78" s="276"/>
      <c r="DK78" s="276"/>
      <c r="DL78" s="276"/>
      <c r="DN78" s="276"/>
      <c r="DO78" s="276"/>
      <c r="DP78" s="276"/>
      <c r="DQ78" s="276"/>
      <c r="DS78" s="276"/>
      <c r="DT78" s="276"/>
      <c r="DU78" s="276"/>
      <c r="DV78" s="276"/>
      <c r="DX78" s="276"/>
      <c r="DY78" s="276"/>
      <c r="DZ78" s="276"/>
      <c r="EA78" s="276"/>
      <c r="EC78" s="276"/>
      <c r="ED78" s="276"/>
      <c r="EE78" s="276"/>
      <c r="EF78" s="276"/>
      <c r="EH78" s="276"/>
      <c r="EI78" s="276"/>
      <c r="EJ78" s="276"/>
      <c r="EK78" s="276"/>
    </row>
    <row r="79" spans="2:141">
      <c r="C79" s="175"/>
      <c r="D79" s="175"/>
      <c r="E79" s="175"/>
      <c r="F79" s="175"/>
      <c r="H79" s="175"/>
      <c r="I79" s="175"/>
      <c r="J79" s="175"/>
      <c r="K79" s="175"/>
      <c r="M79" s="175"/>
      <c r="N79" s="175"/>
      <c r="O79" s="175"/>
      <c r="P79" s="175"/>
      <c r="R79" s="175"/>
      <c r="S79" s="175"/>
      <c r="T79" s="175"/>
      <c r="U79" s="175"/>
      <c r="W79" s="175"/>
      <c r="X79" s="175"/>
      <c r="Y79" s="175"/>
      <c r="Z79" s="175"/>
      <c r="AB79" s="175"/>
      <c r="AC79" s="175"/>
      <c r="AD79" s="175"/>
      <c r="AE79" s="175"/>
      <c r="AG79" s="175"/>
      <c r="AH79" s="175"/>
      <c r="AI79" s="175"/>
      <c r="AJ79" s="175"/>
      <c r="AL79" s="175"/>
      <c r="AM79" s="175"/>
      <c r="AN79" s="175"/>
      <c r="AO79" s="175"/>
      <c r="AQ79" s="175"/>
      <c r="AR79" s="175"/>
      <c r="AS79" s="175"/>
      <c r="AT79" s="175"/>
      <c r="AV79" s="276"/>
      <c r="AW79" s="276"/>
      <c r="AX79" s="276"/>
      <c r="AY79" s="276"/>
      <c r="BA79" s="274"/>
      <c r="BB79" s="274"/>
      <c r="BC79" s="274"/>
      <c r="BD79" s="276"/>
      <c r="BF79" s="274"/>
      <c r="BG79" s="276"/>
      <c r="BH79" s="276"/>
      <c r="BI79" s="276"/>
      <c r="BK79" s="276"/>
      <c r="BL79" s="276"/>
      <c r="BM79" s="276"/>
      <c r="BN79" s="276"/>
      <c r="BP79" s="276"/>
      <c r="BQ79" s="276"/>
      <c r="BR79" s="276"/>
      <c r="BS79" s="276"/>
      <c r="BU79" s="276"/>
      <c r="BV79" s="276"/>
      <c r="BW79" s="276"/>
      <c r="BX79" s="276"/>
      <c r="BZ79" s="276"/>
      <c r="CA79" s="276"/>
      <c r="CB79" s="276"/>
      <c r="CC79" s="276"/>
      <c r="CE79" s="276"/>
      <c r="CF79" s="276"/>
      <c r="CG79" s="276"/>
      <c r="CH79" s="276"/>
      <c r="CJ79" s="276"/>
      <c r="CK79" s="276"/>
      <c r="CL79" s="276"/>
      <c r="CM79" s="276"/>
      <c r="CO79" s="276"/>
      <c r="CP79" s="276"/>
      <c r="CQ79" s="276"/>
      <c r="CR79" s="276"/>
      <c r="CT79" s="276"/>
      <c r="CU79" s="276"/>
      <c r="CV79" s="276"/>
      <c r="CW79" s="276"/>
      <c r="CY79" s="276"/>
      <c r="CZ79" s="276"/>
      <c r="DA79" s="276"/>
      <c r="DB79" s="276"/>
      <c r="DD79" s="276"/>
      <c r="DE79" s="276"/>
      <c r="DF79" s="276"/>
      <c r="DG79" s="276"/>
      <c r="DI79" s="276"/>
      <c r="DJ79" s="276"/>
      <c r="DK79" s="276"/>
      <c r="DL79" s="276"/>
      <c r="DN79" s="276"/>
      <c r="DO79" s="276"/>
      <c r="DP79" s="276"/>
      <c r="DQ79" s="276"/>
      <c r="DS79" s="276"/>
      <c r="DT79" s="276"/>
      <c r="DU79" s="276"/>
      <c r="DV79" s="276"/>
      <c r="DX79" s="276"/>
      <c r="DY79" s="276"/>
      <c r="DZ79" s="276"/>
      <c r="EA79" s="276"/>
      <c r="EC79" s="276"/>
      <c r="ED79" s="276"/>
      <c r="EE79" s="276"/>
      <c r="EF79" s="276"/>
      <c r="EH79" s="276"/>
      <c r="EI79" s="276"/>
      <c r="EJ79" s="276"/>
      <c r="EK79" s="276"/>
    </row>
    <row r="80" spans="2:141">
      <c r="B80" s="4" t="s">
        <v>100</v>
      </c>
      <c r="C80" s="175"/>
      <c r="D80" s="175"/>
      <c r="E80" s="175"/>
      <c r="F80" s="175"/>
      <c r="H80" s="175"/>
      <c r="I80" s="175"/>
      <c r="J80" s="175"/>
      <c r="K80" s="175"/>
      <c r="M80" s="175"/>
      <c r="N80" s="175"/>
      <c r="O80" s="175"/>
      <c r="P80" s="175"/>
      <c r="R80" s="175"/>
      <c r="S80" s="175"/>
      <c r="T80" s="175"/>
      <c r="U80" s="175"/>
      <c r="W80" s="175"/>
      <c r="X80" s="175"/>
      <c r="Y80" s="175"/>
      <c r="Z80" s="175"/>
      <c r="AB80" s="175"/>
      <c r="AC80" s="175"/>
      <c r="AD80" s="175"/>
      <c r="AE80" s="175"/>
      <c r="AG80" s="175"/>
      <c r="AH80" s="175"/>
      <c r="AI80" s="175"/>
      <c r="AJ80" s="175"/>
      <c r="AL80" s="175"/>
      <c r="AM80" s="175"/>
      <c r="AN80" s="175"/>
      <c r="AO80" s="175"/>
      <c r="AQ80" s="175"/>
      <c r="AR80" s="175"/>
      <c r="AS80" s="175"/>
      <c r="AT80" s="175"/>
      <c r="AV80" s="276"/>
      <c r="AW80" s="276"/>
      <c r="AX80" s="276"/>
      <c r="AY80" s="276"/>
      <c r="BA80" s="276"/>
      <c r="BB80" s="276"/>
      <c r="BC80" s="276"/>
      <c r="BD80" s="276"/>
      <c r="BF80" s="276"/>
      <c r="BG80" s="276"/>
      <c r="BH80" s="276"/>
      <c r="BI80" s="276"/>
      <c r="BK80" s="276"/>
      <c r="BL80" s="276"/>
      <c r="BM80" s="276"/>
      <c r="BN80" s="276"/>
      <c r="BP80" s="276"/>
      <c r="BQ80" s="276"/>
      <c r="BR80" s="276"/>
      <c r="BS80" s="276"/>
      <c r="BU80" s="276"/>
      <c r="BV80" s="276"/>
      <c r="BW80" s="276"/>
      <c r="BX80" s="276"/>
      <c r="BZ80" s="276"/>
      <c r="CA80" s="276"/>
      <c r="CB80" s="276"/>
      <c r="CC80" s="276"/>
      <c r="CE80" s="276"/>
      <c r="CF80" s="276"/>
      <c r="CG80" s="276"/>
      <c r="CH80" s="276"/>
      <c r="CJ80" s="276"/>
      <c r="CK80" s="276"/>
      <c r="CL80" s="276"/>
      <c r="CM80" s="276"/>
      <c r="CO80" s="276"/>
      <c r="CP80" s="276"/>
      <c r="CQ80" s="276"/>
      <c r="CR80" s="276"/>
      <c r="CT80" s="276"/>
      <c r="CU80" s="276"/>
      <c r="CV80" s="276"/>
      <c r="CW80" s="276"/>
      <c r="CY80" s="276"/>
      <c r="CZ80" s="276"/>
      <c r="DA80" s="276"/>
      <c r="DB80" s="276"/>
      <c r="DD80" s="276"/>
      <c r="DE80" s="276"/>
      <c r="DF80" s="276"/>
      <c r="DG80" s="276"/>
      <c r="DI80" s="276"/>
      <c r="DJ80" s="276"/>
      <c r="DK80" s="276"/>
      <c r="DL80" s="276"/>
      <c r="DN80" s="276"/>
      <c r="DO80" s="276"/>
      <c r="DP80" s="276"/>
      <c r="DQ80" s="276"/>
      <c r="DS80" s="276"/>
      <c r="DT80" s="276"/>
      <c r="DU80" s="276"/>
      <c r="DV80" s="276"/>
      <c r="DX80" s="276"/>
      <c r="DY80" s="276"/>
      <c r="DZ80" s="276"/>
      <c r="EA80" s="276"/>
      <c r="EC80" s="276"/>
      <c r="ED80" s="276"/>
      <c r="EE80" s="276"/>
      <c r="EF80" s="276"/>
      <c r="EH80" s="276"/>
      <c r="EI80" s="276"/>
      <c r="EJ80" s="276"/>
      <c r="EK80" s="276"/>
    </row>
    <row r="81" spans="2:141" outlineLevel="1">
      <c r="B81" s="9" t="s">
        <v>88</v>
      </c>
      <c r="C81" s="175"/>
      <c r="D81" s="175"/>
      <c r="E81" s="175"/>
      <c r="F81" s="175"/>
      <c r="H81" s="175"/>
      <c r="I81" s="175"/>
      <c r="J81" s="175"/>
      <c r="K81" s="175"/>
      <c r="M81" s="175"/>
      <c r="N81" s="175"/>
      <c r="O81" s="175"/>
      <c r="P81" s="175"/>
      <c r="R81" s="175"/>
      <c r="S81" s="175"/>
      <c r="T81" s="175"/>
      <c r="U81" s="175"/>
      <c r="W81" s="175"/>
      <c r="X81" s="175"/>
      <c r="Y81" s="175"/>
      <c r="Z81" s="175"/>
      <c r="AB81" s="175"/>
      <c r="AC81" s="175"/>
      <c r="AD81" s="175"/>
      <c r="AE81" s="175"/>
      <c r="AG81" s="175"/>
      <c r="AH81" s="175"/>
      <c r="AI81" s="175"/>
      <c r="AJ81" s="175"/>
      <c r="AL81" s="175"/>
      <c r="AM81" s="175"/>
      <c r="AN81" s="175"/>
      <c r="AO81" s="175"/>
      <c r="AQ81" s="175"/>
      <c r="AR81" s="175"/>
      <c r="AS81" s="175"/>
      <c r="AT81" s="175"/>
      <c r="AV81" s="276"/>
      <c r="AW81" s="276"/>
      <c r="AX81" s="276"/>
      <c r="AY81" s="276"/>
      <c r="BA81" s="276"/>
      <c r="BB81" s="276"/>
      <c r="BC81" s="276"/>
      <c r="BD81" s="276"/>
      <c r="BF81" s="276"/>
      <c r="BG81" s="276"/>
      <c r="BH81" s="276"/>
      <c r="BI81" s="276"/>
      <c r="BK81" s="276"/>
      <c r="BL81" s="276"/>
      <c r="BM81" s="276"/>
      <c r="BN81" s="276"/>
      <c r="BP81" s="276"/>
      <c r="BQ81" s="276"/>
      <c r="BR81" s="276"/>
      <c r="BS81" s="276"/>
      <c r="BU81" s="276"/>
      <c r="BV81" s="276"/>
      <c r="BW81" s="276"/>
      <c r="BX81" s="276"/>
      <c r="BZ81" s="276"/>
      <c r="CA81" s="276"/>
      <c r="CB81" s="276"/>
      <c r="CC81" s="276"/>
      <c r="CE81" s="276"/>
      <c r="CF81" s="276"/>
      <c r="CG81" s="276"/>
      <c r="CH81" s="276"/>
      <c r="CJ81" s="276"/>
      <c r="CK81" s="276"/>
      <c r="CL81" s="276"/>
      <c r="CM81" s="276"/>
      <c r="CO81" s="276"/>
      <c r="CP81" s="276"/>
      <c r="CQ81" s="276"/>
      <c r="CR81" s="276"/>
      <c r="CT81" s="276"/>
      <c r="CU81" s="276"/>
      <c r="CV81" s="276"/>
      <c r="CW81" s="276"/>
      <c r="CY81" s="276"/>
      <c r="CZ81" s="276"/>
      <c r="DA81" s="276"/>
      <c r="DB81" s="276"/>
      <c r="DD81" s="276"/>
      <c r="DE81" s="276"/>
      <c r="DF81" s="276"/>
      <c r="DG81" s="276"/>
      <c r="DI81" s="276"/>
      <c r="DJ81" s="276"/>
      <c r="DK81" s="276"/>
      <c r="DL81" s="276"/>
      <c r="DN81" s="276"/>
      <c r="DO81" s="276"/>
      <c r="DP81" s="276"/>
      <c r="DQ81" s="276"/>
      <c r="DS81" s="276"/>
      <c r="DT81" s="276"/>
      <c r="DU81" s="276"/>
      <c r="DV81" s="276"/>
      <c r="DX81" s="276"/>
      <c r="DY81" s="276"/>
      <c r="DZ81" s="276"/>
      <c r="EA81" s="276"/>
      <c r="EC81" s="276"/>
      <c r="ED81" s="276"/>
      <c r="EE81" s="276"/>
      <c r="EF81" s="276"/>
      <c r="EH81" s="276"/>
      <c r="EI81" s="276"/>
      <c r="EJ81" s="276"/>
      <c r="EK81" s="276"/>
    </row>
    <row r="82" spans="2:141" s="64" customFormat="1" outlineLevel="1">
      <c r="B82" s="285" t="s">
        <v>97</v>
      </c>
      <c r="C82" s="146"/>
      <c r="D82" s="146"/>
      <c r="E82" s="146"/>
      <c r="F82" s="146"/>
      <c r="H82" s="146"/>
      <c r="I82" s="146"/>
      <c r="J82" s="146"/>
      <c r="K82" s="146"/>
      <c r="L82" s="64">
        <v>986.05</v>
      </c>
      <c r="M82" s="146"/>
      <c r="N82" s="146"/>
      <c r="O82" s="146"/>
      <c r="P82" s="146"/>
      <c r="Q82" s="64">
        <v>997.67100000000005</v>
      </c>
      <c r="R82" s="146"/>
      <c r="S82" s="146"/>
      <c r="T82" s="146"/>
      <c r="U82" s="146"/>
      <c r="V82" s="64">
        <v>1069.5</v>
      </c>
      <c r="W82" s="146"/>
      <c r="X82" s="146"/>
      <c r="Y82" s="146"/>
      <c r="Z82" s="146"/>
      <c r="AA82" s="64">
        <v>1203.5999999999999</v>
      </c>
      <c r="AB82" s="146"/>
      <c r="AC82" s="146"/>
      <c r="AD82" s="146"/>
      <c r="AE82" s="146"/>
      <c r="AF82" s="64">
        <v>1472.9</v>
      </c>
      <c r="AG82" s="146"/>
      <c r="AH82" s="146"/>
      <c r="AI82" s="146"/>
      <c r="AJ82" s="146"/>
      <c r="AK82" s="64">
        <v>1638</v>
      </c>
      <c r="AL82" s="146"/>
      <c r="AM82" s="146"/>
      <c r="AN82" s="146"/>
      <c r="AO82" s="146"/>
      <c r="AP82" s="64">
        <v>1744.4</v>
      </c>
      <c r="AQ82" s="146"/>
      <c r="AR82" s="146"/>
      <c r="AS82" s="146"/>
      <c r="AT82" s="146"/>
      <c r="AU82" s="64">
        <v>1954.8</v>
      </c>
      <c r="AV82" s="255"/>
      <c r="AW82" s="255"/>
      <c r="AX82" s="255"/>
      <c r="AY82" s="255"/>
      <c r="AZ82" s="64">
        <v>2176.8000000000002</v>
      </c>
      <c r="BA82" s="255"/>
      <c r="BB82" s="255"/>
      <c r="BC82" s="255"/>
      <c r="BD82" s="255"/>
      <c r="BE82" s="64">
        <v>3581</v>
      </c>
      <c r="BF82" s="255"/>
      <c r="BG82" s="255"/>
      <c r="BH82" s="255"/>
      <c r="BI82" s="255"/>
      <c r="BJ82" s="64">
        <v>5566.7</v>
      </c>
      <c r="BK82" s="255"/>
      <c r="BL82" s="255"/>
      <c r="BM82" s="255"/>
      <c r="BN82" s="255"/>
      <c r="BP82" s="255"/>
      <c r="BQ82" s="255"/>
      <c r="BR82" s="255"/>
      <c r="BS82" s="255"/>
      <c r="BU82" s="255"/>
      <c r="BV82" s="255"/>
      <c r="BW82" s="255"/>
      <c r="BX82" s="255"/>
      <c r="BZ82" s="255"/>
      <c r="CA82" s="255"/>
      <c r="CB82" s="255"/>
      <c r="CC82" s="255"/>
      <c r="CE82" s="255"/>
      <c r="CF82" s="255"/>
      <c r="CG82" s="255"/>
      <c r="CH82" s="255"/>
      <c r="CJ82" s="255"/>
      <c r="CK82" s="255"/>
      <c r="CL82" s="255"/>
      <c r="CM82" s="255"/>
      <c r="CO82" s="255"/>
      <c r="CP82" s="255"/>
      <c r="CQ82" s="255"/>
      <c r="CR82" s="255"/>
      <c r="CT82" s="255"/>
      <c r="CU82" s="255"/>
      <c r="CV82" s="255"/>
      <c r="CW82" s="255"/>
      <c r="CY82" s="255"/>
      <c r="CZ82" s="255"/>
      <c r="DA82" s="255"/>
      <c r="DB82" s="255"/>
      <c r="DD82" s="255"/>
      <c r="DE82" s="255"/>
      <c r="DF82" s="255"/>
      <c r="DG82" s="255"/>
      <c r="DI82" s="255"/>
      <c r="DJ82" s="255"/>
      <c r="DK82" s="255"/>
      <c r="DL82" s="255"/>
      <c r="DN82" s="255"/>
      <c r="DO82" s="255"/>
      <c r="DP82" s="255"/>
      <c r="DQ82" s="255"/>
      <c r="DS82" s="255"/>
      <c r="DT82" s="255"/>
      <c r="DU82" s="255"/>
      <c r="DV82" s="255"/>
      <c r="DX82" s="255"/>
      <c r="DY82" s="255"/>
      <c r="DZ82" s="255"/>
      <c r="EA82" s="255"/>
      <c r="EC82" s="255"/>
      <c r="ED82" s="255"/>
      <c r="EE82" s="255"/>
      <c r="EF82" s="255"/>
      <c r="EH82" s="255"/>
      <c r="EI82" s="255"/>
      <c r="EJ82" s="255"/>
      <c r="EK82" s="255"/>
    </row>
    <row r="83" spans="2:141" s="64" customFormat="1" outlineLevel="1">
      <c r="B83" s="285" t="s">
        <v>108</v>
      </c>
      <c r="C83" s="146"/>
      <c r="D83" s="146"/>
      <c r="E83" s="146"/>
      <c r="F83" s="146"/>
      <c r="H83" s="146"/>
      <c r="I83" s="146"/>
      <c r="J83" s="146"/>
      <c r="K83" s="146"/>
      <c r="L83" s="64">
        <v>406.89800000000002</v>
      </c>
      <c r="M83" s="146"/>
      <c r="N83" s="146"/>
      <c r="O83" s="146"/>
      <c r="P83" s="146"/>
      <c r="Q83" s="64">
        <v>500.24700000000001</v>
      </c>
      <c r="R83" s="146"/>
      <c r="S83" s="146"/>
      <c r="T83" s="146"/>
      <c r="U83" s="146"/>
      <c r="V83" s="64">
        <v>591</v>
      </c>
      <c r="W83" s="146"/>
      <c r="X83" s="146"/>
      <c r="Y83" s="146"/>
      <c r="Z83" s="146"/>
      <c r="AA83" s="64">
        <v>565.9</v>
      </c>
      <c r="AB83" s="146"/>
      <c r="AC83" s="146"/>
      <c r="AD83" s="146"/>
      <c r="AE83" s="146"/>
      <c r="AF83" s="64">
        <v>822.6</v>
      </c>
      <c r="AG83" s="146"/>
      <c r="AH83" s="146"/>
      <c r="AI83" s="146"/>
      <c r="AJ83" s="146"/>
      <c r="AK83" s="64">
        <v>913.7</v>
      </c>
      <c r="AL83" s="146"/>
      <c r="AM83" s="146"/>
      <c r="AN83" s="146"/>
      <c r="AO83" s="146"/>
      <c r="AP83" s="64">
        <v>1090.7</v>
      </c>
      <c r="AQ83" s="146"/>
      <c r="AR83" s="146"/>
      <c r="AS83" s="146"/>
      <c r="AT83" s="146"/>
      <c r="AU83" s="64">
        <v>1163.3</v>
      </c>
      <c r="AV83" s="255"/>
      <c r="AW83" s="255"/>
      <c r="AX83" s="255"/>
      <c r="AY83" s="255"/>
      <c r="AZ83" s="64">
        <v>1216.2</v>
      </c>
      <c r="BA83" s="255"/>
      <c r="BB83" s="255"/>
      <c r="BC83" s="255"/>
      <c r="BD83" s="255"/>
      <c r="BE83" s="64">
        <v>1170.2</v>
      </c>
      <c r="BF83" s="255"/>
      <c r="BG83" s="255"/>
      <c r="BH83" s="255"/>
      <c r="BI83" s="255"/>
      <c r="BJ83" s="64">
        <v>1383.9</v>
      </c>
      <c r="BK83" s="255"/>
      <c r="BL83" s="255"/>
      <c r="BM83" s="255"/>
      <c r="BN83" s="255"/>
      <c r="BP83" s="255"/>
      <c r="BQ83" s="255"/>
      <c r="BR83" s="255"/>
      <c r="BS83" s="255"/>
      <c r="BU83" s="255"/>
      <c r="BV83" s="255"/>
      <c r="BW83" s="255"/>
      <c r="BX83" s="255"/>
      <c r="BZ83" s="255"/>
      <c r="CA83" s="255"/>
      <c r="CB83" s="255"/>
      <c r="CC83" s="255"/>
      <c r="CE83" s="255"/>
      <c r="CF83" s="255"/>
      <c r="CG83" s="255"/>
      <c r="CH83" s="255"/>
      <c r="CJ83" s="255"/>
      <c r="CK83" s="255"/>
      <c r="CL83" s="255"/>
      <c r="CM83" s="255"/>
      <c r="CO83" s="255"/>
      <c r="CP83" s="255"/>
      <c r="CQ83" s="255"/>
      <c r="CR83" s="255"/>
      <c r="CT83" s="255"/>
      <c r="CU83" s="255"/>
      <c r="CV83" s="255"/>
      <c r="CW83" s="255"/>
      <c r="CY83" s="255"/>
      <c r="CZ83" s="255"/>
      <c r="DA83" s="255"/>
      <c r="DB83" s="255"/>
      <c r="DD83" s="255"/>
      <c r="DE83" s="255"/>
      <c r="DF83" s="255"/>
      <c r="DG83" s="255"/>
      <c r="DI83" s="255"/>
      <c r="DJ83" s="255"/>
      <c r="DK83" s="255"/>
      <c r="DL83" s="255"/>
      <c r="DN83" s="255"/>
      <c r="DO83" s="255"/>
      <c r="DP83" s="255"/>
      <c r="DQ83" s="255"/>
      <c r="DS83" s="255"/>
      <c r="DT83" s="255"/>
      <c r="DU83" s="255"/>
      <c r="DV83" s="255"/>
      <c r="DX83" s="255"/>
      <c r="DY83" s="255"/>
      <c r="DZ83" s="255"/>
      <c r="EA83" s="255"/>
      <c r="EC83" s="255"/>
      <c r="ED83" s="255"/>
      <c r="EE83" s="255"/>
      <c r="EF83" s="255"/>
      <c r="EH83" s="255"/>
      <c r="EI83" s="255"/>
      <c r="EJ83" s="255"/>
      <c r="EK83" s="255"/>
    </row>
    <row r="84" spans="2:141" s="64" customFormat="1" outlineLevel="1">
      <c r="B84" s="313" t="s">
        <v>89</v>
      </c>
      <c r="C84" s="146"/>
      <c r="D84" s="146"/>
      <c r="E84" s="146"/>
      <c r="F84" s="146"/>
      <c r="H84" s="146"/>
      <c r="I84" s="146"/>
      <c r="J84" s="146"/>
      <c r="K84" s="146"/>
      <c r="L84" s="64">
        <v>0</v>
      </c>
      <c r="M84" s="146"/>
      <c r="N84" s="146"/>
      <c r="O84" s="146"/>
      <c r="P84" s="146"/>
      <c r="Q84" s="64">
        <v>0</v>
      </c>
      <c r="R84" s="146"/>
      <c r="S84" s="146"/>
      <c r="T84" s="146"/>
      <c r="U84" s="146"/>
      <c r="V84" s="64">
        <v>0</v>
      </c>
      <c r="W84" s="146"/>
      <c r="X84" s="146"/>
      <c r="Y84" s="146"/>
      <c r="Z84" s="146"/>
      <c r="AA84" s="64">
        <v>231.1</v>
      </c>
      <c r="AB84" s="146"/>
      <c r="AC84" s="146"/>
      <c r="AD84" s="146"/>
      <c r="AE84" s="146"/>
      <c r="AF84" s="64">
        <v>354.5</v>
      </c>
      <c r="AG84" s="146"/>
      <c r="AH84" s="146"/>
      <c r="AI84" s="146"/>
      <c r="AJ84" s="146"/>
      <c r="AK84" s="64">
        <v>374.8</v>
      </c>
      <c r="AL84" s="146"/>
      <c r="AM84" s="146"/>
      <c r="AN84" s="146"/>
      <c r="AO84" s="146"/>
      <c r="AP84" s="64">
        <v>362.4</v>
      </c>
      <c r="AQ84" s="146"/>
      <c r="AR84" s="146"/>
      <c r="AS84" s="146"/>
      <c r="AT84" s="146"/>
      <c r="AU84" s="64">
        <v>377.5</v>
      </c>
      <c r="AV84" s="255"/>
      <c r="AW84" s="255"/>
      <c r="AX84" s="255"/>
      <c r="AY84" s="255"/>
      <c r="AZ84" s="64">
        <v>409.2</v>
      </c>
      <c r="BA84" s="255"/>
      <c r="BB84" s="255"/>
      <c r="BC84" s="255"/>
      <c r="BD84" s="255"/>
      <c r="BE84" s="64">
        <v>417.7</v>
      </c>
      <c r="BF84" s="255"/>
      <c r="BG84" s="255"/>
      <c r="BH84" s="255"/>
      <c r="BI84" s="255"/>
      <c r="BJ84" s="64">
        <v>811.8</v>
      </c>
      <c r="BK84" s="255"/>
      <c r="BL84" s="255"/>
      <c r="BM84" s="255"/>
      <c r="BN84" s="255"/>
      <c r="BP84" s="255"/>
      <c r="BQ84" s="255"/>
      <c r="BR84" s="255"/>
      <c r="BS84" s="255"/>
      <c r="BU84" s="255"/>
      <c r="BV84" s="255"/>
      <c r="BW84" s="255"/>
      <c r="BX84" s="255"/>
      <c r="BZ84" s="255"/>
      <c r="CA84" s="255"/>
      <c r="CB84" s="255"/>
      <c r="CC84" s="255"/>
      <c r="CE84" s="255"/>
      <c r="CF84" s="255"/>
      <c r="CG84" s="255"/>
      <c r="CH84" s="255"/>
      <c r="CJ84" s="255"/>
      <c r="CK84" s="255"/>
      <c r="CL84" s="255"/>
      <c r="CM84" s="255"/>
      <c r="CO84" s="255"/>
      <c r="CP84" s="255"/>
      <c r="CQ84" s="255"/>
      <c r="CR84" s="255"/>
      <c r="CT84" s="255"/>
      <c r="CU84" s="255"/>
      <c r="CV84" s="255"/>
      <c r="CW84" s="255"/>
      <c r="CY84" s="255"/>
      <c r="CZ84" s="255"/>
      <c r="DA84" s="255"/>
      <c r="DB84" s="255"/>
      <c r="DD84" s="255"/>
      <c r="DE84" s="255"/>
      <c r="DF84" s="255"/>
      <c r="DG84" s="255"/>
      <c r="DI84" s="255"/>
      <c r="DJ84" s="255"/>
      <c r="DK84" s="255"/>
      <c r="DL84" s="255"/>
      <c r="DN84" s="255"/>
      <c r="DO84" s="255"/>
      <c r="DP84" s="255"/>
      <c r="DQ84" s="255"/>
      <c r="DS84" s="255"/>
      <c r="DT84" s="255"/>
      <c r="DU84" s="255"/>
      <c r="DV84" s="255"/>
      <c r="DX84" s="255"/>
      <c r="DY84" s="255"/>
      <c r="DZ84" s="255"/>
      <c r="EA84" s="255"/>
      <c r="EC84" s="255"/>
      <c r="ED84" s="255"/>
      <c r="EE84" s="255"/>
      <c r="EF84" s="255"/>
      <c r="EH84" s="255"/>
      <c r="EI84" s="255"/>
      <c r="EJ84" s="255"/>
      <c r="EK84" s="255"/>
    </row>
    <row r="85" spans="2:141" s="64" customFormat="1" outlineLevel="1">
      <c r="B85" s="285" t="s">
        <v>90</v>
      </c>
      <c r="C85" s="146"/>
      <c r="D85" s="146"/>
      <c r="E85" s="146"/>
      <c r="F85" s="146"/>
      <c r="H85" s="146"/>
      <c r="I85" s="146"/>
      <c r="J85" s="146"/>
      <c r="K85" s="146"/>
      <c r="L85" s="64">
        <v>0</v>
      </c>
      <c r="M85" s="146"/>
      <c r="N85" s="146"/>
      <c r="O85" s="146"/>
      <c r="P85" s="146"/>
      <c r="Q85" s="64">
        <v>0.23499999999999999</v>
      </c>
      <c r="R85" s="146"/>
      <c r="S85" s="146"/>
      <c r="T85" s="146"/>
      <c r="U85" s="146"/>
      <c r="V85" s="64">
        <v>0.4</v>
      </c>
      <c r="W85" s="146"/>
      <c r="X85" s="146"/>
      <c r="Y85" s="146"/>
      <c r="Z85" s="146"/>
      <c r="AA85" s="64">
        <v>4.2</v>
      </c>
      <c r="AB85" s="146"/>
      <c r="AC85" s="146"/>
      <c r="AD85" s="146"/>
      <c r="AE85" s="146"/>
      <c r="AF85" s="64">
        <v>36.5</v>
      </c>
      <c r="AG85" s="146"/>
      <c r="AH85" s="146"/>
      <c r="AI85" s="146"/>
      <c r="AJ85" s="146"/>
      <c r="AK85" s="64">
        <v>47.9</v>
      </c>
      <c r="AL85" s="146"/>
      <c r="AM85" s="146"/>
      <c r="AN85" s="146"/>
      <c r="AO85" s="146"/>
      <c r="AP85" s="64">
        <v>69</v>
      </c>
      <c r="AQ85" s="146"/>
      <c r="AR85" s="146"/>
      <c r="AS85" s="146"/>
      <c r="AT85" s="146"/>
      <c r="AU85" s="64">
        <v>88.7</v>
      </c>
      <c r="AV85" s="255"/>
      <c r="AW85" s="255"/>
      <c r="AX85" s="255"/>
      <c r="AY85" s="255"/>
      <c r="AZ85" s="64">
        <v>93.2</v>
      </c>
      <c r="BA85" s="255"/>
      <c r="BB85" s="255"/>
      <c r="BC85" s="255"/>
      <c r="BD85" s="255"/>
      <c r="BE85" s="64">
        <v>93.2</v>
      </c>
      <c r="BF85" s="255"/>
      <c r="BG85" s="255"/>
      <c r="BH85" s="255"/>
      <c r="BI85" s="255"/>
      <c r="BJ85" s="64">
        <v>112.8</v>
      </c>
      <c r="BK85" s="255"/>
      <c r="BL85" s="255"/>
      <c r="BM85" s="255"/>
      <c r="BN85" s="255"/>
      <c r="BP85" s="255"/>
      <c r="BQ85" s="255"/>
      <c r="BR85" s="255"/>
      <c r="BS85" s="255"/>
      <c r="BU85" s="255"/>
      <c r="BV85" s="255"/>
      <c r="BW85" s="255"/>
      <c r="BX85" s="255"/>
      <c r="BZ85" s="255"/>
      <c r="CA85" s="255"/>
      <c r="CB85" s="255"/>
      <c r="CC85" s="255"/>
      <c r="CE85" s="255"/>
      <c r="CF85" s="255"/>
      <c r="CG85" s="255"/>
      <c r="CH85" s="255"/>
      <c r="CJ85" s="255"/>
      <c r="CK85" s="255"/>
      <c r="CL85" s="255"/>
      <c r="CM85" s="255"/>
      <c r="CO85" s="255"/>
      <c r="CP85" s="255"/>
      <c r="CQ85" s="255"/>
      <c r="CR85" s="255"/>
      <c r="CT85" s="255"/>
      <c r="CU85" s="255"/>
      <c r="CV85" s="255"/>
      <c r="CW85" s="255"/>
      <c r="CY85" s="255"/>
      <c r="CZ85" s="255"/>
      <c r="DA85" s="255"/>
      <c r="DB85" s="255"/>
      <c r="DD85" s="255"/>
      <c r="DE85" s="255"/>
      <c r="DF85" s="255"/>
      <c r="DG85" s="255"/>
      <c r="DI85" s="255"/>
      <c r="DJ85" s="255"/>
      <c r="DK85" s="255"/>
      <c r="DL85" s="255"/>
      <c r="DN85" s="255"/>
      <c r="DO85" s="255"/>
      <c r="DP85" s="255"/>
      <c r="DQ85" s="255"/>
      <c r="DS85" s="255"/>
      <c r="DT85" s="255"/>
      <c r="DU85" s="255"/>
      <c r="DV85" s="255"/>
      <c r="DX85" s="255"/>
      <c r="DY85" s="255"/>
      <c r="DZ85" s="255"/>
      <c r="EA85" s="255"/>
      <c r="EC85" s="255"/>
      <c r="ED85" s="255"/>
      <c r="EE85" s="255"/>
      <c r="EF85" s="255"/>
      <c r="EH85" s="255"/>
      <c r="EI85" s="255"/>
      <c r="EJ85" s="255"/>
      <c r="EK85" s="255"/>
    </row>
    <row r="86" spans="2:141" s="64" customFormat="1" outlineLevel="1">
      <c r="B86" s="285" t="s">
        <v>75</v>
      </c>
      <c r="C86" s="146"/>
      <c r="D86" s="146"/>
      <c r="E86" s="146"/>
      <c r="F86" s="146"/>
      <c r="H86" s="146"/>
      <c r="I86" s="146"/>
      <c r="J86" s="146"/>
      <c r="K86" s="146"/>
      <c r="L86" s="64">
        <v>93.396000000000001</v>
      </c>
      <c r="M86" s="146"/>
      <c r="N86" s="146"/>
      <c r="O86" s="146"/>
      <c r="P86" s="146"/>
      <c r="Q86" s="64">
        <v>118.851</v>
      </c>
      <c r="R86" s="146"/>
      <c r="S86" s="146"/>
      <c r="T86" s="146"/>
      <c r="U86" s="146"/>
      <c r="V86" s="64">
        <v>120.4</v>
      </c>
      <c r="W86" s="146"/>
      <c r="X86" s="146"/>
      <c r="Y86" s="146"/>
      <c r="Z86" s="146"/>
      <c r="AA86" s="64">
        <v>132</v>
      </c>
      <c r="AB86" s="146"/>
      <c r="AC86" s="146"/>
      <c r="AD86" s="146"/>
      <c r="AE86" s="146"/>
      <c r="AF86" s="64">
        <v>153.19999999999999</v>
      </c>
      <c r="AG86" s="146"/>
      <c r="AH86" s="146"/>
      <c r="AI86" s="146"/>
      <c r="AJ86" s="146"/>
      <c r="AK86" s="64">
        <v>178.5</v>
      </c>
      <c r="AL86" s="146"/>
      <c r="AM86" s="146"/>
      <c r="AN86" s="146"/>
      <c r="AO86" s="146"/>
      <c r="AP86" s="64">
        <v>203.6</v>
      </c>
      <c r="AQ86" s="146"/>
      <c r="AR86" s="146"/>
      <c r="AS86" s="146"/>
      <c r="AT86" s="146"/>
      <c r="AU86" s="64">
        <v>251.8</v>
      </c>
      <c r="AV86" s="255"/>
      <c r="AW86" s="255"/>
      <c r="AX86" s="255"/>
      <c r="AY86" s="255"/>
      <c r="AZ86" s="64">
        <v>270.7</v>
      </c>
      <c r="BA86" s="255"/>
      <c r="BB86" s="255"/>
      <c r="BC86" s="255"/>
      <c r="BD86" s="255"/>
      <c r="BE86" s="64">
        <v>280.2</v>
      </c>
      <c r="BF86" s="255"/>
      <c r="BG86" s="255"/>
      <c r="BH86" s="255"/>
      <c r="BI86" s="255"/>
      <c r="BJ86" s="64">
        <v>328.2</v>
      </c>
      <c r="BK86" s="255"/>
      <c r="BL86" s="255"/>
      <c r="BM86" s="255"/>
      <c r="BN86" s="255"/>
      <c r="BP86" s="255"/>
      <c r="BQ86" s="255"/>
      <c r="BR86" s="255"/>
      <c r="BS86" s="255"/>
      <c r="BU86" s="255"/>
      <c r="BV86" s="255"/>
      <c r="BW86" s="255"/>
      <c r="BX86" s="255"/>
      <c r="BZ86" s="255"/>
      <c r="CA86" s="255"/>
      <c r="CB86" s="255"/>
      <c r="CC86" s="255"/>
      <c r="CE86" s="255"/>
      <c r="CF86" s="255"/>
      <c r="CG86" s="255"/>
      <c r="CH86" s="255"/>
      <c r="CJ86" s="255"/>
      <c r="CK86" s="255"/>
      <c r="CL86" s="255"/>
      <c r="CM86" s="255"/>
      <c r="CO86" s="255"/>
      <c r="CP86" s="255"/>
      <c r="CQ86" s="255"/>
      <c r="CR86" s="255"/>
      <c r="CT86" s="255"/>
      <c r="CU86" s="255"/>
      <c r="CV86" s="255"/>
      <c r="CW86" s="255"/>
      <c r="CY86" s="255"/>
      <c r="CZ86" s="255"/>
      <c r="DA86" s="255"/>
      <c r="DB86" s="255"/>
      <c r="DD86" s="255"/>
      <c r="DE86" s="255"/>
      <c r="DF86" s="255"/>
      <c r="DG86" s="255"/>
      <c r="DI86" s="255"/>
      <c r="DJ86" s="255"/>
      <c r="DK86" s="255"/>
      <c r="DL86" s="255"/>
      <c r="DN86" s="255"/>
      <c r="DO86" s="255"/>
      <c r="DP86" s="255"/>
      <c r="DQ86" s="255"/>
      <c r="DS86" s="255"/>
      <c r="DT86" s="255"/>
      <c r="DU86" s="255"/>
      <c r="DV86" s="255"/>
      <c r="DX86" s="255"/>
      <c r="DY86" s="255"/>
      <c r="DZ86" s="255"/>
      <c r="EA86" s="255"/>
      <c r="EC86" s="255"/>
      <c r="ED86" s="255"/>
      <c r="EE86" s="255"/>
      <c r="EF86" s="255"/>
      <c r="EH86" s="255"/>
      <c r="EI86" s="255"/>
      <c r="EJ86" s="255"/>
      <c r="EK86" s="255"/>
    </row>
    <row r="87" spans="2:141" s="64" customFormat="1" outlineLevel="1">
      <c r="B87" s="314" t="s">
        <v>86</v>
      </c>
      <c r="C87" s="146"/>
      <c r="D87" s="146"/>
      <c r="E87" s="146"/>
      <c r="F87" s="146"/>
      <c r="H87" s="146"/>
      <c r="I87" s="146"/>
      <c r="J87" s="146"/>
      <c r="K87" s="146"/>
      <c r="L87" s="64">
        <f>SUM(L82:L86)</f>
        <v>1486.3439999999998</v>
      </c>
      <c r="M87" s="146"/>
      <c r="N87" s="146"/>
      <c r="O87" s="146"/>
      <c r="P87" s="146"/>
      <c r="Q87" s="64">
        <f>SUM(Q82:Q86)</f>
        <v>1617.0039999999999</v>
      </c>
      <c r="R87" s="146"/>
      <c r="S87" s="146"/>
      <c r="T87" s="146"/>
      <c r="U87" s="146"/>
      <c r="V87" s="64">
        <f>SUM(V82:V86)</f>
        <v>1781.3000000000002</v>
      </c>
      <c r="W87" s="146"/>
      <c r="X87" s="146"/>
      <c r="Y87" s="146"/>
      <c r="Z87" s="146"/>
      <c r="AA87" s="64">
        <f>SUM(AA82:AA86)</f>
        <v>2136.8000000000002</v>
      </c>
      <c r="AB87" s="146"/>
      <c r="AC87" s="146"/>
      <c r="AD87" s="146"/>
      <c r="AE87" s="146"/>
      <c r="AF87" s="64">
        <f>SUM(AF82:AF86)</f>
        <v>2839.7</v>
      </c>
      <c r="AG87" s="146"/>
      <c r="AH87" s="146"/>
      <c r="AI87" s="146"/>
      <c r="AJ87" s="146"/>
      <c r="AK87" s="64">
        <f>SUM(AK82:AK86)</f>
        <v>3152.9</v>
      </c>
      <c r="AL87" s="146"/>
      <c r="AM87" s="146"/>
      <c r="AN87" s="146"/>
      <c r="AO87" s="146"/>
      <c r="AP87" s="64">
        <f>SUM(AP82:AP86)</f>
        <v>3470.1000000000004</v>
      </c>
      <c r="AQ87" s="146"/>
      <c r="AR87" s="146"/>
      <c r="AS87" s="146"/>
      <c r="AT87" s="146"/>
      <c r="AU87" s="64">
        <f>SUM(AU82:AU86)</f>
        <v>3836.1</v>
      </c>
      <c r="AV87" s="255"/>
      <c r="AW87" s="255"/>
      <c r="AX87" s="255"/>
      <c r="AY87" s="255"/>
      <c r="AZ87" s="64">
        <f>SUM(AZ82:AZ86)</f>
        <v>4166.0999999999995</v>
      </c>
      <c r="BA87" s="255"/>
      <c r="BB87" s="255"/>
      <c r="BC87" s="255"/>
      <c r="BD87" s="255"/>
      <c r="BE87" s="64">
        <f>SUM(BE82:BE86)</f>
        <v>5542.2999999999993</v>
      </c>
      <c r="BF87" s="255"/>
      <c r="BG87" s="255"/>
      <c r="BH87" s="255"/>
      <c r="BI87" s="255"/>
      <c r="BJ87" s="64">
        <f>SUM(BJ82:BJ86)</f>
        <v>8203.4000000000015</v>
      </c>
      <c r="BK87" s="255"/>
      <c r="BL87" s="255"/>
      <c r="BM87" s="255"/>
      <c r="BN87" s="255"/>
      <c r="BP87" s="255"/>
      <c r="BQ87" s="255"/>
      <c r="BR87" s="255"/>
      <c r="BS87" s="255"/>
      <c r="BU87" s="255"/>
      <c r="BV87" s="255"/>
      <c r="BW87" s="255"/>
      <c r="BX87" s="255"/>
      <c r="BZ87" s="255"/>
      <c r="CA87" s="255"/>
      <c r="CB87" s="255"/>
      <c r="CC87" s="255"/>
      <c r="CE87" s="255"/>
      <c r="CF87" s="255"/>
      <c r="CG87" s="255"/>
      <c r="CH87" s="255"/>
      <c r="CJ87" s="255"/>
      <c r="CK87" s="255"/>
      <c r="CL87" s="255"/>
      <c r="CM87" s="255"/>
      <c r="CO87" s="255"/>
      <c r="CP87" s="255"/>
      <c r="CQ87" s="255"/>
      <c r="CR87" s="255"/>
      <c r="CT87" s="255"/>
      <c r="CU87" s="255"/>
      <c r="CV87" s="255"/>
      <c r="CW87" s="255"/>
      <c r="CY87" s="255"/>
      <c r="CZ87" s="255"/>
      <c r="DA87" s="255"/>
      <c r="DB87" s="255"/>
      <c r="DD87" s="255"/>
      <c r="DE87" s="255"/>
      <c r="DF87" s="255"/>
      <c r="DG87" s="255"/>
      <c r="DI87" s="255"/>
      <c r="DJ87" s="255"/>
      <c r="DK87" s="255"/>
      <c r="DL87" s="255"/>
      <c r="DN87" s="255"/>
      <c r="DO87" s="255"/>
      <c r="DP87" s="255"/>
      <c r="DQ87" s="255"/>
      <c r="DS87" s="255"/>
      <c r="DT87" s="255"/>
      <c r="DU87" s="255"/>
      <c r="DV87" s="255"/>
      <c r="DX87" s="255"/>
      <c r="DY87" s="255"/>
      <c r="DZ87" s="255"/>
      <c r="EA87" s="255"/>
      <c r="EC87" s="255"/>
      <c r="ED87" s="255"/>
      <c r="EE87" s="255"/>
      <c r="EF87" s="255"/>
      <c r="EH87" s="255"/>
      <c r="EI87" s="255"/>
      <c r="EJ87" s="255"/>
      <c r="EK87" s="255"/>
    </row>
    <row r="88" spans="2:141" s="64" customFormat="1" outlineLevel="1">
      <c r="B88" s="104" t="s">
        <v>91</v>
      </c>
      <c r="C88" s="146"/>
      <c r="D88" s="146"/>
      <c r="E88" s="146"/>
      <c r="F88" s="146"/>
      <c r="H88" s="146"/>
      <c r="I88" s="146"/>
      <c r="J88" s="146"/>
      <c r="K88" s="146"/>
      <c r="M88" s="146"/>
      <c r="N88" s="146"/>
      <c r="O88" s="146"/>
      <c r="P88" s="146"/>
      <c r="R88" s="146"/>
      <c r="S88" s="146"/>
      <c r="T88" s="146"/>
      <c r="U88" s="146"/>
      <c r="W88" s="146"/>
      <c r="X88" s="146"/>
      <c r="Y88" s="146"/>
      <c r="Z88" s="146"/>
      <c r="AB88" s="146"/>
      <c r="AC88" s="146"/>
      <c r="AD88" s="146"/>
      <c r="AE88" s="146"/>
      <c r="AG88" s="146"/>
      <c r="AH88" s="146"/>
      <c r="AI88" s="146"/>
      <c r="AJ88" s="146"/>
      <c r="AL88" s="146"/>
      <c r="AM88" s="146"/>
      <c r="AN88" s="146"/>
      <c r="AO88" s="146"/>
      <c r="AQ88" s="146"/>
      <c r="AR88" s="146"/>
      <c r="AS88" s="146"/>
      <c r="AT88" s="146"/>
      <c r="AV88" s="255"/>
      <c r="AW88" s="255"/>
      <c r="AX88" s="255"/>
      <c r="AY88" s="255"/>
      <c r="BA88" s="255"/>
      <c r="BB88" s="255"/>
      <c r="BC88" s="255"/>
      <c r="BD88" s="255"/>
      <c r="BF88" s="255"/>
      <c r="BG88" s="255"/>
      <c r="BH88" s="255"/>
      <c r="BI88" s="255"/>
      <c r="BK88" s="255"/>
      <c r="BL88" s="255"/>
      <c r="BM88" s="255"/>
      <c r="BN88" s="255"/>
      <c r="BP88" s="255"/>
      <c r="BQ88" s="255"/>
      <c r="BR88" s="255"/>
      <c r="BS88" s="255"/>
      <c r="BU88" s="255"/>
      <c r="BV88" s="255"/>
      <c r="BW88" s="255"/>
      <c r="BX88" s="255"/>
      <c r="BZ88" s="255"/>
      <c r="CA88" s="255"/>
      <c r="CB88" s="255"/>
      <c r="CC88" s="255"/>
      <c r="CE88" s="255"/>
      <c r="CF88" s="255"/>
      <c r="CG88" s="255"/>
      <c r="CH88" s="255"/>
      <c r="CJ88" s="255"/>
      <c r="CK88" s="255"/>
      <c r="CL88" s="255"/>
      <c r="CM88" s="255"/>
      <c r="CO88" s="255"/>
      <c r="CP88" s="255"/>
      <c r="CQ88" s="255"/>
      <c r="CR88" s="255"/>
      <c r="CT88" s="255"/>
      <c r="CU88" s="255"/>
      <c r="CV88" s="255"/>
      <c r="CW88" s="255"/>
      <c r="CY88" s="255"/>
      <c r="CZ88" s="255"/>
      <c r="DA88" s="255"/>
      <c r="DB88" s="255"/>
      <c r="DD88" s="255"/>
      <c r="DE88" s="255"/>
      <c r="DF88" s="255"/>
      <c r="DG88" s="255"/>
      <c r="DI88" s="255"/>
      <c r="DJ88" s="255"/>
      <c r="DK88" s="255"/>
      <c r="DL88" s="255"/>
      <c r="DN88" s="255"/>
      <c r="DO88" s="255"/>
      <c r="DP88" s="255"/>
      <c r="DQ88" s="255"/>
      <c r="DS88" s="255"/>
      <c r="DT88" s="255"/>
      <c r="DU88" s="255"/>
      <c r="DV88" s="255"/>
      <c r="DX88" s="255"/>
      <c r="DY88" s="255"/>
      <c r="DZ88" s="255"/>
      <c r="EA88" s="255"/>
      <c r="EC88" s="255"/>
      <c r="ED88" s="255"/>
      <c r="EE88" s="255"/>
      <c r="EF88" s="255"/>
      <c r="EH88" s="255"/>
      <c r="EI88" s="255"/>
      <c r="EJ88" s="255"/>
      <c r="EK88" s="255"/>
    </row>
    <row r="89" spans="2:141" s="64" customFormat="1" outlineLevel="1">
      <c r="B89" s="285" t="s">
        <v>97</v>
      </c>
      <c r="C89" s="146"/>
      <c r="D89" s="146"/>
      <c r="E89" s="146"/>
      <c r="F89" s="146"/>
      <c r="H89" s="146"/>
      <c r="I89" s="146"/>
      <c r="J89" s="146"/>
      <c r="K89" s="146"/>
      <c r="L89" s="64">
        <v>494.73500000000001</v>
      </c>
      <c r="M89" s="146"/>
      <c r="N89" s="146"/>
      <c r="O89" s="146"/>
      <c r="P89" s="146"/>
      <c r="Q89" s="64">
        <v>561.36699999999996</v>
      </c>
      <c r="R89" s="146"/>
      <c r="S89" s="146"/>
      <c r="T89" s="146"/>
      <c r="U89" s="146"/>
      <c r="V89" s="64">
        <v>616.79999999999995</v>
      </c>
      <c r="W89" s="146"/>
      <c r="X89" s="146"/>
      <c r="Y89" s="146"/>
      <c r="Z89" s="146"/>
      <c r="AA89" s="64">
        <v>675.3</v>
      </c>
      <c r="AB89" s="146"/>
      <c r="AC89" s="146"/>
      <c r="AD89" s="146"/>
      <c r="AE89" s="146"/>
      <c r="AF89" s="64">
        <v>793.2</v>
      </c>
      <c r="AG89" s="146"/>
      <c r="AH89" s="146"/>
      <c r="AI89" s="146"/>
      <c r="AJ89" s="146"/>
      <c r="AK89" s="64">
        <v>839.2</v>
      </c>
      <c r="AL89" s="146"/>
      <c r="AM89" s="146"/>
      <c r="AN89" s="146"/>
      <c r="AO89" s="146"/>
      <c r="AP89" s="64">
        <v>906.3</v>
      </c>
      <c r="AQ89" s="146"/>
      <c r="AR89" s="146"/>
      <c r="AS89" s="146"/>
      <c r="AT89" s="146"/>
      <c r="AU89" s="64">
        <v>878.8</v>
      </c>
      <c r="AV89" s="255"/>
      <c r="AW89" s="255"/>
      <c r="AX89" s="255"/>
      <c r="AY89" s="255"/>
      <c r="AZ89" s="64">
        <v>1033.3</v>
      </c>
      <c r="BA89" s="255"/>
      <c r="BB89" s="255"/>
      <c r="BC89" s="255"/>
      <c r="BD89" s="255"/>
      <c r="BE89" s="64">
        <v>1087.3</v>
      </c>
      <c r="BF89" s="255"/>
      <c r="BG89" s="255"/>
      <c r="BH89" s="255"/>
      <c r="BI89" s="255"/>
      <c r="BJ89" s="64">
        <v>1117.0999999999999</v>
      </c>
      <c r="BK89" s="255"/>
      <c r="BL89" s="255"/>
      <c r="BM89" s="255"/>
      <c r="BN89" s="255"/>
      <c r="BP89" s="255"/>
      <c r="BQ89" s="255"/>
      <c r="BR89" s="255"/>
      <c r="BS89" s="255"/>
      <c r="BU89" s="255"/>
      <c r="BV89" s="255"/>
      <c r="BW89" s="255"/>
      <c r="BX89" s="255"/>
      <c r="BZ89" s="255"/>
      <c r="CA89" s="255"/>
      <c r="CB89" s="255"/>
      <c r="CC89" s="255"/>
      <c r="CE89" s="255"/>
      <c r="CF89" s="255"/>
      <c r="CG89" s="255"/>
      <c r="CH89" s="255"/>
      <c r="CJ89" s="255"/>
      <c r="CK89" s="255"/>
      <c r="CL89" s="255"/>
      <c r="CM89" s="255"/>
      <c r="CO89" s="255"/>
      <c r="CP89" s="255"/>
      <c r="CQ89" s="255"/>
      <c r="CR89" s="255"/>
      <c r="CT89" s="255"/>
      <c r="CU89" s="255"/>
      <c r="CV89" s="255"/>
      <c r="CW89" s="255"/>
      <c r="CY89" s="255"/>
      <c r="CZ89" s="255"/>
      <c r="DA89" s="255"/>
      <c r="DB89" s="255"/>
      <c r="DD89" s="255"/>
      <c r="DE89" s="255"/>
      <c r="DF89" s="255"/>
      <c r="DG89" s="255"/>
      <c r="DI89" s="255"/>
      <c r="DJ89" s="255"/>
      <c r="DK89" s="255"/>
      <c r="DL89" s="255"/>
      <c r="DN89" s="255"/>
      <c r="DO89" s="255"/>
      <c r="DP89" s="255"/>
      <c r="DQ89" s="255"/>
      <c r="DS89" s="255"/>
      <c r="DT89" s="255"/>
      <c r="DU89" s="255"/>
      <c r="DV89" s="255"/>
      <c r="DX89" s="255"/>
      <c r="DY89" s="255"/>
      <c r="DZ89" s="255"/>
      <c r="EA89" s="255"/>
      <c r="EC89" s="255"/>
      <c r="ED89" s="255"/>
      <c r="EE89" s="255"/>
      <c r="EF89" s="255"/>
      <c r="EH89" s="255"/>
      <c r="EI89" s="255"/>
      <c r="EJ89" s="255"/>
      <c r="EK89" s="255"/>
    </row>
    <row r="90" spans="2:141" s="64" customFormat="1" outlineLevel="1">
      <c r="B90" s="285" t="s">
        <v>108</v>
      </c>
      <c r="C90" s="146"/>
      <c r="D90" s="146"/>
      <c r="E90" s="146"/>
      <c r="F90" s="146"/>
      <c r="H90" s="146"/>
      <c r="I90" s="146"/>
      <c r="J90" s="146"/>
      <c r="K90" s="146"/>
      <c r="L90" s="64">
        <v>121.008</v>
      </c>
      <c r="M90" s="146"/>
      <c r="N90" s="146"/>
      <c r="O90" s="146"/>
      <c r="P90" s="146"/>
      <c r="Q90" s="64">
        <v>109.343</v>
      </c>
      <c r="R90" s="146"/>
      <c r="S90" s="146"/>
      <c r="T90" s="146"/>
      <c r="U90" s="146"/>
      <c r="V90" s="64">
        <v>150.19999999999999</v>
      </c>
      <c r="W90" s="146"/>
      <c r="X90" s="146"/>
      <c r="Y90" s="146"/>
      <c r="Z90" s="146"/>
      <c r="AA90" s="64">
        <v>200.2</v>
      </c>
      <c r="AB90" s="146"/>
      <c r="AC90" s="146"/>
      <c r="AD90" s="146"/>
      <c r="AE90" s="146"/>
      <c r="AF90" s="64">
        <v>272.3</v>
      </c>
      <c r="AG90" s="146"/>
      <c r="AH90" s="146"/>
      <c r="AI90" s="146"/>
      <c r="AJ90" s="146"/>
      <c r="AK90" s="64">
        <v>190.2</v>
      </c>
      <c r="AL90" s="146"/>
      <c r="AM90" s="146"/>
      <c r="AN90" s="146"/>
      <c r="AO90" s="146"/>
      <c r="AP90" s="64">
        <v>95.3</v>
      </c>
      <c r="AQ90" s="146"/>
      <c r="AR90" s="146"/>
      <c r="AS90" s="146"/>
      <c r="AT90" s="146"/>
      <c r="AU90" s="64">
        <v>29.9</v>
      </c>
      <c r="AV90" s="255"/>
      <c r="AW90" s="255"/>
      <c r="AX90" s="255"/>
      <c r="AY90" s="255"/>
      <c r="AZ90" s="64">
        <v>14.3</v>
      </c>
      <c r="BA90" s="255"/>
      <c r="BB90" s="255"/>
      <c r="BC90" s="255"/>
      <c r="BD90" s="255"/>
      <c r="BE90" s="64">
        <v>1.6</v>
      </c>
      <c r="BF90" s="255"/>
      <c r="BG90" s="255"/>
      <c r="BH90" s="255"/>
      <c r="BI90" s="255"/>
      <c r="BJ90" s="64">
        <v>7.7</v>
      </c>
      <c r="BK90" s="255"/>
      <c r="BL90" s="255"/>
      <c r="BM90" s="255"/>
      <c r="BN90" s="255"/>
      <c r="BP90" s="255"/>
      <c r="BQ90" s="255"/>
      <c r="BR90" s="255"/>
      <c r="BS90" s="255"/>
      <c r="BU90" s="255"/>
      <c r="BV90" s="255"/>
      <c r="BW90" s="255"/>
      <c r="BX90" s="255"/>
      <c r="BZ90" s="255"/>
      <c r="CA90" s="255"/>
      <c r="CB90" s="255"/>
      <c r="CC90" s="255"/>
      <c r="CE90" s="255"/>
      <c r="CF90" s="255"/>
      <c r="CG90" s="255"/>
      <c r="CH90" s="255"/>
      <c r="CJ90" s="255"/>
      <c r="CK90" s="255"/>
      <c r="CL90" s="255"/>
      <c r="CM90" s="255"/>
      <c r="CO90" s="255"/>
      <c r="CP90" s="255"/>
      <c r="CQ90" s="255"/>
      <c r="CR90" s="255"/>
      <c r="CT90" s="255"/>
      <c r="CU90" s="255"/>
      <c r="CV90" s="255"/>
      <c r="CW90" s="255"/>
      <c r="CY90" s="255"/>
      <c r="CZ90" s="255"/>
      <c r="DA90" s="255"/>
      <c r="DB90" s="255"/>
      <c r="DD90" s="255"/>
      <c r="DE90" s="255"/>
      <c r="DF90" s="255"/>
      <c r="DG90" s="255"/>
      <c r="DI90" s="255"/>
      <c r="DJ90" s="255"/>
      <c r="DK90" s="255"/>
      <c r="DL90" s="255"/>
      <c r="DN90" s="255"/>
      <c r="DO90" s="255"/>
      <c r="DP90" s="255"/>
      <c r="DQ90" s="255"/>
      <c r="DS90" s="255"/>
      <c r="DT90" s="255"/>
      <c r="DU90" s="255"/>
      <c r="DV90" s="255"/>
      <c r="DX90" s="255"/>
      <c r="DY90" s="255"/>
      <c r="DZ90" s="255"/>
      <c r="EA90" s="255"/>
      <c r="EC90" s="255"/>
      <c r="ED90" s="255"/>
      <c r="EE90" s="255"/>
      <c r="EF90" s="255"/>
      <c r="EH90" s="255"/>
      <c r="EI90" s="255"/>
      <c r="EJ90" s="255"/>
      <c r="EK90" s="255"/>
    </row>
    <row r="91" spans="2:141" s="64" customFormat="1" outlineLevel="1">
      <c r="B91" s="313" t="s">
        <v>89</v>
      </c>
      <c r="C91" s="146"/>
      <c r="D91" s="146"/>
      <c r="E91" s="146"/>
      <c r="F91" s="146"/>
      <c r="H91" s="146"/>
      <c r="I91" s="146"/>
      <c r="J91" s="146"/>
      <c r="K91" s="146"/>
      <c r="M91" s="146"/>
      <c r="N91" s="146"/>
      <c r="O91" s="146"/>
      <c r="P91" s="146"/>
      <c r="R91" s="146"/>
      <c r="S91" s="146"/>
      <c r="T91" s="146"/>
      <c r="U91" s="146"/>
      <c r="W91" s="146"/>
      <c r="X91" s="146"/>
      <c r="Y91" s="146"/>
      <c r="Z91" s="146"/>
      <c r="AB91" s="146"/>
      <c r="AC91" s="146"/>
      <c r="AD91" s="146"/>
      <c r="AE91" s="146"/>
      <c r="AG91" s="146"/>
      <c r="AH91" s="146"/>
      <c r="AI91" s="146"/>
      <c r="AJ91" s="146"/>
      <c r="AL91" s="146"/>
      <c r="AM91" s="146"/>
      <c r="AN91" s="146"/>
      <c r="AO91" s="146"/>
      <c r="AQ91" s="146"/>
      <c r="AR91" s="146"/>
      <c r="AS91" s="146"/>
      <c r="AT91" s="146"/>
      <c r="AV91" s="255"/>
      <c r="AW91" s="255"/>
      <c r="AX91" s="255"/>
      <c r="AY91" s="255"/>
      <c r="BA91" s="255"/>
      <c r="BB91" s="255"/>
      <c r="BC91" s="255"/>
      <c r="BD91" s="255"/>
      <c r="BE91" s="64">
        <v>0</v>
      </c>
      <c r="BF91" s="255"/>
      <c r="BG91" s="255"/>
      <c r="BH91" s="255"/>
      <c r="BI91" s="255"/>
      <c r="BJ91" s="64">
        <v>0</v>
      </c>
      <c r="BK91" s="255"/>
      <c r="BL91" s="255"/>
      <c r="BM91" s="255"/>
      <c r="BN91" s="255"/>
      <c r="BP91" s="255"/>
      <c r="BQ91" s="255"/>
      <c r="BR91" s="255"/>
      <c r="BS91" s="255"/>
      <c r="BU91" s="255"/>
      <c r="BV91" s="255"/>
      <c r="BW91" s="255"/>
      <c r="BX91" s="255"/>
      <c r="BZ91" s="255"/>
      <c r="CA91" s="255"/>
      <c r="CB91" s="255"/>
      <c r="CC91" s="255"/>
      <c r="CE91" s="255"/>
      <c r="CF91" s="255"/>
      <c r="CG91" s="255"/>
      <c r="CH91" s="255"/>
      <c r="CJ91" s="255"/>
      <c r="CK91" s="255"/>
      <c r="CL91" s="255"/>
      <c r="CM91" s="255"/>
      <c r="CO91" s="255"/>
      <c r="CP91" s="255"/>
      <c r="CQ91" s="255"/>
      <c r="CR91" s="255"/>
      <c r="CT91" s="255"/>
      <c r="CU91" s="255"/>
      <c r="CV91" s="255"/>
      <c r="CW91" s="255"/>
      <c r="CY91" s="255"/>
      <c r="CZ91" s="255"/>
      <c r="DA91" s="255"/>
      <c r="DB91" s="255"/>
      <c r="DD91" s="255"/>
      <c r="DE91" s="255"/>
      <c r="DF91" s="255"/>
      <c r="DG91" s="255"/>
      <c r="DI91" s="255"/>
      <c r="DJ91" s="255"/>
      <c r="DK91" s="255"/>
      <c r="DL91" s="255"/>
      <c r="DN91" s="255"/>
      <c r="DO91" s="255"/>
      <c r="DP91" s="255"/>
      <c r="DQ91" s="255"/>
      <c r="DS91" s="255"/>
      <c r="DT91" s="255"/>
      <c r="DU91" s="255"/>
      <c r="DV91" s="255"/>
      <c r="DX91" s="255"/>
      <c r="DY91" s="255"/>
      <c r="DZ91" s="255"/>
      <c r="EA91" s="255"/>
      <c r="EC91" s="255"/>
      <c r="ED91" s="255"/>
      <c r="EE91" s="255"/>
      <c r="EF91" s="255"/>
      <c r="EH91" s="255"/>
      <c r="EI91" s="255"/>
      <c r="EJ91" s="255"/>
      <c r="EK91" s="255"/>
    </row>
    <row r="92" spans="2:141" s="64" customFormat="1" outlineLevel="1">
      <c r="B92" s="285" t="s">
        <v>90</v>
      </c>
      <c r="C92" s="146"/>
      <c r="D92" s="146"/>
      <c r="E92" s="146"/>
      <c r="F92" s="146"/>
      <c r="H92" s="146"/>
      <c r="I92" s="146"/>
      <c r="J92" s="146"/>
      <c r="K92" s="146"/>
      <c r="M92" s="146"/>
      <c r="N92" s="146"/>
      <c r="O92" s="146"/>
      <c r="P92" s="146"/>
      <c r="Q92" s="64">
        <v>16.315000000000001</v>
      </c>
      <c r="R92" s="146"/>
      <c r="S92" s="146"/>
      <c r="T92" s="146"/>
      <c r="U92" s="146"/>
      <c r="V92" s="64">
        <v>16.7</v>
      </c>
      <c r="W92" s="146"/>
      <c r="X92" s="146"/>
      <c r="Y92" s="146"/>
      <c r="Z92" s="146"/>
      <c r="AA92" s="64">
        <v>18.100000000000001</v>
      </c>
      <c r="AB92" s="146"/>
      <c r="AC92" s="146"/>
      <c r="AD92" s="146"/>
      <c r="AE92" s="146"/>
      <c r="AF92" s="64">
        <v>21.7</v>
      </c>
      <c r="AG92" s="146"/>
      <c r="AH92" s="146"/>
      <c r="AI92" s="146"/>
      <c r="AJ92" s="146"/>
      <c r="AK92" s="64">
        <v>24.1</v>
      </c>
      <c r="AL92" s="146"/>
      <c r="AM92" s="146"/>
      <c r="AN92" s="146"/>
      <c r="AO92" s="146"/>
      <c r="AP92" s="64">
        <v>26</v>
      </c>
      <c r="AQ92" s="146"/>
      <c r="AR92" s="146"/>
      <c r="AS92" s="146"/>
      <c r="AT92" s="146"/>
      <c r="AU92" s="64">
        <v>30.7</v>
      </c>
      <c r="AV92" s="255"/>
      <c r="AW92" s="255"/>
      <c r="AX92" s="255"/>
      <c r="AY92" s="255"/>
      <c r="AZ92" s="64">
        <v>27.5</v>
      </c>
      <c r="BA92" s="255"/>
      <c r="BB92" s="255"/>
      <c r="BC92" s="255"/>
      <c r="BD92" s="255"/>
      <c r="BE92" s="64">
        <v>3.2</v>
      </c>
      <c r="BF92" s="255"/>
      <c r="BG92" s="255"/>
      <c r="BH92" s="255"/>
      <c r="BI92" s="255"/>
      <c r="BJ92" s="64">
        <v>0</v>
      </c>
      <c r="BK92" s="255"/>
      <c r="BL92" s="255"/>
      <c r="BM92" s="255"/>
      <c r="BN92" s="255"/>
      <c r="BP92" s="255"/>
      <c r="BQ92" s="255"/>
      <c r="BR92" s="255"/>
      <c r="BS92" s="255"/>
      <c r="BU92" s="255"/>
      <c r="BV92" s="255"/>
      <c r="BW92" s="255"/>
      <c r="BX92" s="255"/>
      <c r="BZ92" s="255"/>
      <c r="CA92" s="255"/>
      <c r="CB92" s="255"/>
      <c r="CC92" s="255"/>
      <c r="CE92" s="255"/>
      <c r="CF92" s="255"/>
      <c r="CG92" s="255"/>
      <c r="CH92" s="255"/>
      <c r="CJ92" s="255"/>
      <c r="CK92" s="255"/>
      <c r="CL92" s="255"/>
      <c r="CM92" s="255"/>
      <c r="CO92" s="255"/>
      <c r="CP92" s="255"/>
      <c r="CQ92" s="255"/>
      <c r="CR92" s="255"/>
      <c r="CT92" s="255"/>
      <c r="CU92" s="255"/>
      <c r="CV92" s="255"/>
      <c r="CW92" s="255"/>
      <c r="CY92" s="255"/>
      <c r="CZ92" s="255"/>
      <c r="DA92" s="255"/>
      <c r="DB92" s="255"/>
      <c r="DD92" s="255"/>
      <c r="DE92" s="255"/>
      <c r="DF92" s="255"/>
      <c r="DG92" s="255"/>
      <c r="DI92" s="255"/>
      <c r="DJ92" s="255"/>
      <c r="DK92" s="255"/>
      <c r="DL92" s="255"/>
      <c r="DN92" s="255"/>
      <c r="DO92" s="255"/>
      <c r="DP92" s="255"/>
      <c r="DQ92" s="255"/>
      <c r="DS92" s="255"/>
      <c r="DT92" s="255"/>
      <c r="DU92" s="255"/>
      <c r="DV92" s="255"/>
      <c r="DX92" s="255"/>
      <c r="DY92" s="255"/>
      <c r="DZ92" s="255"/>
      <c r="EA92" s="255"/>
      <c r="EC92" s="255"/>
      <c r="ED92" s="255"/>
      <c r="EE92" s="255"/>
      <c r="EF92" s="255"/>
      <c r="EH92" s="255"/>
      <c r="EI92" s="255"/>
      <c r="EJ92" s="255"/>
      <c r="EK92" s="255"/>
    </row>
    <row r="93" spans="2:141" s="64" customFormat="1" outlineLevel="1">
      <c r="B93" s="285" t="s">
        <v>75</v>
      </c>
      <c r="C93" s="146"/>
      <c r="D93" s="146"/>
      <c r="E93" s="146"/>
      <c r="F93" s="146"/>
      <c r="H93" s="146"/>
      <c r="I93" s="146"/>
      <c r="J93" s="146"/>
      <c r="K93" s="146"/>
      <c r="M93" s="146"/>
      <c r="N93" s="146"/>
      <c r="O93" s="146"/>
      <c r="P93" s="146"/>
      <c r="Q93" s="64">
        <v>21.856000000000002</v>
      </c>
      <c r="R93" s="146"/>
      <c r="S93" s="146"/>
      <c r="T93" s="146"/>
      <c r="U93" s="146"/>
      <c r="V93" s="64">
        <v>27.2</v>
      </c>
      <c r="W93" s="146"/>
      <c r="X93" s="146"/>
      <c r="Y93" s="146"/>
      <c r="Z93" s="146"/>
      <c r="AA93" s="64">
        <v>32.5</v>
      </c>
      <c r="AB93" s="146"/>
      <c r="AC93" s="146"/>
      <c r="AD93" s="146"/>
      <c r="AE93" s="146"/>
      <c r="AF93" s="64">
        <v>41</v>
      </c>
      <c r="AG93" s="146"/>
      <c r="AH93" s="146"/>
      <c r="AI93" s="146"/>
      <c r="AJ93" s="146"/>
      <c r="AK93" s="64">
        <v>41.4</v>
      </c>
      <c r="AL93" s="146"/>
      <c r="AM93" s="146"/>
      <c r="AN93" s="146"/>
      <c r="AO93" s="146"/>
      <c r="AP93" s="64">
        <v>49.6</v>
      </c>
      <c r="AQ93" s="146"/>
      <c r="AR93" s="146"/>
      <c r="AS93" s="146"/>
      <c r="AT93" s="146"/>
      <c r="AU93" s="64">
        <v>57.2</v>
      </c>
      <c r="AV93" s="255"/>
      <c r="AW93" s="255"/>
      <c r="AX93" s="255"/>
      <c r="AY93" s="255"/>
      <c r="AZ93" s="64">
        <v>62.8</v>
      </c>
      <c r="BA93" s="255"/>
      <c r="BB93" s="255"/>
      <c r="BC93" s="255"/>
      <c r="BD93" s="255"/>
      <c r="BE93" s="64">
        <v>33.9</v>
      </c>
      <c r="BF93" s="255"/>
      <c r="BG93" s="255"/>
      <c r="BH93" s="255"/>
      <c r="BI93" s="255"/>
      <c r="BJ93" s="64">
        <v>70.599999999999994</v>
      </c>
      <c r="BK93" s="255"/>
      <c r="BL93" s="255"/>
      <c r="BM93" s="255"/>
      <c r="BN93" s="255"/>
      <c r="BP93" s="255"/>
      <c r="BQ93" s="255"/>
      <c r="BR93" s="255"/>
      <c r="BS93" s="255"/>
      <c r="BU93" s="255"/>
      <c r="BV93" s="255"/>
      <c r="BW93" s="255"/>
      <c r="BX93" s="255"/>
      <c r="BZ93" s="255"/>
      <c r="CA93" s="255"/>
      <c r="CB93" s="255"/>
      <c r="CC93" s="255"/>
      <c r="CE93" s="255"/>
      <c r="CF93" s="255"/>
      <c r="CG93" s="255"/>
      <c r="CH93" s="255"/>
      <c r="CJ93" s="255"/>
      <c r="CK93" s="255"/>
      <c r="CL93" s="255"/>
      <c r="CM93" s="255"/>
      <c r="CO93" s="255"/>
      <c r="CP93" s="255"/>
      <c r="CQ93" s="255"/>
      <c r="CR93" s="255"/>
      <c r="CT93" s="255"/>
      <c r="CU93" s="255"/>
      <c r="CV93" s="255"/>
      <c r="CW93" s="255"/>
      <c r="CY93" s="255"/>
      <c r="CZ93" s="255"/>
      <c r="DA93" s="255"/>
      <c r="DB93" s="255"/>
      <c r="DD93" s="255"/>
      <c r="DE93" s="255"/>
      <c r="DF93" s="255"/>
      <c r="DG93" s="255"/>
      <c r="DI93" s="255"/>
      <c r="DJ93" s="255"/>
      <c r="DK93" s="255"/>
      <c r="DL93" s="255"/>
      <c r="DN93" s="255"/>
      <c r="DO93" s="255"/>
      <c r="DP93" s="255"/>
      <c r="DQ93" s="255"/>
      <c r="DS93" s="255"/>
      <c r="DT93" s="255"/>
      <c r="DU93" s="255"/>
      <c r="DV93" s="255"/>
      <c r="DX93" s="255"/>
      <c r="DY93" s="255"/>
      <c r="DZ93" s="255"/>
      <c r="EA93" s="255"/>
      <c r="EC93" s="255"/>
      <c r="ED93" s="255"/>
      <c r="EE93" s="255"/>
      <c r="EF93" s="255"/>
      <c r="EH93" s="255"/>
      <c r="EI93" s="255"/>
      <c r="EJ93" s="255"/>
      <c r="EK93" s="255"/>
    </row>
    <row r="94" spans="2:141" s="64" customFormat="1" outlineLevel="1">
      <c r="B94" s="314" t="s">
        <v>86</v>
      </c>
      <c r="C94" s="146"/>
      <c r="D94" s="146"/>
      <c r="E94" s="146"/>
      <c r="F94" s="146"/>
      <c r="H94" s="146"/>
      <c r="I94" s="146"/>
      <c r="J94" s="146"/>
      <c r="K94" s="146"/>
      <c r="L94" s="64">
        <f>SUM(L89:L93)</f>
        <v>615.74300000000005</v>
      </c>
      <c r="M94" s="146"/>
      <c r="N94" s="146"/>
      <c r="O94" s="146"/>
      <c r="P94" s="146"/>
      <c r="Q94" s="64">
        <f>SUM(Q89:Q93)</f>
        <v>708.88099999999997</v>
      </c>
      <c r="R94" s="146"/>
      <c r="S94" s="146"/>
      <c r="T94" s="146"/>
      <c r="U94" s="146"/>
      <c r="V94" s="64">
        <f>SUM(V89:V93)</f>
        <v>810.90000000000009</v>
      </c>
      <c r="W94" s="146"/>
      <c r="X94" s="146"/>
      <c r="Y94" s="146"/>
      <c r="Z94" s="146"/>
      <c r="AA94" s="64">
        <f>SUM(AA89:AA93)</f>
        <v>926.1</v>
      </c>
      <c r="AB94" s="146"/>
      <c r="AC94" s="146"/>
      <c r="AD94" s="146"/>
      <c r="AE94" s="146"/>
      <c r="AF94" s="64">
        <f>SUM(AF89:AF93)</f>
        <v>1128.2</v>
      </c>
      <c r="AG94" s="146"/>
      <c r="AH94" s="146"/>
      <c r="AI94" s="146"/>
      <c r="AJ94" s="146"/>
      <c r="AK94" s="64">
        <f>SUM(AK89:AK93)</f>
        <v>1094.9000000000001</v>
      </c>
      <c r="AL94" s="146"/>
      <c r="AM94" s="146"/>
      <c r="AN94" s="146"/>
      <c r="AO94" s="146"/>
      <c r="AP94" s="64">
        <f>SUM(AP89:AP93)</f>
        <v>1077.1999999999998</v>
      </c>
      <c r="AQ94" s="146"/>
      <c r="AR94" s="146"/>
      <c r="AS94" s="146"/>
      <c r="AT94" s="146"/>
      <c r="AU94" s="64">
        <f>SUM(AU89:AU93)</f>
        <v>996.6</v>
      </c>
      <c r="AV94" s="255"/>
      <c r="AW94" s="255"/>
      <c r="AX94" s="255"/>
      <c r="AY94" s="255"/>
      <c r="AZ94" s="64">
        <f>SUM(AZ89:AZ93)</f>
        <v>1137.8999999999999</v>
      </c>
      <c r="BA94" s="255"/>
      <c r="BB94" s="255"/>
      <c r="BC94" s="255"/>
      <c r="BD94" s="255"/>
      <c r="BE94" s="64">
        <f>SUM(BE89:BE93)</f>
        <v>1126</v>
      </c>
      <c r="BF94" s="255"/>
      <c r="BG94" s="255"/>
      <c r="BH94" s="255"/>
      <c r="BI94" s="255"/>
      <c r="BJ94" s="64">
        <f>SUM(BJ89:BJ93)</f>
        <v>1195.3999999999999</v>
      </c>
      <c r="BK94" s="255"/>
      <c r="BL94" s="255"/>
      <c r="BM94" s="255"/>
      <c r="BN94" s="255"/>
      <c r="BP94" s="255"/>
      <c r="BQ94" s="255"/>
      <c r="BR94" s="255"/>
      <c r="BS94" s="255"/>
      <c r="BU94" s="255"/>
      <c r="BV94" s="255"/>
      <c r="BW94" s="255"/>
      <c r="BX94" s="255"/>
      <c r="BZ94" s="255"/>
      <c r="CA94" s="255"/>
      <c r="CB94" s="255"/>
      <c r="CC94" s="255"/>
      <c r="CE94" s="255"/>
      <c r="CF94" s="255"/>
      <c r="CG94" s="255"/>
      <c r="CH94" s="255"/>
      <c r="CJ94" s="255"/>
      <c r="CK94" s="255"/>
      <c r="CL94" s="255"/>
      <c r="CM94" s="255"/>
      <c r="CO94" s="255"/>
      <c r="CP94" s="255"/>
      <c r="CQ94" s="255"/>
      <c r="CR94" s="255"/>
      <c r="CT94" s="255"/>
      <c r="CU94" s="255"/>
      <c r="CV94" s="255"/>
      <c r="CW94" s="255"/>
      <c r="CY94" s="255"/>
      <c r="CZ94" s="255"/>
      <c r="DA94" s="255"/>
      <c r="DB94" s="255"/>
      <c r="DD94" s="255"/>
      <c r="DE94" s="255"/>
      <c r="DF94" s="255"/>
      <c r="DG94" s="255"/>
      <c r="DI94" s="255"/>
      <c r="DJ94" s="255"/>
      <c r="DK94" s="255"/>
      <c r="DL94" s="255"/>
      <c r="DN94" s="255"/>
      <c r="DO94" s="255"/>
      <c r="DP94" s="255"/>
      <c r="DQ94" s="255"/>
      <c r="DS94" s="255"/>
      <c r="DT94" s="255"/>
      <c r="DU94" s="255"/>
      <c r="DV94" s="255"/>
      <c r="DX94" s="255"/>
      <c r="DY94" s="255"/>
      <c r="DZ94" s="255"/>
      <c r="EA94" s="255"/>
      <c r="EC94" s="255"/>
      <c r="ED94" s="255"/>
      <c r="EE94" s="255"/>
      <c r="EF94" s="255"/>
      <c r="EH94" s="255"/>
      <c r="EI94" s="255"/>
      <c r="EJ94" s="255"/>
      <c r="EK94" s="255"/>
    </row>
    <row r="95" spans="2:141" s="64" customFormat="1" outlineLevel="1">
      <c r="B95" s="104" t="s">
        <v>92</v>
      </c>
      <c r="C95" s="146"/>
      <c r="D95" s="146"/>
      <c r="E95" s="146"/>
      <c r="F95" s="146"/>
      <c r="H95" s="146"/>
      <c r="I95" s="146"/>
      <c r="J95" s="146"/>
      <c r="K95" s="146"/>
      <c r="M95" s="146"/>
      <c r="N95" s="146"/>
      <c r="O95" s="146"/>
      <c r="P95" s="146"/>
      <c r="R95" s="146"/>
      <c r="S95" s="146"/>
      <c r="T95" s="146"/>
      <c r="U95" s="146"/>
      <c r="W95" s="146"/>
      <c r="X95" s="146"/>
      <c r="Y95" s="146"/>
      <c r="Z95" s="146"/>
      <c r="AB95" s="146"/>
      <c r="AC95" s="146"/>
      <c r="AD95" s="146"/>
      <c r="AE95" s="146"/>
      <c r="AG95" s="146"/>
      <c r="AH95" s="146"/>
      <c r="AI95" s="146"/>
      <c r="AJ95" s="146"/>
      <c r="AL95" s="146"/>
      <c r="AM95" s="146"/>
      <c r="AN95" s="146"/>
      <c r="AO95" s="146"/>
      <c r="AQ95" s="146"/>
      <c r="AR95" s="146"/>
      <c r="AS95" s="146"/>
      <c r="AT95" s="146"/>
      <c r="AV95" s="255"/>
      <c r="AW95" s="255"/>
      <c r="AX95" s="255"/>
      <c r="AY95" s="255"/>
      <c r="BA95" s="255"/>
      <c r="BB95" s="255"/>
      <c r="BC95" s="255"/>
      <c r="BD95" s="255"/>
      <c r="BF95" s="255"/>
      <c r="BG95" s="255"/>
      <c r="BH95" s="255"/>
      <c r="BI95" s="255"/>
      <c r="BK95" s="255"/>
      <c r="BL95" s="255"/>
      <c r="BM95" s="255"/>
      <c r="BN95" s="255"/>
      <c r="BP95" s="255"/>
      <c r="BQ95" s="255"/>
      <c r="BR95" s="255"/>
      <c r="BS95" s="255"/>
      <c r="BU95" s="255"/>
      <c r="BV95" s="255"/>
      <c r="BW95" s="255"/>
      <c r="BX95" s="255"/>
      <c r="BZ95" s="255"/>
      <c r="CA95" s="255"/>
      <c r="CB95" s="255"/>
      <c r="CC95" s="255"/>
      <c r="CE95" s="255"/>
      <c r="CF95" s="255"/>
      <c r="CG95" s="255"/>
      <c r="CH95" s="255"/>
      <c r="CJ95" s="255"/>
      <c r="CK95" s="255"/>
      <c r="CL95" s="255"/>
      <c r="CM95" s="255"/>
      <c r="CO95" s="255"/>
      <c r="CP95" s="255"/>
      <c r="CQ95" s="255"/>
      <c r="CR95" s="255"/>
      <c r="CT95" s="255"/>
      <c r="CU95" s="255"/>
      <c r="CV95" s="255"/>
      <c r="CW95" s="255"/>
      <c r="CY95" s="255"/>
      <c r="CZ95" s="255"/>
      <c r="DA95" s="255"/>
      <c r="DB95" s="255"/>
      <c r="DD95" s="255"/>
      <c r="DE95" s="255"/>
      <c r="DF95" s="255"/>
      <c r="DG95" s="255"/>
      <c r="DI95" s="255"/>
      <c r="DJ95" s="255"/>
      <c r="DK95" s="255"/>
      <c r="DL95" s="255"/>
      <c r="DN95" s="255"/>
      <c r="DO95" s="255"/>
      <c r="DP95" s="255"/>
      <c r="DQ95" s="255"/>
      <c r="DS95" s="255"/>
      <c r="DT95" s="255"/>
      <c r="DU95" s="255"/>
      <c r="DV95" s="255"/>
      <c r="DX95" s="255"/>
      <c r="DY95" s="255"/>
      <c r="DZ95" s="255"/>
      <c r="EA95" s="255"/>
      <c r="EC95" s="255"/>
      <c r="ED95" s="255"/>
      <c r="EE95" s="255"/>
      <c r="EF95" s="255"/>
      <c r="EH95" s="255"/>
      <c r="EI95" s="255"/>
      <c r="EJ95" s="255"/>
      <c r="EK95" s="255"/>
    </row>
    <row r="96" spans="2:141" s="64" customFormat="1" outlineLevel="1">
      <c r="B96" s="285" t="s">
        <v>97</v>
      </c>
      <c r="C96" s="146"/>
      <c r="D96" s="146"/>
      <c r="E96" s="146"/>
      <c r="F96" s="146"/>
      <c r="H96" s="146"/>
      <c r="I96" s="146"/>
      <c r="J96" s="146"/>
      <c r="K96" s="146"/>
      <c r="L96" s="64">
        <v>61.957000000000001</v>
      </c>
      <c r="M96" s="146"/>
      <c r="N96" s="146"/>
      <c r="O96" s="146"/>
      <c r="P96" s="146"/>
      <c r="Q96" s="64">
        <v>64.075000000000003</v>
      </c>
      <c r="R96" s="146"/>
      <c r="S96" s="146"/>
      <c r="T96" s="146"/>
      <c r="U96" s="146"/>
      <c r="V96" s="64">
        <v>61.4</v>
      </c>
      <c r="W96" s="146"/>
      <c r="X96" s="146"/>
      <c r="Y96" s="146"/>
      <c r="Z96" s="146"/>
      <c r="AA96" s="64">
        <v>78.099999999999994</v>
      </c>
      <c r="AB96" s="146"/>
      <c r="AC96" s="146"/>
      <c r="AD96" s="146"/>
      <c r="AE96" s="146"/>
      <c r="AF96" s="64">
        <v>96.5</v>
      </c>
      <c r="AG96" s="146"/>
      <c r="AH96" s="146"/>
      <c r="AI96" s="146"/>
      <c r="AJ96" s="146"/>
      <c r="AK96" s="64">
        <v>102.8</v>
      </c>
      <c r="AL96" s="146"/>
      <c r="AM96" s="146"/>
      <c r="AN96" s="146"/>
      <c r="AO96" s="146"/>
      <c r="AP96" s="64">
        <v>136</v>
      </c>
      <c r="AQ96" s="146"/>
      <c r="AR96" s="146"/>
      <c r="AS96" s="146"/>
      <c r="AT96" s="146"/>
      <c r="AU96" s="64">
        <v>187</v>
      </c>
      <c r="AV96" s="255"/>
      <c r="AW96" s="255"/>
      <c r="AX96" s="255"/>
      <c r="AY96" s="255"/>
      <c r="AZ96" s="64">
        <v>170.2</v>
      </c>
      <c r="BA96" s="255"/>
      <c r="BB96" s="255"/>
      <c r="BC96" s="255"/>
      <c r="BD96" s="255"/>
      <c r="BE96" s="64">
        <v>193.5</v>
      </c>
      <c r="BF96" s="255"/>
      <c r="BG96" s="255"/>
      <c r="BH96" s="255"/>
      <c r="BI96" s="255"/>
      <c r="BJ96" s="64">
        <v>212.6</v>
      </c>
      <c r="BK96" s="255"/>
      <c r="BL96" s="255"/>
      <c r="BM96" s="255"/>
      <c r="BN96" s="255"/>
      <c r="BP96" s="255"/>
      <c r="BQ96" s="255"/>
      <c r="BR96" s="255"/>
      <c r="BS96" s="255"/>
      <c r="BU96" s="255"/>
      <c r="BV96" s="255"/>
      <c r="BW96" s="255"/>
      <c r="BX96" s="255"/>
      <c r="BZ96" s="255"/>
      <c r="CA96" s="255"/>
      <c r="CB96" s="255"/>
      <c r="CC96" s="255"/>
      <c r="CE96" s="255"/>
      <c r="CF96" s="255"/>
      <c r="CG96" s="255"/>
      <c r="CH96" s="255"/>
      <c r="CJ96" s="255"/>
      <c r="CK96" s="255"/>
      <c r="CL96" s="255"/>
      <c r="CM96" s="255"/>
      <c r="CO96" s="255"/>
      <c r="CP96" s="255"/>
      <c r="CQ96" s="255"/>
      <c r="CR96" s="255"/>
      <c r="CT96" s="255"/>
      <c r="CU96" s="255"/>
      <c r="CV96" s="255"/>
      <c r="CW96" s="255"/>
      <c r="CY96" s="255"/>
      <c r="CZ96" s="255"/>
      <c r="DA96" s="255"/>
      <c r="DB96" s="255"/>
      <c r="DD96" s="255"/>
      <c r="DE96" s="255"/>
      <c r="DF96" s="255"/>
      <c r="DG96" s="255"/>
      <c r="DI96" s="255"/>
      <c r="DJ96" s="255"/>
      <c r="DK96" s="255"/>
      <c r="DL96" s="255"/>
      <c r="DN96" s="255"/>
      <c r="DO96" s="255"/>
      <c r="DP96" s="255"/>
      <c r="DQ96" s="255"/>
      <c r="DS96" s="255"/>
      <c r="DT96" s="255"/>
      <c r="DU96" s="255"/>
      <c r="DV96" s="255"/>
      <c r="DX96" s="255"/>
      <c r="DY96" s="255"/>
      <c r="DZ96" s="255"/>
      <c r="EA96" s="255"/>
      <c r="EC96" s="255"/>
      <c r="ED96" s="255"/>
      <c r="EE96" s="255"/>
      <c r="EF96" s="255"/>
      <c r="EH96" s="255"/>
      <c r="EI96" s="255"/>
      <c r="EJ96" s="255"/>
      <c r="EK96" s="255"/>
    </row>
    <row r="97" spans="2:142" s="64" customFormat="1" outlineLevel="1">
      <c r="B97" s="285" t="s">
        <v>108</v>
      </c>
      <c r="C97" s="146"/>
      <c r="D97" s="146"/>
      <c r="E97" s="146"/>
      <c r="F97" s="146"/>
      <c r="H97" s="146"/>
      <c r="I97" s="146"/>
      <c r="J97" s="146"/>
      <c r="K97" s="146"/>
      <c r="L97" s="64">
        <v>25.388999999999999</v>
      </c>
      <c r="M97" s="146"/>
      <c r="N97" s="146"/>
      <c r="O97" s="146"/>
      <c r="P97" s="146"/>
      <c r="Q97" s="64">
        <v>21.434000000000001</v>
      </c>
      <c r="R97" s="146"/>
      <c r="S97" s="146"/>
      <c r="T97" s="146"/>
      <c r="U97" s="146"/>
      <c r="V97" s="64">
        <v>18.899999999999999</v>
      </c>
      <c r="W97" s="146"/>
      <c r="X97" s="146"/>
      <c r="Y97" s="146"/>
      <c r="Z97" s="146"/>
      <c r="AA97" s="64">
        <v>27</v>
      </c>
      <c r="AB97" s="146"/>
      <c r="AC97" s="146"/>
      <c r="AD97" s="146"/>
      <c r="AE97" s="146"/>
      <c r="AF97" s="64">
        <v>32.799999999999997</v>
      </c>
      <c r="AG97" s="146"/>
      <c r="AH97" s="146"/>
      <c r="AI97" s="146"/>
      <c r="AJ97" s="146"/>
      <c r="AK97" s="64">
        <v>26.2</v>
      </c>
      <c r="AL97" s="146"/>
      <c r="AM97" s="146"/>
      <c r="AN97" s="146"/>
      <c r="AO97" s="146"/>
      <c r="AP97" s="64">
        <v>32.6</v>
      </c>
      <c r="AQ97" s="146"/>
      <c r="AR97" s="146"/>
      <c r="AS97" s="146"/>
      <c r="AT97" s="146"/>
      <c r="AU97" s="64">
        <v>28.3</v>
      </c>
      <c r="AV97" s="255"/>
      <c r="AW97" s="255"/>
      <c r="AX97" s="255"/>
      <c r="AY97" s="255"/>
      <c r="AZ97" s="64">
        <v>27.9</v>
      </c>
      <c r="BA97" s="255"/>
      <c r="BB97" s="255"/>
      <c r="BC97" s="255"/>
      <c r="BD97" s="255"/>
      <c r="BE97" s="64">
        <v>26.1</v>
      </c>
      <c r="BF97" s="255"/>
      <c r="BG97" s="255"/>
      <c r="BH97" s="255"/>
      <c r="BI97" s="255"/>
      <c r="BJ97" s="64">
        <v>31.6</v>
      </c>
      <c r="BK97" s="255"/>
      <c r="BL97" s="255"/>
      <c r="BM97" s="255"/>
      <c r="BN97" s="255"/>
      <c r="BP97" s="255"/>
      <c r="BQ97" s="255"/>
      <c r="BR97" s="255"/>
      <c r="BS97" s="255"/>
      <c r="BU97" s="255"/>
      <c r="BV97" s="255"/>
      <c r="BW97" s="255"/>
      <c r="BX97" s="255"/>
      <c r="BZ97" s="255"/>
      <c r="CA97" s="255"/>
      <c r="CB97" s="255"/>
      <c r="CC97" s="255"/>
      <c r="CE97" s="255"/>
      <c r="CF97" s="255"/>
      <c r="CG97" s="255"/>
      <c r="CH97" s="255"/>
      <c r="CJ97" s="255"/>
      <c r="CK97" s="255"/>
      <c r="CL97" s="255"/>
      <c r="CM97" s="255"/>
      <c r="CO97" s="255"/>
      <c r="CP97" s="255"/>
      <c r="CQ97" s="255"/>
      <c r="CR97" s="255"/>
      <c r="CT97" s="255"/>
      <c r="CU97" s="255"/>
      <c r="CV97" s="255"/>
      <c r="CW97" s="255"/>
      <c r="CY97" s="255"/>
      <c r="CZ97" s="255"/>
      <c r="DA97" s="255"/>
      <c r="DB97" s="255"/>
      <c r="DD97" s="255"/>
      <c r="DE97" s="255"/>
      <c r="DF97" s="255"/>
      <c r="DG97" s="255"/>
      <c r="DI97" s="255"/>
      <c r="DJ97" s="255"/>
      <c r="DK97" s="255"/>
      <c r="DL97" s="255"/>
      <c r="DN97" s="255"/>
      <c r="DO97" s="255"/>
      <c r="DP97" s="255"/>
      <c r="DQ97" s="255"/>
      <c r="DS97" s="255"/>
      <c r="DT97" s="255"/>
      <c r="DU97" s="255"/>
      <c r="DV97" s="255"/>
      <c r="DX97" s="255"/>
      <c r="DY97" s="255"/>
      <c r="DZ97" s="255"/>
      <c r="EA97" s="255"/>
      <c r="EC97" s="255"/>
      <c r="ED97" s="255"/>
      <c r="EE97" s="255"/>
      <c r="EF97" s="255"/>
      <c r="EH97" s="255"/>
      <c r="EI97" s="255"/>
      <c r="EJ97" s="255"/>
      <c r="EK97" s="255"/>
    </row>
    <row r="98" spans="2:142" s="64" customFormat="1" outlineLevel="1">
      <c r="B98" s="313" t="s">
        <v>89</v>
      </c>
      <c r="C98" s="146"/>
      <c r="D98" s="146"/>
      <c r="E98" s="146"/>
      <c r="F98" s="146"/>
      <c r="H98" s="146"/>
      <c r="I98" s="146"/>
      <c r="J98" s="146"/>
      <c r="K98" s="146"/>
      <c r="M98" s="146"/>
      <c r="N98" s="146"/>
      <c r="O98" s="146"/>
      <c r="P98" s="146"/>
      <c r="R98" s="146"/>
      <c r="S98" s="146"/>
      <c r="T98" s="146"/>
      <c r="U98" s="146"/>
      <c r="W98" s="146"/>
      <c r="X98" s="146"/>
      <c r="Y98" s="146"/>
      <c r="Z98" s="146"/>
      <c r="AA98" s="64">
        <v>0.4</v>
      </c>
      <c r="AB98" s="146"/>
      <c r="AC98" s="146"/>
      <c r="AD98" s="146"/>
      <c r="AE98" s="146"/>
      <c r="AF98" s="64">
        <v>0.3</v>
      </c>
      <c r="AG98" s="146"/>
      <c r="AH98" s="146"/>
      <c r="AI98" s="146"/>
      <c r="AJ98" s="146"/>
      <c r="AK98" s="64">
        <v>0.5</v>
      </c>
      <c r="AL98" s="146"/>
      <c r="AM98" s="146"/>
      <c r="AN98" s="146"/>
      <c r="AO98" s="146"/>
      <c r="AP98" s="64">
        <v>0.5</v>
      </c>
      <c r="AQ98" s="146"/>
      <c r="AR98" s="146"/>
      <c r="AS98" s="146"/>
      <c r="AT98" s="146"/>
      <c r="AU98" s="64">
        <v>0.6</v>
      </c>
      <c r="AV98" s="255"/>
      <c r="AW98" s="255"/>
      <c r="AX98" s="255"/>
      <c r="AY98" s="255"/>
      <c r="AZ98" s="64">
        <v>1.1000000000000001</v>
      </c>
      <c r="BA98" s="255"/>
      <c r="BB98" s="255"/>
      <c r="BC98" s="255"/>
      <c r="BD98" s="255"/>
      <c r="BE98" s="64">
        <v>1.2</v>
      </c>
      <c r="BF98" s="255"/>
      <c r="BG98" s="255"/>
      <c r="BH98" s="255"/>
      <c r="BI98" s="255"/>
      <c r="BJ98" s="64">
        <v>1.8</v>
      </c>
      <c r="BK98" s="255"/>
      <c r="BL98" s="255"/>
      <c r="BM98" s="255"/>
      <c r="BN98" s="255"/>
      <c r="BP98" s="255"/>
      <c r="BQ98" s="255"/>
      <c r="BR98" s="255"/>
      <c r="BS98" s="255"/>
      <c r="BU98" s="255"/>
      <c r="BV98" s="255"/>
      <c r="BW98" s="255"/>
      <c r="BX98" s="255"/>
      <c r="BZ98" s="255"/>
      <c r="CA98" s="255"/>
      <c r="CB98" s="255"/>
      <c r="CC98" s="255"/>
      <c r="CE98" s="255"/>
      <c r="CF98" s="255"/>
      <c r="CG98" s="255"/>
      <c r="CH98" s="255"/>
      <c r="CJ98" s="255"/>
      <c r="CK98" s="255"/>
      <c r="CL98" s="255"/>
      <c r="CM98" s="255"/>
      <c r="CO98" s="255"/>
      <c r="CP98" s="255"/>
      <c r="CQ98" s="255"/>
      <c r="CR98" s="255"/>
      <c r="CT98" s="255"/>
      <c r="CU98" s="255"/>
      <c r="CV98" s="255"/>
      <c r="CW98" s="255"/>
      <c r="CY98" s="255"/>
      <c r="CZ98" s="255"/>
      <c r="DA98" s="255"/>
      <c r="DB98" s="255"/>
      <c r="DD98" s="255"/>
      <c r="DE98" s="255"/>
      <c r="DF98" s="255"/>
      <c r="DG98" s="255"/>
      <c r="DI98" s="255"/>
      <c r="DJ98" s="255"/>
      <c r="DK98" s="255"/>
      <c r="DL98" s="255"/>
      <c r="DN98" s="255"/>
      <c r="DO98" s="255"/>
      <c r="DP98" s="255"/>
      <c r="DQ98" s="255"/>
      <c r="DS98" s="255"/>
      <c r="DT98" s="255"/>
      <c r="DU98" s="255"/>
      <c r="DV98" s="255"/>
      <c r="DX98" s="255"/>
      <c r="DY98" s="255"/>
      <c r="DZ98" s="255"/>
      <c r="EA98" s="255"/>
      <c r="EC98" s="255"/>
      <c r="ED98" s="255"/>
      <c r="EE98" s="255"/>
      <c r="EF98" s="255"/>
      <c r="EH98" s="255"/>
      <c r="EI98" s="255"/>
      <c r="EJ98" s="255"/>
      <c r="EK98" s="255"/>
    </row>
    <row r="99" spans="2:142" s="64" customFormat="1" outlineLevel="1">
      <c r="B99" s="285" t="s">
        <v>90</v>
      </c>
      <c r="C99" s="146"/>
      <c r="D99" s="146"/>
      <c r="E99" s="146"/>
      <c r="F99" s="146"/>
      <c r="H99" s="146"/>
      <c r="I99" s="146"/>
      <c r="J99" s="146"/>
      <c r="K99" s="146"/>
      <c r="L99" s="64">
        <v>10.584</v>
      </c>
      <c r="M99" s="146"/>
      <c r="N99" s="146"/>
      <c r="O99" s="146"/>
      <c r="P99" s="146"/>
      <c r="Q99" s="64">
        <v>10.218999999999999</v>
      </c>
      <c r="R99" s="146"/>
      <c r="S99" s="146"/>
      <c r="T99" s="146"/>
      <c r="U99" s="146"/>
      <c r="V99" s="64">
        <v>10.5</v>
      </c>
      <c r="W99" s="146"/>
      <c r="X99" s="146"/>
      <c r="Y99" s="146"/>
      <c r="Z99" s="146"/>
      <c r="AA99" s="64">
        <v>3.2</v>
      </c>
      <c r="AB99" s="146"/>
      <c r="AC99" s="146"/>
      <c r="AD99" s="146"/>
      <c r="AE99" s="146"/>
      <c r="AG99" s="146"/>
      <c r="AH99" s="146"/>
      <c r="AI99" s="146"/>
      <c r="AJ99" s="146"/>
      <c r="AL99" s="146"/>
      <c r="AM99" s="146"/>
      <c r="AN99" s="146"/>
      <c r="AO99" s="146"/>
      <c r="AQ99" s="146"/>
      <c r="AR99" s="146"/>
      <c r="AS99" s="146"/>
      <c r="AT99" s="146"/>
      <c r="AV99" s="255"/>
      <c r="AW99" s="255"/>
      <c r="AX99" s="255"/>
      <c r="AY99" s="255"/>
      <c r="AZ99" s="64">
        <v>13.3</v>
      </c>
      <c r="BA99" s="255"/>
      <c r="BB99" s="255"/>
      <c r="BC99" s="255"/>
      <c r="BD99" s="255"/>
      <c r="BE99" s="64">
        <v>43.1</v>
      </c>
      <c r="BF99" s="255"/>
      <c r="BG99" s="255"/>
      <c r="BH99" s="255"/>
      <c r="BI99" s="255"/>
      <c r="BJ99" s="64">
        <v>58.5</v>
      </c>
      <c r="BK99" s="255"/>
      <c r="BL99" s="255"/>
      <c r="BM99" s="255"/>
      <c r="BN99" s="255"/>
      <c r="BP99" s="255"/>
      <c r="BQ99" s="255"/>
      <c r="BR99" s="255"/>
      <c r="BS99" s="255"/>
      <c r="BU99" s="255"/>
      <c r="BV99" s="255"/>
      <c r="BW99" s="255"/>
      <c r="BX99" s="255"/>
      <c r="BZ99" s="255"/>
      <c r="CA99" s="255"/>
      <c r="CB99" s="255"/>
      <c r="CC99" s="255"/>
      <c r="CE99" s="255"/>
      <c r="CF99" s="255"/>
      <c r="CG99" s="255"/>
      <c r="CH99" s="255"/>
      <c r="CJ99" s="255"/>
      <c r="CK99" s="255"/>
      <c r="CL99" s="255"/>
      <c r="CM99" s="255"/>
      <c r="CO99" s="255"/>
      <c r="CP99" s="255"/>
      <c r="CQ99" s="255"/>
      <c r="CR99" s="255"/>
      <c r="CT99" s="255"/>
      <c r="CU99" s="255"/>
      <c r="CV99" s="255"/>
      <c r="CW99" s="255"/>
      <c r="CY99" s="255"/>
      <c r="CZ99" s="255"/>
      <c r="DA99" s="255"/>
      <c r="DB99" s="255"/>
      <c r="DD99" s="255"/>
      <c r="DE99" s="255"/>
      <c r="DF99" s="255"/>
      <c r="DG99" s="255"/>
      <c r="DI99" s="255"/>
      <c r="DJ99" s="255"/>
      <c r="DK99" s="255"/>
      <c r="DL99" s="255"/>
      <c r="DN99" s="255"/>
      <c r="DO99" s="255"/>
      <c r="DP99" s="255"/>
      <c r="DQ99" s="255"/>
      <c r="DS99" s="255"/>
      <c r="DT99" s="255"/>
      <c r="DU99" s="255"/>
      <c r="DV99" s="255"/>
      <c r="DX99" s="255"/>
      <c r="DY99" s="255"/>
      <c r="DZ99" s="255"/>
      <c r="EA99" s="255"/>
      <c r="EC99" s="255"/>
      <c r="ED99" s="255"/>
      <c r="EE99" s="255"/>
      <c r="EF99" s="255"/>
      <c r="EH99" s="255"/>
      <c r="EI99" s="255"/>
      <c r="EJ99" s="255"/>
      <c r="EK99" s="255"/>
    </row>
    <row r="100" spans="2:142" s="64" customFormat="1" outlineLevel="1">
      <c r="B100" s="285" t="s">
        <v>75</v>
      </c>
      <c r="C100" s="146"/>
      <c r="D100" s="146"/>
      <c r="E100" s="146"/>
      <c r="F100" s="146"/>
      <c r="H100" s="146"/>
      <c r="I100" s="146"/>
      <c r="J100" s="146"/>
      <c r="K100" s="146"/>
      <c r="L100" s="64">
        <v>1.0149999999999999</v>
      </c>
      <c r="M100" s="146"/>
      <c r="N100" s="146"/>
      <c r="O100" s="146"/>
      <c r="P100" s="146"/>
      <c r="Q100" s="64">
        <v>0.88700000000000001</v>
      </c>
      <c r="R100" s="146"/>
      <c r="S100" s="146"/>
      <c r="T100" s="146"/>
      <c r="U100" s="146"/>
      <c r="W100" s="146"/>
      <c r="X100" s="146"/>
      <c r="Y100" s="146"/>
      <c r="Z100" s="146"/>
      <c r="AB100" s="146"/>
      <c r="AC100" s="146"/>
      <c r="AD100" s="146"/>
      <c r="AE100" s="146"/>
      <c r="AG100" s="146"/>
      <c r="AH100" s="146"/>
      <c r="AI100" s="146"/>
      <c r="AJ100" s="146"/>
      <c r="AL100" s="146"/>
      <c r="AM100" s="146"/>
      <c r="AN100" s="146"/>
      <c r="AO100" s="146"/>
      <c r="AQ100" s="146"/>
      <c r="AR100" s="146"/>
      <c r="AS100" s="146"/>
      <c r="AT100" s="146"/>
      <c r="AV100" s="255"/>
      <c r="AW100" s="255"/>
      <c r="AX100" s="255"/>
      <c r="AY100" s="255"/>
      <c r="BA100" s="255"/>
      <c r="BB100" s="255"/>
      <c r="BC100" s="255"/>
      <c r="BD100" s="255"/>
      <c r="BE100" s="64">
        <v>0</v>
      </c>
      <c r="BF100" s="255"/>
      <c r="BG100" s="255"/>
      <c r="BH100" s="255"/>
      <c r="BI100" s="255"/>
      <c r="BJ100" s="64">
        <v>0</v>
      </c>
      <c r="BK100" s="255"/>
      <c r="BL100" s="255"/>
      <c r="BM100" s="255"/>
      <c r="BN100" s="255"/>
      <c r="BP100" s="255"/>
      <c r="BQ100" s="255"/>
      <c r="BR100" s="255"/>
      <c r="BS100" s="255"/>
      <c r="BU100" s="255"/>
      <c r="BV100" s="255"/>
      <c r="BW100" s="255"/>
      <c r="BX100" s="255"/>
      <c r="BZ100" s="255"/>
      <c r="CA100" s="255"/>
      <c r="CB100" s="255"/>
      <c r="CC100" s="255"/>
      <c r="CE100" s="255"/>
      <c r="CF100" s="255"/>
      <c r="CG100" s="255"/>
      <c r="CH100" s="255"/>
      <c r="CJ100" s="255"/>
      <c r="CK100" s="255"/>
      <c r="CL100" s="255"/>
      <c r="CM100" s="255"/>
      <c r="CO100" s="255"/>
      <c r="CP100" s="255"/>
      <c r="CQ100" s="255"/>
      <c r="CR100" s="255"/>
      <c r="CT100" s="255"/>
      <c r="CU100" s="255"/>
      <c r="CV100" s="255"/>
      <c r="CW100" s="255"/>
      <c r="CY100" s="255"/>
      <c r="CZ100" s="255"/>
      <c r="DA100" s="255"/>
      <c r="DB100" s="255"/>
      <c r="DD100" s="255"/>
      <c r="DE100" s="255"/>
      <c r="DF100" s="255"/>
      <c r="DG100" s="255"/>
      <c r="DI100" s="255"/>
      <c r="DJ100" s="255"/>
      <c r="DK100" s="255"/>
      <c r="DL100" s="255"/>
      <c r="DN100" s="255"/>
      <c r="DO100" s="255"/>
      <c r="DP100" s="255"/>
      <c r="DQ100" s="255"/>
      <c r="DS100" s="255"/>
      <c r="DT100" s="255"/>
      <c r="DU100" s="255"/>
      <c r="DV100" s="255"/>
      <c r="DX100" s="255"/>
      <c r="DY100" s="255"/>
      <c r="DZ100" s="255"/>
      <c r="EA100" s="255"/>
      <c r="EC100" s="255"/>
      <c r="ED100" s="255"/>
      <c r="EE100" s="255"/>
      <c r="EF100" s="255"/>
      <c r="EH100" s="255"/>
      <c r="EI100" s="255"/>
      <c r="EJ100" s="255"/>
      <c r="EK100" s="255"/>
    </row>
    <row r="101" spans="2:142" s="64" customFormat="1" outlineLevel="1">
      <c r="B101" s="314" t="s">
        <v>86</v>
      </c>
      <c r="C101" s="146"/>
      <c r="D101" s="146"/>
      <c r="E101" s="146"/>
      <c r="F101" s="146"/>
      <c r="H101" s="146"/>
      <c r="I101" s="146"/>
      <c r="J101" s="146"/>
      <c r="K101" s="146"/>
      <c r="L101" s="64">
        <f>SUM(L96:L100)</f>
        <v>98.945000000000007</v>
      </c>
      <c r="M101" s="146"/>
      <c r="N101" s="146"/>
      <c r="O101" s="146"/>
      <c r="P101" s="146"/>
      <c r="Q101" s="64">
        <f>SUM(Q96:Q100)</f>
        <v>96.614999999999995</v>
      </c>
      <c r="R101" s="146"/>
      <c r="S101" s="146"/>
      <c r="T101" s="146"/>
      <c r="U101" s="146"/>
      <c r="V101" s="64">
        <f>SUM(V96:V100)</f>
        <v>90.8</v>
      </c>
      <c r="W101" s="146"/>
      <c r="X101" s="146"/>
      <c r="Y101" s="146"/>
      <c r="Z101" s="146"/>
      <c r="AA101" s="64">
        <f>SUM(AA96:AA100)</f>
        <v>108.7</v>
      </c>
      <c r="AB101" s="146"/>
      <c r="AC101" s="146"/>
      <c r="AD101" s="146"/>
      <c r="AE101" s="146"/>
      <c r="AF101" s="64">
        <f>SUM(AF96:AF100)</f>
        <v>129.60000000000002</v>
      </c>
      <c r="AG101" s="146"/>
      <c r="AH101" s="146"/>
      <c r="AI101" s="146"/>
      <c r="AJ101" s="146"/>
      <c r="AK101" s="64">
        <f>SUM(AK96:AK100)</f>
        <v>129.5</v>
      </c>
      <c r="AL101" s="146"/>
      <c r="AM101" s="146"/>
      <c r="AN101" s="146"/>
      <c r="AO101" s="146"/>
      <c r="AP101" s="64">
        <f>SUM(AP96:AP100)</f>
        <v>169.1</v>
      </c>
      <c r="AQ101" s="146"/>
      <c r="AR101" s="146"/>
      <c r="AS101" s="146"/>
      <c r="AT101" s="146"/>
      <c r="AU101" s="64">
        <f>SUM(AU96:AU100)</f>
        <v>215.9</v>
      </c>
      <c r="AV101" s="255"/>
      <c r="AW101" s="255"/>
      <c r="AX101" s="255"/>
      <c r="AY101" s="255"/>
      <c r="AZ101" s="64">
        <f>SUM(AZ96:AZ100)</f>
        <v>212.5</v>
      </c>
      <c r="BA101" s="255"/>
      <c r="BB101" s="255"/>
      <c r="BC101" s="255"/>
      <c r="BD101" s="255"/>
      <c r="BE101" s="64">
        <f>SUM(BE96:BE100)</f>
        <v>263.89999999999998</v>
      </c>
      <c r="BF101" s="255"/>
      <c r="BG101" s="255"/>
      <c r="BH101" s="255"/>
      <c r="BI101" s="255"/>
      <c r="BJ101" s="64">
        <f>SUM(BJ96:BJ100)</f>
        <v>304.5</v>
      </c>
      <c r="BK101" s="255"/>
      <c r="BL101" s="255"/>
      <c r="BM101" s="255"/>
      <c r="BN101" s="255"/>
      <c r="BP101" s="255"/>
      <c r="BQ101" s="255"/>
      <c r="BR101" s="255"/>
      <c r="BS101" s="255"/>
      <c r="BU101" s="255"/>
      <c r="BV101" s="255"/>
      <c r="BW101" s="255"/>
      <c r="BX101" s="255"/>
      <c r="BZ101" s="255"/>
      <c r="CA101" s="255"/>
      <c r="CB101" s="255"/>
      <c r="CC101" s="255"/>
      <c r="CE101" s="255"/>
      <c r="CF101" s="255"/>
      <c r="CG101" s="255"/>
      <c r="CH101" s="255"/>
      <c r="CJ101" s="255"/>
      <c r="CK101" s="255"/>
      <c r="CL101" s="255"/>
      <c r="CM101" s="255"/>
      <c r="CO101" s="255"/>
      <c r="CP101" s="255"/>
      <c r="CQ101" s="255"/>
      <c r="CR101" s="255"/>
      <c r="CT101" s="255"/>
      <c r="CU101" s="255"/>
      <c r="CV101" s="255"/>
      <c r="CW101" s="255"/>
      <c r="CY101" s="255"/>
      <c r="CZ101" s="255"/>
      <c r="DA101" s="255"/>
      <c r="DB101" s="255"/>
      <c r="DD101" s="255"/>
      <c r="DE101" s="255"/>
      <c r="DF101" s="255"/>
      <c r="DG101" s="255"/>
      <c r="DI101" s="255"/>
      <c r="DJ101" s="255"/>
      <c r="DK101" s="255"/>
      <c r="DL101" s="255"/>
      <c r="DN101" s="255"/>
      <c r="DO101" s="255"/>
      <c r="DP101" s="255"/>
      <c r="DQ101" s="255"/>
      <c r="DS101" s="255"/>
      <c r="DT101" s="255"/>
      <c r="DU101" s="255"/>
      <c r="DV101" s="255"/>
      <c r="DX101" s="255"/>
      <c r="DY101" s="255"/>
      <c r="DZ101" s="255"/>
      <c r="EA101" s="255"/>
      <c r="EC101" s="255"/>
      <c r="ED101" s="255"/>
      <c r="EE101" s="255"/>
      <c r="EF101" s="255"/>
      <c r="EH101" s="255"/>
      <c r="EI101" s="255"/>
      <c r="EJ101" s="255"/>
      <c r="EK101" s="255"/>
    </row>
    <row r="102" spans="2:142">
      <c r="C102" s="175"/>
      <c r="D102" s="175"/>
      <c r="E102" s="175"/>
      <c r="F102" s="175"/>
      <c r="H102" s="175"/>
      <c r="I102" s="175"/>
      <c r="J102" s="175"/>
      <c r="K102" s="175"/>
      <c r="M102" s="175"/>
      <c r="N102" s="175"/>
      <c r="O102" s="175"/>
      <c r="P102" s="175"/>
      <c r="R102" s="175"/>
      <c r="S102" s="175"/>
      <c r="T102" s="175"/>
      <c r="U102" s="175"/>
      <c r="W102" s="175"/>
      <c r="X102" s="175"/>
      <c r="Y102" s="175"/>
      <c r="Z102" s="175"/>
      <c r="AB102" s="175"/>
      <c r="AC102" s="175"/>
      <c r="AD102" s="175"/>
      <c r="AE102" s="175"/>
      <c r="AG102" s="175"/>
      <c r="AH102" s="175"/>
      <c r="AI102" s="175"/>
      <c r="AJ102" s="175"/>
      <c r="AL102" s="175"/>
      <c r="AM102" s="175"/>
      <c r="AN102" s="175"/>
      <c r="AO102" s="175"/>
      <c r="AQ102" s="175"/>
      <c r="AR102" s="175"/>
      <c r="AS102" s="175"/>
      <c r="AT102" s="175"/>
      <c r="AV102" s="276"/>
      <c r="AW102" s="276"/>
      <c r="AX102" s="276"/>
      <c r="AY102" s="276"/>
      <c r="BA102" s="276"/>
      <c r="BB102" s="276"/>
      <c r="BC102" s="276"/>
      <c r="BD102" s="276"/>
      <c r="BF102" s="276"/>
      <c r="BG102" s="276"/>
      <c r="BH102" s="276"/>
      <c r="BI102" s="276"/>
      <c r="BK102" s="276"/>
      <c r="BL102" s="276"/>
      <c r="BM102" s="276"/>
      <c r="BN102" s="276"/>
      <c r="BP102" s="276"/>
      <c r="BQ102" s="276"/>
      <c r="BR102" s="276"/>
      <c r="BS102" s="276"/>
      <c r="BU102" s="276"/>
      <c r="BV102" s="276"/>
      <c r="BW102" s="276"/>
      <c r="BX102" s="276"/>
      <c r="BZ102" s="276"/>
      <c r="CA102" s="276"/>
      <c r="CB102" s="276"/>
      <c r="CC102" s="276"/>
      <c r="CE102" s="276"/>
      <c r="CF102" s="276"/>
      <c r="CG102" s="276"/>
      <c r="CH102" s="276"/>
      <c r="CJ102" s="276"/>
      <c r="CK102" s="276"/>
      <c r="CL102" s="276"/>
      <c r="CM102" s="276"/>
      <c r="CO102" s="276"/>
      <c r="CP102" s="276"/>
      <c r="CQ102" s="276"/>
      <c r="CR102" s="276"/>
      <c r="CT102" s="276"/>
      <c r="CU102" s="276"/>
      <c r="CV102" s="276"/>
      <c r="CW102" s="276"/>
      <c r="CY102" s="276"/>
      <c r="CZ102" s="276"/>
      <c r="DA102" s="276"/>
      <c r="DB102" s="276"/>
      <c r="DD102" s="276"/>
      <c r="DE102" s="276"/>
      <c r="DF102" s="276"/>
      <c r="DG102" s="276"/>
      <c r="DI102" s="276"/>
      <c r="DJ102" s="276"/>
      <c r="DK102" s="276"/>
      <c r="DL102" s="276"/>
      <c r="DN102" s="276"/>
      <c r="DO102" s="276"/>
      <c r="DP102" s="276"/>
      <c r="DQ102" s="276"/>
      <c r="DS102" s="276"/>
      <c r="DT102" s="276"/>
      <c r="DU102" s="276"/>
      <c r="DV102" s="276"/>
      <c r="DX102" s="276"/>
      <c r="DY102" s="276"/>
      <c r="DZ102" s="276"/>
      <c r="EA102" s="276"/>
      <c r="EC102" s="276"/>
      <c r="ED102" s="276"/>
      <c r="EE102" s="276"/>
      <c r="EF102" s="276"/>
      <c r="EH102" s="276"/>
      <c r="EI102" s="276"/>
      <c r="EJ102" s="276"/>
      <c r="EK102" s="276"/>
    </row>
    <row r="104" spans="2:142">
      <c r="B104" s="185" t="s">
        <v>553</v>
      </c>
      <c r="C104" s="186"/>
      <c r="D104" s="186"/>
      <c r="E104" s="186"/>
      <c r="F104" s="186"/>
      <c r="G104" s="186"/>
      <c r="H104" s="186"/>
      <c r="I104" s="186"/>
      <c r="J104" s="186"/>
      <c r="K104" s="186"/>
      <c r="L104" s="186"/>
      <c r="M104" s="186"/>
      <c r="N104" s="186"/>
      <c r="O104" s="186"/>
      <c r="P104" s="186"/>
      <c r="Q104" s="186"/>
      <c r="R104" s="186"/>
      <c r="S104" s="186"/>
      <c r="T104" s="186"/>
      <c r="U104" s="186"/>
      <c r="V104" s="186"/>
      <c r="W104" s="186"/>
      <c r="X104" s="186"/>
      <c r="Y104" s="186"/>
      <c r="Z104" s="186"/>
      <c r="AA104" s="186"/>
      <c r="AB104" s="186"/>
      <c r="AC104" s="186"/>
      <c r="AD104" s="186"/>
      <c r="AE104" s="186"/>
      <c r="AF104" s="186"/>
      <c r="AG104" s="186"/>
      <c r="AH104" s="186"/>
      <c r="AI104" s="186"/>
      <c r="AJ104" s="186"/>
      <c r="AK104" s="186"/>
      <c r="AL104" s="186"/>
      <c r="AM104" s="186"/>
      <c r="AN104" s="186"/>
      <c r="AO104" s="186"/>
      <c r="AP104" s="186"/>
      <c r="AQ104" s="186"/>
      <c r="AR104" s="186"/>
      <c r="AS104" s="186"/>
      <c r="AT104" s="186"/>
      <c r="AU104" s="186"/>
      <c r="AV104" s="186"/>
      <c r="AW104" s="186"/>
      <c r="AX104" s="186"/>
      <c r="AY104" s="186"/>
      <c r="AZ104" s="186"/>
      <c r="BA104" s="186"/>
      <c r="BB104" s="186"/>
      <c r="BC104" s="186"/>
      <c r="BD104" s="186"/>
      <c r="BE104" s="186"/>
      <c r="BF104" s="186"/>
      <c r="BG104" s="186"/>
      <c r="BH104" s="186"/>
      <c r="BI104" s="186"/>
      <c r="BJ104" s="186"/>
      <c r="BK104" s="186"/>
      <c r="BL104" s="186"/>
      <c r="BM104" s="186"/>
      <c r="BN104" s="186"/>
      <c r="BO104" s="186"/>
      <c r="BP104" s="186"/>
      <c r="BQ104" s="186"/>
      <c r="BR104" s="186"/>
      <c r="BS104" s="186"/>
      <c r="BT104" s="186"/>
      <c r="BU104" s="186"/>
      <c r="BV104" s="186"/>
      <c r="BW104" s="186"/>
      <c r="BX104" s="186"/>
      <c r="BY104" s="186"/>
      <c r="BZ104" s="186"/>
      <c r="CA104" s="186"/>
      <c r="CB104" s="186"/>
      <c r="CC104" s="186"/>
      <c r="CD104" s="186"/>
      <c r="CE104" s="186"/>
      <c r="CF104" s="186"/>
      <c r="CG104" s="186"/>
      <c r="CH104" s="186"/>
      <c r="CI104" s="186"/>
      <c r="CJ104" s="186"/>
      <c r="CK104" s="186"/>
      <c r="CL104" s="186"/>
      <c r="CM104" s="186"/>
      <c r="CN104" s="186"/>
      <c r="CO104" s="186"/>
      <c r="CP104" s="186"/>
      <c r="CQ104" s="186"/>
      <c r="CR104" s="186"/>
      <c r="CS104" s="186"/>
      <c r="CT104" s="186"/>
      <c r="CU104" s="186"/>
      <c r="CV104" s="186"/>
      <c r="CW104" s="186"/>
      <c r="CX104" s="186"/>
      <c r="CY104" s="186"/>
      <c r="CZ104" s="186"/>
      <c r="DA104" s="186"/>
      <c r="DB104" s="186"/>
      <c r="DC104" s="186"/>
      <c r="DD104" s="186"/>
      <c r="DE104" s="186"/>
      <c r="DF104" s="186"/>
      <c r="DG104" s="186"/>
      <c r="DH104" s="186"/>
      <c r="DI104" s="186"/>
      <c r="DJ104" s="186"/>
      <c r="DK104" s="186"/>
      <c r="DL104" s="186"/>
      <c r="DM104" s="186"/>
      <c r="DN104" s="186"/>
      <c r="DO104" s="186"/>
      <c r="DP104" s="186"/>
      <c r="DQ104" s="186"/>
      <c r="DR104" s="186"/>
      <c r="DS104" s="186"/>
      <c r="DT104" s="186"/>
      <c r="DU104" s="186"/>
      <c r="DV104" s="186"/>
      <c r="DW104" s="186"/>
      <c r="DX104" s="186"/>
      <c r="DY104" s="186"/>
      <c r="DZ104" s="186"/>
      <c r="EA104" s="186"/>
      <c r="EB104" s="186"/>
      <c r="EC104" s="186"/>
      <c r="ED104" s="186"/>
      <c r="EE104" s="186"/>
      <c r="EF104" s="186"/>
      <c r="EG104" s="186"/>
      <c r="EH104" s="186"/>
      <c r="EI104" s="186"/>
      <c r="EJ104" s="186"/>
      <c r="EK104" s="186"/>
      <c r="EL104" s="186"/>
    </row>
    <row r="105" spans="2:142">
      <c r="B105" s="1" t="s">
        <v>249</v>
      </c>
      <c r="BA105" s="187"/>
      <c r="BB105" s="187">
        <v>0.18</v>
      </c>
      <c r="BC105" s="68">
        <f t="shared" ref="BC105:BD107" si="56">BB105</f>
        <v>0.18</v>
      </c>
      <c r="BD105" s="68">
        <f t="shared" si="56"/>
        <v>0.18</v>
      </c>
      <c r="BF105" s="68">
        <f>BD105</f>
        <v>0.18</v>
      </c>
      <c r="BG105" s="68">
        <f>BF105</f>
        <v>0.18</v>
      </c>
      <c r="BH105" s="68">
        <f>BG105</f>
        <v>0.18</v>
      </c>
      <c r="BI105" s="68">
        <v>0.18</v>
      </c>
      <c r="BJ105" s="68">
        <f>BJ115/BJ4</f>
        <v>0.18019932588846316</v>
      </c>
      <c r="BK105" s="68">
        <f>$BO$105</f>
        <v>0.18019932588846316</v>
      </c>
      <c r="BL105" s="68">
        <f t="shared" ref="BL105:BN105" si="57">$BO$105</f>
        <v>0.18019932588846316</v>
      </c>
      <c r="BM105" s="68">
        <f t="shared" si="57"/>
        <v>0.18019932588846316</v>
      </c>
      <c r="BN105" s="68">
        <f t="shared" si="57"/>
        <v>0.18019932588846316</v>
      </c>
      <c r="BO105" s="68">
        <f>BJ105</f>
        <v>0.18019932588846316</v>
      </c>
      <c r="BP105" s="68">
        <v>0.18</v>
      </c>
      <c r="BQ105" s="441">
        <f>BP105</f>
        <v>0.18</v>
      </c>
      <c r="BR105" s="68">
        <f>BQ105+4%</f>
        <v>0.22</v>
      </c>
      <c r="BS105" s="68">
        <f t="shared" ref="BS105" si="58">BR105</f>
        <v>0.22</v>
      </c>
      <c r="BT105" s="68">
        <f>BT115/BT4</f>
        <v>0.19998425872925013</v>
      </c>
      <c r="BU105" s="68">
        <v>0.22500000000000001</v>
      </c>
      <c r="BV105" s="21">
        <f>BU105</f>
        <v>0.22500000000000001</v>
      </c>
      <c r="BW105" s="21">
        <f t="shared" ref="BW105:BX105" si="59">BV105</f>
        <v>0.22500000000000001</v>
      </c>
      <c r="BX105" s="21">
        <f t="shared" si="59"/>
        <v>0.22500000000000001</v>
      </c>
      <c r="BY105" s="68">
        <f>BY115/BY4</f>
        <v>0.22500000000000006</v>
      </c>
      <c r="BZ105" s="68">
        <f>CD105</f>
        <v>0.22500000000000006</v>
      </c>
      <c r="CA105" s="68">
        <f>CD105</f>
        <v>0.22500000000000006</v>
      </c>
      <c r="CB105" s="68">
        <f>CD105</f>
        <v>0.22500000000000006</v>
      </c>
      <c r="CC105" s="68">
        <f>CD105</f>
        <v>0.22500000000000006</v>
      </c>
      <c r="CD105" s="68">
        <f>BY105</f>
        <v>0.22500000000000006</v>
      </c>
      <c r="CI105" s="68">
        <f>CD105</f>
        <v>0.22500000000000006</v>
      </c>
      <c r="CN105" s="68">
        <f>CI105</f>
        <v>0.22500000000000006</v>
      </c>
      <c r="CS105" s="68">
        <f>CN105</f>
        <v>0.22500000000000006</v>
      </c>
      <c r="CX105" s="68">
        <f>CS105</f>
        <v>0.22500000000000006</v>
      </c>
      <c r="DC105" s="68">
        <f>CX105</f>
        <v>0.22500000000000006</v>
      </c>
      <c r="DH105" s="68">
        <f>DC105</f>
        <v>0.22500000000000006</v>
      </c>
      <c r="DM105" s="68">
        <f>DH105</f>
        <v>0.22500000000000006</v>
      </c>
      <c r="DR105" s="68">
        <f>DM105</f>
        <v>0.22500000000000006</v>
      </c>
      <c r="DW105" s="68">
        <f>DR105</f>
        <v>0.22500000000000006</v>
      </c>
      <c r="EB105" s="68">
        <f>DW105</f>
        <v>0.22500000000000006</v>
      </c>
      <c r="EG105" s="68">
        <f>EB105</f>
        <v>0.22500000000000006</v>
      </c>
      <c r="EL105" s="68">
        <f>EG105</f>
        <v>0.22500000000000006</v>
      </c>
    </row>
    <row r="106" spans="2:142">
      <c r="B106" s="1" t="s">
        <v>227</v>
      </c>
      <c r="BA106" s="187"/>
      <c r="BB106" s="187">
        <v>0.2</v>
      </c>
      <c r="BC106" s="68">
        <f t="shared" si="56"/>
        <v>0.2</v>
      </c>
      <c r="BD106" s="68">
        <f t="shared" si="56"/>
        <v>0.2</v>
      </c>
      <c r="BF106" s="68">
        <v>0.21</v>
      </c>
      <c r="BG106" s="68">
        <v>0.19</v>
      </c>
      <c r="BH106" s="68">
        <f>BG106</f>
        <v>0.19</v>
      </c>
      <c r="BI106" s="68">
        <f t="shared" ref="BI106" si="60">BH106</f>
        <v>0.19</v>
      </c>
      <c r="BJ106" s="68">
        <f>BJ116/BJ8</f>
        <v>0.19450109760466025</v>
      </c>
      <c r="BK106" s="71">
        <f>$BO$106</f>
        <v>0.17800109760466026</v>
      </c>
      <c r="BL106" s="71">
        <f t="shared" ref="BL106:BN106" si="61">$BO$106</f>
        <v>0.17800109760466026</v>
      </c>
      <c r="BM106" s="71">
        <f t="shared" si="61"/>
        <v>0.17800109760466026</v>
      </c>
      <c r="BN106" s="71">
        <f t="shared" si="61"/>
        <v>0.17800109760466026</v>
      </c>
      <c r="BO106" s="71">
        <f>BJ106-0.0165</f>
        <v>0.17800109760466026</v>
      </c>
      <c r="BP106" s="68">
        <f t="shared" ref="BP106:BP107" si="62">BT106</f>
        <v>0.17050109760466026</v>
      </c>
      <c r="BQ106" s="68">
        <f t="shared" ref="BQ106:BS106" si="63">BP106</f>
        <v>0.17050109760466026</v>
      </c>
      <c r="BR106" s="68">
        <f t="shared" si="63"/>
        <v>0.17050109760466026</v>
      </c>
      <c r="BS106" s="68">
        <f t="shared" si="63"/>
        <v>0.17050109760466026</v>
      </c>
      <c r="BT106" s="71">
        <f>BO106-0.0075</f>
        <v>0.17050109760466026</v>
      </c>
      <c r="BU106" s="71">
        <v>0.17249999999999999</v>
      </c>
      <c r="BV106" s="21">
        <f>BU106</f>
        <v>0.17249999999999999</v>
      </c>
      <c r="BW106" s="21">
        <f t="shared" ref="BW106:BX106" si="64">BV106</f>
        <v>0.17249999999999999</v>
      </c>
      <c r="BX106" s="21">
        <f t="shared" si="64"/>
        <v>0.17249999999999999</v>
      </c>
      <c r="BY106" s="68">
        <f>BT106-0.0075</f>
        <v>0.16300109760466025</v>
      </c>
      <c r="BZ106" s="71">
        <f t="shared" ref="BZ106:BZ107" si="65">CD106</f>
        <v>0.15300109760466024</v>
      </c>
      <c r="CA106" s="68">
        <f t="shared" ref="CA106:CA107" si="66">CD106</f>
        <v>0.15300109760466024</v>
      </c>
      <c r="CB106" s="68">
        <f t="shared" ref="CB106:CB107" si="67">CD106</f>
        <v>0.15300109760466024</v>
      </c>
      <c r="CC106" s="68">
        <f t="shared" ref="CC106:CC111" si="68">CD106</f>
        <v>0.15300109760466024</v>
      </c>
      <c r="CD106" s="68">
        <f>BY106-0.01</f>
        <v>0.15300109760466024</v>
      </c>
      <c r="CE106" s="71"/>
      <c r="CF106" s="71"/>
      <c r="CG106" s="71"/>
      <c r="CH106" s="71"/>
      <c r="CI106" s="71">
        <f>CD106-0.0075</f>
        <v>0.14550109760466023</v>
      </c>
      <c r="CJ106" s="71"/>
      <c r="CK106" s="71"/>
      <c r="CL106" s="71"/>
      <c r="CM106" s="71"/>
      <c r="CN106" s="71">
        <f>CI106-0.0075</f>
        <v>0.13800109760466023</v>
      </c>
      <c r="CO106" s="71"/>
      <c r="CP106" s="71"/>
      <c r="CQ106" s="71"/>
      <c r="CR106" s="71"/>
      <c r="CS106" s="398">
        <f>CN106</f>
        <v>0.13800109760466023</v>
      </c>
      <c r="CT106" s="71"/>
      <c r="CU106" s="71"/>
      <c r="CV106" s="71"/>
      <c r="CW106" s="71"/>
      <c r="CX106" s="71">
        <f>CS106</f>
        <v>0.13800109760466023</v>
      </c>
      <c r="CY106" s="71"/>
      <c r="CZ106" s="71"/>
      <c r="DA106" s="71"/>
      <c r="DB106" s="71"/>
      <c r="DC106" s="71">
        <f>CX106</f>
        <v>0.13800109760466023</v>
      </c>
      <c r="DD106" s="71"/>
      <c r="DE106" s="71"/>
      <c r="DF106" s="71"/>
      <c r="DG106" s="71"/>
      <c r="DH106" s="71">
        <f>DC106</f>
        <v>0.13800109760466023</v>
      </c>
      <c r="DI106" s="71"/>
      <c r="DJ106" s="71"/>
      <c r="DK106" s="71"/>
      <c r="DL106" s="71"/>
      <c r="DM106" s="71">
        <f>DH106</f>
        <v>0.13800109760466023</v>
      </c>
      <c r="DN106" s="71"/>
      <c r="DO106" s="71"/>
      <c r="DP106" s="71"/>
      <c r="DQ106" s="71"/>
      <c r="DR106" s="71">
        <f>DM106</f>
        <v>0.13800109760466023</v>
      </c>
      <c r="DS106" s="71"/>
      <c r="DT106" s="71"/>
      <c r="DU106" s="71"/>
      <c r="DV106" s="71"/>
      <c r="DW106" s="71">
        <f>DR106</f>
        <v>0.13800109760466023</v>
      </c>
      <c r="DX106" s="71"/>
      <c r="DY106" s="71"/>
      <c r="DZ106" s="71"/>
      <c r="EA106" s="71"/>
      <c r="EB106" s="71">
        <f>DW106</f>
        <v>0.13800109760466023</v>
      </c>
      <c r="EC106" s="71"/>
      <c r="ED106" s="71"/>
      <c r="EE106" s="71"/>
      <c r="EF106" s="71"/>
      <c r="EG106" s="71">
        <f>EB106</f>
        <v>0.13800109760466023</v>
      </c>
      <c r="EH106" s="71"/>
      <c r="EI106" s="71"/>
      <c r="EJ106" s="71"/>
      <c r="EK106" s="71"/>
      <c r="EL106" s="71">
        <f>EG106</f>
        <v>0.13800109760466023</v>
      </c>
    </row>
    <row r="107" spans="2:142">
      <c r="B107" s="1" t="s">
        <v>87</v>
      </c>
      <c r="BA107" s="187"/>
      <c r="BB107" s="187">
        <v>0.09</v>
      </c>
      <c r="BC107" s="68">
        <f t="shared" si="56"/>
        <v>0.09</v>
      </c>
      <c r="BD107" s="68">
        <f t="shared" si="56"/>
        <v>0.09</v>
      </c>
      <c r="BF107" s="68">
        <f t="shared" ref="BF107" si="69">BD107</f>
        <v>0.09</v>
      </c>
      <c r="BG107" s="68">
        <v>7.4999999999999997E-2</v>
      </c>
      <c r="BH107" s="68">
        <v>8.5000000000000006E-2</v>
      </c>
      <c r="BI107" s="68">
        <v>0.06</v>
      </c>
      <c r="BJ107" s="68">
        <f>BJ117/BJ12</f>
        <v>7.5590144544345539E-2</v>
      </c>
      <c r="BK107" s="68">
        <v>9.7500000000000003E-2</v>
      </c>
      <c r="BL107" s="68">
        <v>6.9500000000000006E-2</v>
      </c>
      <c r="BM107" s="68">
        <v>6.5000000000000002E-2</v>
      </c>
      <c r="BN107" s="68">
        <v>7.0000000000000007E-2</v>
      </c>
      <c r="BO107" s="68">
        <f>BO117/BO12</f>
        <v>7.4825678869832893E-2</v>
      </c>
      <c r="BP107" s="68">
        <f t="shared" si="62"/>
        <v>7.4825678869832893E-2</v>
      </c>
      <c r="BQ107" s="68">
        <f t="shared" ref="BQ107:BS107" si="70">BP107</f>
        <v>7.4825678869832893E-2</v>
      </c>
      <c r="BR107" s="68">
        <f t="shared" si="70"/>
        <v>7.4825678869832893E-2</v>
      </c>
      <c r="BS107" s="68">
        <f t="shared" si="70"/>
        <v>7.4825678869832893E-2</v>
      </c>
      <c r="BT107" s="68">
        <f>BO107</f>
        <v>7.4825678869832893E-2</v>
      </c>
      <c r="BU107" s="68">
        <v>7.4999999999999997E-2</v>
      </c>
      <c r="BV107" s="21">
        <f>BU107</f>
        <v>7.4999999999999997E-2</v>
      </c>
      <c r="BW107" s="21">
        <f t="shared" ref="BW107:BX107" si="71">BV107</f>
        <v>7.4999999999999997E-2</v>
      </c>
      <c r="BX107" s="21">
        <f t="shared" si="71"/>
        <v>7.4999999999999997E-2</v>
      </c>
      <c r="BY107" s="68">
        <f>BT107</f>
        <v>7.4825678869832893E-2</v>
      </c>
      <c r="BZ107" s="68">
        <f t="shared" si="65"/>
        <v>7.4825678869832893E-2</v>
      </c>
      <c r="CA107" s="68">
        <f t="shared" si="66"/>
        <v>7.4825678869832893E-2</v>
      </c>
      <c r="CB107" s="68">
        <f t="shared" si="67"/>
        <v>7.4825678869832893E-2</v>
      </c>
      <c r="CC107" s="68">
        <f t="shared" si="68"/>
        <v>7.4825678869832893E-2</v>
      </c>
      <c r="CD107" s="68">
        <f>BY107</f>
        <v>7.4825678869832893E-2</v>
      </c>
      <c r="CI107" s="68">
        <f>CD107</f>
        <v>7.4825678869832893E-2</v>
      </c>
      <c r="CN107" s="68">
        <f>CI107</f>
        <v>7.4825678869832893E-2</v>
      </c>
      <c r="CS107" s="68">
        <f>CN107</f>
        <v>7.4825678869832893E-2</v>
      </c>
      <c r="CX107" s="68">
        <f>CS107</f>
        <v>7.4825678869832893E-2</v>
      </c>
      <c r="DC107" s="68">
        <f>CX107</f>
        <v>7.4825678869832893E-2</v>
      </c>
      <c r="DH107" s="68">
        <f>DC107</f>
        <v>7.4825678869832893E-2</v>
      </c>
      <c r="DM107" s="68">
        <f>DH107</f>
        <v>7.4825678869832893E-2</v>
      </c>
      <c r="DR107" s="68">
        <f>DM107</f>
        <v>7.4825678869832893E-2</v>
      </c>
      <c r="DW107" s="68">
        <f>DR107</f>
        <v>7.4825678869832893E-2</v>
      </c>
      <c r="EB107" s="68">
        <f>DW107</f>
        <v>7.4825678869832893E-2</v>
      </c>
      <c r="EG107" s="68">
        <f>EB107</f>
        <v>7.4825678869832893E-2</v>
      </c>
      <c r="EL107" s="68">
        <f>EG107</f>
        <v>7.4825678869832893E-2</v>
      </c>
    </row>
    <row r="108" spans="2:142">
      <c r="B108" s="1" t="s">
        <v>552</v>
      </c>
      <c r="BA108" s="68"/>
      <c r="BB108" s="68"/>
      <c r="BC108" s="68"/>
      <c r="BD108" s="68"/>
      <c r="BE108" s="68"/>
      <c r="BF108" s="68"/>
      <c r="BG108" s="68">
        <f t="shared" ref="BG108:BT108" si="72">BG118/BG28</f>
        <v>0.25797025944417723</v>
      </c>
      <c r="BH108" s="68">
        <f t="shared" si="72"/>
        <v>0.25797025944417723</v>
      </c>
      <c r="BI108" s="68">
        <f t="shared" si="72"/>
        <v>0.25797025944417729</v>
      </c>
      <c r="BJ108" s="68">
        <f t="shared" si="72"/>
        <v>0.25797025944417723</v>
      </c>
      <c r="BK108" s="68">
        <f t="shared" si="72"/>
        <v>9.5452905088415724E-2</v>
      </c>
      <c r="BL108" s="68">
        <f t="shared" si="72"/>
        <v>9.5452905088415724E-2</v>
      </c>
      <c r="BM108" s="68">
        <f t="shared" si="72"/>
        <v>9.545290508841571E-2</v>
      </c>
      <c r="BN108" s="68">
        <f t="shared" si="72"/>
        <v>9.5452905088415738E-2</v>
      </c>
      <c r="BO108" s="68">
        <f t="shared" si="72"/>
        <v>9.5452905088415724E-2</v>
      </c>
      <c r="BP108" s="68">
        <f t="shared" si="72"/>
        <v>0.19193696603624164</v>
      </c>
      <c r="BQ108" s="68">
        <f t="shared" si="72"/>
        <v>0.19193696603624164</v>
      </c>
      <c r="BR108" s="68">
        <f t="shared" si="72"/>
        <v>0.19193696603624164</v>
      </c>
      <c r="BS108" s="68">
        <f t="shared" si="72"/>
        <v>0.19193696603624172</v>
      </c>
      <c r="BT108" s="68">
        <f t="shared" si="72"/>
        <v>0.19193696603624164</v>
      </c>
      <c r="BU108" s="68">
        <v>0.2</v>
      </c>
      <c r="BV108" s="68"/>
      <c r="BW108" s="68"/>
      <c r="BX108" s="68"/>
      <c r="BY108" s="68">
        <f>BY118/BY28</f>
        <v>0.2</v>
      </c>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c r="DK108" s="68"/>
      <c r="DL108" s="68"/>
      <c r="DM108" s="68"/>
      <c r="DN108" s="68"/>
      <c r="DO108" s="68"/>
      <c r="DP108" s="68"/>
      <c r="DQ108" s="68"/>
      <c r="DR108" s="68"/>
      <c r="DS108" s="68"/>
      <c r="DT108" s="68"/>
      <c r="DU108" s="68"/>
      <c r="DV108" s="68"/>
      <c r="DW108" s="68"/>
      <c r="DX108" s="68"/>
      <c r="DY108" s="68"/>
      <c r="DZ108" s="68"/>
      <c r="EA108" s="68"/>
      <c r="EB108" s="68"/>
      <c r="EC108" s="68"/>
      <c r="ED108" s="68"/>
      <c r="EE108" s="68"/>
      <c r="EF108" s="68"/>
      <c r="EG108" s="68"/>
      <c r="EH108" s="68"/>
      <c r="EI108" s="68"/>
      <c r="EJ108" s="68"/>
      <c r="EK108" s="68"/>
      <c r="EL108" s="68"/>
    </row>
    <row r="109" spans="2:142">
      <c r="B109" s="1" t="s">
        <v>559</v>
      </c>
      <c r="BA109" s="188"/>
      <c r="BB109" s="188"/>
      <c r="BC109" s="188"/>
      <c r="BD109" s="68"/>
      <c r="BF109" s="68"/>
      <c r="BJ109" s="68"/>
      <c r="BO109" s="189">
        <v>0.15</v>
      </c>
      <c r="BP109" s="68">
        <f t="shared" ref="BP109" si="73">BT109</f>
        <v>0.15</v>
      </c>
      <c r="BQ109" s="68">
        <f>BP109</f>
        <v>0.15</v>
      </c>
      <c r="BR109" s="68">
        <f>BQ109</f>
        <v>0.15</v>
      </c>
      <c r="BS109" s="68">
        <f>BR109</f>
        <v>0.15</v>
      </c>
      <c r="BT109" s="21">
        <f>BO109</f>
        <v>0.15</v>
      </c>
      <c r="BU109" s="514">
        <v>0.15</v>
      </c>
      <c r="BV109" s="21">
        <f>BU109</f>
        <v>0.15</v>
      </c>
      <c r="BW109" s="21">
        <f t="shared" ref="BW109:BX109" si="74">BV109</f>
        <v>0.15</v>
      </c>
      <c r="BX109" s="21">
        <f t="shared" si="74"/>
        <v>0.15</v>
      </c>
      <c r="BY109" s="21">
        <f>BT109</f>
        <v>0.15</v>
      </c>
      <c r="BZ109" s="514">
        <f t="shared" ref="BZ109:BZ110" si="75">CD109</f>
        <v>0.15</v>
      </c>
      <c r="CA109" s="68">
        <f t="shared" ref="CA109:CA111" si="76">CD109</f>
        <v>0.15</v>
      </c>
      <c r="CB109" s="68">
        <f t="shared" ref="CB109:CB111" si="77">CD109</f>
        <v>0.15</v>
      </c>
      <c r="CC109" s="68">
        <f t="shared" si="68"/>
        <v>0.15</v>
      </c>
      <c r="CD109" s="21">
        <f>BY109</f>
        <v>0.15</v>
      </c>
      <c r="CE109" s="21"/>
      <c r="CF109" s="21"/>
      <c r="CG109" s="21"/>
      <c r="CH109" s="21"/>
      <c r="CI109" s="21">
        <f>CD109</f>
        <v>0.15</v>
      </c>
      <c r="CJ109" s="21"/>
      <c r="CK109" s="21"/>
      <c r="CL109" s="21"/>
      <c r="CM109" s="21"/>
      <c r="CN109" s="21">
        <f>CI109</f>
        <v>0.15</v>
      </c>
      <c r="CO109" s="21"/>
      <c r="CP109" s="21"/>
      <c r="CQ109" s="21"/>
      <c r="CR109" s="21"/>
      <c r="CS109" s="21">
        <f>CN109</f>
        <v>0.15</v>
      </c>
      <c r="CT109" s="21"/>
      <c r="CU109" s="21"/>
      <c r="CV109" s="21"/>
      <c r="CW109" s="21"/>
      <c r="CX109" s="21">
        <f>CS109</f>
        <v>0.15</v>
      </c>
      <c r="CY109" s="21"/>
      <c r="CZ109" s="21"/>
      <c r="DA109" s="21"/>
      <c r="DB109" s="21"/>
      <c r="DC109" s="21">
        <f>CX109</f>
        <v>0.15</v>
      </c>
      <c r="DD109" s="21"/>
      <c r="DE109" s="21"/>
      <c r="DF109" s="21"/>
      <c r="DG109" s="21"/>
      <c r="DH109" s="21">
        <f>DC109</f>
        <v>0.15</v>
      </c>
      <c r="DI109" s="21"/>
      <c r="DJ109" s="21"/>
      <c r="DK109" s="21"/>
      <c r="DL109" s="21"/>
      <c r="DM109" s="21">
        <f>DH109</f>
        <v>0.15</v>
      </c>
      <c r="DN109" s="21"/>
      <c r="DO109" s="21"/>
      <c r="DP109" s="21"/>
      <c r="DQ109" s="21"/>
      <c r="DR109" s="21">
        <f>DM109</f>
        <v>0.15</v>
      </c>
      <c r="DS109" s="21"/>
      <c r="DT109" s="21"/>
      <c r="DU109" s="21"/>
      <c r="DV109" s="21"/>
      <c r="DW109" s="21">
        <f>DR109</f>
        <v>0.15</v>
      </c>
      <c r="DX109" s="21"/>
      <c r="DY109" s="21"/>
      <c r="DZ109" s="21"/>
      <c r="EA109" s="21"/>
      <c r="EB109" s="21">
        <f>DW109</f>
        <v>0.15</v>
      </c>
      <c r="EC109" s="21"/>
      <c r="ED109" s="21"/>
      <c r="EE109" s="21"/>
      <c r="EF109" s="21"/>
      <c r="EG109" s="21">
        <f>EB109</f>
        <v>0.15</v>
      </c>
      <c r="EH109" s="21"/>
      <c r="EI109" s="21"/>
      <c r="EJ109" s="21"/>
      <c r="EK109" s="21"/>
      <c r="EL109" s="21">
        <f>EG109</f>
        <v>0.15</v>
      </c>
    </row>
    <row r="110" spans="2:142">
      <c r="B110" s="1" t="s">
        <v>836</v>
      </c>
      <c r="BA110" s="188"/>
      <c r="BB110" s="188"/>
      <c r="BC110" s="188"/>
      <c r="BD110" s="68"/>
      <c r="BF110" s="68"/>
      <c r="BJ110" s="68"/>
      <c r="BO110" s="189"/>
      <c r="BP110" s="68"/>
      <c r="BQ110" s="68"/>
      <c r="BR110" s="68"/>
      <c r="BS110" s="68"/>
      <c r="BT110" s="21"/>
      <c r="BU110" s="21">
        <v>0.25</v>
      </c>
      <c r="BV110" s="21">
        <v>0.25</v>
      </c>
      <c r="BW110" s="21">
        <f t="shared" ref="BW110:BX110" si="78">BV110</f>
        <v>0.25</v>
      </c>
      <c r="BX110" s="21">
        <f t="shared" si="78"/>
        <v>0.25</v>
      </c>
      <c r="BY110" s="21">
        <f>BY120/BY20</f>
        <v>0.25</v>
      </c>
      <c r="BZ110" s="21">
        <f t="shared" si="75"/>
        <v>0.27500000000000002</v>
      </c>
      <c r="CA110" s="68">
        <f t="shared" si="76"/>
        <v>0.27500000000000002</v>
      </c>
      <c r="CB110" s="68">
        <f t="shared" si="77"/>
        <v>0.27500000000000002</v>
      </c>
      <c r="CC110" s="68">
        <f t="shared" si="68"/>
        <v>0.27500000000000002</v>
      </c>
      <c r="CD110" s="21">
        <f>CD120/CD20</f>
        <v>0.27500000000000002</v>
      </c>
      <c r="CE110" s="21"/>
      <c r="CF110" s="21"/>
      <c r="CG110" s="21"/>
      <c r="CH110" s="21"/>
      <c r="CI110" s="21">
        <f>CI120/CI20</f>
        <v>0.27499999999999997</v>
      </c>
      <c r="CJ110" s="21"/>
      <c r="CK110" s="21"/>
      <c r="CL110" s="21"/>
      <c r="CM110" s="21"/>
      <c r="CN110" s="21">
        <f>CN120/CN20</f>
        <v>0.30000000000000004</v>
      </c>
      <c r="CO110" s="21"/>
      <c r="CP110" s="21"/>
      <c r="CQ110" s="21"/>
      <c r="CR110" s="21"/>
      <c r="CS110" s="21">
        <f>CS120/CS20</f>
        <v>0.30000000000000004</v>
      </c>
      <c r="CT110" s="21"/>
      <c r="CU110" s="21"/>
      <c r="CV110" s="21"/>
      <c r="CW110" s="21"/>
      <c r="CX110" s="21">
        <f>CX120/CX20</f>
        <v>0.3</v>
      </c>
      <c r="CY110" s="21"/>
      <c r="CZ110" s="21"/>
      <c r="DA110" s="21"/>
      <c r="DB110" s="21"/>
      <c r="DC110" s="21">
        <f>DC120/DC20</f>
        <v>0.30000000000000004</v>
      </c>
      <c r="DD110" s="21"/>
      <c r="DE110" s="21"/>
      <c r="DF110" s="21"/>
      <c r="DG110" s="21"/>
      <c r="DH110" s="21">
        <f>DH120/DH20</f>
        <v>0.3</v>
      </c>
      <c r="DI110" s="21"/>
      <c r="DJ110" s="21"/>
      <c r="DK110" s="21"/>
      <c r="DL110" s="21"/>
      <c r="DM110" s="21">
        <f>DM120/DM20</f>
        <v>0.3</v>
      </c>
      <c r="DN110" s="21"/>
      <c r="DO110" s="21"/>
      <c r="DP110" s="21"/>
      <c r="DQ110" s="21"/>
      <c r="DR110" s="21">
        <f>DR120/DR20</f>
        <v>0.3</v>
      </c>
      <c r="DS110" s="21"/>
      <c r="DT110" s="21"/>
      <c r="DU110" s="21"/>
      <c r="DV110" s="21"/>
      <c r="DW110" s="21">
        <f>DW120/DW20</f>
        <v>0.30000000000000004</v>
      </c>
      <c r="DX110" s="21"/>
      <c r="DY110" s="21"/>
      <c r="DZ110" s="21"/>
      <c r="EA110" s="21"/>
      <c r="EB110" s="21">
        <f>EB120/EB20</f>
        <v>0.30000000000000004</v>
      </c>
      <c r="EC110" s="21"/>
      <c r="ED110" s="21"/>
      <c r="EE110" s="21"/>
      <c r="EF110" s="21"/>
      <c r="EG110" s="21">
        <f>EG120/EG20</f>
        <v>0.3</v>
      </c>
      <c r="EH110" s="21"/>
      <c r="EI110" s="21"/>
      <c r="EJ110" s="21"/>
      <c r="EK110" s="21"/>
      <c r="EL110" s="21">
        <f>EL120/EL20</f>
        <v>0.30000000000000004</v>
      </c>
    </row>
    <row r="111" spans="2:142">
      <c r="B111" s="1" t="s">
        <v>75</v>
      </c>
      <c r="BA111" s="188"/>
      <c r="BB111" s="188">
        <f>BB121/(BB24+BB26+BB33)</f>
        <v>-0.10136206209581011</v>
      </c>
      <c r="BC111" s="188">
        <f>BC121/(BC24+BC26+BC33)</f>
        <v>-0.10068287319814401</v>
      </c>
      <c r="BD111" s="188">
        <f>BD121/(BD24+BD26+BD33)</f>
        <v>6.6548387096774506E-2</v>
      </c>
      <c r="BF111" s="188">
        <f t="shared" ref="BF111:BZ111" si="79">BF121/(BF24+BF26+BF33)</f>
        <v>0.11716188435590788</v>
      </c>
      <c r="BG111" s="388">
        <f t="shared" si="79"/>
        <v>-0.10328634277840217</v>
      </c>
      <c r="BH111" s="388">
        <f t="shared" si="79"/>
        <v>-0.15530386348210184</v>
      </c>
      <c r="BI111" s="388">
        <f t="shared" si="79"/>
        <v>-0.28570229690628074</v>
      </c>
      <c r="BJ111" s="388">
        <f t="shared" si="79"/>
        <v>-0.10544498895570428</v>
      </c>
      <c r="BK111" s="388">
        <f t="shared" si="79"/>
        <v>0.13323512707695839</v>
      </c>
      <c r="BL111" s="388">
        <f t="shared" si="79"/>
        <v>0.16921919855517945</v>
      </c>
      <c r="BM111" s="388">
        <f t="shared" si="79"/>
        <v>0.21878616187753211</v>
      </c>
      <c r="BN111" s="388">
        <f t="shared" si="79"/>
        <v>0.67263719829627822</v>
      </c>
      <c r="BO111" s="388">
        <f t="shared" si="79"/>
        <v>0.31584451435406502</v>
      </c>
      <c r="BP111" s="388">
        <f t="shared" si="79"/>
        <v>0.15432584146050221</v>
      </c>
      <c r="BQ111" s="388">
        <f t="shared" si="79"/>
        <v>0.84500294690414601</v>
      </c>
      <c r="BR111" s="388">
        <f t="shared" si="79"/>
        <v>0.85281737827827375</v>
      </c>
      <c r="BS111" s="388">
        <f t="shared" si="79"/>
        <v>0.2781424674053562</v>
      </c>
      <c r="BT111" s="388">
        <f t="shared" si="79"/>
        <v>0.53665983440384957</v>
      </c>
      <c r="BU111" s="388">
        <f t="shared" si="79"/>
        <v>0.46326742976066632</v>
      </c>
      <c r="BV111" s="388">
        <f t="shared" si="79"/>
        <v>-9.0526315789473732E-2</v>
      </c>
      <c r="BW111" s="388">
        <f t="shared" si="79"/>
        <v>-7.3288123167155356E-2</v>
      </c>
      <c r="BX111" s="388">
        <f t="shared" si="79"/>
        <v>0.71762419354838713</v>
      </c>
      <c r="BY111" s="21">
        <f>BY121/SUM(BY33,BY26,BY24)</f>
        <v>0.26335665362035232</v>
      </c>
      <c r="BZ111" s="388">
        <f t="shared" si="79"/>
        <v>0.48680132360131151</v>
      </c>
      <c r="CA111" s="68">
        <f t="shared" si="76"/>
        <v>0.15</v>
      </c>
      <c r="CB111" s="68">
        <f t="shared" si="77"/>
        <v>0.15</v>
      </c>
      <c r="CC111" s="68">
        <f t="shared" si="68"/>
        <v>0.15</v>
      </c>
      <c r="CD111" s="21">
        <v>0.15</v>
      </c>
      <c r="CE111" s="21"/>
      <c r="CF111" s="21"/>
      <c r="CG111" s="21"/>
      <c r="CH111" s="21"/>
      <c r="CI111" s="21">
        <f>CD111*0.95</f>
        <v>0.14249999999999999</v>
      </c>
      <c r="CJ111" s="21"/>
      <c r="CK111" s="21"/>
      <c r="CL111" s="21"/>
      <c r="CM111" s="21"/>
      <c r="CN111" s="21">
        <f>CI111*0.95</f>
        <v>0.135375</v>
      </c>
      <c r="CO111" s="21"/>
      <c r="CP111" s="21"/>
      <c r="CQ111" s="21"/>
      <c r="CR111" s="21"/>
      <c r="CS111" s="189">
        <f>CN111</f>
        <v>0.135375</v>
      </c>
      <c r="CT111" s="21"/>
      <c r="CU111" s="21"/>
      <c r="CV111" s="21"/>
      <c r="CW111" s="21"/>
      <c r="CX111" s="21">
        <f>CS111</f>
        <v>0.135375</v>
      </c>
      <c r="CY111" s="21"/>
      <c r="CZ111" s="21"/>
      <c r="DA111" s="21"/>
      <c r="DB111" s="21"/>
      <c r="DC111" s="21">
        <f>CX111</f>
        <v>0.135375</v>
      </c>
      <c r="DD111" s="21"/>
      <c r="DE111" s="21"/>
      <c r="DF111" s="21"/>
      <c r="DG111" s="21"/>
      <c r="DH111" s="21">
        <f>DC111</f>
        <v>0.135375</v>
      </c>
      <c r="DI111" s="21"/>
      <c r="DJ111" s="21"/>
      <c r="DK111" s="21"/>
      <c r="DL111" s="21"/>
      <c r="DM111" s="21">
        <f>DH111</f>
        <v>0.135375</v>
      </c>
      <c r="DN111" s="21"/>
      <c r="DO111" s="21"/>
      <c r="DP111" s="21"/>
      <c r="DQ111" s="21"/>
      <c r="DR111" s="21">
        <f>DM111</f>
        <v>0.135375</v>
      </c>
      <c r="DS111" s="21"/>
      <c r="DT111" s="21"/>
      <c r="DU111" s="21"/>
      <c r="DV111" s="21"/>
      <c r="DW111" s="21">
        <f>DR111</f>
        <v>0.135375</v>
      </c>
      <c r="DX111" s="21"/>
      <c r="DY111" s="21"/>
      <c r="DZ111" s="21"/>
      <c r="EA111" s="21"/>
      <c r="EB111" s="21">
        <f>DW111</f>
        <v>0.135375</v>
      </c>
      <c r="EC111" s="21"/>
      <c r="ED111" s="21"/>
      <c r="EE111" s="21"/>
      <c r="EF111" s="21"/>
      <c r="EG111" s="21">
        <f>EB111</f>
        <v>0.135375</v>
      </c>
      <c r="EH111" s="21"/>
      <c r="EI111" s="21"/>
      <c r="EJ111" s="21"/>
      <c r="EK111" s="21"/>
      <c r="EL111" s="21">
        <f>EG111</f>
        <v>0.135375</v>
      </c>
    </row>
    <row r="112" spans="2:142">
      <c r="B112" s="1" t="s">
        <v>555</v>
      </c>
      <c r="G112" s="21">
        <f t="shared" ref="G112:AL112" si="80">G122/G47</f>
        <v>0.18762825673406358</v>
      </c>
      <c r="H112" s="21">
        <f t="shared" si="80"/>
        <v>0.16231139457288801</v>
      </c>
      <c r="I112" s="21">
        <f t="shared" si="80"/>
        <v>0.16060365762997467</v>
      </c>
      <c r="J112" s="21">
        <f t="shared" si="80"/>
        <v>0.17003436273256009</v>
      </c>
      <c r="K112" s="21">
        <f t="shared" si="80"/>
        <v>0.20173228386740311</v>
      </c>
      <c r="L112" s="21">
        <f t="shared" si="80"/>
        <v>0.17413129127577462</v>
      </c>
      <c r="M112" s="21">
        <f t="shared" si="80"/>
        <v>0.22714445249305804</v>
      </c>
      <c r="N112" s="21">
        <f t="shared" si="80"/>
        <v>0.15569101002452224</v>
      </c>
      <c r="O112" s="21">
        <f t="shared" si="80"/>
        <v>0.19996882713368053</v>
      </c>
      <c r="P112" s="21">
        <f t="shared" si="80"/>
        <v>0.1685591940955008</v>
      </c>
      <c r="Q112" s="21">
        <f t="shared" si="80"/>
        <v>0.18739223898023752</v>
      </c>
      <c r="R112" s="21">
        <f t="shared" si="80"/>
        <v>0.15618950159771131</v>
      </c>
      <c r="S112" s="21">
        <f t="shared" si="80"/>
        <v>0.1765566488794513</v>
      </c>
      <c r="T112" s="21">
        <f t="shared" si="80"/>
        <v>0.13448229410477042</v>
      </c>
      <c r="U112" s="21">
        <f t="shared" si="80"/>
        <v>0.13395539852938945</v>
      </c>
      <c r="V112" s="21">
        <f t="shared" si="80"/>
        <v>0.14959920014057046</v>
      </c>
      <c r="W112" s="21">
        <f t="shared" si="80"/>
        <v>0.16298917396797608</v>
      </c>
      <c r="X112" s="21">
        <f t="shared" si="80"/>
        <v>0.16189539648107978</v>
      </c>
      <c r="Y112" s="21">
        <f t="shared" si="80"/>
        <v>0.15410862549827126</v>
      </c>
      <c r="Z112" s="21">
        <f t="shared" si="80"/>
        <v>0.14988737676403066</v>
      </c>
      <c r="AA112" s="21">
        <f t="shared" si="80"/>
        <v>0.15681800206942931</v>
      </c>
      <c r="AB112" s="21">
        <f t="shared" si="80"/>
        <v>0.15176447591982797</v>
      </c>
      <c r="AC112" s="21">
        <f t="shared" si="80"/>
        <v>0.13499326501929912</v>
      </c>
      <c r="AD112" s="21">
        <f t="shared" si="80"/>
        <v>0.14176271991137604</v>
      </c>
      <c r="AE112" s="21">
        <f t="shared" si="80"/>
        <v>0.13822924566329847</v>
      </c>
      <c r="AF112" s="21">
        <f t="shared" si="80"/>
        <v>0.1415628188111849</v>
      </c>
      <c r="AG112" s="21">
        <f t="shared" si="80"/>
        <v>0.1338911848641072</v>
      </c>
      <c r="AH112" s="21">
        <f t="shared" si="80"/>
        <v>0.11469587974259456</v>
      </c>
      <c r="AI112" s="21">
        <f t="shared" si="80"/>
        <v>0.11661130438362008</v>
      </c>
      <c r="AJ112" s="21">
        <f t="shared" si="80"/>
        <v>0.12057474364261501</v>
      </c>
      <c r="AK112" s="21">
        <f t="shared" si="80"/>
        <v>0.12118970827554337</v>
      </c>
      <c r="AL112" s="21">
        <f t="shared" si="80"/>
        <v>0.11775375506539516</v>
      </c>
      <c r="AM112" s="21">
        <f t="shared" ref="AM112:BR112" si="81">AM122/AM47</f>
        <v>0.12451192048741029</v>
      </c>
      <c r="AN112" s="21">
        <f t="shared" si="81"/>
        <v>0.10938929121286423</v>
      </c>
      <c r="AO112" s="21">
        <f t="shared" si="81"/>
        <v>0.11025434432058878</v>
      </c>
      <c r="AP112" s="21">
        <f t="shared" si="81"/>
        <v>0.1153474180243777</v>
      </c>
      <c r="AQ112" s="21">
        <f t="shared" si="81"/>
        <v>0.11367299377578266</v>
      </c>
      <c r="AR112" s="21">
        <f t="shared" si="81"/>
        <v>0.10505141093944516</v>
      </c>
      <c r="AS112" s="21">
        <f t="shared" si="81"/>
        <v>0.12659606848836341</v>
      </c>
      <c r="AT112" s="21">
        <f t="shared" si="81"/>
        <v>0.1401207158661589</v>
      </c>
      <c r="AU112" s="21">
        <f t="shared" si="81"/>
        <v>0.12211252808336219</v>
      </c>
      <c r="AV112" s="21">
        <f t="shared" si="81"/>
        <v>0.13654396568691773</v>
      </c>
      <c r="AW112" s="21">
        <f t="shared" si="81"/>
        <v>0.1291901931649331</v>
      </c>
      <c r="AX112" s="21">
        <f t="shared" si="81"/>
        <v>0.13411284657062295</v>
      </c>
      <c r="AY112" s="21">
        <f t="shared" si="81"/>
        <v>0.12452869516021571</v>
      </c>
      <c r="AZ112" s="21">
        <f t="shared" si="81"/>
        <v>0.13093742453926649</v>
      </c>
      <c r="BA112" s="21">
        <f t="shared" si="81"/>
        <v>0.12205837125916813</v>
      </c>
      <c r="BB112" s="21">
        <f t="shared" si="81"/>
        <v>0.16648026795236082</v>
      </c>
      <c r="BC112" s="21">
        <f t="shared" si="81"/>
        <v>0.16146355759744735</v>
      </c>
      <c r="BD112" s="21">
        <f t="shared" si="81"/>
        <v>0.16089172370877411</v>
      </c>
      <c r="BE112" s="21">
        <f t="shared" si="81"/>
        <v>0.15476130546956463</v>
      </c>
      <c r="BF112" s="21">
        <f t="shared" si="81"/>
        <v>0.16023101221335062</v>
      </c>
      <c r="BG112" s="21">
        <f t="shared" si="81"/>
        <v>0.14194822525205564</v>
      </c>
      <c r="BH112" s="21">
        <f t="shared" si="81"/>
        <v>0.14293183134139303</v>
      </c>
      <c r="BI112" s="21">
        <f t="shared" si="81"/>
        <v>0.1299814034309861</v>
      </c>
      <c r="BJ112" s="21">
        <f t="shared" si="81"/>
        <v>0.14275000963014869</v>
      </c>
      <c r="BK112" s="21">
        <f t="shared" si="81"/>
        <v>0.14383014259131893</v>
      </c>
      <c r="BL112" s="21">
        <f t="shared" si="81"/>
        <v>0.13011960525717406</v>
      </c>
      <c r="BM112" s="21">
        <f t="shared" si="81"/>
        <v>0.12961036789297659</v>
      </c>
      <c r="BN112" s="21">
        <f t="shared" si="81"/>
        <v>0.13680905859039666</v>
      </c>
      <c r="BO112" s="21">
        <f t="shared" si="81"/>
        <v>0.13499401419180712</v>
      </c>
      <c r="BP112" s="21">
        <f t="shared" si="81"/>
        <v>0.13553303888455875</v>
      </c>
      <c r="BQ112" s="21">
        <f t="shared" si="81"/>
        <v>0.15016220600162206</v>
      </c>
      <c r="BR112" s="21">
        <f t="shared" si="81"/>
        <v>0.1641597101905812</v>
      </c>
      <c r="BS112" s="21">
        <f t="shared" ref="BS112:CX112" si="82">BS122/BS47</f>
        <v>0.15122457948779416</v>
      </c>
      <c r="BT112" s="21">
        <f t="shared" si="82"/>
        <v>0.15061265647439881</v>
      </c>
      <c r="BU112" s="21">
        <f t="shared" si="82"/>
        <v>0.16158984916600141</v>
      </c>
      <c r="BV112" s="21">
        <f t="shared" si="82"/>
        <v>0.13872788574459219</v>
      </c>
      <c r="BW112" s="21">
        <f t="shared" si="82"/>
        <v>0.14108674928503337</v>
      </c>
      <c r="BX112" s="21">
        <f t="shared" si="82"/>
        <v>0.18773042324140984</v>
      </c>
      <c r="BY112" s="21">
        <f t="shared" si="82"/>
        <v>0.15741643891179846</v>
      </c>
      <c r="BZ112" s="21">
        <f t="shared" si="82"/>
        <v>0.17673865662769958</v>
      </c>
      <c r="CA112" s="21">
        <f t="shared" si="82"/>
        <v>0.15581227841057751</v>
      </c>
      <c r="CB112" s="21">
        <f t="shared" si="82"/>
        <v>0.15678154236728312</v>
      </c>
      <c r="CC112" s="21">
        <f t="shared" si="82"/>
        <v>0.15770927876892965</v>
      </c>
      <c r="CD112" s="21">
        <f t="shared" si="82"/>
        <v>0.15648037904786219</v>
      </c>
      <c r="CE112" s="21">
        <f t="shared" si="82"/>
        <v>0</v>
      </c>
      <c r="CF112" s="21">
        <f t="shared" si="82"/>
        <v>0</v>
      </c>
      <c r="CG112" s="21">
        <f t="shared" si="82"/>
        <v>0</v>
      </c>
      <c r="CH112" s="21">
        <f t="shared" si="82"/>
        <v>0</v>
      </c>
      <c r="CI112" s="21">
        <f t="shared" si="82"/>
        <v>0.15629783296799793</v>
      </c>
      <c r="CJ112" s="21">
        <f t="shared" si="82"/>
        <v>0</v>
      </c>
      <c r="CK112" s="21">
        <f t="shared" si="82"/>
        <v>0</v>
      </c>
      <c r="CL112" s="21">
        <f t="shared" si="82"/>
        <v>0</v>
      </c>
      <c r="CM112" s="21">
        <f t="shared" si="82"/>
        <v>0</v>
      </c>
      <c r="CN112" s="21">
        <f t="shared" si="82"/>
        <v>0.16158915136596619</v>
      </c>
      <c r="CO112" s="21">
        <f t="shared" si="82"/>
        <v>0</v>
      </c>
      <c r="CP112" s="21">
        <f t="shared" si="82"/>
        <v>0</v>
      </c>
      <c r="CQ112" s="21">
        <f t="shared" si="82"/>
        <v>0</v>
      </c>
      <c r="CR112" s="21">
        <f t="shared" si="82"/>
        <v>0</v>
      </c>
      <c r="CS112" s="21">
        <f t="shared" si="82"/>
        <v>0.16348250263778494</v>
      </c>
      <c r="CT112" s="21">
        <f t="shared" si="82"/>
        <v>0</v>
      </c>
      <c r="CU112" s="21">
        <f t="shared" si="82"/>
        <v>0</v>
      </c>
      <c r="CV112" s="21">
        <f t="shared" si="82"/>
        <v>0</v>
      </c>
      <c r="CW112" s="21">
        <f t="shared" si="82"/>
        <v>0</v>
      </c>
      <c r="CX112" s="21">
        <f t="shared" si="82"/>
        <v>0.16603407013076446</v>
      </c>
      <c r="CY112" s="21">
        <f t="shared" ref="CY112:ED112" si="83">CY122/CY47</f>
        <v>0</v>
      </c>
      <c r="CZ112" s="21">
        <f t="shared" si="83"/>
        <v>0</v>
      </c>
      <c r="DA112" s="21">
        <f t="shared" si="83"/>
        <v>0</v>
      </c>
      <c r="DB112" s="21">
        <f t="shared" si="83"/>
        <v>0</v>
      </c>
      <c r="DC112" s="21">
        <f t="shared" si="83"/>
        <v>0.16845244257843897</v>
      </c>
      <c r="DD112" s="21">
        <f t="shared" si="83"/>
        <v>0</v>
      </c>
      <c r="DE112" s="21">
        <f t="shared" si="83"/>
        <v>0</v>
      </c>
      <c r="DF112" s="21">
        <f t="shared" si="83"/>
        <v>0</v>
      </c>
      <c r="DG112" s="21">
        <f t="shared" si="83"/>
        <v>0</v>
      </c>
      <c r="DH112" s="21">
        <f t="shared" si="83"/>
        <v>0.17062618688913905</v>
      </c>
      <c r="DI112" s="21">
        <f t="shared" si="83"/>
        <v>0</v>
      </c>
      <c r="DJ112" s="21">
        <f t="shared" si="83"/>
        <v>0</v>
      </c>
      <c r="DK112" s="21">
        <f t="shared" si="83"/>
        <v>0</v>
      </c>
      <c r="DL112" s="21">
        <f t="shared" si="83"/>
        <v>0</v>
      </c>
      <c r="DM112" s="21">
        <f t="shared" si="83"/>
        <v>0.17894681151502401</v>
      </c>
      <c r="DN112" s="21">
        <f t="shared" si="83"/>
        <v>0</v>
      </c>
      <c r="DO112" s="21">
        <f t="shared" si="83"/>
        <v>0</v>
      </c>
      <c r="DP112" s="21">
        <f t="shared" si="83"/>
        <v>0</v>
      </c>
      <c r="DQ112" s="21">
        <f t="shared" si="83"/>
        <v>0</v>
      </c>
      <c r="DR112" s="21">
        <f t="shared" si="83"/>
        <v>0.19233601475138165</v>
      </c>
      <c r="DS112" s="21">
        <f t="shared" si="83"/>
        <v>0</v>
      </c>
      <c r="DT112" s="21">
        <f t="shared" si="83"/>
        <v>0</v>
      </c>
      <c r="DU112" s="21">
        <f t="shared" si="83"/>
        <v>0</v>
      </c>
      <c r="DV112" s="21">
        <f t="shared" si="83"/>
        <v>0</v>
      </c>
      <c r="DW112" s="21">
        <f t="shared" si="83"/>
        <v>0.21347865428918292</v>
      </c>
      <c r="DX112" s="21">
        <f t="shared" si="83"/>
        <v>0</v>
      </c>
      <c r="DY112" s="21">
        <f t="shared" si="83"/>
        <v>0</v>
      </c>
      <c r="DZ112" s="21">
        <f t="shared" si="83"/>
        <v>0</v>
      </c>
      <c r="EA112" s="21">
        <f t="shared" si="83"/>
        <v>0</v>
      </c>
      <c r="EB112" s="21">
        <f t="shared" si="83"/>
        <v>0.22506418115054161</v>
      </c>
      <c r="EC112" s="21">
        <f t="shared" si="83"/>
        <v>0</v>
      </c>
      <c r="ED112" s="21">
        <f t="shared" si="83"/>
        <v>0</v>
      </c>
      <c r="EE112" s="21">
        <f t="shared" ref="EE112:EL112" si="84">EE122/EE47</f>
        <v>0</v>
      </c>
      <c r="EF112" s="21">
        <f t="shared" si="84"/>
        <v>0</v>
      </c>
      <c r="EG112" s="21">
        <f t="shared" si="84"/>
        <v>0.2307879362255256</v>
      </c>
      <c r="EH112" s="21">
        <f t="shared" si="84"/>
        <v>0</v>
      </c>
      <c r="EI112" s="21">
        <f t="shared" si="84"/>
        <v>0</v>
      </c>
      <c r="EJ112" s="21">
        <f t="shared" si="84"/>
        <v>0</v>
      </c>
      <c r="EK112" s="21">
        <f t="shared" si="84"/>
        <v>0</v>
      </c>
      <c r="EL112" s="21">
        <f t="shared" si="84"/>
        <v>0.23238025657456787</v>
      </c>
    </row>
    <row r="114" spans="2:142">
      <c r="B114" s="185" t="s">
        <v>554</v>
      </c>
      <c r="G114" s="186"/>
      <c r="H114" s="186"/>
      <c r="I114" s="186"/>
      <c r="J114" s="186"/>
      <c r="K114" s="186"/>
      <c r="L114" s="186"/>
      <c r="M114" s="186"/>
      <c r="N114" s="186"/>
      <c r="O114" s="186"/>
      <c r="P114" s="186"/>
      <c r="Q114" s="186"/>
      <c r="R114" s="186"/>
      <c r="S114" s="186"/>
      <c r="T114" s="186"/>
      <c r="U114" s="186"/>
      <c r="V114" s="186"/>
      <c r="W114" s="186"/>
      <c r="X114" s="186"/>
      <c r="Y114" s="186"/>
      <c r="Z114" s="186"/>
      <c r="AA114" s="186"/>
      <c r="AB114" s="186"/>
      <c r="AC114" s="186"/>
      <c r="AD114" s="186"/>
      <c r="AE114" s="186"/>
      <c r="AF114" s="186"/>
      <c r="AG114" s="186"/>
      <c r="AH114" s="186"/>
      <c r="AI114" s="186"/>
      <c r="AJ114" s="186"/>
      <c r="AK114" s="186"/>
      <c r="AL114" s="186"/>
      <c r="AM114" s="186"/>
      <c r="AN114" s="186"/>
      <c r="AO114" s="186"/>
      <c r="AP114" s="186"/>
      <c r="AQ114" s="186"/>
      <c r="AR114" s="186"/>
      <c r="AS114" s="186"/>
      <c r="AT114" s="186"/>
      <c r="AU114" s="186"/>
      <c r="AV114" s="186"/>
      <c r="AW114" s="186"/>
      <c r="AX114" s="186"/>
      <c r="AY114" s="186"/>
      <c r="AZ114" s="186"/>
      <c r="BA114" s="186"/>
      <c r="BB114" s="186"/>
      <c r="BC114" s="186"/>
      <c r="BD114" s="186"/>
      <c r="BE114" s="186"/>
      <c r="BF114" s="186"/>
      <c r="BG114" s="186"/>
      <c r="BH114" s="186"/>
      <c r="BI114" s="186"/>
      <c r="BJ114" s="186"/>
      <c r="BK114" s="186"/>
      <c r="BL114" s="186"/>
      <c r="BM114" s="186"/>
      <c r="BN114" s="186"/>
      <c r="BO114" s="186"/>
      <c r="BP114" s="186"/>
      <c r="BQ114" s="186"/>
      <c r="BR114" s="186"/>
      <c r="BS114" s="186"/>
      <c r="BT114" s="186"/>
      <c r="BU114" s="186"/>
      <c r="BV114" s="186"/>
      <c r="BW114" s="186"/>
      <c r="BX114" s="186"/>
      <c r="BY114" s="186"/>
      <c r="BZ114" s="186"/>
      <c r="CA114" s="185"/>
      <c r="CB114" s="186"/>
      <c r="CC114" s="186"/>
      <c r="CD114" s="186"/>
      <c r="CE114" s="186"/>
      <c r="CF114" s="186"/>
      <c r="CG114" s="186"/>
      <c r="CH114" s="186"/>
      <c r="CI114" s="186"/>
      <c r="CJ114" s="186"/>
      <c r="CK114" s="186"/>
      <c r="CL114" s="186"/>
      <c r="CM114" s="186"/>
      <c r="CN114" s="186"/>
      <c r="CO114" s="186"/>
      <c r="CP114" s="186"/>
      <c r="CQ114" s="186"/>
      <c r="CR114" s="186"/>
      <c r="CS114" s="186"/>
      <c r="CT114" s="186"/>
      <c r="CU114" s="186"/>
      <c r="CV114" s="186"/>
      <c r="CW114" s="186"/>
      <c r="CX114" s="186"/>
      <c r="CY114" s="186"/>
      <c r="CZ114" s="186"/>
      <c r="DA114" s="186"/>
      <c r="DB114" s="186"/>
      <c r="DC114" s="186"/>
      <c r="DD114" s="186"/>
      <c r="DE114" s="186"/>
      <c r="DF114" s="186"/>
      <c r="DG114" s="186"/>
      <c r="DH114" s="186"/>
      <c r="DI114" s="186"/>
      <c r="DJ114" s="186"/>
      <c r="DK114" s="186"/>
      <c r="DL114" s="186"/>
      <c r="DM114" s="186"/>
      <c r="DN114" s="186"/>
      <c r="DO114" s="186"/>
      <c r="DP114" s="186"/>
      <c r="DQ114" s="186"/>
      <c r="DR114" s="186"/>
      <c r="DS114" s="186"/>
      <c r="DT114" s="186"/>
      <c r="DU114" s="186"/>
      <c r="DV114" s="186"/>
      <c r="DW114" s="186"/>
      <c r="DX114" s="186"/>
      <c r="DY114" s="186"/>
      <c r="DZ114" s="186"/>
      <c r="EA114" s="186"/>
      <c r="EB114" s="186"/>
      <c r="EC114" s="186"/>
      <c r="ED114" s="186"/>
      <c r="EE114" s="186"/>
      <c r="EF114" s="186"/>
      <c r="EG114" s="186"/>
      <c r="EH114" s="186"/>
      <c r="EI114" s="186"/>
      <c r="EJ114" s="186"/>
      <c r="EK114" s="186"/>
      <c r="EL114" s="186"/>
    </row>
    <row r="115" spans="2:142">
      <c r="B115" s="1" t="s">
        <v>249</v>
      </c>
      <c r="BA115" s="108"/>
      <c r="BB115" s="108">
        <f>BB105*BB4</f>
        <v>139.39488</v>
      </c>
      <c r="BC115" s="108">
        <f>BC105*BC4</f>
        <v>132.02082000000001</v>
      </c>
      <c r="BD115" s="108">
        <f>BD105*BD4</f>
        <v>135.35999999999999</v>
      </c>
      <c r="BF115" s="108">
        <f>BF105*BF4</f>
        <v>137.06532000000001</v>
      </c>
      <c r="BG115" s="108">
        <f>BG105*BG4</f>
        <v>139.27896000000001</v>
      </c>
      <c r="BH115" s="108">
        <f>BH105*BH4</f>
        <v>134.14139999999998</v>
      </c>
      <c r="BI115" s="108">
        <f>BI105*BI4</f>
        <v>139.85999999999999</v>
      </c>
      <c r="BJ115" s="108">
        <f>SUM(BF115:BI115)</f>
        <v>550.34568000000002</v>
      </c>
      <c r="BK115" s="108">
        <f>BK105*BK4</f>
        <v>135.96039138284544</v>
      </c>
      <c r="BL115" s="108">
        <f>BL105*BL4</f>
        <v>124.28347506527302</v>
      </c>
      <c r="BM115" s="108">
        <f>BM105*BM4</f>
        <v>141.42043095726589</v>
      </c>
      <c r="BN115" s="108">
        <f>BN105*BN4</f>
        <v>133.27542142710735</v>
      </c>
      <c r="BO115" s="108">
        <f>SUM(BK115:BN115)</f>
        <v>534.93971883249174</v>
      </c>
      <c r="BP115" s="108">
        <f>BP105*BP4</f>
        <v>120.672</v>
      </c>
      <c r="BQ115" s="108">
        <f>BQ105*BQ4</f>
        <v>131.09399999999999</v>
      </c>
      <c r="BR115" s="108">
        <f>BR105*BR4</f>
        <v>155.82599999999999</v>
      </c>
      <c r="BS115" s="108">
        <f>BS105*BS4</f>
        <v>151.40400000000002</v>
      </c>
      <c r="BT115" s="108">
        <f>SUM(BP115:BS115)</f>
        <v>558.99599999999998</v>
      </c>
      <c r="BU115" s="64">
        <f>BU105*BU4</f>
        <v>145.86750000000001</v>
      </c>
      <c r="BV115" s="64">
        <f>BV105*BV4</f>
        <v>155.38500000000002</v>
      </c>
      <c r="BW115" s="64">
        <f>BW105*BW4</f>
        <v>148.95000000000002</v>
      </c>
      <c r="BX115" s="64">
        <f>BX105*BX4</f>
        <v>145.10249999999999</v>
      </c>
      <c r="BY115" s="64">
        <f>SUM(BU115:BX115)</f>
        <v>595.30500000000006</v>
      </c>
      <c r="BZ115" s="64">
        <f>BZ105*BZ4</f>
        <v>123.81750000000002</v>
      </c>
      <c r="CA115" s="64">
        <f t="shared" ref="CA115:CC115" si="85">CA105*CA4</f>
        <v>139.66831100229084</v>
      </c>
      <c r="CB115" s="64">
        <f t="shared" si="85"/>
        <v>135.12525297052559</v>
      </c>
      <c r="CC115" s="64">
        <f t="shared" si="85"/>
        <v>151.12459515889765</v>
      </c>
      <c r="CD115" s="64">
        <f>CD105*CD4</f>
        <v>548.98890327634274</v>
      </c>
      <c r="CE115" s="64"/>
      <c r="CF115" s="64"/>
      <c r="CG115" s="64"/>
      <c r="CH115" s="64"/>
      <c r="CI115" s="64">
        <f>CI105*CI4</f>
        <v>536.65945470681788</v>
      </c>
      <c r="CJ115" s="64"/>
      <c r="CK115" s="64"/>
      <c r="CL115" s="64"/>
      <c r="CM115" s="64"/>
      <c r="CN115" s="64">
        <f>CN105*CN4</f>
        <v>525.16194276481713</v>
      </c>
      <c r="CO115" s="64"/>
      <c r="CP115" s="64"/>
      <c r="CQ115" s="64"/>
      <c r="CR115" s="64"/>
      <c r="CS115" s="64">
        <f>CS105*CS4</f>
        <v>512.04972721585852</v>
      </c>
      <c r="CT115" s="64"/>
      <c r="CU115" s="64"/>
      <c r="CV115" s="64"/>
      <c r="CW115" s="64"/>
      <c r="CX115" s="64">
        <f>CX105*CX4</f>
        <v>499.58079953321544</v>
      </c>
      <c r="CY115" s="64"/>
      <c r="CZ115" s="64"/>
      <c r="DA115" s="64"/>
      <c r="DB115" s="64"/>
      <c r="DC115" s="64">
        <f>DC105*DC4</f>
        <v>482.15671961235569</v>
      </c>
      <c r="DD115" s="64"/>
      <c r="DE115" s="64"/>
      <c r="DF115" s="64"/>
      <c r="DG115" s="64"/>
      <c r="DH115" s="64">
        <f>DH105*DH4</f>
        <v>467.92352933341874</v>
      </c>
      <c r="DI115" s="64"/>
      <c r="DJ115" s="64"/>
      <c r="DK115" s="64"/>
      <c r="DL115" s="64"/>
      <c r="DM115" s="64">
        <f>DM105*DM4</f>
        <v>454.32415775231817</v>
      </c>
      <c r="DN115" s="64"/>
      <c r="DO115" s="64"/>
      <c r="DP115" s="64"/>
      <c r="DQ115" s="64"/>
      <c r="DR115" s="64">
        <f>DR105*DR4</f>
        <v>441.32675699552584</v>
      </c>
      <c r="DS115" s="64"/>
      <c r="DT115" s="64"/>
      <c r="DU115" s="64"/>
      <c r="DV115" s="64"/>
      <c r="DW115" s="64">
        <f>DW105*DW4</f>
        <v>380.69405694419828</v>
      </c>
      <c r="DX115" s="64"/>
      <c r="DY115" s="64"/>
      <c r="DZ115" s="64"/>
      <c r="EA115" s="64"/>
      <c r="EB115" s="64">
        <f>EB105*EB4</f>
        <v>388.46465206973119</v>
      </c>
      <c r="EC115" s="64"/>
      <c r="ED115" s="64"/>
      <c r="EE115" s="64"/>
      <c r="EF115" s="64"/>
      <c r="EG115" s="64">
        <f>EG105*EG4</f>
        <v>338.09206382071613</v>
      </c>
      <c r="EH115" s="64"/>
      <c r="EI115" s="64"/>
      <c r="EJ115" s="64"/>
      <c r="EK115" s="64"/>
      <c r="EL115" s="64">
        <f>EL105*EL4</f>
        <v>295.99952640841059</v>
      </c>
    </row>
    <row r="116" spans="2:142">
      <c r="B116" s="1" t="s">
        <v>227</v>
      </c>
      <c r="BA116" s="108"/>
      <c r="BB116" s="108">
        <f>BB106*BB8</f>
        <v>77.348200000000006</v>
      </c>
      <c r="BC116" s="108">
        <f>BC106*BC8</f>
        <v>80.199000000000012</v>
      </c>
      <c r="BD116" s="108">
        <f>BD106*BD8</f>
        <v>85.4</v>
      </c>
      <c r="BF116" s="108">
        <f>BF106*BF8</f>
        <v>92.619450000000001</v>
      </c>
      <c r="BG116" s="108">
        <f>BG106*BG8</f>
        <v>101.35360000000001</v>
      </c>
      <c r="BH116" s="108">
        <f>BH106*BH8</f>
        <v>95.235030000000009</v>
      </c>
      <c r="BI116" s="108">
        <f>BI106*BI8</f>
        <v>91.960000000000008</v>
      </c>
      <c r="BJ116" s="108">
        <f>SUM(BF116:BI116)</f>
        <v>381.16808000000003</v>
      </c>
      <c r="BK116" s="108">
        <f>BK106*BK8</f>
        <v>82.34330775191583</v>
      </c>
      <c r="BL116" s="108">
        <f>BL106*BL8</f>
        <v>82.432308300718176</v>
      </c>
      <c r="BM116" s="108">
        <f>BM106*BM8</f>
        <v>85.387126520955533</v>
      </c>
      <c r="BN116" s="108">
        <f>BN106*BN8</f>
        <v>85.565127618560197</v>
      </c>
      <c r="BO116" s="108">
        <f>SUM(BK116:BN116)</f>
        <v>335.72787019214974</v>
      </c>
      <c r="BP116" s="108">
        <f t="shared" ref="BP116:BX116" si="86">BP106*BP8</f>
        <v>81.329023557422943</v>
      </c>
      <c r="BQ116" s="108">
        <f t="shared" si="86"/>
        <v>84.807245948558005</v>
      </c>
      <c r="BR116" s="108">
        <f t="shared" si="86"/>
        <v>87.893315815202357</v>
      </c>
      <c r="BS116" s="108">
        <f t="shared" si="86"/>
        <v>80.800470154848497</v>
      </c>
      <c r="BT116" s="108">
        <f t="shared" si="86"/>
        <v>334.83005547603182</v>
      </c>
      <c r="BU116" s="64">
        <f t="shared" si="86"/>
        <v>94.012499999999989</v>
      </c>
      <c r="BV116" s="64">
        <f t="shared" si="86"/>
        <v>85.559999999999988</v>
      </c>
      <c r="BW116" s="64">
        <f t="shared" si="86"/>
        <v>80.971499999999992</v>
      </c>
      <c r="BX116" s="64">
        <f t="shared" si="86"/>
        <v>79.815749999999994</v>
      </c>
      <c r="BY116" s="64">
        <f t="shared" ref="BY116:BY117" si="87">SUM(BU116:BX116)</f>
        <v>340.35974999999996</v>
      </c>
      <c r="BZ116" s="64">
        <f>BZ106*BZ8</f>
        <v>70.701807203113503</v>
      </c>
      <c r="CA116" s="64">
        <f t="shared" ref="CA116:CC116" si="88">CA106*CA8</f>
        <v>65.790471970003907</v>
      </c>
      <c r="CB116" s="64">
        <f t="shared" si="88"/>
        <v>65.025466481980601</v>
      </c>
      <c r="CC116" s="64">
        <f t="shared" si="88"/>
        <v>64.984828094996402</v>
      </c>
      <c r="CD116" s="64">
        <f>CD106*CD8</f>
        <v>266.50257375009437</v>
      </c>
      <c r="CE116" s="64"/>
      <c r="CF116" s="64"/>
      <c r="CG116" s="64"/>
      <c r="CH116" s="64"/>
      <c r="CI116" s="64">
        <f>CI106*CI8</f>
        <v>242.1896089374747</v>
      </c>
      <c r="CJ116" s="64"/>
      <c r="CK116" s="64"/>
      <c r="CL116" s="64"/>
      <c r="CM116" s="64"/>
      <c r="CN116" s="64">
        <f>CN106*CN8</f>
        <v>226.8558350885904</v>
      </c>
      <c r="CO116" s="64"/>
      <c r="CP116" s="64"/>
      <c r="CQ116" s="64"/>
      <c r="CR116" s="64"/>
      <c r="CS116" s="64">
        <f>CS106*CS8</f>
        <v>224.76741309371164</v>
      </c>
      <c r="CT116" s="64"/>
      <c r="CU116" s="64"/>
      <c r="CV116" s="64"/>
      <c r="CW116" s="64"/>
      <c r="CX116" s="64">
        <f>CX106*CX8</f>
        <v>226.35473526229751</v>
      </c>
      <c r="CY116" s="64"/>
      <c r="CZ116" s="64"/>
      <c r="DA116" s="64"/>
      <c r="DB116" s="64"/>
      <c r="DC116" s="64">
        <f>DC106*DC8</f>
        <v>228.46281660601596</v>
      </c>
      <c r="DD116" s="64"/>
      <c r="DE116" s="64"/>
      <c r="DF116" s="64"/>
      <c r="DG116" s="64"/>
      <c r="DH116" s="64">
        <f>DH106*DH8</f>
        <v>231.27813444584234</v>
      </c>
      <c r="DI116" s="64"/>
      <c r="DJ116" s="64"/>
      <c r="DK116" s="64"/>
      <c r="DL116" s="64"/>
      <c r="DM116" s="64">
        <f>DM106*DM8</f>
        <v>234.52994319825862</v>
      </c>
      <c r="DN116" s="64"/>
      <c r="DO116" s="64"/>
      <c r="DP116" s="64"/>
      <c r="DQ116" s="64"/>
      <c r="DR116" s="64">
        <f>DR106*DR8</f>
        <v>238.19162064171911</v>
      </c>
      <c r="DS116" s="64"/>
      <c r="DT116" s="64"/>
      <c r="DU116" s="64"/>
      <c r="DV116" s="64"/>
      <c r="DW116" s="64">
        <f>DW106*DW8</f>
        <v>242.2450401413584</v>
      </c>
      <c r="DX116" s="64"/>
      <c r="DY116" s="64"/>
      <c r="DZ116" s="64"/>
      <c r="EA116" s="64"/>
      <c r="EB116" s="64">
        <f>EB106*EB8</f>
        <v>246.9241915666405</v>
      </c>
      <c r="EC116" s="64"/>
      <c r="ED116" s="64"/>
      <c r="EE116" s="64"/>
      <c r="EF116" s="64"/>
      <c r="EG116" s="64">
        <f>EG106*EG8</f>
        <v>251.98404921257017</v>
      </c>
      <c r="EH116" s="64"/>
      <c r="EI116" s="64"/>
      <c r="EJ116" s="64"/>
      <c r="EK116" s="64"/>
      <c r="EL116" s="64">
        <f>EL106*EL8</f>
        <v>257.42401981031827</v>
      </c>
    </row>
    <row r="117" spans="2:142">
      <c r="B117" s="1" t="s">
        <v>87</v>
      </c>
      <c r="BA117" s="108"/>
      <c r="BB117" s="108">
        <f>BB107*BB12</f>
        <v>17.292059999999999</v>
      </c>
      <c r="BC117" s="108">
        <f>BC107*BC12</f>
        <v>25.772939999999998</v>
      </c>
      <c r="BD117" s="108">
        <f>BD107*BD12</f>
        <v>35.729999999999997</v>
      </c>
      <c r="BF117" s="108">
        <f>BF107*BF12</f>
        <v>45.513809999999999</v>
      </c>
      <c r="BG117" s="108">
        <f>BG107*BG12</f>
        <v>52.528500000000001</v>
      </c>
      <c r="BH117" s="108">
        <f>BH107*BH12</f>
        <v>66.905370000000005</v>
      </c>
      <c r="BI117" s="108">
        <f>BI107*BI12</f>
        <v>54.96</v>
      </c>
      <c r="BJ117" s="108">
        <f>SUM(BF117:BI117)</f>
        <v>219.90768</v>
      </c>
      <c r="BK117" s="108">
        <f>BK107*BK12</f>
        <v>80.427750000000003</v>
      </c>
      <c r="BL117" s="108">
        <f>BL107*BL12</f>
        <v>61.438000000000002</v>
      </c>
      <c r="BM117" s="108">
        <f>BM107*BM12</f>
        <v>60.905000000000001</v>
      </c>
      <c r="BN117" s="108">
        <f>BN107*BN12</f>
        <v>69.474999999999994</v>
      </c>
      <c r="BO117" s="108">
        <f>SUM(BK117:BN117)</f>
        <v>272.24574999999999</v>
      </c>
      <c r="BP117" s="108">
        <f t="shared" ref="BP117:BX117" si="89">BP107*BP12</f>
        <v>70.777609642974937</v>
      </c>
      <c r="BQ117" s="108">
        <f t="shared" si="89"/>
        <v>73.81553220509015</v>
      </c>
      <c r="BR117" s="108">
        <f t="shared" si="89"/>
        <v>77.347304247746266</v>
      </c>
      <c r="BS117" s="108">
        <f t="shared" si="89"/>
        <v>74.975330227572556</v>
      </c>
      <c r="BT117" s="108">
        <f t="shared" si="89"/>
        <v>296.91577632338385</v>
      </c>
      <c r="BU117" s="64">
        <f t="shared" si="89"/>
        <v>71.864999999999995</v>
      </c>
      <c r="BV117" s="64">
        <f t="shared" si="89"/>
        <v>83.294999999999987</v>
      </c>
      <c r="BW117" s="64">
        <f t="shared" si="89"/>
        <v>80.219999999999985</v>
      </c>
      <c r="BX117" s="64">
        <f t="shared" si="89"/>
        <v>80.669999999999987</v>
      </c>
      <c r="BY117" s="64">
        <f t="shared" si="87"/>
        <v>316.04999999999995</v>
      </c>
      <c r="BZ117" s="64">
        <f>BZ107*BZ12</f>
        <v>73.845462476638076</v>
      </c>
      <c r="CA117" s="64">
        <f t="shared" ref="CA117:CC117" si="90">CA107*CA12</f>
        <v>81.18586157376869</v>
      </c>
      <c r="CB117" s="64">
        <f t="shared" si="90"/>
        <v>79.689347996372035</v>
      </c>
      <c r="CC117" s="64">
        <f t="shared" si="90"/>
        <v>88.855653392316711</v>
      </c>
      <c r="CD117" s="64">
        <f>CD107*CD12</f>
        <v>323.57632543909557</v>
      </c>
      <c r="CE117" s="64"/>
      <c r="CF117" s="64"/>
      <c r="CG117" s="64"/>
      <c r="CH117" s="64"/>
      <c r="CI117" s="64">
        <f>CI107*CI12</f>
        <v>335.43569066029124</v>
      </c>
      <c r="CJ117" s="64"/>
      <c r="CK117" s="64"/>
      <c r="CL117" s="64"/>
      <c r="CM117" s="64"/>
      <c r="CN117" s="64">
        <f>CN107*CN12</f>
        <v>345.89290642158227</v>
      </c>
      <c r="CO117" s="64"/>
      <c r="CP117" s="64"/>
      <c r="CQ117" s="64"/>
      <c r="CR117" s="64"/>
      <c r="CS117" s="64">
        <f>CS107*CS12</f>
        <v>352.71915738682435</v>
      </c>
      <c r="CT117" s="64"/>
      <c r="CU117" s="64"/>
      <c r="CV117" s="64"/>
      <c r="CW117" s="64"/>
      <c r="CX117" s="64">
        <f>CX107*CX12</f>
        <v>354.12106754915442</v>
      </c>
      <c r="CY117" s="64"/>
      <c r="CZ117" s="64"/>
      <c r="DA117" s="64"/>
      <c r="DB117" s="64"/>
      <c r="DC117" s="64">
        <f>DC107*DC12</f>
        <v>355.55073459798632</v>
      </c>
      <c r="DD117" s="64"/>
      <c r="DE117" s="64"/>
      <c r="DF117" s="64"/>
      <c r="DG117" s="64"/>
      <c r="DH117" s="64">
        <f>DH107*DH12</f>
        <v>357.97659076878853</v>
      </c>
      <c r="DI117" s="64"/>
      <c r="DJ117" s="64"/>
      <c r="DK117" s="64"/>
      <c r="DL117" s="64"/>
      <c r="DM117" s="64">
        <f>DM107*DM12</f>
        <v>299.52400360763448</v>
      </c>
      <c r="DN117" s="64"/>
      <c r="DO117" s="64"/>
      <c r="DP117" s="64"/>
      <c r="DQ117" s="64"/>
      <c r="DR117" s="64">
        <f>DR107*DR12</f>
        <v>206.99097684043227</v>
      </c>
      <c r="DS117" s="64"/>
      <c r="DT117" s="64"/>
      <c r="DU117" s="64"/>
      <c r="DV117" s="64"/>
      <c r="DW117" s="64">
        <f>DW107*DW12</f>
        <v>84.176242352050082</v>
      </c>
      <c r="DX117" s="64"/>
      <c r="DY117" s="64"/>
      <c r="DZ117" s="64"/>
      <c r="EA117" s="64"/>
      <c r="EB117" s="64">
        <f>EB107*EB12</f>
        <v>34.256023696751711</v>
      </c>
      <c r="EC117" s="64"/>
      <c r="ED117" s="64"/>
      <c r="EE117" s="64"/>
      <c r="EF117" s="64"/>
      <c r="EG117" s="64">
        <f>EG107*EG12</f>
        <v>12.693265858966905</v>
      </c>
      <c r="EH117" s="64"/>
      <c r="EI117" s="64"/>
      <c r="EJ117" s="64"/>
      <c r="EK117" s="64"/>
      <c r="EL117" s="64">
        <f>EL107*EL12</f>
        <v>9.0307910962404492</v>
      </c>
    </row>
    <row r="118" spans="2:142">
      <c r="B118" s="1" t="s">
        <v>552</v>
      </c>
      <c r="BG118" s="108">
        <f>BG28/BJ28*BJ118</f>
        <v>2.6821167874411107</v>
      </c>
      <c r="BH118" s="108">
        <f>BH28/BJ28*BJ118</f>
        <v>12.089776208851363</v>
      </c>
      <c r="BI118" s="108">
        <f>BJ118-BG118-BH118</f>
        <v>19.884605568216628</v>
      </c>
      <c r="BJ118" s="66">
        <v>34.6564985645091</v>
      </c>
      <c r="BK118" s="108">
        <f>BK28/BO28*BO118</f>
        <v>9.2228505954529041</v>
      </c>
      <c r="BL118" s="108">
        <f>BL28/BO28*BO118</f>
        <v>12.246607722843738</v>
      </c>
      <c r="BM118" s="108">
        <f>BM28/BO28*BO118</f>
        <v>14.986106098881267</v>
      </c>
      <c r="BN118" s="108">
        <f>BO118-SUM(BK118:BM118)</f>
        <v>16.444435582822088</v>
      </c>
      <c r="BO118" s="66">
        <v>52.9</v>
      </c>
      <c r="BP118" s="108">
        <f>BP28/BT28*BT118</f>
        <v>35.06688369482135</v>
      </c>
      <c r="BQ118" s="108">
        <f>BQ28/BT28*BT118</f>
        <v>39.347078037429533</v>
      </c>
      <c r="BR118" s="108">
        <f>BR28/BT28*BT118</f>
        <v>41.650321629864436</v>
      </c>
      <c r="BS118" s="108">
        <f>BT118-SUM(BP118:BR118)</f>
        <v>46.487133173977739</v>
      </c>
      <c r="BT118" s="66">
        <v>162.55141653609306</v>
      </c>
      <c r="BU118" s="64">
        <f>BU108*BU28</f>
        <v>14.880000000000003</v>
      </c>
      <c r="BV118" s="64"/>
      <c r="BW118" s="64"/>
      <c r="BX118" s="64"/>
      <c r="BY118" s="64">
        <f>SUM(BU118:BX118)</f>
        <v>14.880000000000003</v>
      </c>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row>
    <row r="119" spans="2:142">
      <c r="B119" s="1" t="s">
        <v>559</v>
      </c>
      <c r="BJ119" s="66"/>
      <c r="BK119" s="66"/>
      <c r="BL119" s="66"/>
      <c r="BM119" s="66"/>
      <c r="BN119" s="66"/>
      <c r="BO119" s="66">
        <f t="shared" ref="BO119:BY119" si="91">BO109*BO16</f>
        <v>0</v>
      </c>
      <c r="BP119" s="66">
        <f t="shared" si="91"/>
        <v>0</v>
      </c>
      <c r="BQ119" s="66">
        <f t="shared" si="91"/>
        <v>0</v>
      </c>
      <c r="BR119" s="66">
        <f t="shared" si="91"/>
        <v>0.28499999999999998</v>
      </c>
      <c r="BS119" s="66">
        <f t="shared" si="91"/>
        <v>0.88500000000000001</v>
      </c>
      <c r="BT119" s="66">
        <f t="shared" si="91"/>
        <v>1.1700000000000002</v>
      </c>
      <c r="BU119" s="64">
        <f t="shared" si="91"/>
        <v>1.6049999999999998</v>
      </c>
      <c r="BV119" s="64">
        <f t="shared" si="91"/>
        <v>2.415</v>
      </c>
      <c r="BW119" s="64">
        <f t="shared" si="91"/>
        <v>2.13</v>
      </c>
      <c r="BX119" s="64">
        <f t="shared" si="91"/>
        <v>1.7549999999999999</v>
      </c>
      <c r="BY119" s="64">
        <f t="shared" si="91"/>
        <v>7.9050000000000002</v>
      </c>
      <c r="BZ119" s="64">
        <f t="shared" ref="BZ119:CC119" si="92">BZ109*BZ16</f>
        <v>0.21</v>
      </c>
      <c r="CA119" s="64">
        <f t="shared" si="92"/>
        <v>0</v>
      </c>
      <c r="CB119" s="64">
        <f t="shared" si="92"/>
        <v>0</v>
      </c>
      <c r="CC119" s="64">
        <f t="shared" si="92"/>
        <v>0</v>
      </c>
      <c r="CD119" s="64">
        <f>CD109*CD16</f>
        <v>0.21</v>
      </c>
      <c r="CE119" s="64"/>
      <c r="CF119" s="64"/>
      <c r="CG119" s="64"/>
      <c r="CH119" s="64"/>
      <c r="CI119" s="64">
        <f>CI109*CI16</f>
        <v>0</v>
      </c>
      <c r="CJ119" s="64"/>
      <c r="CK119" s="64"/>
      <c r="CL119" s="64"/>
      <c r="CM119" s="64"/>
      <c r="CN119" s="64">
        <f>CN109*CN16</f>
        <v>0</v>
      </c>
      <c r="CO119" s="64"/>
      <c r="CP119" s="64"/>
      <c r="CQ119" s="64"/>
      <c r="CR119" s="64"/>
      <c r="CS119" s="64">
        <f>CS109*CS16</f>
        <v>0</v>
      </c>
      <c r="CT119" s="64"/>
      <c r="CU119" s="64"/>
      <c r="CV119" s="64"/>
      <c r="CW119" s="64"/>
      <c r="CX119" s="64">
        <f>CX109*CX16</f>
        <v>0</v>
      </c>
      <c r="CY119" s="64"/>
      <c r="CZ119" s="64"/>
      <c r="DA119" s="64"/>
      <c r="DB119" s="64"/>
      <c r="DC119" s="64">
        <f>DC109*DC16</f>
        <v>0</v>
      </c>
      <c r="DD119" s="64"/>
      <c r="DE119" s="64"/>
      <c r="DF119" s="64"/>
      <c r="DG119" s="64"/>
      <c r="DH119" s="64">
        <f>DH109*DH16</f>
        <v>0</v>
      </c>
      <c r="DI119" s="64"/>
      <c r="DJ119" s="64"/>
      <c r="DK119" s="64"/>
      <c r="DL119" s="64"/>
      <c r="DM119" s="64">
        <f>DM109*DM16</f>
        <v>0</v>
      </c>
      <c r="DN119" s="64"/>
      <c r="DO119" s="64"/>
      <c r="DP119" s="64"/>
      <c r="DQ119" s="64"/>
      <c r="DR119" s="64">
        <f>DR109*DR16</f>
        <v>0</v>
      </c>
      <c r="DS119" s="64"/>
      <c r="DT119" s="64"/>
      <c r="DU119" s="64"/>
      <c r="DV119" s="64"/>
      <c r="DW119" s="64">
        <f>DW109*DW16</f>
        <v>0</v>
      </c>
      <c r="DX119" s="64"/>
      <c r="DY119" s="64"/>
      <c r="DZ119" s="64"/>
      <c r="EA119" s="64"/>
      <c r="EB119" s="64">
        <f>EB109*EB16</f>
        <v>0</v>
      </c>
      <c r="EC119" s="64"/>
      <c r="ED119" s="64"/>
      <c r="EE119" s="64"/>
      <c r="EF119" s="64"/>
      <c r="EG119" s="64">
        <f>EG109*EG16</f>
        <v>0</v>
      </c>
      <c r="EH119" s="64"/>
      <c r="EI119" s="64"/>
      <c r="EJ119" s="64"/>
      <c r="EK119" s="64"/>
      <c r="EL119" s="64">
        <f>EL109*EL16</f>
        <v>0</v>
      </c>
    </row>
    <row r="120" spans="2:142">
      <c r="B120" s="1" t="s">
        <v>836</v>
      </c>
      <c r="BJ120" s="66"/>
      <c r="BK120" s="66"/>
      <c r="BL120" s="66"/>
      <c r="BM120" s="66"/>
      <c r="BN120" s="66"/>
      <c r="BO120" s="66"/>
      <c r="BP120" s="66"/>
      <c r="BQ120" s="66"/>
      <c r="BR120" s="66"/>
      <c r="BS120" s="66"/>
      <c r="BT120" s="66"/>
      <c r="BU120" s="64">
        <f>BU110*BU20</f>
        <v>11.85</v>
      </c>
      <c r="BV120" s="64">
        <f>BV110*BV20</f>
        <v>50.725000000000001</v>
      </c>
      <c r="BW120" s="64">
        <f>BW110*BW20</f>
        <v>67.724999999999994</v>
      </c>
      <c r="BX120" s="64">
        <f>BX110*BX20</f>
        <v>90.625</v>
      </c>
      <c r="BY120" s="64">
        <f>SUM(BU120:BX120)</f>
        <v>220.92500000000001</v>
      </c>
      <c r="BZ120" s="64">
        <f>BZ110*BZ20</f>
        <v>100.07250000000001</v>
      </c>
      <c r="CA120" s="64">
        <f>CA110*CA20</f>
        <v>108.62500000000001</v>
      </c>
      <c r="CB120" s="64">
        <f>CB110*CB20</f>
        <v>114.12500000000001</v>
      </c>
      <c r="CC120" s="64">
        <f>CC110*CC20</f>
        <v>132.62559231879055</v>
      </c>
      <c r="CD120" s="64">
        <f>SMA!L252</f>
        <v>455.44809231879054</v>
      </c>
      <c r="CE120" s="64"/>
      <c r="CF120" s="64"/>
      <c r="CG120" s="64"/>
      <c r="CH120" s="64"/>
      <c r="CI120" s="64">
        <f>SMA!M252</f>
        <v>531.36365322428298</v>
      </c>
      <c r="CJ120" s="64"/>
      <c r="CK120" s="64"/>
      <c r="CL120" s="64"/>
      <c r="CM120" s="64"/>
      <c r="CN120" s="64">
        <f>SMA!N252</f>
        <v>677.5604843572803</v>
      </c>
      <c r="CO120" s="64"/>
      <c r="CP120" s="64"/>
      <c r="CQ120" s="64"/>
      <c r="CR120" s="64"/>
      <c r="CS120" s="64">
        <f>SMA!O252</f>
        <v>755.17091597759304</v>
      </c>
      <c r="CT120" s="64"/>
      <c r="CU120" s="64"/>
      <c r="CV120" s="64"/>
      <c r="CW120" s="64"/>
      <c r="CX120" s="64">
        <f>SMA!P252</f>
        <v>838.64995395348456</v>
      </c>
      <c r="CY120" s="64"/>
      <c r="CZ120" s="64"/>
      <c r="DA120" s="64"/>
      <c r="DB120" s="64"/>
      <c r="DC120" s="64">
        <f>SMA!Q252</f>
        <v>925.22104688289789</v>
      </c>
      <c r="DD120" s="64"/>
      <c r="DE120" s="64"/>
      <c r="DF120" s="64"/>
      <c r="DG120" s="64"/>
      <c r="DH120" s="64">
        <f>SMA!R252</f>
        <v>1009.658265457319</v>
      </c>
      <c r="DI120" s="64"/>
      <c r="DJ120" s="64"/>
      <c r="DK120" s="64"/>
      <c r="DL120" s="64"/>
      <c r="DM120" s="64">
        <f>SMA!S252</f>
        <v>1089.1100861604943</v>
      </c>
      <c r="DN120" s="64"/>
      <c r="DO120" s="64"/>
      <c r="DP120" s="64"/>
      <c r="DQ120" s="64"/>
      <c r="DR120" s="64">
        <f>SMA!T252</f>
        <v>1165.0364264840136</v>
      </c>
      <c r="DS120" s="64"/>
      <c r="DT120" s="64"/>
      <c r="DU120" s="64"/>
      <c r="DV120" s="64"/>
      <c r="DW120" s="64">
        <f>SMA!U252</f>
        <v>1238.0242076444108</v>
      </c>
      <c r="DX120" s="64"/>
      <c r="DY120" s="64"/>
      <c r="DZ120" s="64"/>
      <c r="EA120" s="64"/>
      <c r="EB120" s="64">
        <f>SMA!V252</f>
        <v>1308.2067134606614</v>
      </c>
      <c r="EC120" s="64"/>
      <c r="ED120" s="64"/>
      <c r="EE120" s="64"/>
      <c r="EF120" s="64"/>
      <c r="EG120" s="64">
        <f>SMA!W252</f>
        <v>1375.8221841560498</v>
      </c>
      <c r="EH120" s="64"/>
      <c r="EI120" s="64"/>
      <c r="EJ120" s="64"/>
      <c r="EK120" s="64"/>
      <c r="EL120" s="64">
        <f>SMA!X252</f>
        <v>1441.0528066301767</v>
      </c>
    </row>
    <row r="121" spans="2:142">
      <c r="B121" s="1" t="s">
        <v>75</v>
      </c>
      <c r="BA121" s="190"/>
      <c r="BB121" s="190">
        <f>BB122-BB115-BB116-BB117-BB118</f>
        <v>-3.3071399999999969</v>
      </c>
      <c r="BC121" s="190">
        <f>BC122-BC115-BC116-BC117-BC118-BC119</f>
        <v>-3.2967600000000274</v>
      </c>
      <c r="BD121" s="190">
        <f>BD122-BD115-BD116-BD117-BD118-BD119</f>
        <v>2.0630000000000095</v>
      </c>
      <c r="BF121" s="190">
        <f>BF122-BF115-BF116-BF117-BF118-BF119</f>
        <v>4.0464199999999906</v>
      </c>
      <c r="BG121" s="389">
        <f>BG122-BG115-BG116-BG117-BG118-BG119</f>
        <v>-3.9561767874411378</v>
      </c>
      <c r="BH121" s="389">
        <f>BH122-BH115-BH116-BH117-BH118-BH119</f>
        <v>-5.7325762088513432</v>
      </c>
      <c r="BI121" s="389">
        <f>BI122-BI115-BI116-BI117-BI118-BI119</f>
        <v>-9.3996055682166357</v>
      </c>
      <c r="BJ121" s="191">
        <f>SUM(BF121:BI121)</f>
        <v>-15.041938564509126</v>
      </c>
      <c r="BK121" s="389">
        <f>BK122-BK115-BK116-BK117-BK118-BK119</f>
        <v>4.4767002697858018</v>
      </c>
      <c r="BL121" s="389">
        <f>BL122-BL115-BL116-BL117-BL118-BL119</f>
        <v>5.7196089111650643</v>
      </c>
      <c r="BM121" s="389">
        <f>BM122-BM115-BM116-BM117-BM118-BM119</f>
        <v>7.3293364228973257</v>
      </c>
      <c r="BN121" s="389">
        <f>BN122-BN115-BN116-BN117-BN118-BN119</f>
        <v>27.040015371510385</v>
      </c>
      <c r="BO121" s="191">
        <f>SUM(BK121:BN121)</f>
        <v>44.565660975358576</v>
      </c>
      <c r="BP121" s="389">
        <f>BP122-BP115-BP116-BP117-BP118-BP119</f>
        <v>5.1544831047807733</v>
      </c>
      <c r="BQ121" s="389">
        <f>BQ122-BQ115-BQ116-BQ117-BQ118-BQ119</f>
        <v>41.236143808922328</v>
      </c>
      <c r="BR121" s="389">
        <f>BR122-BR115-BR116-BR117-BR118-BR119</f>
        <v>53.898058307186901</v>
      </c>
      <c r="BS121" s="389">
        <f>BS122-BS115-BS116-BS117-BS118-BS119</f>
        <v>23.948066443601167</v>
      </c>
      <c r="BT121" s="191">
        <f>SUM(BP121:BS121)</f>
        <v>124.23675166449117</v>
      </c>
      <c r="BU121" s="389">
        <f>BU122-BU115-BU116-BU117-BU118-BU119-BU120</f>
        <v>44.520000000000032</v>
      </c>
      <c r="BV121" s="389">
        <f>BV122-BV115-BV116-BV117-BV118-BV119-BV120</f>
        <v>-11.180000000000007</v>
      </c>
      <c r="BW121" s="389">
        <f>BW122-BW115-BW116-BW117-BW118-BW119-BW120</f>
        <v>-9.9964999999999904</v>
      </c>
      <c r="BX121" s="389">
        <f>BX122-BX115-BX116-BX117-BX118-BX119-BX120</f>
        <v>111.23175000000001</v>
      </c>
      <c r="BY121" s="507">
        <f>SUM(BU121:BX121)</f>
        <v>134.57525000000004</v>
      </c>
      <c r="BZ121" s="389">
        <f>BZ122-BZ115-BZ116-BZ117-BZ118-BZ119-BZ120</f>
        <v>77.352730320248398</v>
      </c>
      <c r="CA121" s="64">
        <f>CA111*(CA47-CA4-CA8-CA12-CA28-CA16-CA20)</f>
        <v>24.46609307936146</v>
      </c>
      <c r="CB121" s="64">
        <f>CB111*(CB47-CB4-CB8-CB12-CB28-CB16-CB20)</f>
        <v>25.21609307936146</v>
      </c>
      <c r="CC121" s="64">
        <f>CC111*(CC47-CC4-CC8-CC12-CC28-CC16-CC20)</f>
        <v>26.053093079361503</v>
      </c>
      <c r="CD121" s="507">
        <f>CD111*(CD47-CD4-CD8-CD12-CD28-CD16-CD20)</f>
        <v>99.451372317446115</v>
      </c>
      <c r="CE121" s="64"/>
      <c r="CF121" s="64"/>
      <c r="CG121" s="64"/>
      <c r="CH121" s="64"/>
      <c r="CI121" s="507">
        <f>CI111*(CI47-CI4-CI8-CI12-CI28-CI16-CI20)</f>
        <v>103.51169491526136</v>
      </c>
      <c r="CJ121" s="64"/>
      <c r="CK121" s="64"/>
      <c r="CL121" s="64"/>
      <c r="CM121" s="64"/>
      <c r="CN121" s="507">
        <f>CN111*(CN47-CN4-CN8-CN12-CN28-CN16-CN20)</f>
        <v>107.1941908766502</v>
      </c>
      <c r="CO121" s="64"/>
      <c r="CP121" s="64"/>
      <c r="CQ121" s="64"/>
      <c r="CR121" s="64"/>
      <c r="CS121" s="507">
        <f>CS111*(CS47-CS4-CS8-CS12-CS28-CS16-CS20)</f>
        <v>116.68476059366346</v>
      </c>
      <c r="CT121" s="64"/>
      <c r="CU121" s="64"/>
      <c r="CV121" s="64"/>
      <c r="CW121" s="64"/>
      <c r="CX121" s="507">
        <f>CX111*(CX47-CX4-CX8-CX12-CX28-CX16-CX20)</f>
        <v>122.71716959639734</v>
      </c>
      <c r="CY121" s="64"/>
      <c r="CZ121" s="64"/>
      <c r="DA121" s="64"/>
      <c r="DB121" s="64"/>
      <c r="DC121" s="507">
        <f>DC111*(DC47-DC4-DC8-DC12-DC28-DC16-DC20)</f>
        <v>129.23759939544357</v>
      </c>
      <c r="DD121" s="64"/>
      <c r="DE121" s="64"/>
      <c r="DF121" s="64"/>
      <c r="DG121" s="64"/>
      <c r="DH121" s="507">
        <f>DH111*(DH47-DH4-DH8-DH12-DH28-DH16-DH20)</f>
        <v>136.29277561457965</v>
      </c>
      <c r="DI121" s="64"/>
      <c r="DJ121" s="64"/>
      <c r="DK121" s="64"/>
      <c r="DL121" s="64"/>
      <c r="DM121" s="507">
        <f>DM111*(DM47-DM4-DM8-DM12-DM28-DM16-DM20)</f>
        <v>143.16814512823223</v>
      </c>
      <c r="DN121" s="64"/>
      <c r="DO121" s="64"/>
      <c r="DP121" s="64"/>
      <c r="DQ121" s="64"/>
      <c r="DR121" s="507">
        <f>DR111*(DR47-DR4-DR8-DR12-DR28-DR16-DR20)</f>
        <v>150.4983186053162</v>
      </c>
      <c r="DS121" s="64"/>
      <c r="DT121" s="64"/>
      <c r="DU121" s="64"/>
      <c r="DV121" s="64"/>
      <c r="DW121" s="507">
        <f>DW111*(DW47-DW4-DW8-DW12-DW28-DW16-DW20)</f>
        <v>152.6558031821115</v>
      </c>
      <c r="DX121" s="64"/>
      <c r="DY121" s="64"/>
      <c r="DZ121" s="64"/>
      <c r="EA121" s="64"/>
      <c r="EB121" s="507">
        <f>EB111*(EB47-EB4-EB8-EB12-EB28-EB16-EB20)</f>
        <v>154.10598956787072</v>
      </c>
      <c r="EC121" s="64"/>
      <c r="ED121" s="64"/>
      <c r="EE121" s="64"/>
      <c r="EF121" s="64"/>
      <c r="EG121" s="507">
        <f>EG111*(EG47-EG4-EG8-EG12-EG28-EG16-EG20)</f>
        <v>160.09065410188234</v>
      </c>
      <c r="EH121" s="64"/>
      <c r="EI121" s="64"/>
      <c r="EJ121" s="64"/>
      <c r="EK121" s="64"/>
      <c r="EL121" s="507">
        <f>EL111*(EL47-EL4-EL8-EL12-EL28-EL16-EL20)</f>
        <v>167.513775350451</v>
      </c>
    </row>
    <row r="122" spans="2:142">
      <c r="B122" s="1" t="s">
        <v>86</v>
      </c>
      <c r="G122" s="17">
        <f>IS!G11</f>
        <v>230.5</v>
      </c>
      <c r="H122" s="17">
        <f>IS!H11</f>
        <v>60.466999999999985</v>
      </c>
      <c r="I122" s="17">
        <f>IS!I11</f>
        <v>58.328999999999979</v>
      </c>
      <c r="J122" s="17">
        <f>IS!J11</f>
        <v>61.16</v>
      </c>
      <c r="K122" s="17">
        <f>IS!K11</f>
        <v>78.863</v>
      </c>
      <c r="L122" s="17">
        <f>IS!L11</f>
        <v>258.81899999999996</v>
      </c>
      <c r="M122" s="17">
        <f>IS!M11</f>
        <v>90.308999999999997</v>
      </c>
      <c r="N122" s="17">
        <f>IS!N11</f>
        <v>62.093000000000004</v>
      </c>
      <c r="O122" s="17">
        <f>IS!O11</f>
        <v>78.26100000000001</v>
      </c>
      <c r="P122" s="17">
        <f>IS!P11</f>
        <v>72.350999999999999</v>
      </c>
      <c r="Q122" s="17">
        <f>IS!Q11</f>
        <v>303.01400000000001</v>
      </c>
      <c r="R122" s="17">
        <f>IS!R11</f>
        <v>63.494</v>
      </c>
      <c r="S122" s="17">
        <f>IS!S11</f>
        <v>76.992999999999995</v>
      </c>
      <c r="T122" s="17">
        <f>IS!T11</f>
        <v>63.892000000000003</v>
      </c>
      <c r="U122" s="17">
        <f>IS!U11</f>
        <v>62.103999999999957</v>
      </c>
      <c r="V122" s="17">
        <f>IS!V11</f>
        <v>266.48299999999995</v>
      </c>
      <c r="W122" s="17">
        <f>IS!W11</f>
        <v>78.95</v>
      </c>
      <c r="X122" s="17">
        <f>IS!X11</f>
        <v>83.963000000000008</v>
      </c>
      <c r="Y122" s="17">
        <f>IS!Y11</f>
        <v>81.613</v>
      </c>
      <c r="Z122" s="17">
        <f>IS!Z11</f>
        <v>90.565999999999974</v>
      </c>
      <c r="AA122" s="17">
        <f>IS!AA11</f>
        <v>335.09199999999998</v>
      </c>
      <c r="AB122" s="17">
        <f>IS!AB11</f>
        <v>100.934</v>
      </c>
      <c r="AC122" s="17">
        <f>IS!AC11</f>
        <v>92.400999999999996</v>
      </c>
      <c r="AD122" s="17">
        <f>IS!AD11</f>
        <v>107.49299999999999</v>
      </c>
      <c r="AE122" s="17">
        <f>IS!AE11</f>
        <v>101.161</v>
      </c>
      <c r="AF122" s="17">
        <f>IS!AF11</f>
        <v>401.98899999999998</v>
      </c>
      <c r="AG122" s="17">
        <f>IS!AG11</f>
        <v>98.197000000000003</v>
      </c>
      <c r="AH122" s="17">
        <f>IS!AH11</f>
        <v>90.721000000000004</v>
      </c>
      <c r="AI122" s="17">
        <f>IS!AI11</f>
        <v>93.486000000000004</v>
      </c>
      <c r="AJ122" s="17">
        <f>IS!AJ11</f>
        <v>99.699999999999989</v>
      </c>
      <c r="AK122" s="17">
        <f>IS!AK11</f>
        <v>382.10399999999998</v>
      </c>
      <c r="AL122" s="17">
        <f>IS!AL11</f>
        <v>97.055000000000007</v>
      </c>
      <c r="AM122" s="17">
        <f>IS!AM11</f>
        <v>106.985</v>
      </c>
      <c r="AN122" s="17">
        <f>IS!AN11</f>
        <v>95.918000000000006</v>
      </c>
      <c r="AO122" s="17">
        <f>IS!AO11</f>
        <v>100.30399999999997</v>
      </c>
      <c r="AP122" s="17">
        <f>IS!AP11</f>
        <v>400.262</v>
      </c>
      <c r="AQ122" s="17">
        <f>IS!AQ11</f>
        <v>103.113</v>
      </c>
      <c r="AR122" s="17">
        <f>IS!AR11</f>
        <v>100.503</v>
      </c>
      <c r="AS122" s="17">
        <f>IS!AS11</f>
        <v>123.527</v>
      </c>
      <c r="AT122" s="17">
        <f>IS!AT11</f>
        <v>139.63800000000001</v>
      </c>
      <c r="AU122" s="17">
        <f>IS!AU11</f>
        <v>466.78099999999995</v>
      </c>
      <c r="AV122" s="17">
        <f>IS!AV11</f>
        <v>133.197</v>
      </c>
      <c r="AW122" s="17">
        <f>IS!AW11</f>
        <v>139.11199999999999</v>
      </c>
      <c r="AX122" s="17">
        <f>IS!AX11</f>
        <v>139.358</v>
      </c>
      <c r="AY122" s="17">
        <f>IS!AY11</f>
        <v>133.828</v>
      </c>
      <c r="AZ122" s="17">
        <f>IS!AZ11</f>
        <v>545.495</v>
      </c>
      <c r="BA122" s="190">
        <f>IS!BA11</f>
        <v>133.749</v>
      </c>
      <c r="BB122" s="190">
        <f>IS!BB11</f>
        <v>230.72800000000001</v>
      </c>
      <c r="BC122" s="190">
        <f>IS!BC11</f>
        <v>234.696</v>
      </c>
      <c r="BD122" s="190">
        <f>IS!BD11</f>
        <v>258.553</v>
      </c>
      <c r="BE122" s="17">
        <f>SUM(BA122:BD122)</f>
        <v>857.726</v>
      </c>
      <c r="BF122" s="190">
        <f>IS!BF11</f>
        <v>279.245</v>
      </c>
      <c r="BG122" s="190">
        <f>IS!BG11</f>
        <v>291.887</v>
      </c>
      <c r="BH122" s="190">
        <f>IS!BH11</f>
        <v>302.63900000000001</v>
      </c>
      <c r="BI122" s="190">
        <f>IS!BI11</f>
        <v>297.26499999999999</v>
      </c>
      <c r="BJ122" s="108">
        <f>BJ121+BJ117+BJ116+BJ115+BJ118</f>
        <v>1171.0360000000001</v>
      </c>
      <c r="BK122" s="190">
        <f>IS!BK11</f>
        <v>312.43099999999998</v>
      </c>
      <c r="BL122" s="190">
        <f>IS!BL11</f>
        <v>286.12</v>
      </c>
      <c r="BM122" s="190">
        <f>IS!BM11</f>
        <v>310.02800000000002</v>
      </c>
      <c r="BN122" s="190">
        <f>IS!BN11</f>
        <v>331.8</v>
      </c>
      <c r="BO122" s="108">
        <f>BO121+BO117+BO116+BO115+BO118+BO119</f>
        <v>1240.3790000000001</v>
      </c>
      <c r="BP122" s="190">
        <f>IS!BP11</f>
        <v>313</v>
      </c>
      <c r="BQ122" s="190">
        <f>IS!BQ11</f>
        <v>370.3</v>
      </c>
      <c r="BR122" s="190">
        <f>IS!BR11</f>
        <v>416.9</v>
      </c>
      <c r="BS122" s="190">
        <f>IS!BS11</f>
        <v>378.5</v>
      </c>
      <c r="BT122" s="108">
        <f t="shared" ref="BT122:EC122" si="93">BT121+BT117+BT116+BT115+BT118+BT119</f>
        <v>1478.7</v>
      </c>
      <c r="BU122" s="190">
        <f>IS!BU11</f>
        <v>384.6</v>
      </c>
      <c r="BV122" s="190">
        <f>IS!BV11</f>
        <v>366.2</v>
      </c>
      <c r="BW122" s="190">
        <f>IS!BW11</f>
        <v>370</v>
      </c>
      <c r="BX122" s="190">
        <f>IS!BX11</f>
        <v>509.2</v>
      </c>
      <c r="BY122" s="64">
        <f>BY121+BY117+BY116+BY115+BY118+BY119+BY120</f>
        <v>1630</v>
      </c>
      <c r="BZ122" s="190">
        <f>IS!BZ11</f>
        <v>446</v>
      </c>
      <c r="CA122" s="64">
        <f t="shared" ref="CA122:CC122" si="94">CA121+CA117+CA116+CA115+CA118+CA119+CA120</f>
        <v>419.73573762542492</v>
      </c>
      <c r="CB122" s="64">
        <f t="shared" si="94"/>
        <v>419.18116052823967</v>
      </c>
      <c r="CC122" s="64">
        <f t="shared" si="94"/>
        <v>463.6437620443628</v>
      </c>
      <c r="CD122" s="64">
        <f>CD121+CD117+CD116+CD115+CD118+CD119+CD120</f>
        <v>1694.1772671017693</v>
      </c>
      <c r="CE122" s="64">
        <f t="shared" si="93"/>
        <v>0</v>
      </c>
      <c r="CF122" s="64">
        <f t="shared" si="93"/>
        <v>0</v>
      </c>
      <c r="CG122" s="64">
        <f t="shared" si="93"/>
        <v>0</v>
      </c>
      <c r="CH122" s="64">
        <f t="shared" si="93"/>
        <v>0</v>
      </c>
      <c r="CI122" s="64">
        <f>CI121+CI117+CI116+CI115+CI118+CI119+CI120</f>
        <v>1749.1601024441284</v>
      </c>
      <c r="CJ122" s="64">
        <f t="shared" si="93"/>
        <v>0</v>
      </c>
      <c r="CK122" s="64">
        <f t="shared" si="93"/>
        <v>0</v>
      </c>
      <c r="CL122" s="64">
        <f t="shared" si="93"/>
        <v>0</v>
      </c>
      <c r="CM122" s="64">
        <f t="shared" si="93"/>
        <v>0</v>
      </c>
      <c r="CN122" s="64">
        <f>CN121+CN117+CN116+CN115+CN118+CN119+CN120</f>
        <v>1882.6653595089203</v>
      </c>
      <c r="CO122" s="64">
        <f t="shared" si="93"/>
        <v>0</v>
      </c>
      <c r="CP122" s="64">
        <f t="shared" si="93"/>
        <v>0</v>
      </c>
      <c r="CQ122" s="64">
        <f t="shared" si="93"/>
        <v>0</v>
      </c>
      <c r="CR122" s="64">
        <f t="shared" si="93"/>
        <v>0</v>
      </c>
      <c r="CS122" s="64">
        <f>CS121+CS117+CS116+CS115+CS118+CS119+CS120</f>
        <v>1961.391974267651</v>
      </c>
      <c r="CT122" s="64">
        <f t="shared" si="93"/>
        <v>0</v>
      </c>
      <c r="CU122" s="64">
        <f t="shared" si="93"/>
        <v>0</v>
      </c>
      <c r="CV122" s="64">
        <f t="shared" si="93"/>
        <v>0</v>
      </c>
      <c r="CW122" s="64">
        <f t="shared" si="93"/>
        <v>0</v>
      </c>
      <c r="CX122" s="64">
        <f>CX121+CX117+CX116+CX115+CX118+CX119+CX120</f>
        <v>2041.4237258945493</v>
      </c>
      <c r="CY122" s="64">
        <f t="shared" si="93"/>
        <v>0</v>
      </c>
      <c r="CZ122" s="64">
        <f t="shared" si="93"/>
        <v>0</v>
      </c>
      <c r="DA122" s="64">
        <f t="shared" si="93"/>
        <v>0</v>
      </c>
      <c r="DB122" s="64">
        <f t="shared" si="93"/>
        <v>0</v>
      </c>
      <c r="DC122" s="64">
        <f>DC121+DC117+DC116+DC115+DC118+DC119+DC120</f>
        <v>2120.6289170946993</v>
      </c>
      <c r="DD122" s="64">
        <f t="shared" si="93"/>
        <v>0</v>
      </c>
      <c r="DE122" s="64">
        <f t="shared" si="93"/>
        <v>0</v>
      </c>
      <c r="DF122" s="64">
        <f t="shared" si="93"/>
        <v>0</v>
      </c>
      <c r="DG122" s="64">
        <f t="shared" si="93"/>
        <v>0</v>
      </c>
      <c r="DH122" s="64">
        <f>DH121+DH117+DH116+DH115+DH118+DH119+DH120</f>
        <v>2203.1292956199482</v>
      </c>
      <c r="DI122" s="64">
        <f t="shared" si="93"/>
        <v>0</v>
      </c>
      <c r="DJ122" s="64">
        <f t="shared" si="93"/>
        <v>0</v>
      </c>
      <c r="DK122" s="64">
        <f t="shared" si="93"/>
        <v>0</v>
      </c>
      <c r="DL122" s="64">
        <f t="shared" si="93"/>
        <v>0</v>
      </c>
      <c r="DM122" s="64">
        <f>DM121+DM117+DM116+DM115+DM118+DM119+DM120</f>
        <v>2220.6563358469375</v>
      </c>
      <c r="DN122" s="64">
        <f t="shared" si="93"/>
        <v>0</v>
      </c>
      <c r="DO122" s="64">
        <f t="shared" si="93"/>
        <v>0</v>
      </c>
      <c r="DP122" s="64">
        <f t="shared" si="93"/>
        <v>0</v>
      </c>
      <c r="DQ122" s="64">
        <f t="shared" si="93"/>
        <v>0</v>
      </c>
      <c r="DR122" s="64">
        <f>DR121+DR117+DR116+DR115+DR118+DR119+DR120</f>
        <v>2202.0440995670069</v>
      </c>
      <c r="DS122" s="64">
        <f t="shared" si="93"/>
        <v>0</v>
      </c>
      <c r="DT122" s="64">
        <f t="shared" si="93"/>
        <v>0</v>
      </c>
      <c r="DU122" s="64">
        <f t="shared" si="93"/>
        <v>0</v>
      </c>
      <c r="DV122" s="64">
        <f t="shared" si="93"/>
        <v>0</v>
      </c>
      <c r="DW122" s="64">
        <f>DW121+DW117+DW116+DW115+DW118+DW119+DW120</f>
        <v>2097.795350264129</v>
      </c>
      <c r="DX122" s="64">
        <f t="shared" si="93"/>
        <v>0</v>
      </c>
      <c r="DY122" s="64">
        <f t="shared" si="93"/>
        <v>0</v>
      </c>
      <c r="DZ122" s="64">
        <f t="shared" si="93"/>
        <v>0</v>
      </c>
      <c r="EA122" s="64">
        <f t="shared" si="93"/>
        <v>0</v>
      </c>
      <c r="EB122" s="64">
        <f>EB121+EB117+EB116+EB115+EB118+EB119+EB120</f>
        <v>2131.9575703616556</v>
      </c>
      <c r="EC122" s="64">
        <f t="shared" si="93"/>
        <v>0</v>
      </c>
      <c r="ED122" s="64">
        <f t="shared" ref="ED122:EK122" si="95">ED121+ED117+ED116+ED115+ED118+ED119</f>
        <v>0</v>
      </c>
      <c r="EE122" s="64">
        <f t="shared" si="95"/>
        <v>0</v>
      </c>
      <c r="EF122" s="64">
        <f t="shared" si="95"/>
        <v>0</v>
      </c>
      <c r="EG122" s="64">
        <f>EG121+EG117+EG116+EG115+EG118+EG119+EG120</f>
        <v>2138.6822171501854</v>
      </c>
      <c r="EH122" s="64">
        <f t="shared" si="95"/>
        <v>0</v>
      </c>
      <c r="EI122" s="64">
        <f t="shared" si="95"/>
        <v>0</v>
      </c>
      <c r="EJ122" s="64">
        <f t="shared" si="95"/>
        <v>0</v>
      </c>
      <c r="EK122" s="64">
        <f t="shared" si="95"/>
        <v>0</v>
      </c>
      <c r="EL122" s="64">
        <f>EL121+EL117+EL116+EL115+EL118+EL119+EL120</f>
        <v>2171.0209192955972</v>
      </c>
    </row>
    <row r="124" spans="2:142">
      <c r="B124" s="9" t="s">
        <v>832</v>
      </c>
      <c r="BK124" s="108">
        <v>160.9</v>
      </c>
      <c r="BL124" s="108">
        <v>147.80000000000001</v>
      </c>
      <c r="BP124" s="108">
        <v>150.5</v>
      </c>
      <c r="BQ124" s="108">
        <v>195.6</v>
      </c>
    </row>
    <row r="125" spans="2:142" s="442" customFormat="1">
      <c r="B125" s="32" t="s">
        <v>834</v>
      </c>
      <c r="BK125" s="33">
        <f>BK124/BK47</f>
        <v>7.4071618830856154E-2</v>
      </c>
      <c r="BL125" s="33">
        <f>BL124/BL47</f>
        <v>6.7215425894765576E-2</v>
      </c>
      <c r="BM125" s="33"/>
      <c r="BN125" s="33"/>
      <c r="BO125" s="33"/>
      <c r="BP125" s="33">
        <f>BP124/BP47</f>
        <v>6.5168442019572184E-2</v>
      </c>
      <c r="BQ125" s="33">
        <f>BQ124/BQ47</f>
        <v>7.9318734793187351E-2</v>
      </c>
      <c r="BZ125" s="30">
        <f>1-BZ112</f>
        <v>0.82326134337230039</v>
      </c>
    </row>
    <row r="126" spans="2:142">
      <c r="B126" s="9" t="s">
        <v>833</v>
      </c>
      <c r="BK126" s="108">
        <f>BK122-BK124</f>
        <v>151.53099999999998</v>
      </c>
      <c r="BL126" s="64">
        <f>BL122-BL124</f>
        <v>138.32</v>
      </c>
      <c r="BP126" s="108">
        <f>BP122-BP124</f>
        <v>162.5</v>
      </c>
      <c r="BQ126" s="64">
        <f>BQ122-BQ124</f>
        <v>174.70000000000002</v>
      </c>
    </row>
    <row r="127" spans="2:142" s="442" customFormat="1">
      <c r="B127" s="32" t="s">
        <v>834</v>
      </c>
      <c r="BK127" s="33">
        <f>BK126/BK47</f>
        <v>6.9758523760462793E-2</v>
      </c>
      <c r="BL127" s="33">
        <f>BL126/BL47</f>
        <v>6.2904179362408483E-2</v>
      </c>
      <c r="BM127" s="33"/>
      <c r="BN127" s="33"/>
      <c r="BO127" s="33"/>
      <c r="BP127" s="33">
        <f>BP126/BP47</f>
        <v>7.036459686498657E-2</v>
      </c>
      <c r="BQ127" s="33">
        <f>BQ126/BQ47</f>
        <v>7.0843471208434719E-2</v>
      </c>
    </row>
    <row r="130" spans="2:57">
      <c r="B130" s="1" t="s">
        <v>631</v>
      </c>
      <c r="Q130" s="108"/>
      <c r="V130" s="108"/>
      <c r="AA130" s="108">
        <f>AA84-AA26-AA24*0.25</f>
        <v>209.553</v>
      </c>
      <c r="AF130" s="108">
        <f>AF84-AF26-AF24*0.25</f>
        <v>311.07799999999997</v>
      </c>
      <c r="AK130" s="108">
        <f>AK84-AK26-AK24*0.25</f>
        <v>325.17599999999999</v>
      </c>
      <c r="AP130" s="108">
        <f>AP84-AP26-AP24*0.25</f>
        <v>311.20599999999996</v>
      </c>
      <c r="AU130" s="108">
        <f>AU84-AU26-AU24*0.25</f>
        <v>319.37975</v>
      </c>
      <c r="AZ130" s="108">
        <f>AZ84-AZ26-AZ24*0.25</f>
        <v>335.17450000000002</v>
      </c>
      <c r="BA130" s="108"/>
      <c r="BB130" s="108"/>
      <c r="BC130" s="108"/>
      <c r="BD130" s="108"/>
      <c r="BE130" s="108">
        <f>BE84-BE26-BE24*0.25</f>
        <v>339.09674999999999</v>
      </c>
    </row>
  </sheetData>
  <mergeCells count="28">
    <mergeCell ref="EC2:EG2"/>
    <mergeCell ref="EH2:EL2"/>
    <mergeCell ref="DD2:DH2"/>
    <mergeCell ref="DI2:DM2"/>
    <mergeCell ref="DN2:DR2"/>
    <mergeCell ref="DS2:DW2"/>
    <mergeCell ref="DX2:EB2"/>
    <mergeCell ref="BA2:BE2"/>
    <mergeCell ref="AL2:AP2"/>
    <mergeCell ref="CO2:CS2"/>
    <mergeCell ref="CT2:CX2"/>
    <mergeCell ref="CY2:DC2"/>
    <mergeCell ref="C2:G2"/>
    <mergeCell ref="H2:L2"/>
    <mergeCell ref="M2:Q2"/>
    <mergeCell ref="R2:V2"/>
    <mergeCell ref="CJ2:CN2"/>
    <mergeCell ref="BK2:BO2"/>
    <mergeCell ref="BP2:BT2"/>
    <mergeCell ref="BU2:BY2"/>
    <mergeCell ref="BZ2:CD2"/>
    <mergeCell ref="CE2:CI2"/>
    <mergeCell ref="BF2:BJ2"/>
    <mergeCell ref="AG2:AK2"/>
    <mergeCell ref="AQ2:AU2"/>
    <mergeCell ref="W2:AA2"/>
    <mergeCell ref="AB2:AF2"/>
    <mergeCell ref="AV2:AZ2"/>
  </mergeCells>
  <phoneticPr fontId="16" type="noConversion"/>
  <pageMargins left="0" right="0" top="0" bottom="0" header="0" footer="0"/>
  <pageSetup paperSize="5" scale="65" orientation="landscape" r:id="rId1"/>
  <ignoredErrors>
    <ignoredError sqref="BY115:BY120 BY108 BY47" formula="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2"/>
  <sheetViews>
    <sheetView zoomScaleNormal="100" workbookViewId="0"/>
  </sheetViews>
  <sheetFormatPr defaultRowHeight="15"/>
  <sheetData>
    <row r="1" spans="1:6">
      <c r="A1" t="s">
        <v>575</v>
      </c>
    </row>
    <row r="2" spans="1:6">
      <c r="A2" s="112" t="s">
        <v>574</v>
      </c>
      <c r="B2" s="112" t="s">
        <v>648</v>
      </c>
      <c r="C2" s="112" t="s">
        <v>572</v>
      </c>
      <c r="D2" s="112" t="s">
        <v>567</v>
      </c>
      <c r="E2" s="112" t="s">
        <v>573</v>
      </c>
      <c r="F2" s="112" t="s">
        <v>937</v>
      </c>
    </row>
  </sheetData>
  <phoneticPr fontId="1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EL47"/>
  <sheetViews>
    <sheetView showGridLines="0" zoomScaleNormal="100" workbookViewId="0">
      <pane xSplit="2" ySplit="3" topLeftCell="BX4" activePane="bottomRight" state="frozen"/>
      <selection pane="topRight" activeCell="C1" sqref="C1"/>
      <selection pane="bottomLeft" activeCell="A6" sqref="A6"/>
      <selection pane="bottomRight" activeCell="BZ3" sqref="BZ3"/>
    </sheetView>
  </sheetViews>
  <sheetFormatPr defaultRowHeight="12.75" outlineLevelCol="1"/>
  <cols>
    <col min="1" max="1" width="2.140625" style="1" customWidth="1"/>
    <col min="2" max="2" width="41.5703125" style="1" bestFit="1" customWidth="1"/>
    <col min="3" max="3" width="6.7109375" style="1" hidden="1" customWidth="1" outlineLevel="1"/>
    <col min="4" max="6" width="8.7109375" style="1" hidden="1" customWidth="1" outlineLevel="1"/>
    <col min="7" max="7" width="8.7109375" style="1" hidden="1" customWidth="1" collapsed="1"/>
    <col min="8" max="11" width="8.7109375" style="1" hidden="1" customWidth="1" outlineLevel="1"/>
    <col min="12" max="12" width="8.7109375" style="1" hidden="1" customWidth="1" collapsed="1"/>
    <col min="13" max="16" width="8.7109375" style="1" hidden="1" customWidth="1" outlineLevel="1"/>
    <col min="17" max="17" width="8.7109375" style="1" hidden="1" customWidth="1" collapsed="1"/>
    <col min="18" max="21" width="8.7109375" style="1" hidden="1" customWidth="1" outlineLevel="1"/>
    <col min="22" max="22" width="8.7109375" style="1" hidden="1" customWidth="1" collapsed="1"/>
    <col min="23" max="26" width="8.7109375" style="1" hidden="1" customWidth="1" outlineLevel="1"/>
    <col min="27" max="27" width="8.7109375" style="1" hidden="1" customWidth="1" collapsed="1"/>
    <col min="28" max="31" width="8.7109375" style="1" hidden="1" customWidth="1" outlineLevel="1"/>
    <col min="32" max="32" width="8.7109375" style="1" hidden="1" customWidth="1" collapsed="1"/>
    <col min="33" max="36" width="8.7109375" style="1" hidden="1" customWidth="1" outlineLevel="1"/>
    <col min="37" max="37" width="8.7109375" style="1" customWidth="1" collapsed="1"/>
    <col min="38" max="41" width="8.7109375" style="1" hidden="1" customWidth="1" outlineLevel="1"/>
    <col min="42" max="42" width="8.7109375" style="1" customWidth="1" collapsed="1"/>
    <col min="43" max="46" width="8.7109375" style="1" hidden="1" customWidth="1" outlineLevel="1"/>
    <col min="47" max="47" width="8.7109375" style="1" customWidth="1" collapsed="1"/>
    <col min="48" max="51" width="8.7109375" style="1" hidden="1" customWidth="1" outlineLevel="1"/>
    <col min="52" max="52" width="8.7109375" style="1" customWidth="1" collapsed="1"/>
    <col min="53" max="56" width="8.7109375" style="1" hidden="1" customWidth="1" outlineLevel="1"/>
    <col min="57" max="57" width="8.7109375" style="1" customWidth="1" collapsed="1"/>
    <col min="58" max="61" width="8.7109375" style="1" hidden="1" customWidth="1" outlineLevel="1"/>
    <col min="62" max="62" width="8.7109375" style="1" customWidth="1" collapsed="1"/>
    <col min="63" max="66" width="8.7109375" style="1" hidden="1" customWidth="1" outlineLevel="1"/>
    <col min="67" max="67" width="8.7109375" style="1" customWidth="1" collapsed="1"/>
    <col min="68" max="71" width="8.7109375" style="1" customWidth="1" outlineLevel="1"/>
    <col min="72" max="72" width="8.7109375" style="1" customWidth="1"/>
    <col min="73" max="76" width="8.7109375" style="1" customWidth="1" outlineLevel="1"/>
    <col min="77" max="77" width="8.7109375" style="1" customWidth="1"/>
    <col min="78" max="81" width="8.7109375" style="1" customWidth="1" outlineLevel="1"/>
    <col min="82" max="82" width="8.7109375" style="1" customWidth="1"/>
    <col min="83" max="86" width="8.7109375" style="1" hidden="1" customWidth="1" outlineLevel="1"/>
    <col min="87" max="87" width="8.7109375" style="1" customWidth="1" collapsed="1"/>
    <col min="88" max="91" width="8.7109375" style="1" hidden="1" customWidth="1" outlineLevel="1"/>
    <col min="92" max="92" width="8.7109375" style="1" customWidth="1" collapsed="1"/>
    <col min="93" max="96" width="9.140625" style="1" hidden="1" customWidth="1" outlineLevel="1"/>
    <col min="97" max="97" width="9.140625" style="1" collapsed="1"/>
    <col min="98" max="101" width="9.140625" style="1" hidden="1" customWidth="1" outlineLevel="1"/>
    <col min="102" max="102" width="9.140625" style="1" collapsed="1"/>
    <col min="103" max="106" width="9.140625" style="1" hidden="1" customWidth="1" outlineLevel="1"/>
    <col min="107" max="107" width="9.140625" style="1" collapsed="1"/>
    <col min="108" max="111" width="9.140625" style="1" hidden="1" customWidth="1" outlineLevel="1"/>
    <col min="112" max="112" width="9.140625" style="1" collapsed="1"/>
    <col min="113" max="116" width="9.140625" style="1" hidden="1" customWidth="1" outlineLevel="1"/>
    <col min="117" max="117" width="9.140625" style="1" collapsed="1"/>
    <col min="118" max="121" width="9.140625" style="1" hidden="1" customWidth="1" outlineLevel="1"/>
    <col min="122" max="122" width="9.140625" style="1" collapsed="1"/>
    <col min="123" max="126" width="9.140625" style="1" hidden="1" customWidth="1" outlineLevel="1"/>
    <col min="127" max="127" width="9.140625" style="1" collapsed="1"/>
    <col min="128" max="131" width="9.140625" style="1" hidden="1" customWidth="1" outlineLevel="1"/>
    <col min="132" max="132" width="9.140625" style="1" collapsed="1"/>
    <col min="133" max="136" width="9.140625" style="1" hidden="1" customWidth="1" outlineLevel="1"/>
    <col min="137" max="137" width="9.140625" style="1" collapsed="1"/>
    <col min="138" max="141" width="9.140625" style="1" hidden="1" customWidth="1" outlineLevel="1"/>
    <col min="142" max="142" width="9.140625" style="1" collapsed="1"/>
    <col min="143" max="16384" width="9.140625" style="1"/>
  </cols>
  <sheetData>
    <row r="1" spans="2:142">
      <c r="BK1" s="65"/>
      <c r="BL1" s="65"/>
      <c r="BM1" s="65"/>
      <c r="BN1" s="65"/>
      <c r="BO1" s="67"/>
      <c r="BP1" s="65"/>
      <c r="BQ1" s="65"/>
      <c r="BR1" s="65"/>
      <c r="BS1" s="65"/>
      <c r="BU1" s="65"/>
      <c r="BV1" s="65"/>
      <c r="BW1" s="65"/>
      <c r="BX1" s="65"/>
      <c r="BZ1" s="65"/>
      <c r="CA1" s="65"/>
      <c r="CB1" s="65"/>
      <c r="CC1" s="65"/>
      <c r="CE1" s="65"/>
      <c r="CF1" s="65"/>
      <c r="CG1" s="65"/>
      <c r="CH1" s="65"/>
      <c r="CJ1" s="65"/>
      <c r="CK1" s="65"/>
      <c r="CL1" s="65"/>
      <c r="CM1" s="65"/>
      <c r="CO1" s="65"/>
      <c r="CP1" s="65"/>
      <c r="CQ1" s="65"/>
      <c r="CR1" s="65"/>
      <c r="CT1" s="65"/>
      <c r="CU1" s="65"/>
      <c r="CV1" s="65"/>
      <c r="CW1" s="65"/>
      <c r="CY1" s="65"/>
      <c r="CZ1" s="65"/>
      <c r="DA1" s="65"/>
      <c r="DB1" s="65"/>
      <c r="DD1" s="65"/>
      <c r="DE1" s="65"/>
      <c r="DF1" s="65"/>
      <c r="DG1" s="65"/>
      <c r="DI1" s="65"/>
      <c r="DJ1" s="65"/>
      <c r="DK1" s="65"/>
      <c r="DL1" s="65"/>
      <c r="DN1" s="65"/>
      <c r="DO1" s="65"/>
      <c r="DP1" s="65"/>
      <c r="DQ1" s="65"/>
      <c r="DS1" s="65"/>
      <c r="DT1" s="65"/>
      <c r="DU1" s="65"/>
      <c r="DV1" s="65"/>
      <c r="DX1" s="65"/>
      <c r="DY1" s="65"/>
      <c r="DZ1" s="65"/>
      <c r="EA1" s="65"/>
      <c r="EC1" s="65"/>
      <c r="ED1" s="65"/>
      <c r="EE1" s="65"/>
      <c r="EF1" s="65"/>
      <c r="EH1" s="65"/>
      <c r="EI1" s="65"/>
      <c r="EJ1" s="65"/>
      <c r="EK1" s="65"/>
    </row>
    <row r="2" spans="2:142" ht="13.5" thickBot="1">
      <c r="B2" s="13" t="s">
        <v>94</v>
      </c>
      <c r="C2" s="560" t="s">
        <v>0</v>
      </c>
      <c r="D2" s="560"/>
      <c r="E2" s="560"/>
      <c r="F2" s="560"/>
      <c r="G2" s="560"/>
      <c r="H2" s="560" t="s">
        <v>1</v>
      </c>
      <c r="I2" s="560"/>
      <c r="J2" s="560"/>
      <c r="K2" s="560"/>
      <c r="L2" s="560"/>
      <c r="M2" s="560" t="s">
        <v>2</v>
      </c>
      <c r="N2" s="560"/>
      <c r="O2" s="560"/>
      <c r="P2" s="560"/>
      <c r="Q2" s="560"/>
      <c r="R2" s="560" t="s">
        <v>3</v>
      </c>
      <c r="S2" s="560"/>
      <c r="T2" s="560"/>
      <c r="U2" s="560"/>
      <c r="V2" s="560"/>
      <c r="W2" s="560" t="s">
        <v>4</v>
      </c>
      <c r="X2" s="560"/>
      <c r="Y2" s="560"/>
      <c r="Z2" s="560"/>
      <c r="AA2" s="560"/>
      <c r="AB2" s="560" t="s">
        <v>5</v>
      </c>
      <c r="AC2" s="560"/>
      <c r="AD2" s="560"/>
      <c r="AE2" s="560"/>
      <c r="AF2" s="560"/>
      <c r="AG2" s="560" t="s">
        <v>6</v>
      </c>
      <c r="AH2" s="560"/>
      <c r="AI2" s="560"/>
      <c r="AJ2" s="560"/>
      <c r="AK2" s="560"/>
      <c r="AL2" s="560" t="s">
        <v>7</v>
      </c>
      <c r="AM2" s="560"/>
      <c r="AN2" s="560"/>
      <c r="AO2" s="560"/>
      <c r="AP2" s="560"/>
      <c r="AQ2" s="560" t="s">
        <v>8</v>
      </c>
      <c r="AR2" s="560"/>
      <c r="AS2" s="560"/>
      <c r="AT2" s="560"/>
      <c r="AU2" s="560"/>
      <c r="AV2" s="560" t="s">
        <v>9</v>
      </c>
      <c r="AW2" s="560"/>
      <c r="AX2" s="560"/>
      <c r="AY2" s="560"/>
      <c r="AZ2" s="560"/>
      <c r="BA2" s="560" t="s">
        <v>557</v>
      </c>
      <c r="BB2" s="560"/>
      <c r="BC2" s="560"/>
      <c r="BD2" s="560"/>
      <c r="BE2" s="560"/>
      <c r="BF2" s="560" t="s">
        <v>717</v>
      </c>
      <c r="BG2" s="560"/>
      <c r="BH2" s="560"/>
      <c r="BI2" s="560"/>
      <c r="BJ2" s="560"/>
      <c r="BK2" s="560" t="s">
        <v>827</v>
      </c>
      <c r="BL2" s="560"/>
      <c r="BM2" s="560"/>
      <c r="BN2" s="560"/>
      <c r="BO2" s="560"/>
      <c r="BP2" s="560" t="s">
        <v>914</v>
      </c>
      <c r="BQ2" s="560"/>
      <c r="BR2" s="560"/>
      <c r="BS2" s="560"/>
      <c r="BT2" s="560"/>
      <c r="BU2" s="560" t="s">
        <v>501</v>
      </c>
      <c r="BV2" s="560"/>
      <c r="BW2" s="560"/>
      <c r="BX2" s="560"/>
      <c r="BY2" s="560"/>
      <c r="BZ2" s="560" t="s">
        <v>506</v>
      </c>
      <c r="CA2" s="560"/>
      <c r="CB2" s="560"/>
      <c r="CC2" s="560"/>
      <c r="CD2" s="560"/>
      <c r="CE2" s="560" t="s">
        <v>511</v>
      </c>
      <c r="CF2" s="560"/>
      <c r="CG2" s="560"/>
      <c r="CH2" s="560"/>
      <c r="CI2" s="560"/>
      <c r="CJ2" s="560" t="s">
        <v>516</v>
      </c>
      <c r="CK2" s="560"/>
      <c r="CL2" s="560"/>
      <c r="CM2" s="560"/>
      <c r="CN2" s="560"/>
      <c r="CO2" s="560" t="s">
        <v>654</v>
      </c>
      <c r="CP2" s="560"/>
      <c r="CQ2" s="560"/>
      <c r="CR2" s="560"/>
      <c r="CS2" s="560"/>
      <c r="CT2" s="560" t="s">
        <v>655</v>
      </c>
      <c r="CU2" s="560"/>
      <c r="CV2" s="560"/>
      <c r="CW2" s="560"/>
      <c r="CX2" s="560"/>
      <c r="CY2" s="560" t="s">
        <v>656</v>
      </c>
      <c r="CZ2" s="560"/>
      <c r="DA2" s="560"/>
      <c r="DB2" s="560"/>
      <c r="DC2" s="560"/>
      <c r="DD2" s="560" t="s">
        <v>657</v>
      </c>
      <c r="DE2" s="560"/>
      <c r="DF2" s="560"/>
      <c r="DG2" s="560"/>
      <c r="DH2" s="560"/>
      <c r="DI2" s="560" t="s">
        <v>658</v>
      </c>
      <c r="DJ2" s="560"/>
      <c r="DK2" s="560"/>
      <c r="DL2" s="560"/>
      <c r="DM2" s="560"/>
      <c r="DN2" s="560" t="s">
        <v>659</v>
      </c>
      <c r="DO2" s="560"/>
      <c r="DP2" s="560"/>
      <c r="DQ2" s="560"/>
      <c r="DR2" s="560"/>
      <c r="DS2" s="560" t="s">
        <v>660</v>
      </c>
      <c r="DT2" s="560"/>
      <c r="DU2" s="560"/>
      <c r="DV2" s="560"/>
      <c r="DW2" s="560"/>
      <c r="DX2" s="560" t="s">
        <v>661</v>
      </c>
      <c r="DY2" s="560"/>
      <c r="DZ2" s="560"/>
      <c r="EA2" s="560"/>
      <c r="EB2" s="560"/>
      <c r="EC2" s="560" t="s">
        <v>662</v>
      </c>
      <c r="ED2" s="560"/>
      <c r="EE2" s="560"/>
      <c r="EF2" s="560"/>
      <c r="EG2" s="560"/>
      <c r="EH2" s="560" t="s">
        <v>663</v>
      </c>
      <c r="EI2" s="560"/>
      <c r="EJ2" s="560"/>
      <c r="EK2" s="560"/>
      <c r="EL2" s="560"/>
    </row>
    <row r="3" spans="2:142">
      <c r="B3" s="4"/>
      <c r="C3" s="177" t="s">
        <v>14</v>
      </c>
      <c r="D3" s="177" t="s">
        <v>15</v>
      </c>
      <c r="E3" s="177" t="s">
        <v>16</v>
      </c>
      <c r="F3" s="177" t="s">
        <v>17</v>
      </c>
      <c r="H3" s="177" t="s">
        <v>18</v>
      </c>
      <c r="I3" s="177" t="s">
        <v>19</v>
      </c>
      <c r="J3" s="177" t="s">
        <v>20</v>
      </c>
      <c r="K3" s="177" t="s">
        <v>21</v>
      </c>
      <c r="M3" s="177" t="s">
        <v>22</v>
      </c>
      <c r="N3" s="177" t="s">
        <v>23</v>
      </c>
      <c r="O3" s="177" t="s">
        <v>24</v>
      </c>
      <c r="P3" s="177" t="s">
        <v>25</v>
      </c>
      <c r="R3" s="177" t="s">
        <v>26</v>
      </c>
      <c r="S3" s="177" t="s">
        <v>27</v>
      </c>
      <c r="T3" s="177" t="s">
        <v>28</v>
      </c>
      <c r="U3" s="177" t="s">
        <v>29</v>
      </c>
      <c r="W3" s="177" t="s">
        <v>30</v>
      </c>
      <c r="X3" s="177" t="s">
        <v>31</v>
      </c>
      <c r="Y3" s="177" t="s">
        <v>32</v>
      </c>
      <c r="Z3" s="177" t="s">
        <v>33</v>
      </c>
      <c r="AB3" s="177" t="s">
        <v>34</v>
      </c>
      <c r="AC3" s="177" t="s">
        <v>35</v>
      </c>
      <c r="AD3" s="177" t="s">
        <v>36</v>
      </c>
      <c r="AE3" s="177" t="s">
        <v>37</v>
      </c>
      <c r="AG3" s="177" t="s">
        <v>38</v>
      </c>
      <c r="AH3" s="177" t="s">
        <v>39</v>
      </c>
      <c r="AI3" s="177" t="s">
        <v>40</v>
      </c>
      <c r="AJ3" s="177" t="s">
        <v>41</v>
      </c>
      <c r="AL3" s="177" t="s">
        <v>42</v>
      </c>
      <c r="AM3" s="177" t="s">
        <v>43</v>
      </c>
      <c r="AN3" s="177" t="s">
        <v>44</v>
      </c>
      <c r="AO3" s="177" t="s">
        <v>45</v>
      </c>
      <c r="AQ3" s="177" t="s">
        <v>46</v>
      </c>
      <c r="AR3" s="177" t="s">
        <v>47</v>
      </c>
      <c r="AS3" s="177" t="s">
        <v>48</v>
      </c>
      <c r="AT3" s="177" t="s">
        <v>49</v>
      </c>
      <c r="AV3" s="306" t="s">
        <v>50</v>
      </c>
      <c r="AW3" s="306" t="s">
        <v>51</v>
      </c>
      <c r="AX3" s="306" t="s">
        <v>52</v>
      </c>
      <c r="AY3" s="306" t="s">
        <v>53</v>
      </c>
      <c r="BA3" s="306" t="s">
        <v>54</v>
      </c>
      <c r="BB3" s="306" t="s">
        <v>55</v>
      </c>
      <c r="BC3" s="306" t="s">
        <v>56</v>
      </c>
      <c r="BD3" s="306" t="s">
        <v>556</v>
      </c>
      <c r="BF3" s="306" t="s">
        <v>647</v>
      </c>
      <c r="BG3" s="306" t="s">
        <v>649</v>
      </c>
      <c r="BH3" s="306" t="s">
        <v>653</v>
      </c>
      <c r="BI3" s="306" t="s">
        <v>716</v>
      </c>
      <c r="BK3" s="306" t="s">
        <v>720</v>
      </c>
      <c r="BL3" s="306" t="s">
        <v>721</v>
      </c>
      <c r="BM3" s="306" t="s">
        <v>821</v>
      </c>
      <c r="BN3" s="306" t="s">
        <v>824</v>
      </c>
      <c r="BP3" s="306" t="s">
        <v>830</v>
      </c>
      <c r="BQ3" s="306" t="s">
        <v>831</v>
      </c>
      <c r="BR3" s="306" t="s">
        <v>835</v>
      </c>
      <c r="BS3" s="306" t="s">
        <v>913</v>
      </c>
      <c r="BU3" s="306" t="s">
        <v>915</v>
      </c>
      <c r="BV3" s="306" t="s">
        <v>917</v>
      </c>
      <c r="BW3" s="306" t="s">
        <v>926</v>
      </c>
      <c r="BX3" s="306" t="s">
        <v>505</v>
      </c>
      <c r="BZ3" s="306" t="s">
        <v>938</v>
      </c>
      <c r="CA3" s="306" t="s">
        <v>508</v>
      </c>
      <c r="CB3" s="306" t="s">
        <v>509</v>
      </c>
      <c r="CC3" s="306" t="s">
        <v>510</v>
      </c>
      <c r="CE3" s="306" t="s">
        <v>512</v>
      </c>
      <c r="CF3" s="306" t="s">
        <v>513</v>
      </c>
      <c r="CG3" s="306" t="s">
        <v>514</v>
      </c>
      <c r="CH3" s="306" t="s">
        <v>515</v>
      </c>
      <c r="CJ3" s="306" t="s">
        <v>517</v>
      </c>
      <c r="CK3" s="306" t="s">
        <v>518</v>
      </c>
      <c r="CL3" s="306" t="s">
        <v>519</v>
      </c>
      <c r="CM3" s="306" t="s">
        <v>520</v>
      </c>
      <c r="CO3" s="306" t="s">
        <v>664</v>
      </c>
      <c r="CP3" s="306" t="s">
        <v>665</v>
      </c>
      <c r="CQ3" s="306" t="s">
        <v>666</v>
      </c>
      <c r="CR3" s="306" t="s">
        <v>667</v>
      </c>
      <c r="CT3" s="306" t="s">
        <v>668</v>
      </c>
      <c r="CU3" s="306" t="s">
        <v>669</v>
      </c>
      <c r="CV3" s="306" t="s">
        <v>670</v>
      </c>
      <c r="CW3" s="306" t="s">
        <v>671</v>
      </c>
      <c r="CY3" s="306" t="s">
        <v>672</v>
      </c>
      <c r="CZ3" s="306" t="s">
        <v>673</v>
      </c>
      <c r="DA3" s="306" t="s">
        <v>674</v>
      </c>
      <c r="DB3" s="306" t="s">
        <v>675</v>
      </c>
      <c r="DD3" s="306" t="s">
        <v>676</v>
      </c>
      <c r="DE3" s="306" t="s">
        <v>677</v>
      </c>
      <c r="DF3" s="306" t="s">
        <v>678</v>
      </c>
      <c r="DG3" s="306" t="s">
        <v>679</v>
      </c>
      <c r="DI3" s="306" t="s">
        <v>680</v>
      </c>
      <c r="DJ3" s="306" t="s">
        <v>681</v>
      </c>
      <c r="DK3" s="306" t="s">
        <v>682</v>
      </c>
      <c r="DL3" s="306" t="s">
        <v>683</v>
      </c>
      <c r="DN3" s="306" t="s">
        <v>684</v>
      </c>
      <c r="DO3" s="306" t="s">
        <v>685</v>
      </c>
      <c r="DP3" s="306" t="s">
        <v>686</v>
      </c>
      <c r="DQ3" s="306" t="s">
        <v>687</v>
      </c>
      <c r="DS3" s="306" t="s">
        <v>688</v>
      </c>
      <c r="DT3" s="306" t="s">
        <v>689</v>
      </c>
      <c r="DU3" s="306" t="s">
        <v>690</v>
      </c>
      <c r="DV3" s="306" t="s">
        <v>691</v>
      </c>
      <c r="DX3" s="306" t="s">
        <v>692</v>
      </c>
      <c r="DY3" s="306" t="s">
        <v>693</v>
      </c>
      <c r="DZ3" s="306" t="s">
        <v>694</v>
      </c>
      <c r="EA3" s="306" t="s">
        <v>695</v>
      </c>
      <c r="EC3" s="306" t="s">
        <v>696</v>
      </c>
      <c r="ED3" s="306" t="s">
        <v>697</v>
      </c>
      <c r="EE3" s="306" t="s">
        <v>698</v>
      </c>
      <c r="EF3" s="306" t="s">
        <v>699</v>
      </c>
      <c r="EH3" s="306" t="s">
        <v>700</v>
      </c>
      <c r="EI3" s="306" t="s">
        <v>701</v>
      </c>
      <c r="EJ3" s="306" t="s">
        <v>702</v>
      </c>
      <c r="EK3" s="306" t="s">
        <v>703</v>
      </c>
    </row>
    <row r="4" spans="2:142">
      <c r="B4" s="4" t="s">
        <v>894</v>
      </c>
      <c r="C4" s="145"/>
      <c r="D4" s="145"/>
      <c r="E4" s="145"/>
      <c r="F4" s="145"/>
      <c r="G4" s="64"/>
      <c r="H4" s="146"/>
      <c r="I4" s="146"/>
      <c r="J4" s="146"/>
      <c r="K4" s="146"/>
      <c r="L4" s="64"/>
      <c r="M4" s="146"/>
      <c r="N4" s="146"/>
      <c r="O4" s="146"/>
      <c r="P4" s="146"/>
      <c r="Q4" s="64"/>
      <c r="R4" s="146"/>
      <c r="S4" s="146"/>
      <c r="T4" s="146"/>
      <c r="U4" s="146"/>
      <c r="V4" s="64"/>
      <c r="W4" s="146"/>
      <c r="X4" s="146"/>
      <c r="Y4" s="146"/>
      <c r="Z4" s="146"/>
      <c r="AA4" s="64"/>
      <c r="AB4" s="146"/>
      <c r="AC4" s="146"/>
      <c r="AD4" s="146"/>
      <c r="AE4" s="146"/>
      <c r="AF4" s="64"/>
      <c r="AG4" s="146"/>
      <c r="AH4" s="146"/>
      <c r="AI4" s="146"/>
      <c r="AJ4" s="146"/>
      <c r="AK4" s="64"/>
      <c r="AL4" s="146"/>
      <c r="AM4" s="146"/>
      <c r="AN4" s="146"/>
      <c r="AO4" s="146"/>
      <c r="AP4" s="64"/>
      <c r="AQ4" s="146"/>
      <c r="AR4" s="146"/>
      <c r="AS4" s="146"/>
      <c r="AT4" s="146"/>
      <c r="AU4" s="64"/>
      <c r="AV4" s="255"/>
      <c r="AW4" s="255"/>
      <c r="AX4" s="255"/>
      <c r="AY4" s="255"/>
      <c r="AZ4" s="64"/>
      <c r="BA4" s="255"/>
      <c r="BB4" s="255"/>
      <c r="BC4" s="255"/>
      <c r="BD4" s="255"/>
      <c r="BE4" s="64"/>
      <c r="BF4" s="255"/>
      <c r="BG4" s="255"/>
      <c r="BH4" s="255"/>
      <c r="BI4" s="255"/>
      <c r="BJ4" s="101"/>
      <c r="BK4" s="255"/>
      <c r="BL4" s="255"/>
      <c r="BM4" s="255"/>
      <c r="BN4" s="255"/>
      <c r="BO4" s="101"/>
      <c r="BP4" s="310">
        <v>0</v>
      </c>
      <c r="BQ4" s="254">
        <f t="shared" ref="BQ4:CV4" si="0">BQ5+BQ47</f>
        <v>0</v>
      </c>
      <c r="BR4" s="254">
        <f t="shared" si="0"/>
        <v>1.9</v>
      </c>
      <c r="BS4" s="254">
        <f t="shared" si="0"/>
        <v>12</v>
      </c>
      <c r="BT4" s="105">
        <f t="shared" si="0"/>
        <v>13.9</v>
      </c>
      <c r="BU4" s="254">
        <f t="shared" si="0"/>
        <v>16.100000000000001</v>
      </c>
      <c r="BV4" s="254">
        <f t="shared" si="0"/>
        <v>28.1</v>
      </c>
      <c r="BW4" s="254">
        <f t="shared" si="0"/>
        <v>33.200000000000003</v>
      </c>
      <c r="BX4" s="254">
        <f t="shared" si="0"/>
        <v>38.201232189801487</v>
      </c>
      <c r="BY4" s="105">
        <f t="shared" si="0"/>
        <v>115.60123218980149</v>
      </c>
      <c r="BZ4" s="254"/>
      <c r="CA4" s="254"/>
      <c r="CB4" s="254"/>
      <c r="CC4" s="254"/>
      <c r="CD4" s="105">
        <f t="shared" si="0"/>
        <v>1.4</v>
      </c>
      <c r="CE4" s="254">
        <f t="shared" si="0"/>
        <v>0</v>
      </c>
      <c r="CF4" s="254">
        <f t="shared" si="0"/>
        <v>0</v>
      </c>
      <c r="CG4" s="254">
        <f t="shared" si="0"/>
        <v>0</v>
      </c>
      <c r="CH4" s="254">
        <f t="shared" si="0"/>
        <v>0</v>
      </c>
      <c r="CI4" s="105">
        <f t="shared" si="0"/>
        <v>0</v>
      </c>
      <c r="CJ4" s="254">
        <f t="shared" si="0"/>
        <v>0</v>
      </c>
      <c r="CK4" s="254">
        <f t="shared" si="0"/>
        <v>0</v>
      </c>
      <c r="CL4" s="254">
        <f t="shared" si="0"/>
        <v>0</v>
      </c>
      <c r="CM4" s="254">
        <f t="shared" si="0"/>
        <v>0</v>
      </c>
      <c r="CN4" s="105">
        <f t="shared" si="0"/>
        <v>0</v>
      </c>
      <c r="CO4" s="254">
        <f t="shared" si="0"/>
        <v>0</v>
      </c>
      <c r="CP4" s="254">
        <f t="shared" si="0"/>
        <v>0</v>
      </c>
      <c r="CQ4" s="254">
        <f t="shared" si="0"/>
        <v>0</v>
      </c>
      <c r="CR4" s="254">
        <f t="shared" si="0"/>
        <v>0</v>
      </c>
      <c r="CS4" s="105">
        <f t="shared" si="0"/>
        <v>0</v>
      </c>
      <c r="CT4" s="254">
        <f t="shared" si="0"/>
        <v>0</v>
      </c>
      <c r="CU4" s="254">
        <f t="shared" si="0"/>
        <v>0</v>
      </c>
      <c r="CV4" s="254">
        <f t="shared" si="0"/>
        <v>0</v>
      </c>
      <c r="CW4" s="254">
        <f t="shared" ref="CW4:EB4" si="1">CW5+CW47</f>
        <v>0</v>
      </c>
      <c r="CX4" s="105">
        <f t="shared" si="1"/>
        <v>0</v>
      </c>
      <c r="CY4" s="254">
        <f t="shared" si="1"/>
        <v>0</v>
      </c>
      <c r="CZ4" s="254">
        <f t="shared" si="1"/>
        <v>0</v>
      </c>
      <c r="DA4" s="254">
        <f t="shared" si="1"/>
        <v>0</v>
      </c>
      <c r="DB4" s="254">
        <f t="shared" si="1"/>
        <v>0</v>
      </c>
      <c r="DC4" s="105">
        <f t="shared" si="1"/>
        <v>0</v>
      </c>
      <c r="DD4" s="254">
        <f t="shared" si="1"/>
        <v>0</v>
      </c>
      <c r="DE4" s="254">
        <f t="shared" si="1"/>
        <v>0</v>
      </c>
      <c r="DF4" s="254">
        <f t="shared" si="1"/>
        <v>0</v>
      </c>
      <c r="DG4" s="254">
        <f t="shared" si="1"/>
        <v>0</v>
      </c>
      <c r="DH4" s="105">
        <f t="shared" si="1"/>
        <v>0</v>
      </c>
      <c r="DI4" s="254">
        <f t="shared" si="1"/>
        <v>0</v>
      </c>
      <c r="DJ4" s="254">
        <f t="shared" si="1"/>
        <v>0</v>
      </c>
      <c r="DK4" s="254">
        <f t="shared" si="1"/>
        <v>0</v>
      </c>
      <c r="DL4" s="254">
        <f t="shared" si="1"/>
        <v>0</v>
      </c>
      <c r="DM4" s="105">
        <f t="shared" si="1"/>
        <v>0</v>
      </c>
      <c r="DN4" s="254">
        <f t="shared" si="1"/>
        <v>0</v>
      </c>
      <c r="DO4" s="254">
        <f t="shared" si="1"/>
        <v>0</v>
      </c>
      <c r="DP4" s="254">
        <f t="shared" si="1"/>
        <v>0</v>
      </c>
      <c r="DQ4" s="254">
        <f t="shared" si="1"/>
        <v>0</v>
      </c>
      <c r="DR4" s="105">
        <f t="shared" si="1"/>
        <v>0</v>
      </c>
      <c r="DS4" s="254">
        <f t="shared" si="1"/>
        <v>0</v>
      </c>
      <c r="DT4" s="254">
        <f t="shared" si="1"/>
        <v>0</v>
      </c>
      <c r="DU4" s="254">
        <f t="shared" si="1"/>
        <v>0</v>
      </c>
      <c r="DV4" s="254">
        <f t="shared" si="1"/>
        <v>0</v>
      </c>
      <c r="DW4" s="105">
        <f t="shared" si="1"/>
        <v>0</v>
      </c>
      <c r="DX4" s="254">
        <f t="shared" si="1"/>
        <v>0</v>
      </c>
      <c r="DY4" s="254">
        <f t="shared" si="1"/>
        <v>0</v>
      </c>
      <c r="DZ4" s="254">
        <f t="shared" si="1"/>
        <v>0</v>
      </c>
      <c r="EA4" s="254">
        <f t="shared" si="1"/>
        <v>0</v>
      </c>
      <c r="EB4" s="105">
        <f t="shared" si="1"/>
        <v>0</v>
      </c>
      <c r="EC4" s="254">
        <f t="shared" ref="EC4:EL4" si="2">EC5+EC47</f>
        <v>0</v>
      </c>
      <c r="ED4" s="254">
        <f t="shared" si="2"/>
        <v>0</v>
      </c>
      <c r="EE4" s="254">
        <f t="shared" si="2"/>
        <v>0</v>
      </c>
      <c r="EF4" s="254">
        <f t="shared" si="2"/>
        <v>0</v>
      </c>
      <c r="EG4" s="105">
        <f t="shared" si="2"/>
        <v>0</v>
      </c>
      <c r="EH4" s="254">
        <f t="shared" si="2"/>
        <v>0</v>
      </c>
      <c r="EI4" s="254">
        <f t="shared" si="2"/>
        <v>0</v>
      </c>
      <c r="EJ4" s="254">
        <f t="shared" si="2"/>
        <v>0</v>
      </c>
      <c r="EK4" s="254">
        <f t="shared" si="2"/>
        <v>0</v>
      </c>
      <c r="EL4" s="105">
        <f t="shared" si="2"/>
        <v>0</v>
      </c>
    </row>
    <row r="5" spans="2:142">
      <c r="B5" s="9" t="s">
        <v>97</v>
      </c>
      <c r="C5" s="145"/>
      <c r="D5" s="145"/>
      <c r="E5" s="145"/>
      <c r="F5" s="145"/>
      <c r="G5" s="64"/>
      <c r="H5" s="146"/>
      <c r="I5" s="146"/>
      <c r="J5" s="146"/>
      <c r="K5" s="146"/>
      <c r="L5" s="64"/>
      <c r="M5" s="146"/>
      <c r="N5" s="146"/>
      <c r="O5" s="146"/>
      <c r="P5" s="146"/>
      <c r="Q5" s="64"/>
      <c r="R5" s="146"/>
      <c r="S5" s="146"/>
      <c r="T5" s="146"/>
      <c r="U5" s="146"/>
      <c r="V5" s="64"/>
      <c r="W5" s="146"/>
      <c r="X5" s="146"/>
      <c r="Y5" s="146"/>
      <c r="Z5" s="146"/>
      <c r="AA5" s="64"/>
      <c r="AB5" s="146"/>
      <c r="AC5" s="146"/>
      <c r="AD5" s="146"/>
      <c r="AE5" s="146"/>
      <c r="AF5" s="64"/>
      <c r="AG5" s="146"/>
      <c r="AH5" s="146"/>
      <c r="AI5" s="146"/>
      <c r="AJ5" s="146"/>
      <c r="AK5" s="64"/>
      <c r="AL5" s="146"/>
      <c r="AM5" s="146"/>
      <c r="AN5" s="146"/>
      <c r="AO5" s="146"/>
      <c r="AP5" s="64"/>
      <c r="AQ5" s="146"/>
      <c r="AR5" s="146"/>
      <c r="AS5" s="146"/>
      <c r="AT5" s="146"/>
      <c r="AU5" s="64"/>
      <c r="AV5" s="255"/>
      <c r="AW5" s="255"/>
      <c r="AX5" s="255"/>
      <c r="AY5" s="255"/>
      <c r="AZ5" s="64"/>
      <c r="BA5" s="255"/>
      <c r="BB5" s="255"/>
      <c r="BC5" s="255"/>
      <c r="BD5" s="255"/>
      <c r="BE5" s="64"/>
      <c r="BF5" s="255"/>
      <c r="BG5" s="255"/>
      <c r="BH5" s="255"/>
      <c r="BI5" s="255"/>
      <c r="BJ5" s="101"/>
      <c r="BK5" s="255"/>
      <c r="BL5" s="255"/>
      <c r="BM5" s="255"/>
      <c r="BN5" s="255"/>
      <c r="BO5" s="101"/>
      <c r="BP5" s="255"/>
      <c r="BQ5" s="256">
        <v>0</v>
      </c>
      <c r="BR5" s="256">
        <v>0</v>
      </c>
      <c r="BS5" s="255">
        <f>BT5-BQ5-BR5</f>
        <v>6.1</v>
      </c>
      <c r="BT5" s="517">
        <v>6.1</v>
      </c>
      <c r="BU5" s="255">
        <f>16.1-BU6</f>
        <v>5.4000000000000021</v>
      </c>
      <c r="BV5" s="255">
        <v>12</v>
      </c>
      <c r="BW5" s="255">
        <v>19</v>
      </c>
      <c r="BX5" s="255">
        <f>BY5-BU5-BV5-BW5</f>
        <v>26.501232189801485</v>
      </c>
      <c r="BY5" s="101">
        <f>'US MS Market Model'!K152</f>
        <v>62.90123218980149</v>
      </c>
      <c r="BZ5" s="255">
        <f>CD5/4</f>
        <v>0</v>
      </c>
      <c r="CA5" s="255">
        <f>CD5/4</f>
        <v>0</v>
      </c>
      <c r="CB5" s="255">
        <f>CD5/4</f>
        <v>0</v>
      </c>
      <c r="CC5" s="255">
        <f>CD5-SUM(BZ5:CB5)</f>
        <v>0</v>
      </c>
      <c r="CD5" s="101">
        <f>'US MS Market Model'!L152</f>
        <v>0</v>
      </c>
      <c r="CE5" s="255"/>
      <c r="CF5" s="255"/>
      <c r="CG5" s="255"/>
      <c r="CH5" s="255"/>
      <c r="CI5" s="101">
        <f>'US MS Market Model'!M152</f>
        <v>0</v>
      </c>
      <c r="CJ5" s="255"/>
      <c r="CK5" s="255"/>
      <c r="CL5" s="255"/>
      <c r="CM5" s="255"/>
      <c r="CN5" s="101">
        <f>'US MS Market Model'!N152</f>
        <v>0</v>
      </c>
      <c r="CO5" s="255"/>
      <c r="CP5" s="255"/>
      <c r="CQ5" s="255"/>
      <c r="CR5" s="255"/>
      <c r="CS5" s="101">
        <f>'US MS Market Model'!O152</f>
        <v>0</v>
      </c>
      <c r="CT5" s="255"/>
      <c r="CU5" s="255"/>
      <c r="CV5" s="255"/>
      <c r="CW5" s="255"/>
      <c r="CX5" s="101">
        <f>'US MS Market Model'!P152</f>
        <v>0</v>
      </c>
      <c r="CY5" s="255"/>
      <c r="CZ5" s="255"/>
      <c r="DA5" s="255"/>
      <c r="DB5" s="255"/>
      <c r="DC5" s="101">
        <f>'US MS Market Model'!Q152</f>
        <v>0</v>
      </c>
      <c r="DD5" s="255"/>
      <c r="DE5" s="255"/>
      <c r="DF5" s="255"/>
      <c r="DG5" s="255"/>
      <c r="DH5" s="101">
        <f>'US MS Market Model'!R152</f>
        <v>0</v>
      </c>
      <c r="DI5" s="255"/>
      <c r="DJ5" s="255"/>
      <c r="DK5" s="255"/>
      <c r="DL5" s="255"/>
      <c r="DM5" s="101">
        <f>'US MS Market Model'!S152</f>
        <v>0</v>
      </c>
      <c r="DN5" s="255"/>
      <c r="DO5" s="255"/>
      <c r="DP5" s="255"/>
      <c r="DQ5" s="255"/>
      <c r="DR5" s="101">
        <f>'US MS Market Model'!T152</f>
        <v>0</v>
      </c>
      <c r="DS5" s="255"/>
      <c r="DT5" s="255"/>
      <c r="DU5" s="255"/>
      <c r="DV5" s="255"/>
      <c r="DW5" s="101">
        <f>'US MS Market Model'!U152</f>
        <v>0</v>
      </c>
      <c r="DX5" s="255"/>
      <c r="DY5" s="255"/>
      <c r="DZ5" s="255"/>
      <c r="EA5" s="255"/>
      <c r="EB5" s="101">
        <f>'US MS Market Model'!V152</f>
        <v>0</v>
      </c>
      <c r="EC5" s="255"/>
      <c r="ED5" s="255"/>
      <c r="EE5" s="255"/>
      <c r="EF5" s="255"/>
      <c r="EG5" s="101">
        <f>'US MS Market Model'!W152</f>
        <v>0</v>
      </c>
      <c r="EH5" s="255"/>
      <c r="EI5" s="255"/>
      <c r="EJ5" s="255"/>
      <c r="EK5" s="255"/>
      <c r="EL5" s="101">
        <f>'US MS Market Model'!X152</f>
        <v>0</v>
      </c>
    </row>
    <row r="6" spans="2:142">
      <c r="B6" s="9" t="s">
        <v>896</v>
      </c>
      <c r="C6" s="145"/>
      <c r="D6" s="145"/>
      <c r="E6" s="145"/>
      <c r="F6" s="145"/>
      <c r="G6" s="64"/>
      <c r="H6" s="146"/>
      <c r="I6" s="146"/>
      <c r="J6" s="146"/>
      <c r="K6" s="146"/>
      <c r="L6" s="64"/>
      <c r="M6" s="146"/>
      <c r="N6" s="146"/>
      <c r="O6" s="146"/>
      <c r="P6" s="146"/>
      <c r="Q6" s="64"/>
      <c r="R6" s="146"/>
      <c r="S6" s="146"/>
      <c r="T6" s="146"/>
      <c r="U6" s="146"/>
      <c r="V6" s="64"/>
      <c r="W6" s="146"/>
      <c r="X6" s="146"/>
      <c r="Y6" s="146"/>
      <c r="Z6" s="146"/>
      <c r="AA6" s="64"/>
      <c r="AB6" s="146"/>
      <c r="AC6" s="146"/>
      <c r="AD6" s="146"/>
      <c r="AE6" s="146"/>
      <c r="AF6" s="64"/>
      <c r="AG6" s="146"/>
      <c r="AH6" s="146"/>
      <c r="AI6" s="146"/>
      <c r="AJ6" s="146"/>
      <c r="AK6" s="64"/>
      <c r="AL6" s="146"/>
      <c r="AM6" s="146"/>
      <c r="AN6" s="146"/>
      <c r="AO6" s="146"/>
      <c r="AP6" s="64"/>
      <c r="AQ6" s="146"/>
      <c r="AR6" s="146"/>
      <c r="AS6" s="146"/>
      <c r="AT6" s="146"/>
      <c r="AU6" s="64"/>
      <c r="AV6" s="255"/>
      <c r="AW6" s="255"/>
      <c r="AX6" s="255"/>
      <c r="AY6" s="255"/>
      <c r="AZ6" s="64"/>
      <c r="BA6" s="255"/>
      <c r="BB6" s="255"/>
      <c r="BC6" s="255"/>
      <c r="BD6" s="255"/>
      <c r="BE6" s="64"/>
      <c r="BF6" s="255"/>
      <c r="BG6" s="255"/>
      <c r="BH6" s="255"/>
      <c r="BI6" s="255"/>
      <c r="BJ6" s="101"/>
      <c r="BK6" s="255"/>
      <c r="BL6" s="255"/>
      <c r="BM6" s="255"/>
      <c r="BN6" s="255"/>
      <c r="BO6" s="101"/>
      <c r="BP6" s="255"/>
      <c r="BQ6" s="256"/>
      <c r="BR6" s="256">
        <f>BR47</f>
        <v>1.9</v>
      </c>
      <c r="BS6" s="255">
        <f t="shared" ref="BS6:BW6" si="3">BS47</f>
        <v>5.9</v>
      </c>
      <c r="BT6" s="101">
        <f t="shared" si="3"/>
        <v>7.8000000000000007</v>
      </c>
      <c r="BU6" s="255">
        <f t="shared" si="3"/>
        <v>10.7</v>
      </c>
      <c r="BV6" s="255">
        <f t="shared" si="3"/>
        <v>16.100000000000001</v>
      </c>
      <c r="BW6" s="255">
        <f t="shared" si="3"/>
        <v>14.2</v>
      </c>
      <c r="BX6" s="255">
        <f>BY6-BU6-BV6-BW6</f>
        <v>11.7</v>
      </c>
      <c r="BY6" s="101">
        <f>BY47*1</f>
        <v>52.7</v>
      </c>
      <c r="BZ6" s="255">
        <f>CD6/4</f>
        <v>0.27999999999999997</v>
      </c>
      <c r="CA6" s="255">
        <f>CD6/4</f>
        <v>0.27999999999999997</v>
      </c>
      <c r="CB6" s="255">
        <f>CD6/4</f>
        <v>0.27999999999999997</v>
      </c>
      <c r="CC6" s="255">
        <f>CD6-SUM(BZ6:CB6)</f>
        <v>0.28000000000000003</v>
      </c>
      <c r="CD6" s="101">
        <f>CD47*0.8</f>
        <v>1.1199999999999999</v>
      </c>
      <c r="CE6" s="255"/>
      <c r="CF6" s="255"/>
      <c r="CG6" s="255"/>
      <c r="CH6" s="255"/>
      <c r="CI6" s="101">
        <f>CI47*0.8</f>
        <v>0</v>
      </c>
      <c r="CJ6" s="255"/>
      <c r="CK6" s="255"/>
      <c r="CL6" s="255"/>
      <c r="CM6" s="255"/>
      <c r="CN6" s="101">
        <f>CN47*0.8</f>
        <v>0</v>
      </c>
      <c r="CO6" s="255"/>
      <c r="CP6" s="255"/>
      <c r="CQ6" s="255"/>
      <c r="CR6" s="255"/>
      <c r="CS6" s="101">
        <f>CS47*0.8</f>
        <v>0</v>
      </c>
      <c r="CT6" s="255"/>
      <c r="CU6" s="255"/>
      <c r="CV6" s="255"/>
      <c r="CW6" s="255"/>
      <c r="CX6" s="101">
        <f>CX47*0.8</f>
        <v>0</v>
      </c>
      <c r="CY6" s="255"/>
      <c r="CZ6" s="255"/>
      <c r="DA6" s="255"/>
      <c r="DB6" s="255"/>
      <c r="DC6" s="101">
        <f>DC47*0.8</f>
        <v>0</v>
      </c>
      <c r="DD6" s="255"/>
      <c r="DE6" s="255"/>
      <c r="DF6" s="255"/>
      <c r="DG6" s="255"/>
      <c r="DH6" s="101">
        <f>DH47*0.8</f>
        <v>0</v>
      </c>
      <c r="DI6" s="255"/>
      <c r="DJ6" s="255"/>
      <c r="DK6" s="255"/>
      <c r="DL6" s="255"/>
      <c r="DM6" s="101">
        <f>DM47*0.8</f>
        <v>0</v>
      </c>
      <c r="DN6" s="255"/>
      <c r="DO6" s="255"/>
      <c r="DP6" s="255"/>
      <c r="DQ6" s="255"/>
      <c r="DR6" s="101">
        <f>DR47*0.8</f>
        <v>0</v>
      </c>
      <c r="DS6" s="255"/>
      <c r="DT6" s="255"/>
      <c r="DU6" s="255"/>
      <c r="DV6" s="255"/>
      <c r="DW6" s="101">
        <f>DW47*0.8</f>
        <v>0</v>
      </c>
      <c r="DX6" s="255"/>
      <c r="DY6" s="255"/>
      <c r="DZ6" s="255"/>
      <c r="EA6" s="255"/>
      <c r="EB6" s="101">
        <f>EB47*0.8</f>
        <v>0</v>
      </c>
      <c r="EC6" s="255"/>
      <c r="ED6" s="255"/>
      <c r="EE6" s="255"/>
      <c r="EF6" s="255"/>
      <c r="EG6" s="101">
        <f>EG47*0.8</f>
        <v>0</v>
      </c>
      <c r="EH6" s="255"/>
      <c r="EI6" s="255"/>
      <c r="EJ6" s="255"/>
      <c r="EK6" s="255"/>
      <c r="EL6" s="101">
        <f>EL47*0.8</f>
        <v>0</v>
      </c>
    </row>
    <row r="7" spans="2:142">
      <c r="B7" s="9" t="s">
        <v>897</v>
      </c>
      <c r="BP7" s="255"/>
      <c r="BQ7" s="255"/>
      <c r="BR7" s="256"/>
      <c r="BS7" s="255"/>
      <c r="BT7" s="101"/>
      <c r="BU7" s="255">
        <v>0</v>
      </c>
      <c r="BV7" s="255">
        <v>0</v>
      </c>
      <c r="BW7" s="255">
        <v>0</v>
      </c>
      <c r="BX7" s="255">
        <f>BY7-BU7-BV7-BW7</f>
        <v>0</v>
      </c>
      <c r="BY7" s="101">
        <f>BY47-BY6</f>
        <v>0</v>
      </c>
      <c r="BZ7" s="255">
        <f>CD7/4</f>
        <v>7.0000000000000007E-2</v>
      </c>
      <c r="CA7" s="255">
        <f>CD7/4</f>
        <v>7.0000000000000007E-2</v>
      </c>
      <c r="CB7" s="255">
        <f>CD7/4</f>
        <v>7.0000000000000007E-2</v>
      </c>
      <c r="CC7" s="255">
        <f>CD7-SUM(BZ7:CB7)</f>
        <v>7.0000000000000007E-2</v>
      </c>
      <c r="CD7" s="101">
        <f>CD47-CD6</f>
        <v>0.28000000000000003</v>
      </c>
      <c r="CE7" s="255"/>
      <c r="CF7" s="255"/>
      <c r="CG7" s="255"/>
      <c r="CH7" s="255"/>
      <c r="CI7" s="101">
        <f>CI47-CI6</f>
        <v>0</v>
      </c>
      <c r="CJ7" s="255"/>
      <c r="CK7" s="255"/>
      <c r="CL7" s="255"/>
      <c r="CM7" s="255"/>
      <c r="CN7" s="101">
        <f>CN47-CN6</f>
        <v>0</v>
      </c>
      <c r="CO7" s="255"/>
      <c r="CP7" s="255"/>
      <c r="CQ7" s="255"/>
      <c r="CR7" s="255"/>
      <c r="CS7" s="101">
        <f>CS47-CS6</f>
        <v>0</v>
      </c>
      <c r="CT7" s="255"/>
      <c r="CU7" s="255"/>
      <c r="CV7" s="255"/>
      <c r="CW7" s="255"/>
      <c r="CX7" s="101">
        <f>CX47-CX6</f>
        <v>0</v>
      </c>
      <c r="CY7" s="255"/>
      <c r="CZ7" s="255"/>
      <c r="DA7" s="255"/>
      <c r="DB7" s="255"/>
      <c r="DC7" s="101">
        <f>DC47-DC6</f>
        <v>0</v>
      </c>
      <c r="DD7" s="255"/>
      <c r="DE7" s="255"/>
      <c r="DF7" s="255"/>
      <c r="DG7" s="255"/>
      <c r="DH7" s="101">
        <f>DH47-DH6</f>
        <v>0</v>
      </c>
      <c r="DI7" s="255"/>
      <c r="DJ7" s="255"/>
      <c r="DK7" s="255"/>
      <c r="DL7" s="255"/>
      <c r="DM7" s="101">
        <f>DM47-DM6</f>
        <v>0</v>
      </c>
      <c r="DN7" s="255"/>
      <c r="DO7" s="255"/>
      <c r="DP7" s="255"/>
      <c r="DQ7" s="255"/>
      <c r="DR7" s="101">
        <f>DR47-DR6</f>
        <v>0</v>
      </c>
      <c r="DS7" s="255"/>
      <c r="DT7" s="255"/>
      <c r="DU7" s="255"/>
      <c r="DV7" s="255"/>
      <c r="DW7" s="101">
        <f>DW47-DW6</f>
        <v>0</v>
      </c>
      <c r="DX7" s="255"/>
      <c r="DY7" s="255"/>
      <c r="DZ7" s="255"/>
      <c r="EA7" s="255"/>
      <c r="EB7" s="101">
        <f>EB47-EB6</f>
        <v>0</v>
      </c>
      <c r="EC7" s="255"/>
      <c r="ED7" s="255"/>
      <c r="EE7" s="255"/>
      <c r="EF7" s="255"/>
      <c r="EG7" s="101">
        <f>EG47-EG6</f>
        <v>0</v>
      </c>
      <c r="EH7" s="255"/>
      <c r="EI7" s="255"/>
      <c r="EJ7" s="255"/>
      <c r="EK7" s="255"/>
      <c r="EL7" s="101">
        <f>EL47-EL6</f>
        <v>0</v>
      </c>
    </row>
    <row r="8" spans="2:142">
      <c r="B8" s="9"/>
    </row>
    <row r="9" spans="2:142" s="442" customFormat="1">
      <c r="B9" s="442" t="s">
        <v>153</v>
      </c>
      <c r="BP9" s="30">
        <v>0.15</v>
      </c>
      <c r="BQ9" s="30">
        <f>BP9</f>
        <v>0.15</v>
      </c>
      <c r="BR9" s="30">
        <f t="shared" ref="BR9:EC9" si="4">BQ9</f>
        <v>0.15</v>
      </c>
      <c r="BS9" s="30">
        <f t="shared" si="4"/>
        <v>0.15</v>
      </c>
      <c r="BT9" s="30">
        <f t="shared" si="4"/>
        <v>0.15</v>
      </c>
      <c r="BU9" s="30">
        <f t="shared" si="4"/>
        <v>0.15</v>
      </c>
      <c r="BV9" s="30">
        <f t="shared" si="4"/>
        <v>0.15</v>
      </c>
      <c r="BW9" s="30">
        <f t="shared" si="4"/>
        <v>0.15</v>
      </c>
      <c r="BX9" s="30">
        <f t="shared" si="4"/>
        <v>0.15</v>
      </c>
      <c r="BY9" s="30">
        <f t="shared" si="4"/>
        <v>0.15</v>
      </c>
      <c r="BZ9" s="30">
        <f t="shared" si="4"/>
        <v>0.15</v>
      </c>
      <c r="CA9" s="30">
        <f t="shared" si="4"/>
        <v>0.15</v>
      </c>
      <c r="CB9" s="30">
        <f t="shared" si="4"/>
        <v>0.15</v>
      </c>
      <c r="CC9" s="30">
        <f t="shared" si="4"/>
        <v>0.15</v>
      </c>
      <c r="CD9" s="30">
        <f t="shared" si="4"/>
        <v>0.15</v>
      </c>
      <c r="CE9" s="30">
        <f t="shared" si="4"/>
        <v>0.15</v>
      </c>
      <c r="CF9" s="30">
        <f t="shared" si="4"/>
        <v>0.15</v>
      </c>
      <c r="CG9" s="30">
        <f t="shared" si="4"/>
        <v>0.15</v>
      </c>
      <c r="CH9" s="30">
        <f t="shared" si="4"/>
        <v>0.15</v>
      </c>
      <c r="CI9" s="30">
        <f t="shared" si="4"/>
        <v>0.15</v>
      </c>
      <c r="CJ9" s="30">
        <f t="shared" si="4"/>
        <v>0.15</v>
      </c>
      <c r="CK9" s="30">
        <f t="shared" si="4"/>
        <v>0.15</v>
      </c>
      <c r="CL9" s="30">
        <f t="shared" si="4"/>
        <v>0.15</v>
      </c>
      <c r="CM9" s="30">
        <f t="shared" si="4"/>
        <v>0.15</v>
      </c>
      <c r="CN9" s="30">
        <f t="shared" si="4"/>
        <v>0.15</v>
      </c>
      <c r="CO9" s="30">
        <f t="shared" si="4"/>
        <v>0.15</v>
      </c>
      <c r="CP9" s="30">
        <f t="shared" si="4"/>
        <v>0.15</v>
      </c>
      <c r="CQ9" s="30">
        <f t="shared" si="4"/>
        <v>0.15</v>
      </c>
      <c r="CR9" s="30">
        <f t="shared" si="4"/>
        <v>0.15</v>
      </c>
      <c r="CS9" s="30">
        <f t="shared" si="4"/>
        <v>0.15</v>
      </c>
      <c r="CT9" s="30">
        <f t="shared" si="4"/>
        <v>0.15</v>
      </c>
      <c r="CU9" s="30">
        <f t="shared" si="4"/>
        <v>0.15</v>
      </c>
      <c r="CV9" s="30">
        <f t="shared" si="4"/>
        <v>0.15</v>
      </c>
      <c r="CW9" s="30">
        <f t="shared" si="4"/>
        <v>0.15</v>
      </c>
      <c r="CX9" s="30">
        <f t="shared" si="4"/>
        <v>0.15</v>
      </c>
      <c r="CY9" s="30">
        <f t="shared" si="4"/>
        <v>0.15</v>
      </c>
      <c r="CZ9" s="30">
        <f t="shared" si="4"/>
        <v>0.15</v>
      </c>
      <c r="DA9" s="30">
        <f t="shared" si="4"/>
        <v>0.15</v>
      </c>
      <c r="DB9" s="30">
        <f t="shared" si="4"/>
        <v>0.15</v>
      </c>
      <c r="DC9" s="30">
        <f t="shared" si="4"/>
        <v>0.15</v>
      </c>
      <c r="DD9" s="30">
        <f t="shared" si="4"/>
        <v>0.15</v>
      </c>
      <c r="DE9" s="30">
        <f t="shared" si="4"/>
        <v>0.15</v>
      </c>
      <c r="DF9" s="30">
        <f t="shared" si="4"/>
        <v>0.15</v>
      </c>
      <c r="DG9" s="30">
        <f t="shared" si="4"/>
        <v>0.15</v>
      </c>
      <c r="DH9" s="30">
        <f t="shared" si="4"/>
        <v>0.15</v>
      </c>
      <c r="DI9" s="30">
        <f t="shared" si="4"/>
        <v>0.15</v>
      </c>
      <c r="DJ9" s="30">
        <f t="shared" si="4"/>
        <v>0.15</v>
      </c>
      <c r="DK9" s="30">
        <f t="shared" si="4"/>
        <v>0.15</v>
      </c>
      <c r="DL9" s="30">
        <f t="shared" si="4"/>
        <v>0.15</v>
      </c>
      <c r="DM9" s="30">
        <f t="shared" si="4"/>
        <v>0.15</v>
      </c>
      <c r="DN9" s="30">
        <f t="shared" si="4"/>
        <v>0.15</v>
      </c>
      <c r="DO9" s="30">
        <f t="shared" si="4"/>
        <v>0.15</v>
      </c>
      <c r="DP9" s="30">
        <f t="shared" si="4"/>
        <v>0.15</v>
      </c>
      <c r="DQ9" s="30">
        <f t="shared" si="4"/>
        <v>0.15</v>
      </c>
      <c r="DR9" s="30">
        <f t="shared" si="4"/>
        <v>0.15</v>
      </c>
      <c r="DS9" s="30">
        <f t="shared" si="4"/>
        <v>0.15</v>
      </c>
      <c r="DT9" s="30">
        <f t="shared" si="4"/>
        <v>0.15</v>
      </c>
      <c r="DU9" s="30">
        <f t="shared" si="4"/>
        <v>0.15</v>
      </c>
      <c r="DV9" s="30">
        <f t="shared" si="4"/>
        <v>0.15</v>
      </c>
      <c r="DW9" s="30">
        <f t="shared" si="4"/>
        <v>0.15</v>
      </c>
      <c r="DX9" s="30">
        <f t="shared" si="4"/>
        <v>0.15</v>
      </c>
      <c r="DY9" s="30">
        <f t="shared" si="4"/>
        <v>0.15</v>
      </c>
      <c r="DZ9" s="30">
        <f t="shared" si="4"/>
        <v>0.15</v>
      </c>
      <c r="EA9" s="30">
        <f t="shared" si="4"/>
        <v>0.15</v>
      </c>
      <c r="EB9" s="30">
        <f t="shared" si="4"/>
        <v>0.15</v>
      </c>
      <c r="EC9" s="30">
        <f t="shared" si="4"/>
        <v>0.15</v>
      </c>
      <c r="ED9" s="30">
        <f t="shared" ref="ED9:EL9" si="5">EC9</f>
        <v>0.15</v>
      </c>
      <c r="EE9" s="30">
        <f t="shared" si="5"/>
        <v>0.15</v>
      </c>
      <c r="EF9" s="30">
        <f t="shared" si="5"/>
        <v>0.15</v>
      </c>
      <c r="EG9" s="30">
        <f t="shared" si="5"/>
        <v>0.15</v>
      </c>
      <c r="EH9" s="30">
        <f t="shared" si="5"/>
        <v>0.15</v>
      </c>
      <c r="EI9" s="30">
        <f t="shared" si="5"/>
        <v>0.15</v>
      </c>
      <c r="EJ9" s="30">
        <f t="shared" si="5"/>
        <v>0.15</v>
      </c>
      <c r="EK9" s="30">
        <f t="shared" si="5"/>
        <v>0.15</v>
      </c>
      <c r="EL9" s="30">
        <f t="shared" si="5"/>
        <v>0.15</v>
      </c>
    </row>
    <row r="10" spans="2:142">
      <c r="B10" s="1" t="s">
        <v>895</v>
      </c>
      <c r="BU10" s="66">
        <f t="shared" ref="BU10:CZ10" si="6">BU9*BU4</f>
        <v>2.415</v>
      </c>
      <c r="BV10" s="66">
        <f t="shared" si="6"/>
        <v>4.2149999999999999</v>
      </c>
      <c r="BW10" s="66">
        <f t="shared" si="6"/>
        <v>4.9800000000000004</v>
      </c>
      <c r="BX10" s="66">
        <f t="shared" si="6"/>
        <v>5.7301848284702226</v>
      </c>
      <c r="BY10" s="66">
        <f t="shared" si="6"/>
        <v>17.340184828470225</v>
      </c>
      <c r="BZ10" s="66">
        <f t="shared" si="6"/>
        <v>0</v>
      </c>
      <c r="CA10" s="66">
        <f t="shared" si="6"/>
        <v>0</v>
      </c>
      <c r="CB10" s="66">
        <f t="shared" si="6"/>
        <v>0</v>
      </c>
      <c r="CC10" s="66">
        <f t="shared" si="6"/>
        <v>0</v>
      </c>
      <c r="CD10" s="66">
        <f t="shared" si="6"/>
        <v>0.21</v>
      </c>
      <c r="CE10" s="66">
        <f t="shared" si="6"/>
        <v>0</v>
      </c>
      <c r="CF10" s="66">
        <f t="shared" si="6"/>
        <v>0</v>
      </c>
      <c r="CG10" s="66">
        <f t="shared" si="6"/>
        <v>0</v>
      </c>
      <c r="CH10" s="66">
        <f t="shared" si="6"/>
        <v>0</v>
      </c>
      <c r="CI10" s="66">
        <f t="shared" si="6"/>
        <v>0</v>
      </c>
      <c r="CJ10" s="66">
        <f t="shared" si="6"/>
        <v>0</v>
      </c>
      <c r="CK10" s="66">
        <f t="shared" si="6"/>
        <v>0</v>
      </c>
      <c r="CL10" s="66">
        <f t="shared" si="6"/>
        <v>0</v>
      </c>
      <c r="CM10" s="66">
        <f t="shared" si="6"/>
        <v>0</v>
      </c>
      <c r="CN10" s="66">
        <f t="shared" si="6"/>
        <v>0</v>
      </c>
      <c r="CO10" s="66">
        <f t="shared" si="6"/>
        <v>0</v>
      </c>
      <c r="CP10" s="66">
        <f t="shared" si="6"/>
        <v>0</v>
      </c>
      <c r="CQ10" s="66">
        <f t="shared" si="6"/>
        <v>0</v>
      </c>
      <c r="CR10" s="66">
        <f t="shared" si="6"/>
        <v>0</v>
      </c>
      <c r="CS10" s="66">
        <f t="shared" si="6"/>
        <v>0</v>
      </c>
      <c r="CT10" s="66">
        <f t="shared" si="6"/>
        <v>0</v>
      </c>
      <c r="CU10" s="66">
        <f t="shared" si="6"/>
        <v>0</v>
      </c>
      <c r="CV10" s="66">
        <f t="shared" si="6"/>
        <v>0</v>
      </c>
      <c r="CW10" s="66">
        <f t="shared" si="6"/>
        <v>0</v>
      </c>
      <c r="CX10" s="66">
        <f t="shared" si="6"/>
        <v>0</v>
      </c>
      <c r="CY10" s="66">
        <f t="shared" si="6"/>
        <v>0</v>
      </c>
      <c r="CZ10" s="66">
        <f t="shared" si="6"/>
        <v>0</v>
      </c>
      <c r="DA10" s="66">
        <f t="shared" ref="DA10:EF10" si="7">DA9*DA4</f>
        <v>0</v>
      </c>
      <c r="DB10" s="66">
        <f t="shared" si="7"/>
        <v>0</v>
      </c>
      <c r="DC10" s="66">
        <f t="shared" si="7"/>
        <v>0</v>
      </c>
      <c r="DD10" s="66">
        <f t="shared" si="7"/>
        <v>0</v>
      </c>
      <c r="DE10" s="66">
        <f t="shared" si="7"/>
        <v>0</v>
      </c>
      <c r="DF10" s="66">
        <f t="shared" si="7"/>
        <v>0</v>
      </c>
      <c r="DG10" s="66">
        <f t="shared" si="7"/>
        <v>0</v>
      </c>
      <c r="DH10" s="66">
        <f t="shared" si="7"/>
        <v>0</v>
      </c>
      <c r="DI10" s="66">
        <f t="shared" si="7"/>
        <v>0</v>
      </c>
      <c r="DJ10" s="66">
        <f t="shared" si="7"/>
        <v>0</v>
      </c>
      <c r="DK10" s="66">
        <f t="shared" si="7"/>
        <v>0</v>
      </c>
      <c r="DL10" s="66">
        <f t="shared" si="7"/>
        <v>0</v>
      </c>
      <c r="DM10" s="66">
        <f t="shared" si="7"/>
        <v>0</v>
      </c>
      <c r="DN10" s="66">
        <f t="shared" si="7"/>
        <v>0</v>
      </c>
      <c r="DO10" s="66">
        <f t="shared" si="7"/>
        <v>0</v>
      </c>
      <c r="DP10" s="66">
        <f t="shared" si="7"/>
        <v>0</v>
      </c>
      <c r="DQ10" s="66">
        <f t="shared" si="7"/>
        <v>0</v>
      </c>
      <c r="DR10" s="66">
        <f t="shared" si="7"/>
        <v>0</v>
      </c>
      <c r="DS10" s="66">
        <f t="shared" si="7"/>
        <v>0</v>
      </c>
      <c r="DT10" s="66">
        <f t="shared" si="7"/>
        <v>0</v>
      </c>
      <c r="DU10" s="66">
        <f t="shared" si="7"/>
        <v>0</v>
      </c>
      <c r="DV10" s="66">
        <f t="shared" si="7"/>
        <v>0</v>
      </c>
      <c r="DW10" s="66">
        <f t="shared" si="7"/>
        <v>0</v>
      </c>
      <c r="DX10" s="66">
        <f t="shared" si="7"/>
        <v>0</v>
      </c>
      <c r="DY10" s="66">
        <f t="shared" si="7"/>
        <v>0</v>
      </c>
      <c r="DZ10" s="66">
        <f t="shared" si="7"/>
        <v>0</v>
      </c>
      <c r="EA10" s="66">
        <f t="shared" si="7"/>
        <v>0</v>
      </c>
      <c r="EB10" s="66">
        <f t="shared" si="7"/>
        <v>0</v>
      </c>
      <c r="EC10" s="66">
        <f t="shared" si="7"/>
        <v>0</v>
      </c>
      <c r="ED10" s="66">
        <f t="shared" si="7"/>
        <v>0</v>
      </c>
      <c r="EE10" s="66">
        <f t="shared" si="7"/>
        <v>0</v>
      </c>
      <c r="EF10" s="66">
        <f t="shared" si="7"/>
        <v>0</v>
      </c>
      <c r="EG10" s="66">
        <f t="shared" ref="EG10:EL10" si="8">EG9*EG4</f>
        <v>0</v>
      </c>
      <c r="EH10" s="66">
        <f t="shared" si="8"/>
        <v>0</v>
      </c>
      <c r="EI10" s="66">
        <f t="shared" si="8"/>
        <v>0</v>
      </c>
      <c r="EJ10" s="66">
        <f t="shared" si="8"/>
        <v>0</v>
      </c>
      <c r="EK10" s="66">
        <f t="shared" si="8"/>
        <v>0</v>
      </c>
      <c r="EL10" s="66">
        <f t="shared" si="8"/>
        <v>0</v>
      </c>
    </row>
    <row r="12" spans="2:142">
      <c r="B12" s="1" t="s">
        <v>154</v>
      </c>
      <c r="BU12" s="1">
        <f>BY12/4</f>
        <v>30</v>
      </c>
      <c r="BV12" s="1">
        <f>BU12</f>
        <v>30</v>
      </c>
      <c r="BW12" s="1">
        <f>BV12</f>
        <v>30</v>
      </c>
      <c r="BX12" s="1">
        <f>BY12-BU12-BV12-BW12</f>
        <v>30</v>
      </c>
      <c r="BY12" s="1">
        <f>80+40</f>
        <v>120</v>
      </c>
      <c r="BZ12" s="1">
        <f>CD12/4</f>
        <v>20</v>
      </c>
      <c r="CA12" s="1">
        <f>CD12/4</f>
        <v>20</v>
      </c>
      <c r="CB12" s="1">
        <f>CD12/4</f>
        <v>20</v>
      </c>
      <c r="CC12" s="1">
        <f>CD12-SUM(BZ12:CB12)</f>
        <v>20</v>
      </c>
      <c r="CD12" s="1">
        <v>80</v>
      </c>
      <c r="CI12" s="1">
        <v>100</v>
      </c>
      <c r="CN12" s="1">
        <f>CI12*1.05</f>
        <v>105</v>
      </c>
      <c r="CS12" s="108">
        <f>CN12*1.05</f>
        <v>110.25</v>
      </c>
      <c r="CT12" s="108"/>
      <c r="CU12" s="108"/>
      <c r="CV12" s="108"/>
      <c r="CW12" s="108"/>
      <c r="CX12" s="108">
        <f>CS12*1.05</f>
        <v>115.7625</v>
      </c>
      <c r="CY12" s="108"/>
      <c r="CZ12" s="108"/>
      <c r="DA12" s="108"/>
      <c r="DB12" s="108"/>
      <c r="DC12" s="108">
        <f>CX12*1.05</f>
        <v>121.55062500000001</v>
      </c>
      <c r="DD12" s="108"/>
      <c r="DE12" s="108"/>
      <c r="DF12" s="108"/>
      <c r="DG12" s="108"/>
      <c r="DH12" s="108">
        <f>DC12*1.05</f>
        <v>127.62815625000002</v>
      </c>
      <c r="DI12" s="108"/>
      <c r="DJ12" s="108"/>
      <c r="DK12" s="108"/>
      <c r="DL12" s="108"/>
      <c r="DM12" s="108">
        <f>DH12*1.05</f>
        <v>134.00956406250003</v>
      </c>
      <c r="DN12" s="108"/>
      <c r="DO12" s="108"/>
      <c r="DP12" s="108"/>
      <c r="DQ12" s="108"/>
      <c r="DR12" s="108">
        <f>DM12*1.05</f>
        <v>140.71004226562505</v>
      </c>
      <c r="DS12" s="108"/>
      <c r="DT12" s="108"/>
      <c r="DU12" s="108"/>
      <c r="DV12" s="108"/>
      <c r="DW12" s="108">
        <f>DR12*1.05</f>
        <v>147.74554437890632</v>
      </c>
      <c r="DX12" s="108"/>
      <c r="DY12" s="108"/>
      <c r="DZ12" s="108"/>
      <c r="EA12" s="108"/>
      <c r="EB12" s="108">
        <f>DW12*1.05</f>
        <v>155.13282159785163</v>
      </c>
      <c r="EC12" s="108"/>
      <c r="ED12" s="108"/>
      <c r="EE12" s="108"/>
      <c r="EF12" s="108"/>
      <c r="EG12" s="108">
        <f>EB12*1.05</f>
        <v>162.88946267774421</v>
      </c>
      <c r="EH12" s="108"/>
      <c r="EI12" s="108"/>
      <c r="EJ12" s="108"/>
      <c r="EK12" s="108"/>
      <c r="EL12" s="108">
        <f>EG12*1.05</f>
        <v>171.03393581163144</v>
      </c>
    </row>
    <row r="14" spans="2:142">
      <c r="B14" s="502" t="s">
        <v>901</v>
      </c>
      <c r="C14" s="502"/>
      <c r="D14" s="502"/>
      <c r="E14" s="502"/>
      <c r="F14" s="502"/>
      <c r="G14" s="502"/>
      <c r="H14" s="502"/>
      <c r="I14" s="502"/>
      <c r="J14" s="502"/>
      <c r="K14" s="502"/>
      <c r="L14" s="502"/>
      <c r="M14" s="502"/>
      <c r="N14" s="502"/>
      <c r="O14" s="502"/>
      <c r="P14" s="502"/>
      <c r="Q14" s="502"/>
      <c r="R14" s="502"/>
      <c r="S14" s="502"/>
      <c r="T14" s="502"/>
      <c r="U14" s="502"/>
      <c r="V14" s="502"/>
      <c r="W14" s="502"/>
      <c r="X14" s="502"/>
      <c r="Y14" s="502"/>
      <c r="Z14" s="502"/>
      <c r="AA14" s="502"/>
      <c r="AB14" s="502"/>
      <c r="AC14" s="502"/>
      <c r="AD14" s="502"/>
      <c r="AE14" s="502"/>
      <c r="AF14" s="502"/>
      <c r="AG14" s="502"/>
      <c r="AH14" s="502"/>
      <c r="AI14" s="502"/>
      <c r="AJ14" s="502"/>
      <c r="AK14" s="502"/>
      <c r="AL14" s="502"/>
      <c r="AM14" s="502"/>
      <c r="AN14" s="502"/>
      <c r="AO14" s="502"/>
      <c r="AP14" s="502"/>
      <c r="AQ14" s="502"/>
      <c r="AR14" s="502"/>
      <c r="AS14" s="502"/>
      <c r="AT14" s="502"/>
      <c r="AU14" s="502"/>
      <c r="AV14" s="502"/>
      <c r="AW14" s="502"/>
      <c r="AX14" s="502"/>
      <c r="AY14" s="502"/>
      <c r="AZ14" s="502"/>
      <c r="BA14" s="502"/>
      <c r="BB14" s="502"/>
      <c r="BC14" s="502"/>
      <c r="BD14" s="502"/>
      <c r="BE14" s="502"/>
      <c r="BF14" s="502"/>
      <c r="BG14" s="502"/>
      <c r="BH14" s="502"/>
      <c r="BI14" s="502"/>
      <c r="BJ14" s="502"/>
      <c r="BK14" s="502"/>
      <c r="BL14" s="502"/>
      <c r="BM14" s="502"/>
      <c r="BN14" s="502"/>
      <c r="BO14" s="502"/>
      <c r="BP14" s="502"/>
      <c r="BQ14" s="502"/>
      <c r="BR14" s="502"/>
      <c r="BS14" s="502"/>
      <c r="BT14" s="502"/>
      <c r="BU14" s="502"/>
      <c r="BV14" s="502"/>
      <c r="BW14" s="502"/>
      <c r="BX14" s="502"/>
      <c r="BY14" s="502"/>
      <c r="BZ14" s="502"/>
      <c r="CA14" s="502"/>
      <c r="CB14" s="502"/>
      <c r="CC14" s="502"/>
      <c r="CD14" s="502"/>
      <c r="CE14" s="502"/>
      <c r="CF14" s="502"/>
      <c r="CG14" s="502"/>
      <c r="CH14" s="502"/>
      <c r="CI14" s="502"/>
      <c r="CJ14" s="502"/>
      <c r="CK14" s="502"/>
      <c r="CL14" s="502"/>
      <c r="CM14" s="502"/>
      <c r="CN14" s="502"/>
      <c r="CO14" s="502"/>
      <c r="CP14" s="502"/>
      <c r="CQ14" s="502"/>
      <c r="CR14" s="502"/>
      <c r="CS14" s="502"/>
      <c r="CT14" s="502"/>
      <c r="CU14" s="502"/>
      <c r="CV14" s="502"/>
      <c r="CW14" s="502"/>
      <c r="CX14" s="502"/>
      <c r="CY14" s="502"/>
      <c r="CZ14" s="502"/>
      <c r="DA14" s="502"/>
      <c r="DB14" s="502"/>
      <c r="DC14" s="502"/>
      <c r="DD14" s="502"/>
      <c r="DE14" s="502"/>
      <c r="DF14" s="502"/>
      <c r="DG14" s="502"/>
      <c r="DH14" s="502"/>
      <c r="DI14" s="502"/>
      <c r="DJ14" s="502"/>
      <c r="DK14" s="502"/>
      <c r="DL14" s="502"/>
      <c r="DM14" s="502"/>
      <c r="DN14" s="502"/>
      <c r="DO14" s="502"/>
      <c r="DP14" s="502"/>
      <c r="DQ14" s="502"/>
      <c r="DR14" s="502"/>
      <c r="DS14" s="502"/>
      <c r="DT14" s="502"/>
      <c r="DU14" s="502"/>
      <c r="DV14" s="502"/>
      <c r="DW14" s="502"/>
      <c r="DX14" s="502"/>
      <c r="DY14" s="502"/>
      <c r="DZ14" s="502"/>
      <c r="EA14" s="502"/>
      <c r="EB14" s="502"/>
      <c r="EC14" s="502"/>
      <c r="ED14" s="502"/>
      <c r="EE14" s="502"/>
      <c r="EF14" s="502"/>
      <c r="EG14" s="502"/>
      <c r="EH14" s="502"/>
      <c r="EI14" s="502"/>
      <c r="EJ14" s="502"/>
      <c r="EK14" s="502"/>
      <c r="EL14" s="502"/>
    </row>
    <row r="15" spans="2:142">
      <c r="B15" s="9" t="s">
        <v>902</v>
      </c>
      <c r="BP15" s="64">
        <f t="shared" ref="BP15:BQ15" si="9">BP4</f>
        <v>0</v>
      </c>
      <c r="BQ15" s="64">
        <f t="shared" si="9"/>
        <v>0</v>
      </c>
      <c r="BR15" s="64">
        <f>BR5</f>
        <v>0</v>
      </c>
      <c r="BS15" s="64">
        <f>BS5</f>
        <v>6.1</v>
      </c>
      <c r="BT15" s="64">
        <f t="shared" ref="BT15:EE15" si="10">BT5</f>
        <v>6.1</v>
      </c>
      <c r="BU15" s="64">
        <f t="shared" si="10"/>
        <v>5.4000000000000021</v>
      </c>
      <c r="BV15" s="64">
        <f t="shared" si="10"/>
        <v>12</v>
      </c>
      <c r="BW15" s="64">
        <f t="shared" si="10"/>
        <v>19</v>
      </c>
      <c r="BX15" s="64">
        <f t="shared" si="10"/>
        <v>26.501232189801485</v>
      </c>
      <c r="BY15" s="64">
        <f t="shared" si="10"/>
        <v>62.90123218980149</v>
      </c>
      <c r="BZ15" s="64">
        <f t="shared" si="10"/>
        <v>0</v>
      </c>
      <c r="CA15" s="64">
        <f t="shared" si="10"/>
        <v>0</v>
      </c>
      <c r="CB15" s="64">
        <f t="shared" si="10"/>
        <v>0</v>
      </c>
      <c r="CC15" s="64">
        <f t="shared" si="10"/>
        <v>0</v>
      </c>
      <c r="CD15" s="64">
        <f t="shared" si="10"/>
        <v>0</v>
      </c>
      <c r="CE15" s="64">
        <f t="shared" si="10"/>
        <v>0</v>
      </c>
      <c r="CF15" s="64">
        <f t="shared" si="10"/>
        <v>0</v>
      </c>
      <c r="CG15" s="64">
        <f t="shared" si="10"/>
        <v>0</v>
      </c>
      <c r="CH15" s="64">
        <f t="shared" si="10"/>
        <v>0</v>
      </c>
      <c r="CI15" s="64">
        <f t="shared" si="10"/>
        <v>0</v>
      </c>
      <c r="CJ15" s="64">
        <f t="shared" si="10"/>
        <v>0</v>
      </c>
      <c r="CK15" s="64">
        <f t="shared" si="10"/>
        <v>0</v>
      </c>
      <c r="CL15" s="64">
        <f t="shared" si="10"/>
        <v>0</v>
      </c>
      <c r="CM15" s="64">
        <f t="shared" si="10"/>
        <v>0</v>
      </c>
      <c r="CN15" s="64">
        <f t="shared" si="10"/>
        <v>0</v>
      </c>
      <c r="CO15" s="64">
        <f t="shared" si="10"/>
        <v>0</v>
      </c>
      <c r="CP15" s="64">
        <f t="shared" si="10"/>
        <v>0</v>
      </c>
      <c r="CQ15" s="64">
        <f t="shared" si="10"/>
        <v>0</v>
      </c>
      <c r="CR15" s="64">
        <f t="shared" si="10"/>
        <v>0</v>
      </c>
      <c r="CS15" s="64">
        <f t="shared" si="10"/>
        <v>0</v>
      </c>
      <c r="CT15" s="64">
        <f t="shared" si="10"/>
        <v>0</v>
      </c>
      <c r="CU15" s="64">
        <f t="shared" si="10"/>
        <v>0</v>
      </c>
      <c r="CV15" s="64">
        <f t="shared" si="10"/>
        <v>0</v>
      </c>
      <c r="CW15" s="64">
        <f t="shared" si="10"/>
        <v>0</v>
      </c>
      <c r="CX15" s="64">
        <f t="shared" si="10"/>
        <v>0</v>
      </c>
      <c r="CY15" s="64">
        <f t="shared" si="10"/>
        <v>0</v>
      </c>
      <c r="CZ15" s="64">
        <f t="shared" si="10"/>
        <v>0</v>
      </c>
      <c r="DA15" s="64">
        <f t="shared" si="10"/>
        <v>0</v>
      </c>
      <c r="DB15" s="64">
        <f t="shared" si="10"/>
        <v>0</v>
      </c>
      <c r="DC15" s="64">
        <f t="shared" si="10"/>
        <v>0</v>
      </c>
      <c r="DD15" s="64">
        <f t="shared" si="10"/>
        <v>0</v>
      </c>
      <c r="DE15" s="64">
        <f t="shared" si="10"/>
        <v>0</v>
      </c>
      <c r="DF15" s="64">
        <f t="shared" si="10"/>
        <v>0</v>
      </c>
      <c r="DG15" s="64">
        <f t="shared" si="10"/>
        <v>0</v>
      </c>
      <c r="DH15" s="64">
        <f t="shared" si="10"/>
        <v>0</v>
      </c>
      <c r="DI15" s="64">
        <f t="shared" si="10"/>
        <v>0</v>
      </c>
      <c r="DJ15" s="64">
        <f t="shared" si="10"/>
        <v>0</v>
      </c>
      <c r="DK15" s="64">
        <f t="shared" si="10"/>
        <v>0</v>
      </c>
      <c r="DL15" s="64">
        <f t="shared" si="10"/>
        <v>0</v>
      </c>
      <c r="DM15" s="64">
        <f t="shared" si="10"/>
        <v>0</v>
      </c>
      <c r="DN15" s="64">
        <f t="shared" si="10"/>
        <v>0</v>
      </c>
      <c r="DO15" s="64">
        <f t="shared" si="10"/>
        <v>0</v>
      </c>
      <c r="DP15" s="64">
        <f t="shared" si="10"/>
        <v>0</v>
      </c>
      <c r="DQ15" s="64">
        <f t="shared" si="10"/>
        <v>0</v>
      </c>
      <c r="DR15" s="64">
        <f t="shared" si="10"/>
        <v>0</v>
      </c>
      <c r="DS15" s="64">
        <f t="shared" si="10"/>
        <v>0</v>
      </c>
      <c r="DT15" s="64">
        <f t="shared" si="10"/>
        <v>0</v>
      </c>
      <c r="DU15" s="64">
        <f t="shared" si="10"/>
        <v>0</v>
      </c>
      <c r="DV15" s="64">
        <f t="shared" si="10"/>
        <v>0</v>
      </c>
      <c r="DW15" s="64">
        <f t="shared" si="10"/>
        <v>0</v>
      </c>
      <c r="DX15" s="64">
        <f t="shared" si="10"/>
        <v>0</v>
      </c>
      <c r="DY15" s="64">
        <f t="shared" si="10"/>
        <v>0</v>
      </c>
      <c r="DZ15" s="64">
        <f t="shared" si="10"/>
        <v>0</v>
      </c>
      <c r="EA15" s="64">
        <f t="shared" si="10"/>
        <v>0</v>
      </c>
      <c r="EB15" s="64">
        <f t="shared" si="10"/>
        <v>0</v>
      </c>
      <c r="EC15" s="64">
        <f t="shared" si="10"/>
        <v>0</v>
      </c>
      <c r="ED15" s="64">
        <f t="shared" si="10"/>
        <v>0</v>
      </c>
      <c r="EE15" s="64">
        <f t="shared" si="10"/>
        <v>0</v>
      </c>
      <c r="EF15" s="64">
        <f t="shared" ref="EF15:EL15" si="11">EF5</f>
        <v>0</v>
      </c>
      <c r="EG15" s="64">
        <f t="shared" si="11"/>
        <v>0</v>
      </c>
      <c r="EH15" s="64">
        <f t="shared" si="11"/>
        <v>0</v>
      </c>
      <c r="EI15" s="64">
        <f t="shared" si="11"/>
        <v>0</v>
      </c>
      <c r="EJ15" s="64">
        <f t="shared" si="11"/>
        <v>0</v>
      </c>
      <c r="EK15" s="64">
        <f t="shared" si="11"/>
        <v>0</v>
      </c>
      <c r="EL15" s="64">
        <f t="shared" si="11"/>
        <v>0</v>
      </c>
    </row>
    <row r="16" spans="2:142">
      <c r="B16" s="9" t="s">
        <v>153</v>
      </c>
      <c r="BP16" s="66">
        <f t="shared" ref="BP16:CM16" si="12">BP9*BP15</f>
        <v>0</v>
      </c>
      <c r="BQ16" s="66">
        <f t="shared" si="12"/>
        <v>0</v>
      </c>
      <c r="BR16" s="66">
        <f t="shared" si="12"/>
        <v>0</v>
      </c>
      <c r="BS16" s="66">
        <f t="shared" si="12"/>
        <v>0.91499999999999992</v>
      </c>
      <c r="BT16" s="66">
        <f t="shared" si="12"/>
        <v>0.91499999999999992</v>
      </c>
      <c r="BU16" s="66">
        <f t="shared" si="12"/>
        <v>0.81000000000000028</v>
      </c>
      <c r="BV16" s="66">
        <f t="shared" si="12"/>
        <v>1.7999999999999998</v>
      </c>
      <c r="BW16" s="66">
        <f t="shared" si="12"/>
        <v>2.85</v>
      </c>
      <c r="BX16" s="66">
        <f t="shared" si="12"/>
        <v>3.9751848284702227</v>
      </c>
      <c r="BY16" s="66">
        <f t="shared" si="12"/>
        <v>9.4351848284702236</v>
      </c>
      <c r="BZ16" s="66">
        <f t="shared" si="12"/>
        <v>0</v>
      </c>
      <c r="CA16" s="66">
        <f t="shared" si="12"/>
        <v>0</v>
      </c>
      <c r="CB16" s="66">
        <f t="shared" si="12"/>
        <v>0</v>
      </c>
      <c r="CC16" s="66">
        <f t="shared" si="12"/>
        <v>0</v>
      </c>
      <c r="CD16" s="66">
        <f t="shared" si="12"/>
        <v>0</v>
      </c>
      <c r="CE16" s="66">
        <f t="shared" si="12"/>
        <v>0</v>
      </c>
      <c r="CF16" s="66">
        <f t="shared" si="12"/>
        <v>0</v>
      </c>
      <c r="CG16" s="66">
        <f t="shared" si="12"/>
        <v>0</v>
      </c>
      <c r="CH16" s="66">
        <f t="shared" si="12"/>
        <v>0</v>
      </c>
      <c r="CI16" s="66">
        <f t="shared" si="12"/>
        <v>0</v>
      </c>
      <c r="CJ16" s="66">
        <f t="shared" si="12"/>
        <v>0</v>
      </c>
      <c r="CK16" s="66">
        <f t="shared" si="12"/>
        <v>0</v>
      </c>
      <c r="CL16" s="66">
        <f t="shared" si="12"/>
        <v>0</v>
      </c>
      <c r="CM16" s="66">
        <f t="shared" si="12"/>
        <v>0</v>
      </c>
      <c r="CN16" s="66">
        <f>CN9*CN15</f>
        <v>0</v>
      </c>
      <c r="CO16" s="66">
        <f t="shared" ref="CO16:EL16" si="13">CO9*CO15</f>
        <v>0</v>
      </c>
      <c r="CP16" s="66">
        <f t="shared" si="13"/>
        <v>0</v>
      </c>
      <c r="CQ16" s="66">
        <f t="shared" si="13"/>
        <v>0</v>
      </c>
      <c r="CR16" s="66">
        <f t="shared" si="13"/>
        <v>0</v>
      </c>
      <c r="CS16" s="66">
        <f t="shared" si="13"/>
        <v>0</v>
      </c>
      <c r="CT16" s="66">
        <f t="shared" si="13"/>
        <v>0</v>
      </c>
      <c r="CU16" s="66">
        <f t="shared" si="13"/>
        <v>0</v>
      </c>
      <c r="CV16" s="66">
        <f t="shared" si="13"/>
        <v>0</v>
      </c>
      <c r="CW16" s="66">
        <f t="shared" si="13"/>
        <v>0</v>
      </c>
      <c r="CX16" s="66">
        <f t="shared" si="13"/>
        <v>0</v>
      </c>
      <c r="CY16" s="66">
        <f t="shared" si="13"/>
        <v>0</v>
      </c>
      <c r="CZ16" s="66">
        <f t="shared" si="13"/>
        <v>0</v>
      </c>
      <c r="DA16" s="66">
        <f t="shared" si="13"/>
        <v>0</v>
      </c>
      <c r="DB16" s="66">
        <f t="shared" si="13"/>
        <v>0</v>
      </c>
      <c r="DC16" s="66">
        <f t="shared" si="13"/>
        <v>0</v>
      </c>
      <c r="DD16" s="66">
        <f t="shared" si="13"/>
        <v>0</v>
      </c>
      <c r="DE16" s="66">
        <f t="shared" si="13"/>
        <v>0</v>
      </c>
      <c r="DF16" s="66">
        <f t="shared" si="13"/>
        <v>0</v>
      </c>
      <c r="DG16" s="66">
        <f t="shared" si="13"/>
        <v>0</v>
      </c>
      <c r="DH16" s="66">
        <f t="shared" si="13"/>
        <v>0</v>
      </c>
      <c r="DI16" s="66">
        <f t="shared" si="13"/>
        <v>0</v>
      </c>
      <c r="DJ16" s="66">
        <f t="shared" si="13"/>
        <v>0</v>
      </c>
      <c r="DK16" s="66">
        <f t="shared" si="13"/>
        <v>0</v>
      </c>
      <c r="DL16" s="66">
        <f t="shared" si="13"/>
        <v>0</v>
      </c>
      <c r="DM16" s="66">
        <f t="shared" si="13"/>
        <v>0</v>
      </c>
      <c r="DN16" s="66">
        <f t="shared" si="13"/>
        <v>0</v>
      </c>
      <c r="DO16" s="66">
        <f t="shared" si="13"/>
        <v>0</v>
      </c>
      <c r="DP16" s="66">
        <f t="shared" si="13"/>
        <v>0</v>
      </c>
      <c r="DQ16" s="66">
        <f t="shared" si="13"/>
        <v>0</v>
      </c>
      <c r="DR16" s="66">
        <f t="shared" si="13"/>
        <v>0</v>
      </c>
      <c r="DS16" s="66">
        <f t="shared" si="13"/>
        <v>0</v>
      </c>
      <c r="DT16" s="66">
        <f t="shared" si="13"/>
        <v>0</v>
      </c>
      <c r="DU16" s="66">
        <f t="shared" si="13"/>
        <v>0</v>
      </c>
      <c r="DV16" s="66">
        <f t="shared" si="13"/>
        <v>0</v>
      </c>
      <c r="DW16" s="66">
        <f t="shared" si="13"/>
        <v>0</v>
      </c>
      <c r="DX16" s="66">
        <f t="shared" si="13"/>
        <v>0</v>
      </c>
      <c r="DY16" s="66">
        <f t="shared" si="13"/>
        <v>0</v>
      </c>
      <c r="DZ16" s="66">
        <f t="shared" si="13"/>
        <v>0</v>
      </c>
      <c r="EA16" s="66">
        <f t="shared" si="13"/>
        <v>0</v>
      </c>
      <c r="EB16" s="66">
        <f t="shared" si="13"/>
        <v>0</v>
      </c>
      <c r="EC16" s="66">
        <f t="shared" si="13"/>
        <v>0</v>
      </c>
      <c r="ED16" s="66">
        <f t="shared" si="13"/>
        <v>0</v>
      </c>
      <c r="EE16" s="66">
        <f t="shared" si="13"/>
        <v>0</v>
      </c>
      <c r="EF16" s="66">
        <f t="shared" si="13"/>
        <v>0</v>
      </c>
      <c r="EG16" s="66">
        <f t="shared" si="13"/>
        <v>0</v>
      </c>
      <c r="EH16" s="66">
        <f t="shared" si="13"/>
        <v>0</v>
      </c>
      <c r="EI16" s="66">
        <f t="shared" si="13"/>
        <v>0</v>
      </c>
      <c r="EJ16" s="66">
        <f t="shared" si="13"/>
        <v>0</v>
      </c>
      <c r="EK16" s="66">
        <f t="shared" si="13"/>
        <v>0</v>
      </c>
      <c r="EL16" s="66">
        <f t="shared" si="13"/>
        <v>0</v>
      </c>
    </row>
    <row r="17" spans="2:142">
      <c r="B17" s="9" t="s">
        <v>154</v>
      </c>
      <c r="BP17" s="1">
        <v>0</v>
      </c>
      <c r="BQ17" s="1">
        <v>0</v>
      </c>
      <c r="BR17" s="66">
        <f>BR15-BR16-BR19</f>
        <v>27</v>
      </c>
      <c r="BS17" s="66">
        <f>BS15-BS16-BS19</f>
        <v>21.984999999999996</v>
      </c>
      <c r="BT17" s="66">
        <f>SUM(BP17:BS17)</f>
        <v>48.984999999999999</v>
      </c>
      <c r="BU17" s="66">
        <f>BU15-BU16-BU19</f>
        <v>12.39</v>
      </c>
      <c r="BV17" s="66">
        <f>BV15-BV16-BV19</f>
        <v>22</v>
      </c>
      <c r="BW17" s="66">
        <f>BW15-BW16-BW19</f>
        <v>21.75</v>
      </c>
      <c r="BX17" s="66">
        <f>BY17-BU17-BV17-BW17</f>
        <v>23.86</v>
      </c>
      <c r="BY17" s="66">
        <v>80</v>
      </c>
      <c r="BZ17" s="66">
        <f>CD17/4</f>
        <v>22</v>
      </c>
      <c r="CA17" s="66">
        <f>CD17/4</f>
        <v>22</v>
      </c>
      <c r="CB17" s="66">
        <f>CD17/4</f>
        <v>22</v>
      </c>
      <c r="CC17" s="66">
        <f>CD17-SUM(BZ17:CB17)</f>
        <v>22</v>
      </c>
      <c r="CD17" s="66">
        <f>BY17*1.1</f>
        <v>88</v>
      </c>
      <c r="CI17" s="66">
        <f>CD17*1.075</f>
        <v>94.6</v>
      </c>
      <c r="CJ17" s="66"/>
      <c r="CK17" s="66"/>
      <c r="CL17" s="66"/>
      <c r="CM17" s="66"/>
      <c r="CN17" s="66">
        <f>CI17*1.05</f>
        <v>99.33</v>
      </c>
      <c r="CO17" s="66"/>
      <c r="CP17" s="66"/>
      <c r="CQ17" s="66"/>
      <c r="CR17" s="66"/>
      <c r="CS17" s="66">
        <f>CN17*1.025</f>
        <v>101.81325</v>
      </c>
      <c r="CT17" s="66"/>
      <c r="CU17" s="66"/>
      <c r="CV17" s="66"/>
      <c r="CW17" s="66"/>
      <c r="CX17" s="66">
        <f>CS17*1.025</f>
        <v>104.35858124999999</v>
      </c>
      <c r="CY17" s="66"/>
      <c r="CZ17" s="66"/>
      <c r="DA17" s="66"/>
      <c r="DB17" s="66"/>
      <c r="DC17" s="66">
        <f>CX17*1.025</f>
        <v>106.96754578124998</v>
      </c>
      <c r="DD17" s="66"/>
      <c r="DE17" s="66"/>
      <c r="DF17" s="66"/>
      <c r="DG17" s="66"/>
      <c r="DH17" s="66">
        <f>DC17*1.025</f>
        <v>109.64173442578122</v>
      </c>
      <c r="DI17" s="66"/>
      <c r="DJ17" s="66"/>
      <c r="DK17" s="66"/>
      <c r="DL17" s="66"/>
      <c r="DM17" s="66">
        <f>DH17*1.025</f>
        <v>112.38277778642575</v>
      </c>
      <c r="DN17" s="66"/>
      <c r="DO17" s="66"/>
      <c r="DP17" s="66"/>
      <c r="DQ17" s="66"/>
      <c r="DR17" s="66">
        <f>DM17*1.025</f>
        <v>115.19234723108639</v>
      </c>
      <c r="DS17" s="66"/>
      <c r="DT17" s="66"/>
      <c r="DU17" s="66"/>
      <c r="DV17" s="66"/>
      <c r="DW17" s="66">
        <f>DR17*1.025</f>
        <v>118.07215591186353</v>
      </c>
      <c r="DX17" s="66"/>
      <c r="DY17" s="66"/>
      <c r="DZ17" s="66"/>
      <c r="EA17" s="66"/>
      <c r="EB17" s="66">
        <f>DW17*1.025</f>
        <v>121.02395980966011</v>
      </c>
      <c r="EC17" s="66"/>
      <c r="ED17" s="66"/>
      <c r="EE17" s="66"/>
      <c r="EF17" s="66"/>
      <c r="EG17" s="66">
        <f>EB17*1.025</f>
        <v>124.04955880490161</v>
      </c>
      <c r="EH17" s="66"/>
      <c r="EI17" s="66"/>
      <c r="EJ17" s="66"/>
      <c r="EK17" s="66"/>
      <c r="EL17" s="66">
        <f>EG17*1.025</f>
        <v>127.15079777502413</v>
      </c>
    </row>
    <row r="18" spans="2:142" ht="6.75" customHeight="1">
      <c r="B18" s="9"/>
    </row>
    <row r="19" spans="2:142">
      <c r="B19" s="9" t="s">
        <v>903</v>
      </c>
      <c r="BP19" s="1">
        <f>BP20*2</f>
        <v>0</v>
      </c>
      <c r="BQ19" s="1">
        <f t="shared" ref="BQ19:BW19" si="14">BQ20*2</f>
        <v>0</v>
      </c>
      <c r="BR19" s="518">
        <f t="shared" si="14"/>
        <v>-27</v>
      </c>
      <c r="BS19" s="518">
        <f t="shared" si="14"/>
        <v>-16.799999999999997</v>
      </c>
      <c r="BT19" s="293">
        <f t="shared" ref="BT19:CC19" si="15">BT15-BT16-BT17</f>
        <v>-43.8</v>
      </c>
      <c r="BU19" s="518">
        <f t="shared" si="14"/>
        <v>-7.8</v>
      </c>
      <c r="BV19" s="518">
        <f t="shared" si="14"/>
        <v>-11.8</v>
      </c>
      <c r="BW19" s="518">
        <f t="shared" si="14"/>
        <v>-5.6</v>
      </c>
      <c r="BX19" s="293">
        <f t="shared" si="15"/>
        <v>-1.3339526386687375</v>
      </c>
      <c r="BY19" s="293">
        <f t="shared" si="15"/>
        <v>-26.533952638668737</v>
      </c>
      <c r="BZ19" s="293">
        <f t="shared" si="15"/>
        <v>-22</v>
      </c>
      <c r="CA19" s="293">
        <f t="shared" si="15"/>
        <v>-22</v>
      </c>
      <c r="CB19" s="293">
        <f t="shared" si="15"/>
        <v>-22</v>
      </c>
      <c r="CC19" s="293">
        <f t="shared" si="15"/>
        <v>-22</v>
      </c>
      <c r="CD19" s="293">
        <f>CD15-CD16-CD17</f>
        <v>-88</v>
      </c>
      <c r="CI19" s="293">
        <f>CI15-CI16-CI17</f>
        <v>-94.6</v>
      </c>
      <c r="CN19" s="293">
        <f>CN15-CN16-CN17</f>
        <v>-99.33</v>
      </c>
      <c r="CS19" s="293">
        <f>CS15-CS16-CS17</f>
        <v>-101.81325</v>
      </c>
      <c r="CX19" s="293">
        <f>CX15-CX16-CX17</f>
        <v>-104.35858124999999</v>
      </c>
      <c r="DC19" s="293">
        <f>DC15-DC16-DC17</f>
        <v>-106.96754578124998</v>
      </c>
      <c r="DH19" s="293">
        <f>DH15-DH16-DH17</f>
        <v>-109.64173442578122</v>
      </c>
      <c r="DM19" s="293">
        <f>DM15-DM16-DM17</f>
        <v>-112.38277778642575</v>
      </c>
      <c r="DR19" s="293">
        <f>DR15-DR16-DR17</f>
        <v>-115.19234723108639</v>
      </c>
      <c r="DW19" s="293">
        <f>DW15-DW16-DW17</f>
        <v>-118.07215591186353</v>
      </c>
      <c r="EB19" s="293">
        <f>EB15-EB16-EB17</f>
        <v>-121.02395980966011</v>
      </c>
      <c r="EG19" s="293">
        <f>EG15-EG16-EG17</f>
        <v>-124.04955880490161</v>
      </c>
      <c r="EL19" s="293">
        <f>EL15-EL16-EL17</f>
        <v>-127.15079777502413</v>
      </c>
    </row>
    <row r="20" spans="2:142">
      <c r="B20" s="9" t="s">
        <v>906</v>
      </c>
      <c r="BP20" s="504">
        <v>0</v>
      </c>
      <c r="BQ20" s="504">
        <v>0</v>
      </c>
      <c r="BR20" s="504">
        <f>-13.5-BQ20-BP20</f>
        <v>-13.5</v>
      </c>
      <c r="BS20" s="510">
        <f>-21.9-BR20-BQ20-BP20</f>
        <v>-8.3999999999999986</v>
      </c>
      <c r="BT20" s="66">
        <f t="shared" ref="BT20:BY20" si="16">BT19*0.5</f>
        <v>-21.9</v>
      </c>
      <c r="BU20" s="510">
        <v>-3.9</v>
      </c>
      <c r="BV20" s="510">
        <f>-9.8-BU20</f>
        <v>-5.9</v>
      </c>
      <c r="BW20" s="510">
        <v>-2.8</v>
      </c>
      <c r="BX20" s="66">
        <f t="shared" si="16"/>
        <v>-0.66697631933436874</v>
      </c>
      <c r="BY20" s="66">
        <f t="shared" si="16"/>
        <v>-13.266976319334368</v>
      </c>
      <c r="BZ20" s="66">
        <v>0</v>
      </c>
      <c r="CA20" s="66">
        <v>0</v>
      </c>
      <c r="CB20" s="66">
        <v>0</v>
      </c>
      <c r="CC20" s="66">
        <v>0</v>
      </c>
      <c r="CD20" s="66">
        <v>0</v>
      </c>
      <c r="CI20" s="66">
        <v>0</v>
      </c>
      <c r="CN20" s="66">
        <v>0</v>
      </c>
      <c r="CS20" s="66">
        <v>0</v>
      </c>
      <c r="CX20" s="66">
        <v>0</v>
      </c>
      <c r="DC20" s="66">
        <v>0</v>
      </c>
      <c r="DH20" s="66">
        <v>0</v>
      </c>
      <c r="DM20" s="66">
        <v>0</v>
      </c>
      <c r="DR20" s="66">
        <v>0</v>
      </c>
      <c r="DW20" s="66">
        <v>0</v>
      </c>
      <c r="EB20" s="66">
        <v>0</v>
      </c>
      <c r="EG20" s="66">
        <v>0</v>
      </c>
      <c r="EL20" s="66">
        <v>0</v>
      </c>
    </row>
    <row r="23" spans="2:142">
      <c r="B23" s="502" t="s">
        <v>907</v>
      </c>
      <c r="C23" s="502"/>
      <c r="D23" s="502"/>
      <c r="E23" s="502"/>
      <c r="F23" s="502"/>
      <c r="G23" s="502"/>
      <c r="H23" s="502"/>
      <c r="I23" s="502"/>
      <c r="J23" s="502"/>
      <c r="K23" s="502"/>
      <c r="L23" s="502"/>
      <c r="M23" s="502"/>
      <c r="N23" s="502"/>
      <c r="O23" s="502"/>
      <c r="P23" s="502"/>
      <c r="Q23" s="502"/>
      <c r="R23" s="502"/>
      <c r="S23" s="502"/>
      <c r="T23" s="502"/>
      <c r="U23" s="502"/>
      <c r="V23" s="502"/>
      <c r="W23" s="502"/>
      <c r="X23" s="502"/>
      <c r="Y23" s="502"/>
      <c r="Z23" s="502"/>
      <c r="AA23" s="502"/>
      <c r="AB23" s="502"/>
      <c r="AC23" s="502"/>
      <c r="AD23" s="502"/>
      <c r="AE23" s="502"/>
      <c r="AF23" s="502"/>
      <c r="AG23" s="502"/>
      <c r="AH23" s="502"/>
      <c r="AI23" s="502"/>
      <c r="AJ23" s="502"/>
      <c r="AK23" s="502"/>
      <c r="AL23" s="502"/>
      <c r="AM23" s="502"/>
      <c r="AN23" s="502"/>
      <c r="AO23" s="502"/>
      <c r="AP23" s="502"/>
      <c r="AQ23" s="502"/>
      <c r="AR23" s="502"/>
      <c r="AS23" s="502"/>
      <c r="AT23" s="502"/>
      <c r="AU23" s="502"/>
      <c r="AV23" s="502"/>
      <c r="AW23" s="502"/>
      <c r="AX23" s="502"/>
      <c r="AY23" s="502"/>
      <c r="AZ23" s="502"/>
      <c r="BA23" s="502"/>
      <c r="BB23" s="502"/>
      <c r="BC23" s="502"/>
      <c r="BD23" s="502"/>
      <c r="BE23" s="502"/>
      <c r="BF23" s="502"/>
      <c r="BG23" s="502"/>
      <c r="BH23" s="502"/>
      <c r="BI23" s="502"/>
      <c r="BJ23" s="502"/>
      <c r="BK23" s="502"/>
      <c r="BL23" s="502"/>
      <c r="BM23" s="502"/>
      <c r="BN23" s="502"/>
      <c r="BO23" s="502"/>
      <c r="BP23" s="502"/>
      <c r="BQ23" s="502"/>
      <c r="BR23" s="502"/>
      <c r="BS23" s="502"/>
      <c r="BT23" s="502"/>
      <c r="BU23" s="502"/>
      <c r="BV23" s="502"/>
      <c r="BW23" s="502"/>
      <c r="BX23" s="502"/>
      <c r="BY23" s="502"/>
      <c r="BZ23" s="502"/>
      <c r="CA23" s="502"/>
      <c r="CB23" s="502"/>
      <c r="CC23" s="502"/>
      <c r="CD23" s="502"/>
      <c r="CE23" s="502"/>
      <c r="CF23" s="502"/>
      <c r="CG23" s="502"/>
      <c r="CH23" s="502"/>
      <c r="CI23" s="502"/>
      <c r="CJ23" s="502"/>
      <c r="CK23" s="502"/>
      <c r="CL23" s="502"/>
      <c r="CM23" s="502"/>
      <c r="CN23" s="502"/>
      <c r="CO23" s="502"/>
      <c r="CP23" s="502"/>
      <c r="CQ23" s="502"/>
      <c r="CR23" s="502"/>
      <c r="CS23" s="502"/>
      <c r="CT23" s="502"/>
      <c r="CU23" s="502"/>
      <c r="CV23" s="502"/>
      <c r="CW23" s="502"/>
      <c r="CX23" s="502"/>
      <c r="CY23" s="502"/>
      <c r="CZ23" s="502"/>
      <c r="DA23" s="502"/>
      <c r="DB23" s="502"/>
      <c r="DC23" s="502"/>
      <c r="DD23" s="502"/>
      <c r="DE23" s="502"/>
      <c r="DF23" s="502"/>
      <c r="DG23" s="502"/>
      <c r="DH23" s="502"/>
      <c r="DI23" s="502"/>
      <c r="DJ23" s="502"/>
      <c r="DK23" s="502"/>
      <c r="DL23" s="502"/>
      <c r="DM23" s="502"/>
      <c r="DN23" s="502"/>
      <c r="DO23" s="502"/>
      <c r="DP23" s="502"/>
      <c r="DQ23" s="502"/>
      <c r="DR23" s="502"/>
      <c r="DS23" s="502"/>
      <c r="DT23" s="502"/>
      <c r="DU23" s="502"/>
      <c r="DV23" s="502"/>
      <c r="DW23" s="502"/>
      <c r="DX23" s="502"/>
      <c r="DY23" s="502"/>
      <c r="DZ23" s="502"/>
      <c r="EA23" s="502"/>
      <c r="EB23" s="502"/>
      <c r="EC23" s="502"/>
      <c r="ED23" s="502"/>
      <c r="EE23" s="502"/>
      <c r="EF23" s="502"/>
      <c r="EG23" s="502"/>
      <c r="EH23" s="502"/>
      <c r="EI23" s="502"/>
      <c r="EJ23" s="502"/>
      <c r="EK23" s="502"/>
      <c r="EL23" s="502"/>
    </row>
    <row r="24" spans="2:142">
      <c r="B24" s="9" t="s">
        <v>902</v>
      </c>
      <c r="BP24" s="64">
        <f>BP13</f>
        <v>0</v>
      </c>
      <c r="BQ24" s="64">
        <f>BQ13</f>
        <v>0</v>
      </c>
      <c r="BR24" s="64">
        <f>BR6</f>
        <v>1.9</v>
      </c>
      <c r="BS24" s="64">
        <f t="shared" ref="BS24:ED24" si="17">BS6</f>
        <v>5.9</v>
      </c>
      <c r="BT24" s="64">
        <f t="shared" si="17"/>
        <v>7.8000000000000007</v>
      </c>
      <c r="BU24" s="64">
        <f t="shared" si="17"/>
        <v>10.7</v>
      </c>
      <c r="BV24" s="64">
        <f t="shared" si="17"/>
        <v>16.100000000000001</v>
      </c>
      <c r="BW24" s="64">
        <f t="shared" si="17"/>
        <v>14.2</v>
      </c>
      <c r="BX24" s="64">
        <f t="shared" si="17"/>
        <v>11.7</v>
      </c>
      <c r="BY24" s="64">
        <f t="shared" si="17"/>
        <v>52.7</v>
      </c>
      <c r="BZ24" s="64">
        <f t="shared" si="17"/>
        <v>0.27999999999999997</v>
      </c>
      <c r="CA24" s="64">
        <f>CA6</f>
        <v>0.27999999999999997</v>
      </c>
      <c r="CB24" s="64">
        <f t="shared" si="17"/>
        <v>0.27999999999999997</v>
      </c>
      <c r="CC24" s="64">
        <f t="shared" si="17"/>
        <v>0.28000000000000003</v>
      </c>
      <c r="CD24" s="64">
        <f t="shared" si="17"/>
        <v>1.1199999999999999</v>
      </c>
      <c r="CE24" s="64">
        <f t="shared" si="17"/>
        <v>0</v>
      </c>
      <c r="CF24" s="64">
        <f t="shared" si="17"/>
        <v>0</v>
      </c>
      <c r="CG24" s="64">
        <f t="shared" si="17"/>
        <v>0</v>
      </c>
      <c r="CH24" s="64">
        <f t="shared" si="17"/>
        <v>0</v>
      </c>
      <c r="CI24" s="64">
        <f t="shared" si="17"/>
        <v>0</v>
      </c>
      <c r="CJ24" s="64">
        <f t="shared" si="17"/>
        <v>0</v>
      </c>
      <c r="CK24" s="64">
        <f t="shared" si="17"/>
        <v>0</v>
      </c>
      <c r="CL24" s="64">
        <f t="shared" si="17"/>
        <v>0</v>
      </c>
      <c r="CM24" s="64">
        <f t="shared" si="17"/>
        <v>0</v>
      </c>
      <c r="CN24" s="64">
        <f t="shared" si="17"/>
        <v>0</v>
      </c>
      <c r="CO24" s="64">
        <f t="shared" si="17"/>
        <v>0</v>
      </c>
      <c r="CP24" s="64">
        <f t="shared" si="17"/>
        <v>0</v>
      </c>
      <c r="CQ24" s="64">
        <f t="shared" si="17"/>
        <v>0</v>
      </c>
      <c r="CR24" s="64">
        <f t="shared" si="17"/>
        <v>0</v>
      </c>
      <c r="CS24" s="64">
        <f t="shared" si="17"/>
        <v>0</v>
      </c>
      <c r="CT24" s="64">
        <f t="shared" si="17"/>
        <v>0</v>
      </c>
      <c r="CU24" s="64">
        <f t="shared" si="17"/>
        <v>0</v>
      </c>
      <c r="CV24" s="64">
        <f t="shared" si="17"/>
        <v>0</v>
      </c>
      <c r="CW24" s="64">
        <f t="shared" si="17"/>
        <v>0</v>
      </c>
      <c r="CX24" s="64">
        <f t="shared" si="17"/>
        <v>0</v>
      </c>
      <c r="CY24" s="64">
        <f t="shared" si="17"/>
        <v>0</v>
      </c>
      <c r="CZ24" s="64">
        <f t="shared" si="17"/>
        <v>0</v>
      </c>
      <c r="DA24" s="64">
        <f t="shared" si="17"/>
        <v>0</v>
      </c>
      <c r="DB24" s="64">
        <f t="shared" si="17"/>
        <v>0</v>
      </c>
      <c r="DC24" s="64">
        <f t="shared" si="17"/>
        <v>0</v>
      </c>
      <c r="DD24" s="64">
        <f t="shared" si="17"/>
        <v>0</v>
      </c>
      <c r="DE24" s="64">
        <f t="shared" si="17"/>
        <v>0</v>
      </c>
      <c r="DF24" s="64">
        <f t="shared" si="17"/>
        <v>0</v>
      </c>
      <c r="DG24" s="64">
        <f t="shared" si="17"/>
        <v>0</v>
      </c>
      <c r="DH24" s="64">
        <f t="shared" si="17"/>
        <v>0</v>
      </c>
      <c r="DI24" s="64">
        <f t="shared" si="17"/>
        <v>0</v>
      </c>
      <c r="DJ24" s="64">
        <f t="shared" si="17"/>
        <v>0</v>
      </c>
      <c r="DK24" s="64">
        <f t="shared" si="17"/>
        <v>0</v>
      </c>
      <c r="DL24" s="64">
        <f t="shared" si="17"/>
        <v>0</v>
      </c>
      <c r="DM24" s="64">
        <f t="shared" si="17"/>
        <v>0</v>
      </c>
      <c r="DN24" s="64">
        <f t="shared" si="17"/>
        <v>0</v>
      </c>
      <c r="DO24" s="64">
        <f t="shared" si="17"/>
        <v>0</v>
      </c>
      <c r="DP24" s="64">
        <f t="shared" si="17"/>
        <v>0</v>
      </c>
      <c r="DQ24" s="64">
        <f t="shared" si="17"/>
        <v>0</v>
      </c>
      <c r="DR24" s="64">
        <f t="shared" si="17"/>
        <v>0</v>
      </c>
      <c r="DS24" s="64">
        <f t="shared" si="17"/>
        <v>0</v>
      </c>
      <c r="DT24" s="64">
        <f t="shared" si="17"/>
        <v>0</v>
      </c>
      <c r="DU24" s="64">
        <f t="shared" si="17"/>
        <v>0</v>
      </c>
      <c r="DV24" s="64">
        <f t="shared" si="17"/>
        <v>0</v>
      </c>
      <c r="DW24" s="64">
        <f t="shared" si="17"/>
        <v>0</v>
      </c>
      <c r="DX24" s="64">
        <f t="shared" si="17"/>
        <v>0</v>
      </c>
      <c r="DY24" s="64">
        <f t="shared" si="17"/>
        <v>0</v>
      </c>
      <c r="DZ24" s="64">
        <f t="shared" si="17"/>
        <v>0</v>
      </c>
      <c r="EA24" s="64">
        <f t="shared" si="17"/>
        <v>0</v>
      </c>
      <c r="EB24" s="64">
        <f t="shared" si="17"/>
        <v>0</v>
      </c>
      <c r="EC24" s="64">
        <f t="shared" si="17"/>
        <v>0</v>
      </c>
      <c r="ED24" s="64">
        <f t="shared" si="17"/>
        <v>0</v>
      </c>
      <c r="EE24" s="64">
        <f t="shared" ref="EE24:EL24" si="18">EE6</f>
        <v>0</v>
      </c>
      <c r="EF24" s="64">
        <f t="shared" si="18"/>
        <v>0</v>
      </c>
      <c r="EG24" s="64">
        <f t="shared" si="18"/>
        <v>0</v>
      </c>
      <c r="EH24" s="64">
        <f t="shared" si="18"/>
        <v>0</v>
      </c>
      <c r="EI24" s="64">
        <f t="shared" si="18"/>
        <v>0</v>
      </c>
      <c r="EJ24" s="64">
        <f t="shared" si="18"/>
        <v>0</v>
      </c>
      <c r="EK24" s="64">
        <f t="shared" si="18"/>
        <v>0</v>
      </c>
      <c r="EL24" s="64">
        <f t="shared" si="18"/>
        <v>0</v>
      </c>
    </row>
    <row r="25" spans="2:142">
      <c r="B25" s="9" t="s">
        <v>153</v>
      </c>
      <c r="BP25" s="66">
        <f t="shared" ref="BP25:BQ25" si="19">BP9*BP24</f>
        <v>0</v>
      </c>
      <c r="BQ25" s="66">
        <f t="shared" si="19"/>
        <v>0</v>
      </c>
      <c r="BR25" s="66">
        <f>BR9*BR24</f>
        <v>0.28499999999999998</v>
      </c>
      <c r="BS25" s="66">
        <f t="shared" ref="BS25:ED25" si="20">BS9*BS24</f>
        <v>0.88500000000000001</v>
      </c>
      <c r="BT25" s="66">
        <f t="shared" si="20"/>
        <v>1.1700000000000002</v>
      </c>
      <c r="BU25" s="66">
        <f t="shared" si="20"/>
        <v>1.6049999999999998</v>
      </c>
      <c r="BV25" s="66">
        <f t="shared" si="20"/>
        <v>2.415</v>
      </c>
      <c r="BW25" s="66">
        <f t="shared" si="20"/>
        <v>2.13</v>
      </c>
      <c r="BX25" s="66">
        <f t="shared" si="20"/>
        <v>1.7549999999999999</v>
      </c>
      <c r="BY25" s="66">
        <f t="shared" si="20"/>
        <v>7.9050000000000002</v>
      </c>
      <c r="BZ25" s="66">
        <f t="shared" si="20"/>
        <v>4.1999999999999996E-2</v>
      </c>
      <c r="CA25" s="66">
        <f t="shared" si="20"/>
        <v>4.1999999999999996E-2</v>
      </c>
      <c r="CB25" s="66">
        <f t="shared" si="20"/>
        <v>4.1999999999999996E-2</v>
      </c>
      <c r="CC25" s="66">
        <f t="shared" si="20"/>
        <v>4.2000000000000003E-2</v>
      </c>
      <c r="CD25" s="66">
        <f t="shared" si="20"/>
        <v>0.16799999999999998</v>
      </c>
      <c r="CE25" s="66">
        <f t="shared" si="20"/>
        <v>0</v>
      </c>
      <c r="CF25" s="66">
        <f t="shared" si="20"/>
        <v>0</v>
      </c>
      <c r="CG25" s="66">
        <f t="shared" si="20"/>
        <v>0</v>
      </c>
      <c r="CH25" s="66">
        <f t="shared" si="20"/>
        <v>0</v>
      </c>
      <c r="CI25" s="66">
        <f t="shared" si="20"/>
        <v>0</v>
      </c>
      <c r="CJ25" s="66">
        <f t="shared" si="20"/>
        <v>0</v>
      </c>
      <c r="CK25" s="66">
        <f t="shared" si="20"/>
        <v>0</v>
      </c>
      <c r="CL25" s="66">
        <f t="shared" si="20"/>
        <v>0</v>
      </c>
      <c r="CM25" s="66">
        <f t="shared" si="20"/>
        <v>0</v>
      </c>
      <c r="CN25" s="66">
        <f t="shared" si="20"/>
        <v>0</v>
      </c>
      <c r="CO25" s="66">
        <f t="shared" si="20"/>
        <v>0</v>
      </c>
      <c r="CP25" s="66">
        <f t="shared" si="20"/>
        <v>0</v>
      </c>
      <c r="CQ25" s="66">
        <f t="shared" si="20"/>
        <v>0</v>
      </c>
      <c r="CR25" s="66">
        <f t="shared" si="20"/>
        <v>0</v>
      </c>
      <c r="CS25" s="66">
        <f t="shared" si="20"/>
        <v>0</v>
      </c>
      <c r="CT25" s="66">
        <f t="shared" si="20"/>
        <v>0</v>
      </c>
      <c r="CU25" s="66">
        <f t="shared" si="20"/>
        <v>0</v>
      </c>
      <c r="CV25" s="66">
        <f t="shared" si="20"/>
        <v>0</v>
      </c>
      <c r="CW25" s="66">
        <f t="shared" si="20"/>
        <v>0</v>
      </c>
      <c r="CX25" s="66">
        <f t="shared" si="20"/>
        <v>0</v>
      </c>
      <c r="CY25" s="66">
        <f t="shared" si="20"/>
        <v>0</v>
      </c>
      <c r="CZ25" s="66">
        <f t="shared" si="20"/>
        <v>0</v>
      </c>
      <c r="DA25" s="66">
        <f t="shared" si="20"/>
        <v>0</v>
      </c>
      <c r="DB25" s="66">
        <f t="shared" si="20"/>
        <v>0</v>
      </c>
      <c r="DC25" s="66">
        <f t="shared" si="20"/>
        <v>0</v>
      </c>
      <c r="DD25" s="66">
        <f t="shared" si="20"/>
        <v>0</v>
      </c>
      <c r="DE25" s="66">
        <f t="shared" si="20"/>
        <v>0</v>
      </c>
      <c r="DF25" s="66">
        <f t="shared" si="20"/>
        <v>0</v>
      </c>
      <c r="DG25" s="66">
        <f t="shared" si="20"/>
        <v>0</v>
      </c>
      <c r="DH25" s="66">
        <f t="shared" si="20"/>
        <v>0</v>
      </c>
      <c r="DI25" s="66">
        <f t="shared" si="20"/>
        <v>0</v>
      </c>
      <c r="DJ25" s="66">
        <f t="shared" si="20"/>
        <v>0</v>
      </c>
      <c r="DK25" s="66">
        <f t="shared" si="20"/>
        <v>0</v>
      </c>
      <c r="DL25" s="66">
        <f t="shared" si="20"/>
        <v>0</v>
      </c>
      <c r="DM25" s="66">
        <f t="shared" si="20"/>
        <v>0</v>
      </c>
      <c r="DN25" s="66">
        <f t="shared" si="20"/>
        <v>0</v>
      </c>
      <c r="DO25" s="66">
        <f t="shared" si="20"/>
        <v>0</v>
      </c>
      <c r="DP25" s="66">
        <f t="shared" si="20"/>
        <v>0</v>
      </c>
      <c r="DQ25" s="66">
        <f t="shared" si="20"/>
        <v>0</v>
      </c>
      <c r="DR25" s="66">
        <f t="shared" si="20"/>
        <v>0</v>
      </c>
      <c r="DS25" s="66">
        <f t="shared" si="20"/>
        <v>0</v>
      </c>
      <c r="DT25" s="66">
        <f t="shared" si="20"/>
        <v>0</v>
      </c>
      <c r="DU25" s="66">
        <f t="shared" si="20"/>
        <v>0</v>
      </c>
      <c r="DV25" s="66">
        <f t="shared" si="20"/>
        <v>0</v>
      </c>
      <c r="DW25" s="66">
        <f t="shared" si="20"/>
        <v>0</v>
      </c>
      <c r="DX25" s="66">
        <f t="shared" si="20"/>
        <v>0</v>
      </c>
      <c r="DY25" s="66">
        <f t="shared" si="20"/>
        <v>0</v>
      </c>
      <c r="DZ25" s="66">
        <f t="shared" si="20"/>
        <v>0</v>
      </c>
      <c r="EA25" s="66">
        <f t="shared" si="20"/>
        <v>0</v>
      </c>
      <c r="EB25" s="66">
        <f t="shared" si="20"/>
        <v>0</v>
      </c>
      <c r="EC25" s="66">
        <f t="shared" si="20"/>
        <v>0</v>
      </c>
      <c r="ED25" s="66">
        <f t="shared" si="20"/>
        <v>0</v>
      </c>
      <c r="EE25" s="66">
        <f t="shared" ref="EE25:EL25" si="21">EE9*EE24</f>
        <v>0</v>
      </c>
      <c r="EF25" s="66">
        <f t="shared" si="21"/>
        <v>0</v>
      </c>
      <c r="EG25" s="66">
        <f t="shared" si="21"/>
        <v>0</v>
      </c>
      <c r="EH25" s="66">
        <f t="shared" si="21"/>
        <v>0</v>
      </c>
      <c r="EI25" s="66">
        <f t="shared" si="21"/>
        <v>0</v>
      </c>
      <c r="EJ25" s="66">
        <f t="shared" si="21"/>
        <v>0</v>
      </c>
      <c r="EK25" s="66">
        <f t="shared" si="21"/>
        <v>0</v>
      </c>
      <c r="EL25" s="66">
        <f t="shared" si="21"/>
        <v>0</v>
      </c>
    </row>
    <row r="26" spans="2:142">
      <c r="B26" s="9" t="s">
        <v>154</v>
      </c>
      <c r="BP26" s="1">
        <v>0</v>
      </c>
      <c r="BQ26" s="1">
        <v>0</v>
      </c>
      <c r="BR26" s="66">
        <f>BR24-BR25-BR28</f>
        <v>7.0150000000000006</v>
      </c>
      <c r="BS26" s="66">
        <f>BS24-BS25-BS28</f>
        <v>9.4150000000000009</v>
      </c>
      <c r="BT26" s="66">
        <f>SUM(BP26:BS26)</f>
        <v>16.43</v>
      </c>
      <c r="BU26" s="66">
        <f>11-1.9</f>
        <v>9.1</v>
      </c>
      <c r="BV26" s="66">
        <f>BV24-BV25-BV28</f>
        <v>11.085000000000003</v>
      </c>
      <c r="BW26" s="66">
        <f>BW24-BW25-BW28</f>
        <v>10.67</v>
      </c>
      <c r="BX26" s="66">
        <f>BY26-BU26-BV26-BW26</f>
        <v>11.144999999999998</v>
      </c>
      <c r="BY26" s="66">
        <v>42</v>
      </c>
      <c r="BZ26" s="66">
        <f>CD26/4</f>
        <v>11.55</v>
      </c>
      <c r="CA26" s="66">
        <f>CD26/4</f>
        <v>11.55</v>
      </c>
      <c r="CB26" s="66">
        <f>CD26/4</f>
        <v>11.55</v>
      </c>
      <c r="CC26" s="66">
        <f>CD26-SUM(BZ26:CB26)</f>
        <v>11.549999999999997</v>
      </c>
      <c r="CD26" s="66">
        <f>BY26*1.1</f>
        <v>46.2</v>
      </c>
      <c r="CI26" s="66">
        <f>CD26*1.075</f>
        <v>49.664999999999999</v>
      </c>
      <c r="CJ26" s="66"/>
      <c r="CK26" s="66"/>
      <c r="CL26" s="66"/>
      <c r="CM26" s="66"/>
      <c r="CN26" s="66">
        <f>CI26*1.05</f>
        <v>52.148250000000004</v>
      </c>
      <c r="CO26" s="66"/>
      <c r="CP26" s="66"/>
      <c r="CQ26" s="66"/>
      <c r="CR26" s="66"/>
      <c r="CS26" s="66">
        <f>CN26*1.025</f>
        <v>53.451956250000002</v>
      </c>
      <c r="CT26" s="66"/>
      <c r="CU26" s="66"/>
      <c r="CV26" s="66"/>
      <c r="CW26" s="66"/>
      <c r="CX26" s="66">
        <f>CS26*1.025</f>
        <v>54.788255156249996</v>
      </c>
      <c r="CY26" s="66"/>
      <c r="CZ26" s="66"/>
      <c r="DA26" s="66"/>
      <c r="DB26" s="66"/>
      <c r="DC26" s="66">
        <f>CX26*1.025</f>
        <v>56.15796153515624</v>
      </c>
      <c r="DD26" s="66"/>
      <c r="DE26" s="66"/>
      <c r="DF26" s="66"/>
      <c r="DG26" s="66"/>
      <c r="DH26" s="66">
        <f>DC26*1.025</f>
        <v>57.561910573535144</v>
      </c>
      <c r="DI26" s="66"/>
      <c r="DJ26" s="66"/>
      <c r="DK26" s="66"/>
      <c r="DL26" s="66"/>
      <c r="DM26" s="66">
        <f>DH26*1.025</f>
        <v>59.00095833787352</v>
      </c>
      <c r="DN26" s="66"/>
      <c r="DO26" s="66"/>
      <c r="DP26" s="66"/>
      <c r="DQ26" s="66"/>
      <c r="DR26" s="66">
        <f>DM26*1.025</f>
        <v>60.475982296320353</v>
      </c>
      <c r="DS26" s="66"/>
      <c r="DT26" s="66"/>
      <c r="DU26" s="66"/>
      <c r="DV26" s="66"/>
      <c r="DW26" s="66">
        <f>DR26*1.025</f>
        <v>61.987881853728354</v>
      </c>
      <c r="DX26" s="66"/>
      <c r="DY26" s="66"/>
      <c r="DZ26" s="66"/>
      <c r="EA26" s="66"/>
      <c r="EB26" s="66">
        <f>DW26*1.025</f>
        <v>63.537578900071559</v>
      </c>
      <c r="EC26" s="66"/>
      <c r="ED26" s="66"/>
      <c r="EE26" s="66"/>
      <c r="EF26" s="66"/>
      <c r="EG26" s="66">
        <f>EB26*1.025</f>
        <v>65.126018372573341</v>
      </c>
      <c r="EH26" s="66"/>
      <c r="EI26" s="66"/>
      <c r="EJ26" s="66"/>
      <c r="EK26" s="66"/>
      <c r="EL26" s="66">
        <f>EG26*1.025</f>
        <v>66.754168831887668</v>
      </c>
    </row>
    <row r="27" spans="2:142" ht="6.75" customHeight="1">
      <c r="B27" s="9"/>
    </row>
    <row r="28" spans="2:142">
      <c r="B28" s="9" t="s">
        <v>903</v>
      </c>
      <c r="BP28" s="1">
        <v>0</v>
      </c>
      <c r="BQ28" s="1">
        <v>0</v>
      </c>
      <c r="BR28" s="1">
        <f t="shared" ref="BR28:BS28" si="22">BR29*2</f>
        <v>-5.4</v>
      </c>
      <c r="BS28" s="1">
        <f t="shared" si="22"/>
        <v>-4.4000000000000004</v>
      </c>
      <c r="BT28" s="293">
        <f t="shared" ref="BT28:CC28" si="23">BT24-BT25-BT26</f>
        <v>-9.7999999999999989</v>
      </c>
      <c r="BU28" s="293">
        <f t="shared" si="23"/>
        <v>-5.0000000000007816E-3</v>
      </c>
      <c r="BV28" s="293">
        <f>BV29*2</f>
        <v>2.6</v>
      </c>
      <c r="BW28" s="293">
        <f>BW29*2</f>
        <v>1.4</v>
      </c>
      <c r="BX28" s="293">
        <f t="shared" si="23"/>
        <v>-1.1999999999999975</v>
      </c>
      <c r="BY28" s="293">
        <f t="shared" si="23"/>
        <v>2.7950000000000017</v>
      </c>
      <c r="BZ28" s="293">
        <f t="shared" si="23"/>
        <v>-11.312000000000001</v>
      </c>
      <c r="CA28" s="293">
        <f t="shared" si="23"/>
        <v>-11.312000000000001</v>
      </c>
      <c r="CB28" s="293">
        <f t="shared" si="23"/>
        <v>-11.312000000000001</v>
      </c>
      <c r="CC28" s="293">
        <f t="shared" si="23"/>
        <v>-11.311999999999998</v>
      </c>
      <c r="CD28" s="293">
        <f>CD24-CD25-CD26</f>
        <v>-45.248000000000005</v>
      </c>
      <c r="CI28" s="293">
        <f>CI24-CI25-CI26</f>
        <v>-49.664999999999999</v>
      </c>
      <c r="CN28" s="293">
        <f>CN24-CN25-CN26</f>
        <v>-52.148250000000004</v>
      </c>
      <c r="CS28" s="293">
        <f>CS24-CS25-CS26</f>
        <v>-53.451956250000002</v>
      </c>
      <c r="CX28" s="293">
        <f>CX24-CX25-CX26</f>
        <v>-54.788255156249996</v>
      </c>
      <c r="DC28" s="293">
        <f>DC24-DC25-DC26</f>
        <v>-56.15796153515624</v>
      </c>
      <c r="DH28" s="293">
        <f>DH24-DH25-DH26</f>
        <v>-57.561910573535144</v>
      </c>
      <c r="DM28" s="293">
        <f>DM24-DM25-DM26</f>
        <v>-59.00095833787352</v>
      </c>
      <c r="DR28" s="293">
        <f>DR24-DR25-DR26</f>
        <v>-60.475982296320353</v>
      </c>
      <c r="DW28" s="293">
        <f>DW24-DW25-DW26</f>
        <v>-61.987881853728354</v>
      </c>
      <c r="EB28" s="293">
        <f>EB24-EB25-EB26</f>
        <v>-63.537578900071559</v>
      </c>
      <c r="EG28" s="293">
        <f>EG24-EG25-EG26</f>
        <v>-65.126018372573341</v>
      </c>
      <c r="EL28" s="293">
        <f>EL24-EL25-EL26</f>
        <v>-66.754168831887668</v>
      </c>
    </row>
    <row r="29" spans="2:142">
      <c r="B29" s="9" t="s">
        <v>905</v>
      </c>
      <c r="BP29" s="1">
        <v>0</v>
      </c>
      <c r="BQ29" s="1">
        <v>0</v>
      </c>
      <c r="BR29" s="1">
        <v>-2.7</v>
      </c>
      <c r="BS29" s="66">
        <f>-4.9-BR29</f>
        <v>-2.2000000000000002</v>
      </c>
      <c r="BT29" s="66">
        <f t="shared" ref="BT29:BY29" si="24">BT28*0.5</f>
        <v>-4.8999999999999995</v>
      </c>
      <c r="BU29" s="66">
        <f t="shared" si="24"/>
        <v>-2.5000000000003908E-3</v>
      </c>
      <c r="BV29" s="510">
        <v>1.3</v>
      </c>
      <c r="BW29" s="510">
        <v>0.7</v>
      </c>
      <c r="BX29" s="66">
        <f t="shared" si="24"/>
        <v>-0.59999999999999876</v>
      </c>
      <c r="BY29" s="66">
        <f t="shared" si="24"/>
        <v>1.3975000000000009</v>
      </c>
      <c r="BZ29" s="66"/>
      <c r="CA29" s="66"/>
      <c r="CB29" s="66"/>
      <c r="CC29" s="66"/>
      <c r="CD29" s="66"/>
      <c r="CI29" s="66"/>
      <c r="CN29" s="66"/>
      <c r="CS29" s="66"/>
      <c r="CX29" s="66"/>
      <c r="DC29" s="66"/>
      <c r="DH29" s="66"/>
      <c r="DM29" s="66"/>
      <c r="DR29" s="66"/>
      <c r="DW29" s="66"/>
      <c r="EB29" s="66"/>
      <c r="EG29" s="66"/>
      <c r="EL29" s="66"/>
    </row>
    <row r="32" spans="2:142">
      <c r="BS32" s="293"/>
    </row>
    <row r="35" spans="2:142">
      <c r="BT35" s="293"/>
    </row>
    <row r="47" spans="2:142">
      <c r="B47" s="503" t="s">
        <v>904</v>
      </c>
      <c r="C47" s="145"/>
      <c r="D47" s="145"/>
      <c r="E47" s="145"/>
      <c r="F47" s="145"/>
      <c r="G47" s="64"/>
      <c r="H47" s="146"/>
      <c r="I47" s="146"/>
      <c r="J47" s="146"/>
      <c r="K47" s="146"/>
      <c r="L47" s="64"/>
      <c r="M47" s="146"/>
      <c r="N47" s="146"/>
      <c r="O47" s="146"/>
      <c r="P47" s="146"/>
      <c r="Q47" s="64"/>
      <c r="R47" s="146"/>
      <c r="S47" s="146"/>
      <c r="T47" s="146"/>
      <c r="U47" s="146"/>
      <c r="V47" s="64"/>
      <c r="W47" s="146"/>
      <c r="X47" s="146"/>
      <c r="Y47" s="146"/>
      <c r="Z47" s="146"/>
      <c r="AA47" s="64"/>
      <c r="AB47" s="146"/>
      <c r="AC47" s="146"/>
      <c r="AD47" s="146"/>
      <c r="AE47" s="146"/>
      <c r="AF47" s="64"/>
      <c r="AG47" s="146"/>
      <c r="AH47" s="146"/>
      <c r="AI47" s="146"/>
      <c r="AJ47" s="146"/>
      <c r="AK47" s="64"/>
      <c r="AL47" s="146"/>
      <c r="AM47" s="146"/>
      <c r="AN47" s="146"/>
      <c r="AO47" s="146"/>
      <c r="AP47" s="64"/>
      <c r="AQ47" s="146"/>
      <c r="AR47" s="146"/>
      <c r="AS47" s="146"/>
      <c r="AT47" s="146"/>
      <c r="AU47" s="64"/>
      <c r="AV47" s="255"/>
      <c r="AW47" s="255"/>
      <c r="AX47" s="255"/>
      <c r="AY47" s="255"/>
      <c r="AZ47" s="64"/>
      <c r="BA47" s="255"/>
      <c r="BB47" s="255"/>
      <c r="BC47" s="255"/>
      <c r="BD47" s="255"/>
      <c r="BE47" s="64"/>
      <c r="BF47" s="255"/>
      <c r="BG47" s="255"/>
      <c r="BH47" s="255"/>
      <c r="BI47" s="255"/>
      <c r="BJ47" s="101"/>
      <c r="BK47" s="255"/>
      <c r="BL47" s="255"/>
      <c r="BM47" s="255"/>
      <c r="BN47" s="255"/>
      <c r="BO47" s="101"/>
      <c r="BP47" s="255"/>
      <c r="BQ47" s="255"/>
      <c r="BR47" s="256">
        <f>REVS!BR18</f>
        <v>1.9</v>
      </c>
      <c r="BS47" s="255">
        <f>REVS!BS18</f>
        <v>5.9</v>
      </c>
      <c r="BT47" s="101">
        <f>REVS!BT18</f>
        <v>7.8000000000000007</v>
      </c>
      <c r="BU47" s="255">
        <f>REVS!BU18</f>
        <v>10.7</v>
      </c>
      <c r="BV47" s="255">
        <f>REVS!BV18</f>
        <v>16.100000000000001</v>
      </c>
      <c r="BW47" s="255">
        <f>REVS!BW18</f>
        <v>14.2</v>
      </c>
      <c r="BX47" s="255">
        <f>REVS!BX18</f>
        <v>11.7</v>
      </c>
      <c r="BY47" s="101">
        <f>REVS!BY18</f>
        <v>52.7</v>
      </c>
      <c r="BZ47" s="255">
        <f>REVS!BZ18</f>
        <v>1.4</v>
      </c>
      <c r="CA47" s="255">
        <f>REVS!CA18</f>
        <v>0</v>
      </c>
      <c r="CB47" s="255">
        <f>REVS!CB18</f>
        <v>0</v>
      </c>
      <c r="CC47" s="255">
        <f>REVS!CC18</f>
        <v>0</v>
      </c>
      <c r="CD47" s="101">
        <f>REVS!CD18</f>
        <v>1.4</v>
      </c>
      <c r="CE47" s="255">
        <f>REVS!CE18</f>
        <v>0</v>
      </c>
      <c r="CF47" s="255">
        <f>REVS!CF18</f>
        <v>0</v>
      </c>
      <c r="CG47" s="255">
        <f>REVS!CG18</f>
        <v>0</v>
      </c>
      <c r="CH47" s="255">
        <f>REVS!CH18</f>
        <v>0</v>
      </c>
      <c r="CI47" s="101">
        <f>REVS!CI18</f>
        <v>0</v>
      </c>
      <c r="CJ47" s="255">
        <f>REVS!CJ18</f>
        <v>0</v>
      </c>
      <c r="CK47" s="255">
        <f>REVS!CK18</f>
        <v>0</v>
      </c>
      <c r="CL47" s="255">
        <f>REVS!CL18</f>
        <v>0</v>
      </c>
      <c r="CM47" s="255">
        <f>REVS!CM18</f>
        <v>0</v>
      </c>
      <c r="CN47" s="101">
        <f>REVS!CN18</f>
        <v>0</v>
      </c>
      <c r="CO47" s="255">
        <f>REVS!CO18</f>
        <v>0</v>
      </c>
      <c r="CP47" s="255">
        <f>REVS!CP18</f>
        <v>0</v>
      </c>
      <c r="CQ47" s="255">
        <f>REVS!CQ18</f>
        <v>0</v>
      </c>
      <c r="CR47" s="255">
        <f>REVS!CR18</f>
        <v>0</v>
      </c>
      <c r="CS47" s="101">
        <f>REVS!CS18</f>
        <v>0</v>
      </c>
      <c r="CT47" s="255">
        <f>REVS!CT18</f>
        <v>0</v>
      </c>
      <c r="CU47" s="255">
        <f>REVS!CU18</f>
        <v>0</v>
      </c>
      <c r="CV47" s="255">
        <f>REVS!CV18</f>
        <v>0</v>
      </c>
      <c r="CW47" s="255">
        <f>REVS!CW18</f>
        <v>0</v>
      </c>
      <c r="CX47" s="101">
        <f>REVS!CX18</f>
        <v>0</v>
      </c>
      <c r="CY47" s="255">
        <f>REVS!CY18</f>
        <v>0</v>
      </c>
      <c r="CZ47" s="255">
        <f>REVS!CZ18</f>
        <v>0</v>
      </c>
      <c r="DA47" s="255">
        <f>REVS!DA18</f>
        <v>0</v>
      </c>
      <c r="DB47" s="255">
        <f>REVS!DB18</f>
        <v>0</v>
      </c>
      <c r="DC47" s="101">
        <f>REVS!DC18</f>
        <v>0</v>
      </c>
      <c r="DD47" s="255">
        <f>REVS!DD18</f>
        <v>0</v>
      </c>
      <c r="DE47" s="255">
        <f>REVS!DE18</f>
        <v>0</v>
      </c>
      <c r="DF47" s="255">
        <f>REVS!DF18</f>
        <v>0</v>
      </c>
      <c r="DG47" s="255">
        <f>REVS!DG18</f>
        <v>0</v>
      </c>
      <c r="DH47" s="101">
        <f>REVS!DH18</f>
        <v>0</v>
      </c>
      <c r="DI47" s="255">
        <f>REVS!DI18</f>
        <v>0</v>
      </c>
      <c r="DJ47" s="255">
        <f>REVS!DJ18</f>
        <v>0</v>
      </c>
      <c r="DK47" s="255">
        <f>REVS!DK18</f>
        <v>0</v>
      </c>
      <c r="DL47" s="255">
        <f>REVS!DL18</f>
        <v>0</v>
      </c>
      <c r="DM47" s="101">
        <f>REVS!DM18</f>
        <v>0</v>
      </c>
      <c r="DN47" s="255">
        <f>REVS!DN18</f>
        <v>0</v>
      </c>
      <c r="DO47" s="255">
        <f>REVS!DO18</f>
        <v>0</v>
      </c>
      <c r="DP47" s="255">
        <f>REVS!DP18</f>
        <v>0</v>
      </c>
      <c r="DQ47" s="255">
        <f>REVS!DQ18</f>
        <v>0</v>
      </c>
      <c r="DR47" s="101">
        <f>REVS!DR18</f>
        <v>0</v>
      </c>
      <c r="DS47" s="255">
        <f>REVS!DS18</f>
        <v>0</v>
      </c>
      <c r="DT47" s="255">
        <f>REVS!DT18</f>
        <v>0</v>
      </c>
      <c r="DU47" s="255">
        <f>REVS!DU18</f>
        <v>0</v>
      </c>
      <c r="DV47" s="255">
        <f>REVS!DV18</f>
        <v>0</v>
      </c>
      <c r="DW47" s="101">
        <f>REVS!DW18</f>
        <v>0</v>
      </c>
      <c r="DX47" s="255">
        <f>REVS!DX18</f>
        <v>0</v>
      </c>
      <c r="DY47" s="255">
        <f>REVS!DY18</f>
        <v>0</v>
      </c>
      <c r="DZ47" s="255">
        <f>REVS!DZ18</f>
        <v>0</v>
      </c>
      <c r="EA47" s="255">
        <f>REVS!EA18</f>
        <v>0</v>
      </c>
      <c r="EB47" s="101">
        <f>REVS!EB18</f>
        <v>0</v>
      </c>
      <c r="EC47" s="255">
        <f>REVS!EC18</f>
        <v>0</v>
      </c>
      <c r="ED47" s="255">
        <f>REVS!ED18</f>
        <v>0</v>
      </c>
      <c r="EE47" s="255">
        <f>REVS!EE18</f>
        <v>0</v>
      </c>
      <c r="EF47" s="255">
        <f>REVS!EF18</f>
        <v>0</v>
      </c>
      <c r="EG47" s="101">
        <f>REVS!EG18</f>
        <v>0</v>
      </c>
      <c r="EH47" s="255">
        <f>REVS!EH18</f>
        <v>0</v>
      </c>
      <c r="EI47" s="255">
        <f>REVS!EI18</f>
        <v>0</v>
      </c>
      <c r="EJ47" s="255">
        <f>REVS!EJ18</f>
        <v>0</v>
      </c>
      <c r="EK47" s="255">
        <f>REVS!EK18</f>
        <v>0</v>
      </c>
      <c r="EL47" s="101">
        <f>REVS!EL18</f>
        <v>0</v>
      </c>
    </row>
  </sheetData>
  <mergeCells count="28">
    <mergeCell ref="AB2:AF2"/>
    <mergeCell ref="C2:G2"/>
    <mergeCell ref="H2:L2"/>
    <mergeCell ref="M2:Q2"/>
    <mergeCell ref="R2:V2"/>
    <mergeCell ref="W2:AA2"/>
    <mergeCell ref="CJ2:CN2"/>
    <mergeCell ref="AG2:AK2"/>
    <mergeCell ref="AL2:AP2"/>
    <mergeCell ref="AQ2:AU2"/>
    <mergeCell ref="AV2:AZ2"/>
    <mergeCell ref="BA2:BE2"/>
    <mergeCell ref="BF2:BJ2"/>
    <mergeCell ref="BK2:BO2"/>
    <mergeCell ref="BP2:BT2"/>
    <mergeCell ref="BU2:BY2"/>
    <mergeCell ref="BZ2:CD2"/>
    <mergeCell ref="CE2:CI2"/>
    <mergeCell ref="DS2:DW2"/>
    <mergeCell ref="DX2:EB2"/>
    <mergeCell ref="EC2:EG2"/>
    <mergeCell ref="EH2:EL2"/>
    <mergeCell ref="CO2:CS2"/>
    <mergeCell ref="CT2:CX2"/>
    <mergeCell ref="CY2:DC2"/>
    <mergeCell ref="DD2:DH2"/>
    <mergeCell ref="DI2:DM2"/>
    <mergeCell ref="DN2:DR2"/>
  </mergeCells>
  <pageMargins left="0" right="0" top="0" bottom="0" header="0" footer="0"/>
  <pageSetup paperSize="5" scale="51"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M185"/>
  <sheetViews>
    <sheetView showGridLines="0" zoomScaleNormal="100" workbookViewId="0">
      <pane xSplit="2" ySplit="1" topLeftCell="P2" activePane="bottomRight" state="frozen"/>
      <selection pane="topRight" activeCell="C1" sqref="C1"/>
      <selection pane="bottomLeft" activeCell="A7" sqref="A7"/>
      <selection pane="bottomRight" activeCell="B1" sqref="B1:AD40"/>
    </sheetView>
  </sheetViews>
  <sheetFormatPr defaultRowHeight="15" outlineLevelRow="1" outlineLevelCol="1"/>
  <cols>
    <col min="1" max="1" width="2.140625" style="1" customWidth="1"/>
    <col min="2" max="2" width="45.7109375" style="1" bestFit="1" customWidth="1"/>
    <col min="3" max="8" width="8.7109375" style="1" hidden="1" customWidth="1" outlineLevel="1"/>
    <col min="9" max="9" width="8.7109375" style="1" hidden="1" customWidth="1" outlineLevel="1" collapsed="1"/>
    <col min="10" max="11" width="8.7109375" style="1" hidden="1" customWidth="1" outlineLevel="1"/>
    <col min="12" max="12" width="9.140625" style="1" hidden="1" customWidth="1" outlineLevel="1"/>
    <col min="13" max="13" width="9.28515625" style="1" hidden="1" customWidth="1" outlineLevel="1"/>
    <col min="14" max="14" width="10.42578125" style="1" hidden="1" customWidth="1" outlineLevel="1"/>
    <col min="15" max="15" width="8.7109375" style="1" hidden="1" customWidth="1" outlineLevel="1"/>
    <col min="16" max="16" width="8.7109375" style="1" hidden="1" customWidth="1" outlineLevel="1" collapsed="1"/>
    <col min="17" max="17" width="9.140625" style="1" collapsed="1"/>
    <col min="18" max="30" width="9.140625" style="1" customWidth="1"/>
    <col min="31" max="33" width="9.140625" style="1"/>
    <col min="34" max="34" width="18.85546875" customWidth="1"/>
    <col min="40" max="16384" width="9.140625" style="1"/>
  </cols>
  <sheetData>
    <row r="1" spans="2:39">
      <c r="C1" s="62" t="s">
        <v>0</v>
      </c>
      <c r="D1" s="62" t="s">
        <v>1</v>
      </c>
      <c r="E1" s="62" t="s">
        <v>2</v>
      </c>
      <c r="F1" s="62" t="s">
        <v>3</v>
      </c>
      <c r="G1" s="62" t="s">
        <v>4</v>
      </c>
      <c r="H1" s="62" t="s">
        <v>5</v>
      </c>
      <c r="I1" s="62">
        <v>2009</v>
      </c>
      <c r="J1" s="62">
        <v>2010</v>
      </c>
      <c r="K1" s="62">
        <v>2011</v>
      </c>
      <c r="L1" s="62">
        <v>2012</v>
      </c>
      <c r="M1" s="62">
        <v>2013</v>
      </c>
      <c r="N1" s="62">
        <v>2014</v>
      </c>
      <c r="O1" s="62">
        <v>2015</v>
      </c>
      <c r="P1" s="62">
        <v>2016</v>
      </c>
      <c r="Q1" s="62">
        <v>2017</v>
      </c>
      <c r="R1" s="62" t="s">
        <v>506</v>
      </c>
      <c r="S1" s="62" t="s">
        <v>511</v>
      </c>
      <c r="T1" s="62" t="s">
        <v>516</v>
      </c>
      <c r="U1" s="394" t="s">
        <v>654</v>
      </c>
      <c r="V1" s="394" t="s">
        <v>655</v>
      </c>
      <c r="W1" s="394" t="s">
        <v>656</v>
      </c>
      <c r="X1" s="394" t="s">
        <v>657</v>
      </c>
      <c r="Y1" s="394" t="s">
        <v>658</v>
      </c>
      <c r="Z1" s="394" t="s">
        <v>659</v>
      </c>
      <c r="AA1" s="394" t="s">
        <v>660</v>
      </c>
      <c r="AB1" s="394" t="s">
        <v>661</v>
      </c>
      <c r="AC1" s="394" t="s">
        <v>662</v>
      </c>
      <c r="AD1" s="394" t="s">
        <v>663</v>
      </c>
    </row>
    <row r="2" spans="2:39" s="64" customFormat="1">
      <c r="B2" s="105"/>
      <c r="AH2"/>
      <c r="AI2"/>
      <c r="AJ2"/>
      <c r="AK2"/>
      <c r="AL2"/>
      <c r="AM2"/>
    </row>
    <row r="3" spans="2:39" s="64" customFormat="1">
      <c r="B3" s="104" t="s">
        <v>326</v>
      </c>
      <c r="C3" s="64">
        <v>314.85000000000002</v>
      </c>
      <c r="D3" s="64">
        <v>209.447</v>
      </c>
      <c r="E3" s="64">
        <v>568.16800000000001</v>
      </c>
      <c r="F3" s="64">
        <v>661.37699999999995</v>
      </c>
      <c r="G3" s="64">
        <v>659.66200000000003</v>
      </c>
      <c r="H3" s="64">
        <v>622.38499999999999</v>
      </c>
      <c r="I3" s="64">
        <v>581.88900000000001</v>
      </c>
      <c r="J3" s="64">
        <v>759.59799999999996</v>
      </c>
      <c r="K3" s="64">
        <v>514.54200000000003</v>
      </c>
      <c r="L3" s="64">
        <v>570.721</v>
      </c>
      <c r="M3" s="280">
        <v>602.56200000000001</v>
      </c>
      <c r="N3" s="280">
        <v>1204.924</v>
      </c>
      <c r="O3" s="280">
        <v>1308</v>
      </c>
      <c r="P3" s="536">
        <v>2326.5</v>
      </c>
      <c r="Q3" s="64">
        <v>1573.8</v>
      </c>
      <c r="R3" s="64">
        <f>CF!R46</f>
        <v>1841.7909787494714</v>
      </c>
      <c r="S3" s="64">
        <f>CF!S46</f>
        <v>3899.4252535552346</v>
      </c>
      <c r="T3" s="64">
        <f>CF!T46</f>
        <v>5038.552367866323</v>
      </c>
      <c r="U3" s="64">
        <f>CF!U46</f>
        <v>7799.7721299572559</v>
      </c>
      <c r="V3" s="64">
        <f>CF!V46</f>
        <v>9694.0476000658564</v>
      </c>
      <c r="W3" s="64">
        <f>CF!W46</f>
        <v>12649.491942833367</v>
      </c>
      <c r="X3" s="64">
        <f>CF!X46</f>
        <v>15682.17773032259</v>
      </c>
      <c r="Y3" s="64">
        <f>CF!Y46</f>
        <v>16899.351066928091</v>
      </c>
      <c r="Z3" s="64">
        <f>CF!Z46</f>
        <v>19585.229254830941</v>
      </c>
      <c r="AA3" s="64">
        <f>CF!AA46</f>
        <v>21871.401675172328</v>
      </c>
      <c r="AB3" s="64">
        <f>CF!AB46</f>
        <v>23904.457813394158</v>
      </c>
      <c r="AC3" s="64">
        <f>CF!AC46</f>
        <v>25906.126971182384</v>
      </c>
      <c r="AD3" s="64">
        <f>CF!AD46</f>
        <v>27936.974383896977</v>
      </c>
      <c r="AH3"/>
      <c r="AI3"/>
      <c r="AJ3"/>
      <c r="AK3"/>
      <c r="AL3"/>
      <c r="AM3"/>
    </row>
    <row r="4" spans="2:39" s="64" customFormat="1">
      <c r="B4" s="104" t="s">
        <v>327</v>
      </c>
      <c r="C4" s="64">
        <v>521.10900000000004</v>
      </c>
      <c r="D4" s="64">
        <v>848.495</v>
      </c>
      <c r="E4" s="64">
        <v>282.58499999999998</v>
      </c>
      <c r="F4" s="64">
        <v>241.31399999999999</v>
      </c>
      <c r="G4" s="64">
        <v>319.40800000000002</v>
      </c>
      <c r="H4" s="64">
        <v>719.58600000000001</v>
      </c>
      <c r="I4" s="64">
        <v>681.83500000000004</v>
      </c>
      <c r="J4" s="64">
        <v>448.14600000000002</v>
      </c>
      <c r="K4" s="64">
        <v>1176.115</v>
      </c>
      <c r="L4" s="64">
        <v>1134.989</v>
      </c>
      <c r="M4" s="280">
        <v>620.16700000000003</v>
      </c>
      <c r="N4" s="280">
        <v>640.46</v>
      </c>
      <c r="O4" s="280">
        <v>2120.5</v>
      </c>
      <c r="P4" s="536">
        <v>2568.6</v>
      </c>
      <c r="Q4" s="64">
        <v>2115.1999999999998</v>
      </c>
      <c r="R4" s="64">
        <f>+Q4-0.25*CF!R25</f>
        <v>2170.2665221037391</v>
      </c>
      <c r="S4" s="64">
        <f>+R4-0.25*CF!S25</f>
        <v>2242.3761969099573</v>
      </c>
      <c r="T4" s="64">
        <f>+S4-0.25*CF!T25</f>
        <v>2322.2272539750052</v>
      </c>
      <c r="U4" s="64">
        <f>+T4-0.25*CF!U25</f>
        <v>2406.1350186481977</v>
      </c>
      <c r="V4" s="64">
        <f>+U4-0.25*CF!V25</f>
        <v>2493.720062302878</v>
      </c>
      <c r="W4" s="64">
        <f>+V4-0.25*CF!W25</f>
        <v>2583.3660689371791</v>
      </c>
      <c r="X4" s="64">
        <f>+W4-0.25*CF!X25</f>
        <v>2675.3342397728393</v>
      </c>
      <c r="Y4" s="64">
        <f>+X4-0.25*CF!Y25</f>
        <v>2764.8159291882184</v>
      </c>
      <c r="Z4" s="64">
        <f>+Y4-0.25*CF!Z25</f>
        <v>2846.4570344020894</v>
      </c>
      <c r="AA4" s="64">
        <f>+Z4-0.25*CF!AA25</f>
        <v>2916.2322178347872</v>
      </c>
      <c r="AB4" s="64">
        <f>+AA4-0.25*CF!AB25</f>
        <v>2978.8355679367537</v>
      </c>
      <c r="AC4" s="64">
        <f>+AB4-0.25*CF!AC25</f>
        <v>3040.4996678425155</v>
      </c>
      <c r="AD4" s="64">
        <f>+AC4-0.25*CF!AD25</f>
        <v>3103.0460519000558</v>
      </c>
      <c r="AH4"/>
      <c r="AI4"/>
      <c r="AJ4"/>
      <c r="AK4"/>
      <c r="AL4"/>
      <c r="AM4"/>
    </row>
    <row r="5" spans="2:39" s="64" customFormat="1">
      <c r="B5" s="104" t="s">
        <v>264</v>
      </c>
      <c r="C5" s="64">
        <v>198.524</v>
      </c>
      <c r="D5" s="64">
        <v>278.637</v>
      </c>
      <c r="E5" s="64">
        <v>280.512</v>
      </c>
      <c r="F5" s="64">
        <v>317.35300000000001</v>
      </c>
      <c r="G5" s="64">
        <v>392.64600000000002</v>
      </c>
      <c r="H5" s="64">
        <v>446.66500000000002</v>
      </c>
      <c r="I5" s="64">
        <v>551.20799999999997</v>
      </c>
      <c r="J5" s="64">
        <v>605.32899999999995</v>
      </c>
      <c r="K5" s="64">
        <v>584.60299999999995</v>
      </c>
      <c r="L5" s="64">
        <v>686.84799999999996</v>
      </c>
      <c r="M5" s="280">
        <v>824.40599999999995</v>
      </c>
      <c r="N5" s="280">
        <v>1292.4449999999999</v>
      </c>
      <c r="O5" s="280">
        <v>1227</v>
      </c>
      <c r="P5" s="536">
        <v>1441.6</v>
      </c>
      <c r="Q5" s="64">
        <v>1787</v>
      </c>
      <c r="R5" s="64">
        <f t="shared" ref="R5:AD5" si="0">R61</f>
        <v>1620.3966091996433</v>
      </c>
      <c r="S5" s="64">
        <f t="shared" si="0"/>
        <v>1689.4290621163407</v>
      </c>
      <c r="T5" s="64">
        <f t="shared" si="0"/>
        <v>1773.767388540042</v>
      </c>
      <c r="U5" s="64">
        <f t="shared" si="0"/>
        <v>1839.3331313495175</v>
      </c>
      <c r="V5" s="64">
        <f t="shared" si="0"/>
        <v>1882.7632619155372</v>
      </c>
      <c r="W5" s="64">
        <f t="shared" si="0"/>
        <v>1926.898468158292</v>
      </c>
      <c r="X5" s="64">
        <f t="shared" si="0"/>
        <v>1971.9600191477061</v>
      </c>
      <c r="Y5" s="64">
        <f t="shared" si="0"/>
        <v>1909.5698040372984</v>
      </c>
      <c r="Z5" s="64">
        <f t="shared" si="0"/>
        <v>1794.9684389908018</v>
      </c>
      <c r="AA5" s="64">
        <f t="shared" si="0"/>
        <v>1600.2495040914202</v>
      </c>
      <c r="AB5" s="64">
        <f t="shared" si="0"/>
        <v>1564.3098282395783</v>
      </c>
      <c r="AC5" s="64">
        <f t="shared" si="0"/>
        <v>1547.1115118147027</v>
      </c>
      <c r="AD5" s="64">
        <f t="shared" si="0"/>
        <v>1565.4295348683122</v>
      </c>
      <c r="AH5"/>
      <c r="AI5"/>
      <c r="AJ5"/>
      <c r="AK5"/>
      <c r="AL5"/>
      <c r="AM5"/>
    </row>
    <row r="6" spans="2:39" s="64" customFormat="1">
      <c r="B6" s="104" t="s">
        <v>265</v>
      </c>
      <c r="C6" s="64">
        <v>496.34899999999999</v>
      </c>
      <c r="D6" s="64">
        <v>251.01599999999999</v>
      </c>
      <c r="E6" s="64">
        <v>182.815</v>
      </c>
      <c r="F6" s="64">
        <v>169.102</v>
      </c>
      <c r="G6" s="64">
        <v>233.98699999999999</v>
      </c>
      <c r="H6" s="64">
        <v>263.60199999999998</v>
      </c>
      <c r="I6" s="64">
        <v>293.95</v>
      </c>
      <c r="J6" s="64">
        <v>289.06599999999997</v>
      </c>
      <c r="K6" s="64">
        <v>326.84300000000002</v>
      </c>
      <c r="L6" s="64">
        <v>447.37299999999999</v>
      </c>
      <c r="M6" s="280">
        <v>659.00300000000004</v>
      </c>
      <c r="N6" s="280">
        <v>804.02200000000005</v>
      </c>
      <c r="O6" s="280">
        <v>893.4</v>
      </c>
      <c r="P6" s="536">
        <v>1001.6</v>
      </c>
      <c r="Q6" s="64">
        <v>902.7</v>
      </c>
      <c r="R6" s="64">
        <f t="shared" ref="R6:AD6" si="1">R63</f>
        <v>1147.5538991878896</v>
      </c>
      <c r="S6" s="64">
        <f t="shared" si="1"/>
        <v>1184.7966177101773</v>
      </c>
      <c r="T6" s="64">
        <f t="shared" si="1"/>
        <v>1275.2266342626192</v>
      </c>
      <c r="U6" s="64">
        <f t="shared" si="1"/>
        <v>1328.5522427987282</v>
      </c>
      <c r="V6" s="64">
        <f t="shared" si="1"/>
        <v>1382.7618880475964</v>
      </c>
      <c r="W6" s="64">
        <f t="shared" si="1"/>
        <v>1436.4116611632185</v>
      </c>
      <c r="X6" s="64">
        <f t="shared" si="1"/>
        <v>1492.2934351071485</v>
      </c>
      <c r="Y6" s="64">
        <f t="shared" si="1"/>
        <v>1504.1654060893304</v>
      </c>
      <c r="Z6" s="64">
        <f t="shared" si="1"/>
        <v>1491.558375685612</v>
      </c>
      <c r="AA6" s="64">
        <f t="shared" si="1"/>
        <v>1420.9453052171177</v>
      </c>
      <c r="AB6" s="64">
        <f t="shared" si="1"/>
        <v>1444.085144028021</v>
      </c>
      <c r="AC6" s="64">
        <f t="shared" si="1"/>
        <v>1448.6400951495407</v>
      </c>
      <c r="AD6" s="64">
        <f t="shared" si="1"/>
        <v>1470.5447709247787</v>
      </c>
      <c r="AH6"/>
      <c r="AI6"/>
      <c r="AJ6"/>
      <c r="AK6"/>
      <c r="AL6"/>
      <c r="AM6"/>
    </row>
    <row r="7" spans="2:39" s="64" customFormat="1">
      <c r="B7" s="104" t="s">
        <v>328</v>
      </c>
      <c r="C7" s="64">
        <v>117.342</v>
      </c>
      <c r="D7" s="64">
        <v>137.45099999999999</v>
      </c>
      <c r="E7" s="64">
        <v>141.059</v>
      </c>
      <c r="F7" s="64">
        <v>168.708</v>
      </c>
      <c r="G7" s="64">
        <v>166.68600000000001</v>
      </c>
      <c r="H7" s="64">
        <v>206.92500000000001</v>
      </c>
      <c r="I7" s="64">
        <v>193.78899999999999</v>
      </c>
      <c r="J7" s="64">
        <v>222.459</v>
      </c>
      <c r="K7" s="64">
        <v>228.72399999999999</v>
      </c>
      <c r="L7" s="64">
        <v>268.39499999999998</v>
      </c>
      <c r="M7" s="280">
        <v>252.66200000000001</v>
      </c>
      <c r="N7" s="280">
        <v>283.36</v>
      </c>
      <c r="O7" s="280">
        <v>314.5</v>
      </c>
      <c r="P7" s="536">
        <v>300.60000000000002</v>
      </c>
      <c r="Q7" s="64">
        <v>532.6</v>
      </c>
      <c r="R7" s="64">
        <f>Q7*(1+('Roche Royalty Model'!CD4/'Roche Royalty Model'!BY4-1))</f>
        <v>560.98862174807766</v>
      </c>
      <c r="S7" s="64">
        <f>R7*(1+('Roche Royalty Model'!CI4/'Roche Royalty Model'!CD4-1))</f>
        <v>617.97395386896267</v>
      </c>
      <c r="T7" s="64">
        <f>S7*(1+('Roche Royalty Model'!CN4/'Roche Royalty Model'!CI4-1))</f>
        <v>683.63316177393313</v>
      </c>
      <c r="U7" s="64">
        <f>T7*(1+('Roche Royalty Model'!CS4/'Roche Royalty Model'!CN4-1))</f>
        <v>736.70012601297356</v>
      </c>
      <c r="V7" s="64">
        <f>U7*(1+('Roche Royalty Model'!CX4/'Roche Royalty Model'!CS4-1))</f>
        <v>746.1295774167296</v>
      </c>
      <c r="W7" s="64">
        <f>V7*(1+('Roche Royalty Model'!DC4/'Roche Royalty Model'!CX4-1))</f>
        <v>758.49086804475337</v>
      </c>
      <c r="X7" s="64">
        <f>W7*(1+('Roche Royalty Model'!DH4/'Roche Royalty Model'!DC4-1))</f>
        <v>762.950376334623</v>
      </c>
      <c r="Y7" s="64">
        <f>X7*(1+('Roche Royalty Model'!DM4/'Roche Royalty Model'!DH4-1))</f>
        <v>757.54934970669888</v>
      </c>
      <c r="Z7" s="64">
        <f>Y7*(1+('Roche Royalty Model'!DR4/'Roche Royalty Model'!DM4-1))</f>
        <v>766.64046654142703</v>
      </c>
      <c r="AA7" s="64">
        <f>Z7*(1+('Roche Royalty Model'!DW4/'Roche Royalty Model'!DR4-1))</f>
        <v>783.96674508742672</v>
      </c>
      <c r="AB7" s="64">
        <f>AA7*(1+('Roche Royalty Model'!EB4/'Roche Royalty Model'!DW4-1))</f>
        <v>798.41112598570874</v>
      </c>
      <c r="AC7" s="64">
        <f>AB7*(1+('Roche Royalty Model'!EG4/'Roche Royalty Model'!EB4-1))</f>
        <v>812.6019375931312</v>
      </c>
      <c r="AD7" s="64">
        <f>AC7*(1+('Roche Royalty Model'!EL4/'Roche Royalty Model'!EG4-1))</f>
        <v>826.52653474601721</v>
      </c>
      <c r="AH7"/>
      <c r="AI7"/>
      <c r="AJ7"/>
      <c r="AK7"/>
      <c r="AL7"/>
      <c r="AM7"/>
    </row>
    <row r="8" spans="2:39" s="64" customFormat="1" hidden="1">
      <c r="B8" s="104" t="s">
        <v>329</v>
      </c>
      <c r="C8" s="64">
        <v>123.94499999999999</v>
      </c>
      <c r="D8" s="64">
        <v>86.88</v>
      </c>
      <c r="E8" s="64">
        <v>41.241999999999997</v>
      </c>
      <c r="F8" s="64">
        <v>47.2</v>
      </c>
      <c r="G8" s="64">
        <v>96.4</v>
      </c>
      <c r="H8" s="64">
        <v>70.8</v>
      </c>
      <c r="I8" s="64">
        <v>88.8</v>
      </c>
      <c r="J8" s="64">
        <v>112.2</v>
      </c>
      <c r="K8" s="64">
        <v>0</v>
      </c>
      <c r="L8" s="64">
        <v>0</v>
      </c>
      <c r="M8" s="280">
        <v>0</v>
      </c>
      <c r="N8" s="280">
        <v>0</v>
      </c>
      <c r="O8" s="280">
        <v>0</v>
      </c>
      <c r="P8" s="536">
        <v>0</v>
      </c>
      <c r="Q8" s="64">
        <v>0</v>
      </c>
      <c r="R8" s="64">
        <v>0</v>
      </c>
      <c r="S8" s="64">
        <v>0</v>
      </c>
      <c r="T8" s="64">
        <v>0</v>
      </c>
      <c r="U8" s="64">
        <v>0</v>
      </c>
      <c r="V8" s="64">
        <v>0</v>
      </c>
      <c r="W8" s="64">
        <v>0</v>
      </c>
      <c r="X8" s="64">
        <v>0</v>
      </c>
      <c r="Y8" s="64">
        <v>0</v>
      </c>
      <c r="Z8" s="64">
        <v>0</v>
      </c>
      <c r="AA8" s="64">
        <v>0</v>
      </c>
      <c r="AB8" s="64">
        <v>0</v>
      </c>
      <c r="AC8" s="64">
        <v>0</v>
      </c>
      <c r="AD8" s="64">
        <v>0</v>
      </c>
      <c r="AH8"/>
      <c r="AI8"/>
      <c r="AJ8"/>
      <c r="AK8"/>
      <c r="AL8"/>
      <c r="AM8"/>
    </row>
    <row r="9" spans="2:39" s="64" customFormat="1">
      <c r="B9" s="104" t="s">
        <v>75</v>
      </c>
      <c r="C9" s="64">
        <v>66.545000000000002</v>
      </c>
      <c r="D9" s="64">
        <v>119.11799999999999</v>
      </c>
      <c r="E9" s="64">
        <f>177.712-41.242</f>
        <v>136.47</v>
      </c>
      <c r="F9" s="64">
        <f>154.713-47.2</f>
        <v>107.51299999999999</v>
      </c>
      <c r="G9" s="64">
        <f>208.209+204.433+(183.376-96.4)</f>
        <v>499.61799999999999</v>
      </c>
      <c r="H9" s="64">
        <f>(139.4-70.8)+29.446+29.991</f>
        <v>128.03700000000001</v>
      </c>
      <c r="I9" s="64">
        <f>+(177.924-88.8)</f>
        <v>89.124000000000009</v>
      </c>
      <c r="J9" s="64">
        <f>+(215.822-112.2)</f>
        <v>103.622</v>
      </c>
      <c r="K9" s="64">
        <v>144.6</v>
      </c>
      <c r="L9" s="64">
        <v>136.011</v>
      </c>
      <c r="M9" s="280">
        <v>226.13399999999999</v>
      </c>
      <c r="N9" s="280">
        <v>447.46199999999999</v>
      </c>
      <c r="O9" s="280">
        <v>836.9</v>
      </c>
      <c r="P9" s="536">
        <v>1093.3</v>
      </c>
      <c r="Q9" s="64">
        <v>962</v>
      </c>
      <c r="R9" s="64">
        <f t="shared" ref="R9:AD9" si="2">R65</f>
        <v>1228.8981776068049</v>
      </c>
      <c r="S9" s="64">
        <f t="shared" si="2"/>
        <v>1281.2519378550187</v>
      </c>
      <c r="T9" s="64">
        <f t="shared" si="2"/>
        <v>1345.2135723438039</v>
      </c>
      <c r="U9" s="64">
        <f>U65</f>
        <v>1394.9382023476883</v>
      </c>
      <c r="V9" s="64">
        <f t="shared" si="2"/>
        <v>1427.8753289763156</v>
      </c>
      <c r="W9" s="64">
        <f t="shared" si="2"/>
        <v>1461.3471803811462</v>
      </c>
      <c r="X9" s="64">
        <f t="shared" si="2"/>
        <v>1495.5215655758789</v>
      </c>
      <c r="Y9" s="64">
        <f t="shared" si="2"/>
        <v>1448.205234984724</v>
      </c>
      <c r="Z9" s="64">
        <f t="shared" si="2"/>
        <v>1361.2923101752522</v>
      </c>
      <c r="AA9" s="64">
        <f t="shared" si="2"/>
        <v>1213.6187450216078</v>
      </c>
      <c r="AB9" s="64">
        <f t="shared" si="2"/>
        <v>1186.3623301986202</v>
      </c>
      <c r="AC9" s="64">
        <f t="shared" si="2"/>
        <v>1173.3192396413806</v>
      </c>
      <c r="AD9" s="64">
        <f t="shared" si="2"/>
        <v>1187.2115083736996</v>
      </c>
      <c r="AH9"/>
      <c r="AI9"/>
      <c r="AJ9"/>
      <c r="AK9"/>
      <c r="AL9"/>
      <c r="AM9"/>
    </row>
    <row r="10" spans="2:39" s="64" customFormat="1">
      <c r="B10" s="282" t="s">
        <v>330</v>
      </c>
      <c r="C10" s="282">
        <f t="shared" ref="C10:P10" si="3">SUM(C3:C9)</f>
        <v>1838.6640000000002</v>
      </c>
      <c r="D10" s="282">
        <f t="shared" si="3"/>
        <v>1931.0439999999999</v>
      </c>
      <c r="E10" s="282">
        <f t="shared" si="3"/>
        <v>1632.8509999999999</v>
      </c>
      <c r="F10" s="282">
        <f t="shared" si="3"/>
        <v>1712.567</v>
      </c>
      <c r="G10" s="282">
        <f t="shared" si="3"/>
        <v>2368.4070000000002</v>
      </c>
      <c r="H10" s="282">
        <f t="shared" si="3"/>
        <v>2458</v>
      </c>
      <c r="I10" s="282">
        <f t="shared" si="3"/>
        <v>2480.5950000000003</v>
      </c>
      <c r="J10" s="282">
        <f t="shared" si="3"/>
        <v>2540.4199999999992</v>
      </c>
      <c r="K10" s="282">
        <f t="shared" si="3"/>
        <v>2975.4270000000001</v>
      </c>
      <c r="L10" s="282">
        <f t="shared" si="3"/>
        <v>3244.337</v>
      </c>
      <c r="M10" s="282">
        <f t="shared" si="3"/>
        <v>3184.9339999999997</v>
      </c>
      <c r="N10" s="282">
        <f t="shared" si="3"/>
        <v>4672.6729999999989</v>
      </c>
      <c r="O10" s="282">
        <f>SUM(O3:O9)</f>
        <v>6700.2999999999993</v>
      </c>
      <c r="P10" s="537">
        <f t="shared" si="3"/>
        <v>8732.2000000000007</v>
      </c>
      <c r="Q10" s="282">
        <f>SUM(Q3:Q9)</f>
        <v>7873.3</v>
      </c>
      <c r="R10" s="282">
        <f>SUM(R3:R9)</f>
        <v>8569.8948085956254</v>
      </c>
      <c r="S10" s="282">
        <f>SUM(S3:S9)</f>
        <v>10915.253022015691</v>
      </c>
      <c r="T10" s="282">
        <f>SUM(T3:T9)</f>
        <v>12438.620378761725</v>
      </c>
      <c r="U10" s="282">
        <f t="shared" ref="U10:AD10" si="4">SUM(U3:U9)</f>
        <v>15505.430851114361</v>
      </c>
      <c r="V10" s="282">
        <f t="shared" si="4"/>
        <v>17627.297718724916</v>
      </c>
      <c r="W10" s="282">
        <f t="shared" si="4"/>
        <v>20816.006189517961</v>
      </c>
      <c r="X10" s="282">
        <f t="shared" si="4"/>
        <v>24080.23736626079</v>
      </c>
      <c r="Y10" s="282">
        <f t="shared" si="4"/>
        <v>25283.656790934365</v>
      </c>
      <c r="Z10" s="282">
        <f t="shared" si="4"/>
        <v>27846.145880626125</v>
      </c>
      <c r="AA10" s="282">
        <f t="shared" si="4"/>
        <v>29806.414192424691</v>
      </c>
      <c r="AB10" s="282">
        <f t="shared" si="4"/>
        <v>31876.461809782835</v>
      </c>
      <c r="AC10" s="282">
        <f t="shared" si="4"/>
        <v>33928.29942322366</v>
      </c>
      <c r="AD10" s="282">
        <f t="shared" si="4"/>
        <v>36089.732784709842</v>
      </c>
      <c r="AH10"/>
      <c r="AI10"/>
      <c r="AJ10"/>
      <c r="AK10"/>
      <c r="AL10"/>
      <c r="AM10"/>
    </row>
    <row r="11" spans="2:39" s="64" customFormat="1" ht="6.75" customHeight="1">
      <c r="M11" s="409"/>
      <c r="N11" s="409"/>
      <c r="P11" s="536"/>
      <c r="AH11"/>
      <c r="AI11"/>
      <c r="AJ11"/>
      <c r="AK11"/>
      <c r="AL11"/>
      <c r="AM11"/>
    </row>
    <row r="12" spans="2:39" s="64" customFormat="1">
      <c r="B12" s="104" t="s">
        <v>327</v>
      </c>
      <c r="C12" s="64">
        <v>1502.327</v>
      </c>
      <c r="D12" s="64">
        <v>1109.624</v>
      </c>
      <c r="E12" s="64">
        <v>1204.3779999999999</v>
      </c>
      <c r="F12" s="64">
        <v>1412.2380000000001</v>
      </c>
      <c r="G12" s="64">
        <v>932.27099999999996</v>
      </c>
      <c r="H12" s="64">
        <v>891.40599999999995</v>
      </c>
      <c r="I12" s="64">
        <v>1194.08</v>
      </c>
      <c r="J12" s="64">
        <v>743.101</v>
      </c>
      <c r="K12" s="64">
        <v>1416.7370000000001</v>
      </c>
      <c r="L12" s="64">
        <v>2036.6579999999999</v>
      </c>
      <c r="M12" s="280">
        <v>625.77200000000005</v>
      </c>
      <c r="N12" s="280">
        <v>1470.652</v>
      </c>
      <c r="O12" s="280">
        <v>2760.4</v>
      </c>
      <c r="P12" s="536">
        <v>2829.4</v>
      </c>
      <c r="Q12" s="64">
        <v>3057.3</v>
      </c>
      <c r="R12" s="64">
        <f>+Q12-0.75*CF!R25-CF!R11</f>
        <v>3222.4995663112186</v>
      </c>
      <c r="S12" s="64">
        <f>+R12-0.75*CF!S25-CF!S11</f>
        <v>3438.8285907298737</v>
      </c>
      <c r="T12" s="64">
        <f>+S12-0.75*CF!T25-CF!T11</f>
        <v>3678.3817619250171</v>
      </c>
      <c r="U12" s="64">
        <f>+T12-0.75*CF!U25-CF!U11</f>
        <v>3930.1050559445948</v>
      </c>
      <c r="V12" s="64">
        <f>+U12-0.75*CF!V25-CF!V11</f>
        <v>4192.8601869086351</v>
      </c>
      <c r="W12" s="64">
        <f>+V12-0.75*CF!W25-CF!W11</f>
        <v>4461.7982068115389</v>
      </c>
      <c r="X12" s="64">
        <f>+W12-0.75*CF!X25-CF!X11</f>
        <v>4737.7027193185186</v>
      </c>
      <c r="Y12" s="64">
        <f>+X12-0.75*CF!Y25-CF!Y11</f>
        <v>5006.147787564656</v>
      </c>
      <c r="Z12" s="64">
        <f>+Y12-0.75*CF!Z25-CF!Z11</f>
        <v>5251.0711032062691</v>
      </c>
      <c r="AA12" s="64">
        <f>+Z12-0.75*CF!AA25-CF!AA11</f>
        <v>5460.3966535043628</v>
      </c>
      <c r="AB12" s="64">
        <f>+AA12-0.75*CF!AB25-CF!AB11</f>
        <v>5648.2067038102614</v>
      </c>
      <c r="AC12" s="64">
        <f>+AB12-0.75*CF!AC25-CF!AC11</f>
        <v>5833.1990035275458</v>
      </c>
      <c r="AD12" s="64">
        <f>+AC12-0.75*CF!AD25-CF!AD11</f>
        <v>6020.8381557001667</v>
      </c>
      <c r="AH12"/>
      <c r="AI12"/>
      <c r="AJ12"/>
      <c r="AK12"/>
      <c r="AL12"/>
      <c r="AM12"/>
    </row>
    <row r="13" spans="2:39" s="64" customFormat="1">
      <c r="B13" s="104" t="s">
        <v>331</v>
      </c>
      <c r="C13" s="64">
        <v>1252.7829999999999</v>
      </c>
      <c r="D13" s="64">
        <v>1525.2249999999999</v>
      </c>
      <c r="E13" s="64">
        <v>1174.396</v>
      </c>
      <c r="F13" s="64">
        <v>1280.385</v>
      </c>
      <c r="G13" s="64">
        <v>1497.383</v>
      </c>
      <c r="H13" s="64">
        <v>1594.7539999999999</v>
      </c>
      <c r="I13" s="64">
        <v>1637.0830000000001</v>
      </c>
      <c r="J13" s="64">
        <v>1641.634</v>
      </c>
      <c r="K13" s="64">
        <v>1571.3869999999999</v>
      </c>
      <c r="L13" s="64">
        <v>1742.2260000000001</v>
      </c>
      <c r="M13" s="280">
        <v>1750.71</v>
      </c>
      <c r="N13" s="280">
        <v>1765.683</v>
      </c>
      <c r="O13" s="280">
        <v>2187.6</v>
      </c>
      <c r="P13" s="536">
        <v>2501.8000000000002</v>
      </c>
      <c r="Q13" s="64">
        <v>3182.4</v>
      </c>
      <c r="R13" s="64">
        <f t="shared" ref="R13:AD13" si="5">+R109</f>
        <v>3167.6334743597627</v>
      </c>
      <c r="S13" s="64">
        <f t="shared" si="5"/>
        <v>3125.2585572991384</v>
      </c>
      <c r="T13" s="64">
        <f t="shared" si="5"/>
        <v>3057.1561427721394</v>
      </c>
      <c r="U13" s="64">
        <f t="shared" si="5"/>
        <v>2957.9779546889599</v>
      </c>
      <c r="V13" s="64">
        <f t="shared" si="5"/>
        <v>2821.4321352323154</v>
      </c>
      <c r="W13" s="64">
        <f t="shared" si="5"/>
        <v>2647.6754143852504</v>
      </c>
      <c r="X13" s="64">
        <f t="shared" si="5"/>
        <v>2436.9311662471891</v>
      </c>
      <c r="Y13" s="64">
        <f t="shared" si="5"/>
        <v>2158.8505245048773</v>
      </c>
      <c r="Z13" s="64">
        <f t="shared" si="5"/>
        <v>1798.6727290583335</v>
      </c>
      <c r="AA13" s="64">
        <f t="shared" si="5"/>
        <v>1333.7670319487913</v>
      </c>
      <c r="AB13" s="64">
        <f t="shared" si="5"/>
        <v>808.90391877777017</v>
      </c>
      <c r="AC13" s="64">
        <f t="shared" si="5"/>
        <v>229.34835110746701</v>
      </c>
      <c r="AD13" s="64">
        <f t="shared" si="5"/>
        <v>-394.89984740386967</v>
      </c>
      <c r="AH13"/>
      <c r="AI13"/>
      <c r="AJ13"/>
      <c r="AK13"/>
      <c r="AL13"/>
      <c r="AM13"/>
    </row>
    <row r="14" spans="2:39" s="64" customFormat="1">
      <c r="B14" s="104" t="s">
        <v>332</v>
      </c>
      <c r="C14" s="64">
        <v>3638.8119999999999</v>
      </c>
      <c r="D14" s="64">
        <v>3292.8270000000002</v>
      </c>
      <c r="E14" s="64">
        <v>2975.6010000000001</v>
      </c>
      <c r="F14" s="64">
        <v>2747.241</v>
      </c>
      <c r="G14" s="64">
        <v>2492.3539999999998</v>
      </c>
      <c r="H14" s="64">
        <v>2161.058</v>
      </c>
      <c r="I14" s="64">
        <v>1871.078</v>
      </c>
      <c r="J14" s="64">
        <v>1772.826</v>
      </c>
      <c r="K14" s="64">
        <v>1608.191</v>
      </c>
      <c r="L14" s="64">
        <v>1631.547</v>
      </c>
      <c r="M14" s="280">
        <v>4474.6530000000002</v>
      </c>
      <c r="N14" s="280">
        <v>4028.5070000000001</v>
      </c>
      <c r="O14" s="280">
        <v>4085.1</v>
      </c>
      <c r="P14" s="536">
        <v>3808.3</v>
      </c>
      <c r="Q14" s="64">
        <v>3879.6</v>
      </c>
      <c r="R14" s="64">
        <f t="shared" ref="R14:AD14" si="6">+R159</f>
        <v>3549.4</v>
      </c>
      <c r="S14" s="64">
        <f t="shared" si="6"/>
        <v>3194.2000000000003</v>
      </c>
      <c r="T14" s="64">
        <f t="shared" si="6"/>
        <v>2814.0000000000005</v>
      </c>
      <c r="U14" s="64">
        <f t="shared" si="6"/>
        <v>2408.8000000000006</v>
      </c>
      <c r="V14" s="64">
        <f t="shared" si="6"/>
        <v>1978.6000000000006</v>
      </c>
      <c r="W14" s="64">
        <f t="shared" si="6"/>
        <v>1523.4000000000005</v>
      </c>
      <c r="X14" s="64">
        <f t="shared" si="6"/>
        <v>1043.2000000000005</v>
      </c>
      <c r="Y14" s="64">
        <f t="shared" si="6"/>
        <v>538.00000000000045</v>
      </c>
      <c r="Z14" s="64">
        <f t="shared" si="6"/>
        <v>7.8000000000004093</v>
      </c>
      <c r="AA14" s="64">
        <f t="shared" si="6"/>
        <v>-547.39999999999964</v>
      </c>
      <c r="AB14" s="64">
        <f t="shared" si="6"/>
        <v>-1127.5999999999997</v>
      </c>
      <c r="AC14" s="64">
        <f t="shared" si="6"/>
        <v>-1732.7999999999997</v>
      </c>
      <c r="AD14" s="64">
        <f t="shared" si="6"/>
        <v>-2363</v>
      </c>
      <c r="AH14"/>
      <c r="AI14"/>
      <c r="AJ14"/>
      <c r="AK14"/>
      <c r="AL14"/>
      <c r="AM14"/>
    </row>
    <row r="15" spans="2:39" s="64" customFormat="1">
      <c r="B15" s="104" t="s">
        <v>333</v>
      </c>
      <c r="C15" s="64">
        <v>1151.066</v>
      </c>
      <c r="D15" s="64">
        <v>1151.105</v>
      </c>
      <c r="E15" s="64">
        <v>1130.43</v>
      </c>
      <c r="F15" s="64">
        <v>1154.7570000000001</v>
      </c>
      <c r="G15" s="64">
        <v>1137.3720000000001</v>
      </c>
      <c r="H15" s="64">
        <v>1138.6210000000001</v>
      </c>
      <c r="I15" s="64">
        <v>1138.6210000000001</v>
      </c>
      <c r="J15" s="64">
        <v>1146.3140000000001</v>
      </c>
      <c r="K15" s="64">
        <v>1146.3140000000001</v>
      </c>
      <c r="L15" s="64">
        <v>1201.296</v>
      </c>
      <c r="M15" s="280">
        <v>1232.9159999999999</v>
      </c>
      <c r="N15" s="280">
        <v>1760.249</v>
      </c>
      <c r="O15" s="280">
        <v>2663.8</v>
      </c>
      <c r="P15" s="536">
        <v>3669.3</v>
      </c>
      <c r="Q15" s="64">
        <v>4632.5</v>
      </c>
      <c r="R15" s="64">
        <f t="shared" ref="R15:AD15" si="7">+R158</f>
        <v>4632.5</v>
      </c>
      <c r="S15" s="64">
        <f t="shared" si="7"/>
        <v>4632.5</v>
      </c>
      <c r="T15" s="64">
        <f t="shared" si="7"/>
        <v>4632.5</v>
      </c>
      <c r="U15" s="64">
        <f t="shared" si="7"/>
        <v>4632.5</v>
      </c>
      <c r="V15" s="64">
        <f t="shared" si="7"/>
        <v>4632.5</v>
      </c>
      <c r="W15" s="64">
        <f t="shared" si="7"/>
        <v>4632.5</v>
      </c>
      <c r="X15" s="64">
        <f t="shared" si="7"/>
        <v>4632.5</v>
      </c>
      <c r="Y15" s="64">
        <f t="shared" si="7"/>
        <v>4632.5</v>
      </c>
      <c r="Z15" s="64">
        <f t="shared" si="7"/>
        <v>4632.5</v>
      </c>
      <c r="AA15" s="64">
        <f t="shared" si="7"/>
        <v>4632.5</v>
      </c>
      <c r="AB15" s="64">
        <f t="shared" si="7"/>
        <v>4632.5</v>
      </c>
      <c r="AC15" s="64">
        <f t="shared" si="7"/>
        <v>4632.5</v>
      </c>
      <c r="AD15" s="64">
        <f t="shared" si="7"/>
        <v>4632.5</v>
      </c>
      <c r="AH15"/>
      <c r="AI15"/>
      <c r="AJ15"/>
      <c r="AK15"/>
      <c r="AL15"/>
      <c r="AM15"/>
    </row>
    <row r="16" spans="2:39" s="64" customFormat="1">
      <c r="B16" s="104" t="s">
        <v>334</v>
      </c>
      <c r="C16" s="64">
        <v>120.29300000000001</v>
      </c>
      <c r="D16" s="64">
        <v>155.93299999999999</v>
      </c>
      <c r="E16" s="64">
        <v>264.06099999999998</v>
      </c>
      <c r="F16" s="64">
        <v>245.62</v>
      </c>
      <c r="G16" s="64">
        <v>201.02799999999999</v>
      </c>
      <c r="H16" s="64">
        <v>235.15199999999999</v>
      </c>
      <c r="I16" s="64">
        <v>230.39699999999999</v>
      </c>
      <c r="J16" s="64">
        <v>248.19800000000001</v>
      </c>
      <c r="K16" s="64">
        <v>331.548</v>
      </c>
      <c r="L16" s="64">
        <v>274.05399999999997</v>
      </c>
      <c r="M16" s="280">
        <v>594.35</v>
      </c>
      <c r="N16" s="280">
        <v>618.79499999999996</v>
      </c>
      <c r="O16" s="280">
        <v>1107.5999999999999</v>
      </c>
      <c r="P16" s="536">
        <v>1335.8</v>
      </c>
      <c r="Q16" s="64">
        <v>1027.5</v>
      </c>
      <c r="R16" s="64">
        <f t="shared" ref="R16:AD16" si="8">R68</f>
        <v>1335.8</v>
      </c>
      <c r="S16" s="64">
        <f t="shared" si="8"/>
        <v>1335.8</v>
      </c>
      <c r="T16" s="64">
        <f t="shared" si="8"/>
        <v>1335.8</v>
      </c>
      <c r="U16" s="64">
        <f t="shared" si="8"/>
        <v>1335.8</v>
      </c>
      <c r="V16" s="64">
        <f t="shared" si="8"/>
        <v>1335.8</v>
      </c>
      <c r="W16" s="64">
        <f t="shared" si="8"/>
        <v>1335.8</v>
      </c>
      <c r="X16" s="64">
        <f t="shared" si="8"/>
        <v>1335.8</v>
      </c>
      <c r="Y16" s="64">
        <f t="shared" si="8"/>
        <v>1335.8</v>
      </c>
      <c r="Z16" s="64">
        <f t="shared" si="8"/>
        <v>1335.8</v>
      </c>
      <c r="AA16" s="64">
        <f t="shared" si="8"/>
        <v>1335.8</v>
      </c>
      <c r="AB16" s="64">
        <f t="shared" si="8"/>
        <v>1335.8</v>
      </c>
      <c r="AC16" s="64">
        <f t="shared" si="8"/>
        <v>1335.8</v>
      </c>
      <c r="AD16" s="64">
        <f t="shared" si="8"/>
        <v>1335.8</v>
      </c>
      <c r="AH16"/>
      <c r="AI16"/>
      <c r="AJ16"/>
      <c r="AK16"/>
      <c r="AL16"/>
      <c r="AM16"/>
    </row>
    <row r="17" spans="2:39" s="64" customFormat="1" ht="15.75" thickBot="1">
      <c r="B17" s="283" t="s">
        <v>335</v>
      </c>
      <c r="C17" s="283">
        <f t="shared" ref="C17:P17" si="9">SUM(C10:C16)</f>
        <v>9503.9449999999997</v>
      </c>
      <c r="D17" s="283">
        <f t="shared" si="9"/>
        <v>9165.7580000000016</v>
      </c>
      <c r="E17" s="283">
        <f t="shared" si="9"/>
        <v>8381.7170000000006</v>
      </c>
      <c r="F17" s="283">
        <f t="shared" si="9"/>
        <v>8552.8080000000009</v>
      </c>
      <c r="G17" s="283">
        <f t="shared" si="9"/>
        <v>8628.8149999999987</v>
      </c>
      <c r="H17" s="283">
        <f t="shared" si="9"/>
        <v>8478.991</v>
      </c>
      <c r="I17" s="283">
        <f t="shared" si="9"/>
        <v>8551.8539999999994</v>
      </c>
      <c r="J17" s="283">
        <f t="shared" si="9"/>
        <v>8092.4929999999995</v>
      </c>
      <c r="K17" s="283">
        <f t="shared" si="9"/>
        <v>9049.6040000000012</v>
      </c>
      <c r="L17" s="283">
        <f t="shared" si="9"/>
        <v>10130.118</v>
      </c>
      <c r="M17" s="283">
        <f t="shared" si="9"/>
        <v>11863.334999999999</v>
      </c>
      <c r="N17" s="283">
        <f t="shared" si="9"/>
        <v>14316.558999999999</v>
      </c>
      <c r="O17" s="283">
        <f t="shared" si="9"/>
        <v>19504.8</v>
      </c>
      <c r="P17" s="538">
        <f t="shared" si="9"/>
        <v>22876.799999999999</v>
      </c>
      <c r="Q17" s="283">
        <f>SUM(Q10:Q16)</f>
        <v>23652.6</v>
      </c>
      <c r="R17" s="283">
        <f>SUM(R10:R16)</f>
        <v>24477.727849266608</v>
      </c>
      <c r="S17" s="283">
        <f>SUM(S10:S16)</f>
        <v>26641.840170044703</v>
      </c>
      <c r="T17" s="283">
        <f>SUM(T10:T16)</f>
        <v>27956.45828345888</v>
      </c>
      <c r="U17" s="283">
        <f t="shared" ref="U17:AD17" si="10">SUM(U10:U16)</f>
        <v>30770.613861747912</v>
      </c>
      <c r="V17" s="283">
        <f t="shared" si="10"/>
        <v>32588.490040865869</v>
      </c>
      <c r="W17" s="283">
        <f t="shared" si="10"/>
        <v>35417.179810714755</v>
      </c>
      <c r="X17" s="283">
        <f t="shared" si="10"/>
        <v>38266.371251826495</v>
      </c>
      <c r="Y17" s="283">
        <f t="shared" si="10"/>
        <v>38954.9551030039</v>
      </c>
      <c r="Z17" s="283">
        <f t="shared" si="10"/>
        <v>40871.98971289074</v>
      </c>
      <c r="AA17" s="283">
        <f t="shared" si="10"/>
        <v>42021.477877877842</v>
      </c>
      <c r="AB17" s="283">
        <f t="shared" si="10"/>
        <v>43174.272432370868</v>
      </c>
      <c r="AC17" s="283">
        <f t="shared" si="10"/>
        <v>44226.346777858671</v>
      </c>
      <c r="AD17" s="283">
        <f t="shared" si="10"/>
        <v>45320.971093006141</v>
      </c>
      <c r="AH17"/>
      <c r="AI17"/>
      <c r="AJ17"/>
      <c r="AK17"/>
      <c r="AL17"/>
      <c r="AM17"/>
    </row>
    <row r="18" spans="2:39" s="64" customFormat="1" ht="15.75" thickTop="1">
      <c r="B18" s="105"/>
      <c r="M18" s="409"/>
      <c r="N18" s="409"/>
      <c r="P18" s="536"/>
      <c r="AH18"/>
      <c r="AI18"/>
      <c r="AJ18"/>
      <c r="AK18"/>
      <c r="AL18"/>
      <c r="AM18"/>
    </row>
    <row r="19" spans="2:39" s="64" customFormat="1">
      <c r="B19" s="104" t="s">
        <v>583</v>
      </c>
      <c r="C19" s="64">
        <v>0</v>
      </c>
      <c r="D19" s="64">
        <v>748.43</v>
      </c>
      <c r="E19" s="64">
        <v>0</v>
      </c>
      <c r="F19" s="64">
        <v>0</v>
      </c>
      <c r="G19" s="64">
        <v>1511.135</v>
      </c>
      <c r="H19" s="64">
        <v>27.667000000000002</v>
      </c>
      <c r="I19" s="64">
        <v>19.762</v>
      </c>
      <c r="J19" s="64">
        <v>137.15299999999999</v>
      </c>
      <c r="K19" s="64">
        <v>3.2919999999999998</v>
      </c>
      <c r="L19" s="64">
        <v>453.37900000000002</v>
      </c>
      <c r="M19" s="280">
        <v>3.4940000000000002</v>
      </c>
      <c r="N19" s="280">
        <v>3.1360000000000001</v>
      </c>
      <c r="O19" s="280">
        <v>4.8</v>
      </c>
      <c r="P19" s="536">
        <v>4.7</v>
      </c>
      <c r="Q19" s="64">
        <v>3.2</v>
      </c>
      <c r="R19" s="64">
        <f>DEBT!AP89</f>
        <v>-1.1796119636642288E-16</v>
      </c>
      <c r="S19" s="64">
        <f>DEBT!AU89</f>
        <v>1485.3</v>
      </c>
      <c r="T19" s="64">
        <f>DEBT!AZ89</f>
        <v>0</v>
      </c>
      <c r="U19" s="64">
        <f>DEBT!BE89</f>
        <v>993.2</v>
      </c>
      <c r="V19" s="64">
        <f>DEBT!BJ89</f>
        <v>0</v>
      </c>
      <c r="W19" s="64">
        <f>DEBT!BO89</f>
        <v>0</v>
      </c>
      <c r="X19" s="64">
        <f>DEBT!BT89</f>
        <v>1734.8</v>
      </c>
      <c r="Y19" s="64">
        <f>DEBT!BY89</f>
        <v>0</v>
      </c>
      <c r="Z19" s="64">
        <f>DEBT!CD89</f>
        <v>0</v>
      </c>
      <c r="AA19" s="64">
        <f>DEBT!CI89</f>
        <v>0</v>
      </c>
      <c r="AB19" s="64">
        <f>DEBT!CN89</f>
        <v>0</v>
      </c>
      <c r="AC19" s="64">
        <f>DEBT!CS89</f>
        <v>0</v>
      </c>
      <c r="AD19" s="64">
        <f>DEBT!CX89</f>
        <v>0</v>
      </c>
      <c r="AH19"/>
      <c r="AI19"/>
      <c r="AJ19"/>
      <c r="AK19"/>
      <c r="AL19"/>
      <c r="AM19"/>
    </row>
    <row r="20" spans="2:39" s="64" customFormat="1" collapsed="1">
      <c r="B20" s="104" t="s">
        <v>337</v>
      </c>
      <c r="C20" s="64">
        <v>94.176000000000002</v>
      </c>
      <c r="D20" s="64">
        <v>129.35</v>
      </c>
      <c r="E20" s="64">
        <v>200.19300000000001</v>
      </c>
      <c r="F20" s="64">
        <v>145.529</v>
      </c>
      <c r="G20" s="64">
        <v>11.273999999999999</v>
      </c>
      <c r="H20" s="64">
        <v>223.26</v>
      </c>
      <c r="I20" s="64">
        <v>75.891000000000005</v>
      </c>
      <c r="J20" s="64">
        <v>84.516999999999996</v>
      </c>
      <c r="K20" s="64">
        <v>45.939</v>
      </c>
      <c r="L20" s="64">
        <v>20.065999999999999</v>
      </c>
      <c r="M20" s="280">
        <v>179.685</v>
      </c>
      <c r="N20" s="280">
        <v>168.05799999999999</v>
      </c>
      <c r="O20" s="280">
        <v>208.7</v>
      </c>
      <c r="P20" s="536">
        <v>231.9</v>
      </c>
      <c r="Q20" s="64">
        <v>68.2</v>
      </c>
      <c r="R20" s="64">
        <f t="shared" ref="R20:T20" si="11">Q20</f>
        <v>68.2</v>
      </c>
      <c r="S20" s="64">
        <f t="shared" si="11"/>
        <v>68.2</v>
      </c>
      <c r="T20" s="64">
        <f t="shared" si="11"/>
        <v>68.2</v>
      </c>
      <c r="U20" s="64">
        <f t="shared" ref="U20" si="12">T20</f>
        <v>68.2</v>
      </c>
      <c r="V20" s="64">
        <f t="shared" ref="V20" si="13">U20</f>
        <v>68.2</v>
      </c>
      <c r="W20" s="64">
        <f t="shared" ref="W20" si="14">V20</f>
        <v>68.2</v>
      </c>
      <c r="X20" s="64">
        <f t="shared" ref="X20" si="15">W20</f>
        <v>68.2</v>
      </c>
      <c r="Y20" s="64">
        <f t="shared" ref="Y20" si="16">X20</f>
        <v>68.2</v>
      </c>
      <c r="Z20" s="64">
        <f t="shared" ref="Z20" si="17">Y20</f>
        <v>68.2</v>
      </c>
      <c r="AA20" s="64">
        <f t="shared" ref="AA20" si="18">Z20</f>
        <v>68.2</v>
      </c>
      <c r="AB20" s="64">
        <f t="shared" ref="AB20" si="19">AA20</f>
        <v>68.2</v>
      </c>
      <c r="AC20" s="64">
        <f t="shared" ref="AC20" si="20">AB20</f>
        <v>68.2</v>
      </c>
      <c r="AD20" s="64">
        <f t="shared" ref="AD20" si="21">AC20</f>
        <v>68.2</v>
      </c>
      <c r="AH20"/>
      <c r="AI20"/>
      <c r="AJ20"/>
      <c r="AK20"/>
      <c r="AL20"/>
      <c r="AM20"/>
    </row>
    <row r="21" spans="2:39" s="64" customFormat="1">
      <c r="B21" s="104" t="s">
        <v>336</v>
      </c>
      <c r="C21" s="64">
        <v>63.363999999999997</v>
      </c>
      <c r="D21" s="64">
        <v>121.471</v>
      </c>
      <c r="E21" s="64">
        <v>99.78</v>
      </c>
      <c r="F21" s="64">
        <v>100.45699999999999</v>
      </c>
      <c r="G21" s="64">
        <v>90.671999999999997</v>
      </c>
      <c r="H21" s="64">
        <v>107.417</v>
      </c>
      <c r="I21" s="64">
        <v>118.53400000000001</v>
      </c>
      <c r="J21" s="64">
        <v>162.529</v>
      </c>
      <c r="K21" s="64">
        <v>186.44800000000001</v>
      </c>
      <c r="L21" s="64">
        <v>203.999</v>
      </c>
      <c r="M21" s="280">
        <v>219.91300000000001</v>
      </c>
      <c r="N21" s="280">
        <v>229.178</v>
      </c>
      <c r="O21" s="280">
        <v>267.39999999999998</v>
      </c>
      <c r="P21" s="536">
        <v>279.8</v>
      </c>
      <c r="Q21" s="64">
        <v>395.5</v>
      </c>
      <c r="R21" s="64">
        <f t="shared" ref="R21:AD21" si="22">R71</f>
        <v>320.5726647292048</v>
      </c>
      <c r="S21" s="64">
        <f t="shared" si="22"/>
        <v>330.97653118541098</v>
      </c>
      <c r="T21" s="64">
        <f t="shared" si="22"/>
        <v>356.23843077743692</v>
      </c>
      <c r="U21" s="64">
        <f t="shared" si="22"/>
        <v>371.13510137288756</v>
      </c>
      <c r="V21" s="64">
        <f t="shared" si="22"/>
        <v>386.27873030722589</v>
      </c>
      <c r="W21" s="64">
        <f t="shared" si="22"/>
        <v>401.26595726184956</v>
      </c>
      <c r="X21" s="64">
        <f t="shared" si="22"/>
        <v>416.87670042230445</v>
      </c>
      <c r="Y21" s="64">
        <f t="shared" si="22"/>
        <v>420.19317154931576</v>
      </c>
      <c r="Z21" s="64">
        <f t="shared" si="22"/>
        <v>416.67135934188718</v>
      </c>
      <c r="AA21" s="64">
        <f t="shared" si="22"/>
        <v>396.9453837856924</v>
      </c>
      <c r="AB21" s="64">
        <f t="shared" si="22"/>
        <v>403.40956799025582</v>
      </c>
      <c r="AC21" s="64">
        <f t="shared" si="22"/>
        <v>404.68200741098394</v>
      </c>
      <c r="AD21" s="64">
        <f t="shared" si="22"/>
        <v>410.80114507263687</v>
      </c>
      <c r="AH21"/>
      <c r="AI21"/>
      <c r="AJ21"/>
      <c r="AK21"/>
      <c r="AL21"/>
      <c r="AM21"/>
    </row>
    <row r="22" spans="2:39" s="64" customFormat="1" hidden="1" outlineLevel="1">
      <c r="B22" s="104" t="s">
        <v>495</v>
      </c>
      <c r="C22" s="64">
        <v>7.1550000000000002</v>
      </c>
      <c r="D22" s="64">
        <v>13.695</v>
      </c>
      <c r="E22" s="64">
        <v>0</v>
      </c>
      <c r="F22" s="64">
        <v>0</v>
      </c>
      <c r="G22" s="64">
        <v>0</v>
      </c>
      <c r="H22" s="64">
        <v>0</v>
      </c>
      <c r="I22" s="64">
        <v>0</v>
      </c>
      <c r="J22" s="64">
        <v>0</v>
      </c>
      <c r="K22" s="64">
        <v>0</v>
      </c>
      <c r="L22" s="64">
        <v>0</v>
      </c>
      <c r="M22" s="280">
        <v>0</v>
      </c>
      <c r="N22" s="280">
        <v>0</v>
      </c>
      <c r="O22" s="280">
        <v>0</v>
      </c>
      <c r="P22" s="536">
        <v>0</v>
      </c>
      <c r="Q22" s="64">
        <v>0</v>
      </c>
      <c r="R22" s="64">
        <v>0</v>
      </c>
      <c r="S22" s="64">
        <v>0</v>
      </c>
      <c r="T22" s="64">
        <v>0</v>
      </c>
      <c r="U22" s="64">
        <v>0</v>
      </c>
      <c r="V22" s="64">
        <v>0</v>
      </c>
      <c r="W22" s="64">
        <v>0</v>
      </c>
      <c r="X22" s="64">
        <v>0</v>
      </c>
      <c r="Y22" s="64">
        <v>0</v>
      </c>
      <c r="Z22" s="64">
        <v>0</v>
      </c>
      <c r="AA22" s="64">
        <v>0</v>
      </c>
      <c r="AB22" s="64">
        <v>0</v>
      </c>
      <c r="AC22" s="64">
        <v>0</v>
      </c>
      <c r="AD22" s="64">
        <v>0</v>
      </c>
      <c r="AH22"/>
      <c r="AI22"/>
      <c r="AJ22"/>
      <c r="AK22"/>
      <c r="AL22"/>
      <c r="AM22"/>
    </row>
    <row r="23" spans="2:39" s="64" customFormat="1" collapsed="1">
      <c r="B23" s="104" t="s">
        <v>338</v>
      </c>
      <c r="C23" s="64">
        <v>240.13</v>
      </c>
      <c r="D23" s="64">
        <v>247.80199999999999</v>
      </c>
      <c r="E23" s="64">
        <v>297.83300000000003</v>
      </c>
      <c r="F23" s="64">
        <v>336.86900000000003</v>
      </c>
      <c r="G23" s="64">
        <f>367.885+208.209</f>
        <v>576.09400000000005</v>
      </c>
      <c r="H23" s="64">
        <f>534.887+29.991</f>
        <v>564.87799999999993</v>
      </c>
      <c r="I23" s="64">
        <v>500.755</v>
      </c>
      <c r="J23" s="64">
        <v>665.923</v>
      </c>
      <c r="K23" s="64">
        <v>677.21</v>
      </c>
      <c r="L23" s="64">
        <v>979.94500000000005</v>
      </c>
      <c r="M23" s="280">
        <v>1355.1869999999999</v>
      </c>
      <c r="N23" s="280">
        <v>1819.3340000000001</v>
      </c>
      <c r="O23" s="280">
        <v>2096.8000000000002</v>
      </c>
      <c r="P23" s="536">
        <v>2903.5</v>
      </c>
      <c r="Q23" s="64">
        <v>2901.3</v>
      </c>
      <c r="R23" s="64">
        <f t="shared" ref="R23:AD23" si="23">R73</f>
        <v>3313.567912883811</v>
      </c>
      <c r="S23" s="64">
        <f t="shared" si="23"/>
        <v>3187.6893552993979</v>
      </c>
      <c r="T23" s="64">
        <f t="shared" si="23"/>
        <v>3347.0738230643678</v>
      </c>
      <c r="U23" s="64">
        <f t="shared" si="23"/>
        <v>3430.7506686409765</v>
      </c>
      <c r="V23" s="64">
        <f t="shared" si="23"/>
        <v>3516.5194353570009</v>
      </c>
      <c r="W23" s="64">
        <f t="shared" si="23"/>
        <v>3604.4324212409251</v>
      </c>
      <c r="X23" s="64">
        <f t="shared" si="23"/>
        <v>3694.5432317719483</v>
      </c>
      <c r="Y23" s="64">
        <f t="shared" si="23"/>
        <v>3786.9068125662466</v>
      </c>
      <c r="Z23" s="64">
        <f t="shared" si="23"/>
        <v>3831.934058203467</v>
      </c>
      <c r="AA23" s="64">
        <f t="shared" si="23"/>
        <v>3878.0869849816172</v>
      </c>
      <c r="AB23" s="64">
        <f t="shared" si="23"/>
        <v>3878.0869849816172</v>
      </c>
      <c r="AC23" s="64">
        <f t="shared" si="23"/>
        <v>3878.0869849816172</v>
      </c>
      <c r="AD23" s="64">
        <f t="shared" si="23"/>
        <v>3878.0869849816172</v>
      </c>
      <c r="AH23"/>
      <c r="AI23"/>
      <c r="AJ23"/>
      <c r="AK23"/>
      <c r="AL23"/>
      <c r="AM23"/>
    </row>
    <row r="24" spans="2:39" s="64" customFormat="1">
      <c r="B24" s="282" t="s">
        <v>339</v>
      </c>
      <c r="C24" s="282">
        <f>SUM(C19:C23)</f>
        <v>404.82499999999999</v>
      </c>
      <c r="D24" s="282">
        <f t="shared" ref="D24:S24" si="24">SUM(D19:D23)</f>
        <v>1260.748</v>
      </c>
      <c r="E24" s="282">
        <f t="shared" si="24"/>
        <v>597.80600000000004</v>
      </c>
      <c r="F24" s="282">
        <f t="shared" si="24"/>
        <v>582.85500000000002</v>
      </c>
      <c r="G24" s="282">
        <f t="shared" si="24"/>
        <v>2189.1750000000002</v>
      </c>
      <c r="H24" s="282">
        <f t="shared" si="24"/>
        <v>923.22199999999998</v>
      </c>
      <c r="I24" s="282">
        <f t="shared" si="24"/>
        <v>714.94200000000001</v>
      </c>
      <c r="J24" s="282">
        <f t="shared" si="24"/>
        <v>1050.1219999999998</v>
      </c>
      <c r="K24" s="282">
        <f t="shared" si="24"/>
        <v>912.88900000000001</v>
      </c>
      <c r="L24" s="282">
        <f t="shared" si="24"/>
        <v>1657.3890000000001</v>
      </c>
      <c r="M24" s="282">
        <f t="shared" si="24"/>
        <v>1758.279</v>
      </c>
      <c r="N24" s="282">
        <f t="shared" si="24"/>
        <v>2219.7060000000001</v>
      </c>
      <c r="O24" s="282">
        <f t="shared" si="24"/>
        <v>2577.7000000000003</v>
      </c>
      <c r="P24" s="537">
        <f t="shared" si="24"/>
        <v>3419.9</v>
      </c>
      <c r="Q24" s="282">
        <f t="shared" si="24"/>
        <v>3368.2000000000003</v>
      </c>
      <c r="R24" s="282">
        <f t="shared" si="24"/>
        <v>3702.3405776130157</v>
      </c>
      <c r="S24" s="282">
        <f t="shared" si="24"/>
        <v>5072.1658864848087</v>
      </c>
      <c r="T24" s="282">
        <f>SUM(T19:T23)</f>
        <v>3771.5122538418045</v>
      </c>
      <c r="U24" s="282">
        <f t="shared" ref="U24:AD24" si="25">SUM(U19:U23)</f>
        <v>4863.2857700138647</v>
      </c>
      <c r="V24" s="282">
        <f t="shared" si="25"/>
        <v>3970.9981656642267</v>
      </c>
      <c r="W24" s="282">
        <f t="shared" si="25"/>
        <v>4073.8983785027749</v>
      </c>
      <c r="X24" s="282">
        <f t="shared" si="25"/>
        <v>5914.4199321942524</v>
      </c>
      <c r="Y24" s="282">
        <f t="shared" si="25"/>
        <v>4275.2999841155624</v>
      </c>
      <c r="Z24" s="282">
        <f t="shared" si="25"/>
        <v>4316.8054175453544</v>
      </c>
      <c r="AA24" s="282">
        <f t="shared" si="25"/>
        <v>4343.2323687673097</v>
      </c>
      <c r="AB24" s="282">
        <f t="shared" si="25"/>
        <v>4349.6965529718727</v>
      </c>
      <c r="AC24" s="282">
        <f t="shared" si="25"/>
        <v>4350.9689923926007</v>
      </c>
      <c r="AD24" s="282">
        <f t="shared" si="25"/>
        <v>4357.0881300542542</v>
      </c>
      <c r="AH24"/>
      <c r="AI24"/>
      <c r="AJ24"/>
      <c r="AK24"/>
      <c r="AL24"/>
      <c r="AM24"/>
    </row>
    <row r="25" spans="2:39" s="64" customFormat="1" ht="6.75" customHeight="1">
      <c r="B25" s="105"/>
      <c r="P25" s="536"/>
      <c r="AH25"/>
      <c r="AI25"/>
      <c r="AJ25"/>
      <c r="AK25"/>
      <c r="AL25"/>
      <c r="AM25"/>
    </row>
    <row r="26" spans="2:39" s="64" customFormat="1">
      <c r="B26" s="104" t="s">
        <v>584</v>
      </c>
      <c r="C26" s="64">
        <v>887.27</v>
      </c>
      <c r="D26" s="64">
        <v>101.879</v>
      </c>
      <c r="E26" s="64">
        <v>43.444000000000003</v>
      </c>
      <c r="F26" s="64">
        <v>96.694000000000003</v>
      </c>
      <c r="G26" s="64">
        <v>51.843000000000004</v>
      </c>
      <c r="H26" s="64">
        <v>1085.431</v>
      </c>
      <c r="I26" s="64">
        <v>1080.2070000000001</v>
      </c>
      <c r="J26" s="64">
        <v>1066.3789999999999</v>
      </c>
      <c r="K26" s="64">
        <v>1060.808</v>
      </c>
      <c r="L26" s="64">
        <v>687.39599999999996</v>
      </c>
      <c r="M26" s="280">
        <v>592.43299999999999</v>
      </c>
      <c r="N26" s="280">
        <v>582.06100000000004</v>
      </c>
      <c r="O26" s="280">
        <v>6521.5</v>
      </c>
      <c r="P26" s="536">
        <v>6512.7</v>
      </c>
      <c r="Q26" s="64">
        <v>5935</v>
      </c>
      <c r="R26" s="64">
        <f>DEBT!AP90</f>
        <v>5952.9</v>
      </c>
      <c r="S26" s="64">
        <f>DEBT!AU90</f>
        <v>4467.5999999999995</v>
      </c>
      <c r="T26" s="64">
        <f>DEBT!AZ90</f>
        <v>4467.6000000000004</v>
      </c>
      <c r="U26" s="64">
        <f>DEBT!BE90</f>
        <v>3474.4000000000005</v>
      </c>
      <c r="V26" s="64">
        <f>DEBT!BJ90</f>
        <v>3474.3999999999996</v>
      </c>
      <c r="W26" s="64">
        <f>DEBT!BO90</f>
        <v>3474.3999999999996</v>
      </c>
      <c r="X26" s="64">
        <f>DEBT!BT90</f>
        <v>1739.5999999999997</v>
      </c>
      <c r="Y26" s="64">
        <f>DEBT!BY90</f>
        <v>1739.6</v>
      </c>
      <c r="Z26" s="64">
        <f>DEBT!CD90</f>
        <v>1739.6</v>
      </c>
      <c r="AA26" s="64">
        <f>DEBT!CI90</f>
        <v>1739.6</v>
      </c>
      <c r="AB26" s="64">
        <f>DEBT!CN90</f>
        <v>1739.6</v>
      </c>
      <c r="AC26" s="64">
        <f>DEBT!CS90</f>
        <v>1739.6</v>
      </c>
      <c r="AD26" s="64">
        <f>DEBT!CX90</f>
        <v>1739.6</v>
      </c>
      <c r="AH26"/>
      <c r="AI26"/>
      <c r="AJ26"/>
      <c r="AK26"/>
      <c r="AL26"/>
      <c r="AM26"/>
    </row>
    <row r="27" spans="2:39" s="64" customFormat="1">
      <c r="B27" s="104" t="s">
        <v>340</v>
      </c>
      <c r="C27" s="64">
        <v>1108.318</v>
      </c>
      <c r="D27" s="64">
        <v>921.77099999999996</v>
      </c>
      <c r="E27" s="64">
        <v>762.28200000000004</v>
      </c>
      <c r="F27" s="64">
        <v>643.64499999999998</v>
      </c>
      <c r="G27" s="64">
        <v>521.52499999999998</v>
      </c>
      <c r="H27" s="64">
        <v>356.017</v>
      </c>
      <c r="I27" s="64">
        <v>240.61799999999999</v>
      </c>
      <c r="J27" s="64">
        <v>200.95</v>
      </c>
      <c r="K27" s="64">
        <v>248.64400000000001</v>
      </c>
      <c r="L27" s="64">
        <v>217.27199999999999</v>
      </c>
      <c r="M27" s="280">
        <v>232.554</v>
      </c>
      <c r="N27" s="280">
        <v>50.655999999999999</v>
      </c>
      <c r="O27" s="280">
        <v>124.9</v>
      </c>
      <c r="P27" s="536">
        <v>93.1</v>
      </c>
      <c r="Q27" s="64">
        <v>122.6</v>
      </c>
      <c r="R27" s="64">
        <f t="shared" ref="R27:T27" si="26">Q27</f>
        <v>122.6</v>
      </c>
      <c r="S27" s="64">
        <f t="shared" si="26"/>
        <v>122.6</v>
      </c>
      <c r="T27" s="64">
        <f t="shared" si="26"/>
        <v>122.6</v>
      </c>
      <c r="U27" s="64">
        <f t="shared" ref="U27" si="27">T27</f>
        <v>122.6</v>
      </c>
      <c r="V27" s="64">
        <f t="shared" ref="V27" si="28">U27</f>
        <v>122.6</v>
      </c>
      <c r="W27" s="64">
        <f t="shared" ref="W27" si="29">V27</f>
        <v>122.6</v>
      </c>
      <c r="X27" s="64">
        <f t="shared" ref="X27" si="30">W27</f>
        <v>122.6</v>
      </c>
      <c r="Y27" s="64">
        <f t="shared" ref="Y27" si="31">X27</f>
        <v>122.6</v>
      </c>
      <c r="Z27" s="64">
        <f t="shared" ref="Z27" si="32">Y27</f>
        <v>122.6</v>
      </c>
      <c r="AA27" s="64">
        <f t="shared" ref="AA27" si="33">Z27</f>
        <v>122.6</v>
      </c>
      <c r="AB27" s="64">
        <f t="shared" ref="AB27" si="34">AA27</f>
        <v>122.6</v>
      </c>
      <c r="AC27" s="64">
        <f t="shared" ref="AC27" si="35">AB27</f>
        <v>122.6</v>
      </c>
      <c r="AD27" s="64">
        <f t="shared" ref="AD27" si="36">AC27</f>
        <v>122.6</v>
      </c>
      <c r="AH27"/>
      <c r="AI27"/>
      <c r="AJ27"/>
      <c r="AK27"/>
      <c r="AL27"/>
      <c r="AM27"/>
    </row>
    <row r="28" spans="2:39" s="64" customFormat="1">
      <c r="B28" s="104" t="s">
        <v>341</v>
      </c>
      <c r="C28" s="64">
        <v>50.204000000000001</v>
      </c>
      <c r="D28" s="64">
        <v>54.959000000000003</v>
      </c>
      <c r="E28" s="64">
        <v>72.308999999999997</v>
      </c>
      <c r="F28" s="64">
        <v>79.835999999999999</v>
      </c>
      <c r="G28" s="64">
        <v>331.97699999999998</v>
      </c>
      <c r="H28" s="64">
        <v>280.36900000000003</v>
      </c>
      <c r="I28" s="64">
        <v>254.20500000000001</v>
      </c>
      <c r="J28" s="64">
        <v>325.59899999999999</v>
      </c>
      <c r="K28" s="64">
        <v>400.27600000000001</v>
      </c>
      <c r="L28" s="64">
        <v>604.26599999999996</v>
      </c>
      <c r="M28" s="280">
        <v>659.23099999999999</v>
      </c>
      <c r="N28" s="280">
        <v>650.096</v>
      </c>
      <c r="O28" s="280">
        <v>905.8</v>
      </c>
      <c r="P28" s="536">
        <v>722.5</v>
      </c>
      <c r="Q28" s="64">
        <v>1628.7</v>
      </c>
      <c r="R28" s="64">
        <f t="shared" ref="R28:AD28" si="37">R76</f>
        <v>824.54031929001326</v>
      </c>
      <c r="S28" s="64">
        <f t="shared" si="37"/>
        <v>793.21699989799038</v>
      </c>
      <c r="T28" s="64">
        <f t="shared" si="37"/>
        <v>832.87784989288991</v>
      </c>
      <c r="U28" s="64">
        <f t="shared" si="37"/>
        <v>853.69979614021202</v>
      </c>
      <c r="V28" s="64">
        <f t="shared" si="37"/>
        <v>875.04229104371723</v>
      </c>
      <c r="W28" s="64">
        <f t="shared" si="37"/>
        <v>896.91834831981009</v>
      </c>
      <c r="X28" s="64">
        <f t="shared" si="37"/>
        <v>919.34130702780521</v>
      </c>
      <c r="Y28" s="64">
        <f t="shared" si="37"/>
        <v>942.32483970350029</v>
      </c>
      <c r="Z28" s="64">
        <f t="shared" si="37"/>
        <v>953.52931188290154</v>
      </c>
      <c r="AA28" s="64">
        <f t="shared" si="37"/>
        <v>965.01389586678783</v>
      </c>
      <c r="AB28" s="64">
        <f t="shared" si="37"/>
        <v>965.01389586678783</v>
      </c>
      <c r="AC28" s="64">
        <f t="shared" si="37"/>
        <v>965.01389586678783</v>
      </c>
      <c r="AD28" s="64">
        <f t="shared" si="37"/>
        <v>965.01389586678783</v>
      </c>
      <c r="AH28"/>
      <c r="AI28"/>
      <c r="AJ28"/>
      <c r="AK28"/>
      <c r="AL28"/>
      <c r="AM28"/>
    </row>
    <row r="29" spans="2:39" s="64" customFormat="1">
      <c r="B29" s="102" t="s">
        <v>342</v>
      </c>
      <c r="C29" s="102">
        <f t="shared" ref="C29:S29" si="38">SUM(C24:C28)</f>
        <v>2450.6170000000002</v>
      </c>
      <c r="D29" s="102">
        <f t="shared" si="38"/>
        <v>2339.357</v>
      </c>
      <c r="E29" s="102">
        <f t="shared" si="38"/>
        <v>1475.8410000000001</v>
      </c>
      <c r="F29" s="102">
        <f t="shared" si="38"/>
        <v>1403.03</v>
      </c>
      <c r="G29" s="102">
        <f t="shared" si="38"/>
        <v>3094.52</v>
      </c>
      <c r="H29" s="102">
        <f t="shared" si="38"/>
        <v>2645.0390000000002</v>
      </c>
      <c r="I29" s="102">
        <f t="shared" si="38"/>
        <v>2289.9720000000002</v>
      </c>
      <c r="J29" s="102">
        <f t="shared" si="38"/>
        <v>2643.0499999999997</v>
      </c>
      <c r="K29" s="102">
        <f t="shared" si="38"/>
        <v>2622.6170000000002</v>
      </c>
      <c r="L29" s="102">
        <f t="shared" si="38"/>
        <v>3166.3229999999999</v>
      </c>
      <c r="M29" s="102">
        <f t="shared" si="38"/>
        <v>3242.4970000000003</v>
      </c>
      <c r="N29" s="102">
        <f t="shared" si="38"/>
        <v>3502.5190000000002</v>
      </c>
      <c r="O29" s="102">
        <f t="shared" si="38"/>
        <v>10129.9</v>
      </c>
      <c r="P29" s="539">
        <f t="shared" si="38"/>
        <v>10748.2</v>
      </c>
      <c r="Q29" s="102">
        <f t="shared" si="38"/>
        <v>11054.500000000002</v>
      </c>
      <c r="R29" s="102">
        <f t="shared" si="38"/>
        <v>10602.380896903029</v>
      </c>
      <c r="S29" s="102">
        <f t="shared" si="38"/>
        <v>10455.582886382799</v>
      </c>
      <c r="T29" s="102">
        <f>SUM(T24:T28)</f>
        <v>9194.5901037346957</v>
      </c>
      <c r="U29" s="102">
        <f t="shared" ref="U29:AD29" si="39">SUM(U24:U28)</f>
        <v>9313.9855661540769</v>
      </c>
      <c r="V29" s="102">
        <f t="shared" si="39"/>
        <v>8443.040456707944</v>
      </c>
      <c r="W29" s="102">
        <f>SUM(W24:W28)</f>
        <v>8567.8167268225843</v>
      </c>
      <c r="X29" s="102">
        <f>SUM(X24:X28)</f>
        <v>8695.961239222057</v>
      </c>
      <c r="Y29" s="102">
        <f t="shared" si="39"/>
        <v>7079.8248238190627</v>
      </c>
      <c r="Z29" s="102">
        <f t="shared" si="39"/>
        <v>7132.5347294282565</v>
      </c>
      <c r="AA29" s="102">
        <f t="shared" si="39"/>
        <v>7170.4462646340971</v>
      </c>
      <c r="AB29" s="102">
        <f t="shared" si="39"/>
        <v>7176.9104488386611</v>
      </c>
      <c r="AC29" s="102">
        <f t="shared" si="39"/>
        <v>7178.1828882593882</v>
      </c>
      <c r="AD29" s="102">
        <f t="shared" si="39"/>
        <v>7184.3020259210416</v>
      </c>
      <c r="AH29"/>
      <c r="AI29"/>
      <c r="AJ29"/>
      <c r="AK29"/>
      <c r="AL29"/>
      <c r="AM29"/>
    </row>
    <row r="30" spans="2:39" s="64" customFormat="1">
      <c r="B30" s="105"/>
      <c r="P30" s="536"/>
      <c r="AH30"/>
      <c r="AI30"/>
      <c r="AJ30"/>
      <c r="AK30"/>
      <c r="AL30"/>
      <c r="AM30"/>
    </row>
    <row r="31" spans="2:39" s="64" customFormat="1">
      <c r="B31" s="104" t="s">
        <v>343</v>
      </c>
      <c r="C31" s="64">
        <v>0.16600000000000001</v>
      </c>
      <c r="D31" s="64">
        <v>0.17299999999999999</v>
      </c>
      <c r="E31" s="64">
        <v>0.17299999999999999</v>
      </c>
      <c r="F31" s="64">
        <v>0.17299999999999999</v>
      </c>
      <c r="G31" s="64">
        <v>0.14699999999999999</v>
      </c>
      <c r="H31" s="64">
        <v>0.14899999999999999</v>
      </c>
      <c r="I31" s="64">
        <v>0.14399999999999999</v>
      </c>
      <c r="J31" s="64">
        <v>0.124</v>
      </c>
      <c r="K31" s="64">
        <v>0.128</v>
      </c>
      <c r="L31" s="64">
        <v>0.127</v>
      </c>
      <c r="M31" s="280">
        <v>0.128</v>
      </c>
      <c r="N31" s="280">
        <v>0.129</v>
      </c>
      <c r="O31" s="280">
        <v>0.1</v>
      </c>
      <c r="P31" s="536">
        <v>0.1</v>
      </c>
      <c r="Q31" s="64">
        <v>0.1</v>
      </c>
      <c r="R31" s="64">
        <f t="shared" ref="R31:T31" si="40">+Q31</f>
        <v>0.1</v>
      </c>
      <c r="S31" s="64">
        <f t="shared" si="40"/>
        <v>0.1</v>
      </c>
      <c r="T31" s="64">
        <f t="shared" si="40"/>
        <v>0.1</v>
      </c>
      <c r="U31" s="64">
        <f t="shared" ref="U31" si="41">+T31</f>
        <v>0.1</v>
      </c>
      <c r="V31" s="64">
        <f t="shared" ref="V31" si="42">+U31</f>
        <v>0.1</v>
      </c>
      <c r="W31" s="64">
        <f t="shared" ref="W31" si="43">+V31</f>
        <v>0.1</v>
      </c>
      <c r="X31" s="64">
        <f t="shared" ref="X31" si="44">+W31</f>
        <v>0.1</v>
      </c>
      <c r="Y31" s="64">
        <f t="shared" ref="Y31" si="45">+X31</f>
        <v>0.1</v>
      </c>
      <c r="Z31" s="64">
        <f t="shared" ref="Z31" si="46">+Y31</f>
        <v>0.1</v>
      </c>
      <c r="AA31" s="64">
        <f t="shared" ref="AA31" si="47">+Z31</f>
        <v>0.1</v>
      </c>
      <c r="AB31" s="64">
        <f t="shared" ref="AB31" si="48">+AA31</f>
        <v>0.1</v>
      </c>
      <c r="AC31" s="64">
        <f t="shared" ref="AC31" si="49">+AB31</f>
        <v>0.1</v>
      </c>
      <c r="AD31" s="64">
        <f t="shared" ref="AD31" si="50">+AC31</f>
        <v>0.1</v>
      </c>
      <c r="AH31"/>
      <c r="AI31"/>
      <c r="AJ31"/>
      <c r="AK31"/>
      <c r="AL31"/>
      <c r="AM31"/>
    </row>
    <row r="32" spans="2:39" s="64" customFormat="1">
      <c r="B32" s="104" t="s">
        <v>585</v>
      </c>
      <c r="C32" s="64">
        <v>7801.17</v>
      </c>
      <c r="D32" s="64">
        <v>8184.9790000000003</v>
      </c>
      <c r="E32" s="64">
        <v>8206.9110000000001</v>
      </c>
      <c r="F32" s="64">
        <v>8308.232</v>
      </c>
      <c r="G32" s="64">
        <v>5807.0709999999999</v>
      </c>
      <c r="H32" s="64">
        <v>6073.9570000000003</v>
      </c>
      <c r="I32" s="64">
        <v>5781.92</v>
      </c>
      <c r="J32" s="64">
        <v>3895.1030000000001</v>
      </c>
      <c r="K32" s="64">
        <v>4185.0479999999998</v>
      </c>
      <c r="L32" s="64">
        <v>3854.5250000000001</v>
      </c>
      <c r="M32" s="280">
        <v>4023.6509999999998</v>
      </c>
      <c r="N32" s="280">
        <v>4196.1559999999999</v>
      </c>
      <c r="O32" s="280">
        <v>0</v>
      </c>
      <c r="P32" s="536">
        <v>0</v>
      </c>
      <c r="Q32" s="64">
        <v>97.8</v>
      </c>
      <c r="R32" s="64">
        <f>+Q32+CF!R83</f>
        <v>-3276.2847126460483</v>
      </c>
      <c r="S32" s="64">
        <f>+R32+CF!S83</f>
        <v>-6122.3576866766844</v>
      </c>
      <c r="T32" s="64">
        <f>+S32+CF!T83</f>
        <v>-8966.1890292479638</v>
      </c>
      <c r="U32" s="64">
        <f>+T32+CF!U83</f>
        <v>-11963.039850031666</v>
      </c>
      <c r="V32" s="64">
        <f>+U32+CF!V83</f>
        <v>-15100.855494758987</v>
      </c>
      <c r="W32" s="64">
        <f>+V32+CF!W83</f>
        <v>-18314.883864063704</v>
      </c>
      <c r="X32" s="64">
        <f>+W32+CF!X83</f>
        <v>-21615.442334895568</v>
      </c>
      <c r="Y32" s="64">
        <f>+X32+CF!Y83</f>
        <v>-24825.342429162589</v>
      </c>
      <c r="Z32" s="64">
        <f>+Y32+CF!Z83</f>
        <v>-27737.785037920923</v>
      </c>
      <c r="AA32" s="64">
        <f>+Z32+CF!AA83</f>
        <v>-30203.058191993103</v>
      </c>
      <c r="AB32" s="64">
        <f>+AA32+CF!AB83</f>
        <v>-32363.193834630434</v>
      </c>
      <c r="AC32" s="64">
        <f>+AB32+CF!AC83</f>
        <v>-34488.185496049344</v>
      </c>
      <c r="AD32" s="64">
        <f>+AC32+CF!AD83</f>
        <v>-36645.884549001734</v>
      </c>
      <c r="AH32"/>
      <c r="AI32"/>
      <c r="AJ32"/>
      <c r="AK32"/>
      <c r="AL32"/>
      <c r="AM32"/>
    </row>
    <row r="33" spans="2:39" s="64" customFormat="1">
      <c r="B33" s="104" t="s">
        <v>346</v>
      </c>
      <c r="C33" s="64">
        <v>1.054</v>
      </c>
      <c r="D33" s="64">
        <v>-6.7670000000000003</v>
      </c>
      <c r="E33" s="64">
        <v>-13.91</v>
      </c>
      <c r="F33" s="64">
        <v>21.855</v>
      </c>
      <c r="G33" s="64">
        <v>79.245999999999995</v>
      </c>
      <c r="H33" s="64">
        <v>-11.106</v>
      </c>
      <c r="I33" s="64">
        <v>50.496000000000002</v>
      </c>
      <c r="J33" s="64">
        <v>-21.61</v>
      </c>
      <c r="K33" s="64">
        <v>-26.535</v>
      </c>
      <c r="L33" s="64">
        <v>-55.305</v>
      </c>
      <c r="M33" s="280">
        <v>-27.745000000000001</v>
      </c>
      <c r="N33" s="280">
        <v>-59.488</v>
      </c>
      <c r="O33" s="280">
        <v>-224</v>
      </c>
      <c r="P33" s="536">
        <v>-319.89999999999998</v>
      </c>
      <c r="Q33" s="64">
        <v>-318.39999999999998</v>
      </c>
      <c r="R33" s="64">
        <f>Q33+CF!R44</f>
        <v>-318.39999999999998</v>
      </c>
      <c r="S33" s="64">
        <f>R33+CF!S44</f>
        <v>-318.39999999999998</v>
      </c>
      <c r="T33" s="64">
        <f>S33+CF!T44</f>
        <v>-318.39999999999998</v>
      </c>
      <c r="U33" s="64">
        <f>T33+CF!U44</f>
        <v>-318.39999999999998</v>
      </c>
      <c r="V33" s="64">
        <f>U33+CF!V44</f>
        <v>-318.39999999999998</v>
      </c>
      <c r="W33" s="64">
        <f>V33+CF!W44</f>
        <v>-318.39999999999998</v>
      </c>
      <c r="X33" s="64">
        <f>W33+CF!X44</f>
        <v>-318.39999999999998</v>
      </c>
      <c r="Y33" s="64">
        <f>X33+CF!Y44</f>
        <v>-318.39999999999998</v>
      </c>
      <c r="Z33" s="64">
        <f>Y33+CF!Z44</f>
        <v>-318.39999999999998</v>
      </c>
      <c r="AA33" s="64">
        <f>Z33+CF!AA44</f>
        <v>-318.39999999999998</v>
      </c>
      <c r="AB33" s="64">
        <f>AA33+CF!AB44</f>
        <v>-318.39999999999998</v>
      </c>
      <c r="AC33" s="64">
        <f>AB33+CF!AC44</f>
        <v>-318.39999999999998</v>
      </c>
      <c r="AD33" s="64">
        <f>AC33+CF!AD44</f>
        <v>-318.39999999999998</v>
      </c>
      <c r="AH33"/>
      <c r="AI33"/>
      <c r="AJ33"/>
      <c r="AK33"/>
      <c r="AL33"/>
      <c r="AM33"/>
    </row>
    <row r="34" spans="2:39" s="64" customFormat="1">
      <c r="B34" s="104" t="s">
        <v>345</v>
      </c>
      <c r="C34" s="64">
        <f>-2.141-611.921</f>
        <v>-614.06200000000001</v>
      </c>
      <c r="D34" s="64">
        <f>-36.28-801.094</f>
        <v>-837.37400000000002</v>
      </c>
      <c r="E34" s="64">
        <f>-42.894-1021.644</f>
        <v>-1064.538</v>
      </c>
      <c r="F34" s="64">
        <v>-860.827</v>
      </c>
      <c r="G34" s="64">
        <v>-352.16899999999998</v>
      </c>
      <c r="H34" s="64">
        <v>270.18</v>
      </c>
      <c r="I34" s="64">
        <v>1068.8900000000001</v>
      </c>
      <c r="J34" s="64">
        <v>1872.481</v>
      </c>
      <c r="K34" s="64">
        <v>3106.761</v>
      </c>
      <c r="L34" s="64">
        <v>4486.7939999999999</v>
      </c>
      <c r="M34" s="280">
        <v>6349.1350000000002</v>
      </c>
      <c r="N34" s="280">
        <v>9283.9189999999999</v>
      </c>
      <c r="O34" s="280">
        <v>12208.4</v>
      </c>
      <c r="P34" s="536">
        <v>15071.6</v>
      </c>
      <c r="Q34" s="64">
        <v>15810.4</v>
      </c>
      <c r="R34" s="64">
        <f>Q34+IS!CD100</f>
        <v>20440.801450063034</v>
      </c>
      <c r="S34" s="64">
        <f>R34+IS!CI100</f>
        <v>25576.384755391995</v>
      </c>
      <c r="T34" s="64">
        <f>S34+IS!CN100</f>
        <v>30974.426994025558</v>
      </c>
      <c r="U34" s="64">
        <f>T34+IS!CS100</f>
        <v>36644.637930678909</v>
      </c>
      <c r="V34" s="64">
        <f>U34+IS!CX100</f>
        <v>42449.874863970312</v>
      </c>
      <c r="W34" s="64">
        <f>V34+IS!DC100</f>
        <v>48346.416733009268</v>
      </c>
      <c r="X34" s="64">
        <f>W34+IS!DH100</f>
        <v>54346.622132553406</v>
      </c>
      <c r="Y34" s="64">
        <f>X34+IS!DM100</f>
        <v>59839.842493400822</v>
      </c>
      <c r="Z34" s="64">
        <f>Y34+IS!DR100</f>
        <v>64595.209806436796</v>
      </c>
      <c r="AA34" s="64">
        <f>Z34+IS!DW100</f>
        <v>68150.659590290248</v>
      </c>
      <c r="AB34" s="64">
        <f>AA34+IS!EB100</f>
        <v>71435.725603216051</v>
      </c>
      <c r="AC34" s="64">
        <f>AB34+IS!EG100</f>
        <v>74590.119170702019</v>
      </c>
      <c r="AD34" s="64">
        <f>AC34+IS!EL100</f>
        <v>77814.92340114023</v>
      </c>
      <c r="AH34"/>
      <c r="AI34"/>
      <c r="AJ34"/>
      <c r="AK34"/>
      <c r="AL34"/>
      <c r="AM34"/>
    </row>
    <row r="35" spans="2:39" s="64" customFormat="1">
      <c r="B35" s="104" t="s">
        <v>344</v>
      </c>
      <c r="C35" s="64">
        <v>-135</v>
      </c>
      <c r="D35" s="64">
        <v>-514.61</v>
      </c>
      <c r="E35" s="64">
        <v>-222.76</v>
      </c>
      <c r="F35" s="64">
        <v>-319.65499999999997</v>
      </c>
      <c r="G35" s="64">
        <v>0</v>
      </c>
      <c r="H35" s="64">
        <v>-527.09699999999998</v>
      </c>
      <c r="I35" s="64">
        <v>-679.92</v>
      </c>
      <c r="J35" s="64">
        <v>-349.59199999999998</v>
      </c>
      <c r="K35" s="64">
        <v>-839.90300000000002</v>
      </c>
      <c r="L35" s="64">
        <v>-1324.6179999999999</v>
      </c>
      <c r="M35" s="280">
        <v>-1724.9269999999999</v>
      </c>
      <c r="N35" s="280">
        <v>-2611.7060000000001</v>
      </c>
      <c r="O35" s="280">
        <v>-2611.6999999999998</v>
      </c>
      <c r="P35" s="536">
        <v>-2611.6999999999998</v>
      </c>
      <c r="Q35" s="64">
        <v>-2977.1</v>
      </c>
      <c r="R35" s="64">
        <f t="shared" ref="R35:T35" si="51">Q35</f>
        <v>-2977.1</v>
      </c>
      <c r="S35" s="64">
        <f t="shared" si="51"/>
        <v>-2977.1</v>
      </c>
      <c r="T35" s="64">
        <f t="shared" si="51"/>
        <v>-2977.1</v>
      </c>
      <c r="U35" s="64">
        <f t="shared" ref="U35" si="52">T35</f>
        <v>-2977.1</v>
      </c>
      <c r="V35" s="64">
        <f t="shared" ref="V35" si="53">U35</f>
        <v>-2977.1</v>
      </c>
      <c r="W35" s="64">
        <f t="shared" ref="W35" si="54">V35</f>
        <v>-2977.1</v>
      </c>
      <c r="X35" s="64">
        <f t="shared" ref="X35" si="55">W35</f>
        <v>-2977.1</v>
      </c>
      <c r="Y35" s="64">
        <f t="shared" ref="Y35" si="56">X35</f>
        <v>-2977.1</v>
      </c>
      <c r="Z35" s="64">
        <f t="shared" ref="Z35" si="57">Y35</f>
        <v>-2977.1</v>
      </c>
      <c r="AA35" s="64">
        <f t="shared" ref="AA35" si="58">Z35</f>
        <v>-2977.1</v>
      </c>
      <c r="AB35" s="64">
        <f t="shared" ref="AB35" si="59">AA35</f>
        <v>-2977.1</v>
      </c>
      <c r="AC35" s="64">
        <f t="shared" ref="AC35" si="60">AB35</f>
        <v>-2977.1</v>
      </c>
      <c r="AD35" s="64">
        <f t="shared" ref="AD35" si="61">AC35</f>
        <v>-2977.1</v>
      </c>
      <c r="AH35"/>
      <c r="AI35"/>
      <c r="AJ35"/>
      <c r="AK35"/>
      <c r="AL35"/>
      <c r="AM35"/>
    </row>
    <row r="36" spans="2:39" s="64" customFormat="1">
      <c r="B36" s="286" t="s">
        <v>587</v>
      </c>
      <c r="C36" s="282">
        <f>SUM(C31:C35)</f>
        <v>7053.3280000000004</v>
      </c>
      <c r="D36" s="282">
        <f t="shared" ref="D36:S36" si="62">SUM(D31:D35)</f>
        <v>6826.4010000000007</v>
      </c>
      <c r="E36" s="282">
        <f t="shared" si="62"/>
        <v>6905.8760000000002</v>
      </c>
      <c r="F36" s="282">
        <f t="shared" si="62"/>
        <v>7149.7780000000002</v>
      </c>
      <c r="G36" s="282">
        <f t="shared" si="62"/>
        <v>5534.2950000000001</v>
      </c>
      <c r="H36" s="282">
        <f t="shared" si="62"/>
        <v>5806.0830000000014</v>
      </c>
      <c r="I36" s="282">
        <f t="shared" si="62"/>
        <v>6221.5300000000007</v>
      </c>
      <c r="J36" s="282">
        <f t="shared" si="62"/>
        <v>5396.5060000000003</v>
      </c>
      <c r="K36" s="282">
        <f t="shared" si="62"/>
        <v>6425.4989999999998</v>
      </c>
      <c r="L36" s="282">
        <f t="shared" si="62"/>
        <v>6961.5229999999992</v>
      </c>
      <c r="M36" s="282">
        <f t="shared" si="62"/>
        <v>8620.2420000000002</v>
      </c>
      <c r="N36" s="282">
        <f t="shared" si="62"/>
        <v>10809.01</v>
      </c>
      <c r="O36" s="282">
        <f t="shared" si="62"/>
        <v>9372.7999999999993</v>
      </c>
      <c r="P36" s="537">
        <f t="shared" si="62"/>
        <v>12140.100000000002</v>
      </c>
      <c r="Q36" s="282">
        <f t="shared" si="62"/>
        <v>12612.8</v>
      </c>
      <c r="R36" s="282">
        <f t="shared" si="62"/>
        <v>13869.116737416987</v>
      </c>
      <c r="S36" s="282">
        <f t="shared" si="62"/>
        <v>16158.62706871531</v>
      </c>
      <c r="T36" s="282">
        <f>SUM(T31:T35)</f>
        <v>18712.837964777595</v>
      </c>
      <c r="U36" s="282">
        <f t="shared" ref="U36:AD36" si="63">SUM(U31:U35)</f>
        <v>21386.198080647246</v>
      </c>
      <c r="V36" s="282">
        <f t="shared" si="63"/>
        <v>24053.619369211327</v>
      </c>
      <c r="W36" s="282">
        <f t="shared" si="63"/>
        <v>26736.132868945562</v>
      </c>
      <c r="X36" s="282">
        <f t="shared" si="63"/>
        <v>29435.779797657837</v>
      </c>
      <c r="Y36" s="282">
        <f t="shared" si="63"/>
        <v>31719.100064238235</v>
      </c>
      <c r="Z36" s="282">
        <f t="shared" si="63"/>
        <v>33562.024768515876</v>
      </c>
      <c r="AA36" s="282">
        <f t="shared" si="63"/>
        <v>34652.201398297148</v>
      </c>
      <c r="AB36" s="282">
        <f t="shared" si="63"/>
        <v>35777.131768585612</v>
      </c>
      <c r="AC36" s="282">
        <f t="shared" si="63"/>
        <v>36806.533674652674</v>
      </c>
      <c r="AD36" s="282">
        <f t="shared" si="63"/>
        <v>37873.638852138494</v>
      </c>
      <c r="AH36"/>
      <c r="AI36"/>
      <c r="AJ36"/>
      <c r="AK36"/>
      <c r="AL36"/>
      <c r="AM36"/>
    </row>
    <row r="37" spans="2:39" s="64" customFormat="1" ht="6.75" customHeight="1">
      <c r="B37" s="285"/>
      <c r="P37" s="536"/>
      <c r="AH37"/>
      <c r="AI37"/>
      <c r="AJ37"/>
      <c r="AK37"/>
      <c r="AL37"/>
      <c r="AM37"/>
    </row>
    <row r="38" spans="2:39" s="64" customFormat="1">
      <c r="B38" s="104" t="s">
        <v>586</v>
      </c>
      <c r="C38" s="64">
        <v>0</v>
      </c>
      <c r="D38" s="64">
        <v>0</v>
      </c>
      <c r="E38" s="64">
        <v>0</v>
      </c>
      <c r="F38" s="64">
        <v>0</v>
      </c>
      <c r="G38" s="64">
        <v>0</v>
      </c>
      <c r="H38" s="64">
        <v>27.869</v>
      </c>
      <c r="I38" s="64">
        <v>40.351999999999997</v>
      </c>
      <c r="J38" s="64">
        <v>52.936999999999998</v>
      </c>
      <c r="K38" s="64">
        <v>1.488</v>
      </c>
      <c r="L38" s="64">
        <v>2.2719999999999998</v>
      </c>
      <c r="M38" s="280">
        <v>0.59599999999999997</v>
      </c>
      <c r="N38" s="280">
        <v>5.03</v>
      </c>
      <c r="O38" s="280">
        <v>2.1</v>
      </c>
      <c r="P38" s="536">
        <v>-11.5</v>
      </c>
      <c r="Q38" s="64">
        <v>-14.7</v>
      </c>
      <c r="R38" s="64">
        <f>+Q38+CF!R38+IS!CD43</f>
        <v>6.6999999999999922</v>
      </c>
      <c r="S38" s="64">
        <f>+R38+CF!S38+IS!CI43</f>
        <v>28.099999999999984</v>
      </c>
      <c r="T38" s="64">
        <f>+S38+CF!T38+IS!CN43</f>
        <v>49.499999999999972</v>
      </c>
      <c r="U38" s="64">
        <f>+T38+CF!U38+IS!CS43</f>
        <v>70.899999999999963</v>
      </c>
      <c r="V38" s="64">
        <f>+U38+CF!V38+IS!CX43</f>
        <v>92.299999999999955</v>
      </c>
      <c r="W38" s="64">
        <f>+V38+CF!W38+IS!DC43</f>
        <v>113.69999999999995</v>
      </c>
      <c r="X38" s="64">
        <f>+W38+CF!X38+IS!DH43</f>
        <v>135.09999999999994</v>
      </c>
      <c r="Y38" s="64">
        <f>+X38+CF!Y38+IS!DM43</f>
        <v>156.49999999999994</v>
      </c>
      <c r="Z38" s="64">
        <f>+Y38+CF!Z38+IS!DR43</f>
        <v>177.89999999999992</v>
      </c>
      <c r="AA38" s="64">
        <f>+Z38+CF!AA38+IS!DW43</f>
        <v>199.2999999999999</v>
      </c>
      <c r="AB38" s="64">
        <f>+AA38+CF!AB38+IS!EB43</f>
        <v>220.69999999999987</v>
      </c>
      <c r="AC38" s="64">
        <f>+AB38+CF!AC38+IS!EG43</f>
        <v>242.09999999999985</v>
      </c>
      <c r="AD38" s="64">
        <f>+AC38+CF!AD38+IS!EL43</f>
        <v>263.49999999999983</v>
      </c>
      <c r="AH38"/>
      <c r="AI38"/>
      <c r="AJ38"/>
      <c r="AK38"/>
      <c r="AL38"/>
      <c r="AM38"/>
    </row>
    <row r="39" spans="2:39" s="64" customFormat="1">
      <c r="B39" s="287" t="s">
        <v>347</v>
      </c>
      <c r="C39" s="284">
        <f t="shared" ref="C39:L39" si="64">+C31+C32+C35+C34+C33</f>
        <v>7053.3280000000004</v>
      </c>
      <c r="D39" s="284">
        <f t="shared" si="64"/>
        <v>6826.4010000000007</v>
      </c>
      <c r="E39" s="284">
        <f t="shared" si="64"/>
        <v>6905.8760000000002</v>
      </c>
      <c r="F39" s="284">
        <f t="shared" si="64"/>
        <v>7149.7780000000002</v>
      </c>
      <c r="G39" s="284">
        <f t="shared" si="64"/>
        <v>5534.2950000000001</v>
      </c>
      <c r="H39" s="284">
        <f t="shared" si="64"/>
        <v>5806.0830000000014</v>
      </c>
      <c r="I39" s="284">
        <f t="shared" si="64"/>
        <v>6221.5300000000007</v>
      </c>
      <c r="J39" s="284">
        <f t="shared" si="64"/>
        <v>5396.5060000000003</v>
      </c>
      <c r="K39" s="284">
        <f t="shared" si="64"/>
        <v>6425.4989999999998</v>
      </c>
      <c r="L39" s="284">
        <f t="shared" si="64"/>
        <v>6961.5229999999992</v>
      </c>
      <c r="M39" s="284">
        <f>+M31+M32+M35+M34+M33+M38</f>
        <v>8620.8379999999997</v>
      </c>
      <c r="N39" s="284">
        <f t="shared" ref="N39:AD39" si="65">+N31+N32+N35+N34+N33+N38</f>
        <v>10814.04</v>
      </c>
      <c r="O39" s="284">
        <f t="shared" si="65"/>
        <v>9374.9</v>
      </c>
      <c r="P39" s="284">
        <f t="shared" si="65"/>
        <v>12128.6</v>
      </c>
      <c r="Q39" s="284">
        <f t="shared" si="65"/>
        <v>12598.1</v>
      </c>
      <c r="R39" s="284">
        <f t="shared" si="65"/>
        <v>13875.816737416988</v>
      </c>
      <c r="S39" s="284">
        <f t="shared" si="65"/>
        <v>16186.72706871531</v>
      </c>
      <c r="T39" s="284">
        <f t="shared" si="65"/>
        <v>18762.337964777595</v>
      </c>
      <c r="U39" s="284">
        <f t="shared" si="65"/>
        <v>21457.098080647243</v>
      </c>
      <c r="V39" s="284">
        <f>+V31+V32+V35+V34+V33+V38</f>
        <v>24145.919369211322</v>
      </c>
      <c r="W39" s="284">
        <f t="shared" si="65"/>
        <v>26849.832868945563</v>
      </c>
      <c r="X39" s="284">
        <f>+X31+X32+X35+X34+X33+X38</f>
        <v>29570.879797657835</v>
      </c>
      <c r="Y39" s="284">
        <f t="shared" si="65"/>
        <v>31875.600064238231</v>
      </c>
      <c r="Z39" s="284">
        <f t="shared" si="65"/>
        <v>33739.924768515877</v>
      </c>
      <c r="AA39" s="284">
        <f t="shared" si="65"/>
        <v>34851.501398297143</v>
      </c>
      <c r="AB39" s="284">
        <f t="shared" si="65"/>
        <v>35997.831768585609</v>
      </c>
      <c r="AC39" s="284">
        <f t="shared" si="65"/>
        <v>37048.633674652672</v>
      </c>
      <c r="AD39" s="284">
        <f t="shared" si="65"/>
        <v>38137.138852138494</v>
      </c>
      <c r="AH39"/>
      <c r="AI39"/>
      <c r="AJ39"/>
      <c r="AK39"/>
      <c r="AL39"/>
      <c r="AM39"/>
    </row>
    <row r="40" spans="2:39" s="64" customFormat="1" ht="15.75" thickBot="1">
      <c r="B40" s="288" t="s">
        <v>348</v>
      </c>
      <c r="C40" s="283">
        <f t="shared" ref="C40:L40" si="66">C39+C29+C38</f>
        <v>9503.9449999999997</v>
      </c>
      <c r="D40" s="283">
        <f t="shared" si="66"/>
        <v>9165.7580000000016</v>
      </c>
      <c r="E40" s="283">
        <f t="shared" si="66"/>
        <v>8381.7170000000006</v>
      </c>
      <c r="F40" s="283">
        <f t="shared" si="66"/>
        <v>8552.8080000000009</v>
      </c>
      <c r="G40" s="283">
        <f t="shared" si="66"/>
        <v>8628.8150000000005</v>
      </c>
      <c r="H40" s="283">
        <f t="shared" si="66"/>
        <v>8478.9910000000018</v>
      </c>
      <c r="I40" s="283">
        <f t="shared" si="66"/>
        <v>8551.8540000000012</v>
      </c>
      <c r="J40" s="283">
        <f t="shared" si="66"/>
        <v>8092.4930000000004</v>
      </c>
      <c r="K40" s="283">
        <f t="shared" si="66"/>
        <v>9049.6039999999994</v>
      </c>
      <c r="L40" s="283">
        <f t="shared" si="66"/>
        <v>10130.118</v>
      </c>
      <c r="M40" s="283">
        <f>M39+M29</f>
        <v>11863.334999999999</v>
      </c>
      <c r="N40" s="283">
        <f t="shared" ref="N40:S40" si="67">N39+N29</f>
        <v>14316.559000000001</v>
      </c>
      <c r="O40" s="283">
        <f t="shared" si="67"/>
        <v>19504.8</v>
      </c>
      <c r="P40" s="283">
        <f t="shared" si="67"/>
        <v>22876.800000000003</v>
      </c>
      <c r="Q40" s="283">
        <f t="shared" si="67"/>
        <v>23652.600000000002</v>
      </c>
      <c r="R40" s="283">
        <f t="shared" si="67"/>
        <v>24478.197634320015</v>
      </c>
      <c r="S40" s="283">
        <f t="shared" si="67"/>
        <v>26642.30995509811</v>
      </c>
      <c r="T40" s="283">
        <f>T39+T29</f>
        <v>27956.92806851229</v>
      </c>
      <c r="U40" s="283">
        <f t="shared" ref="U40:AC40" si="68">U39+U29</f>
        <v>30771.083646801322</v>
      </c>
      <c r="V40" s="283">
        <f>V39+V29</f>
        <v>32588.959825919264</v>
      </c>
      <c r="W40" s="283">
        <f t="shared" si="68"/>
        <v>35417.649595768147</v>
      </c>
      <c r="X40" s="283">
        <f>X39+X29</f>
        <v>38266.841036879894</v>
      </c>
      <c r="Y40" s="283">
        <f t="shared" si="68"/>
        <v>38955.424888057292</v>
      </c>
      <c r="Z40" s="283">
        <f t="shared" si="68"/>
        <v>40872.459497944132</v>
      </c>
      <c r="AA40" s="283">
        <f t="shared" si="68"/>
        <v>42021.947662931241</v>
      </c>
      <c r="AB40" s="283">
        <f t="shared" si="68"/>
        <v>43174.742217424267</v>
      </c>
      <c r="AC40" s="283">
        <f t="shared" si="68"/>
        <v>44226.816562912063</v>
      </c>
      <c r="AD40" s="283">
        <f>AD39+AD29</f>
        <v>45321.440878059533</v>
      </c>
      <c r="AH40"/>
      <c r="AI40"/>
      <c r="AJ40"/>
      <c r="AK40"/>
      <c r="AL40"/>
      <c r="AM40"/>
    </row>
    <row r="41" spans="2:39" s="64" customFormat="1" ht="15.75" thickTop="1">
      <c r="AH41"/>
      <c r="AI41"/>
      <c r="AJ41"/>
      <c r="AK41"/>
      <c r="AL41"/>
      <c r="AM41"/>
    </row>
    <row r="42" spans="2:39" s="344" customFormat="1" outlineLevel="1">
      <c r="B42" s="342" t="s">
        <v>283</v>
      </c>
      <c r="C42" s="343">
        <f t="shared" ref="C42:S42" si="69">C17-C40</f>
        <v>0</v>
      </c>
      <c r="D42" s="343">
        <f t="shared" si="69"/>
        <v>0</v>
      </c>
      <c r="E42" s="343">
        <f t="shared" si="69"/>
        <v>0</v>
      </c>
      <c r="F42" s="343">
        <f t="shared" si="69"/>
        <v>0</v>
      </c>
      <c r="G42" s="343">
        <f t="shared" si="69"/>
        <v>0</v>
      </c>
      <c r="H42" s="343">
        <f t="shared" si="69"/>
        <v>0</v>
      </c>
      <c r="I42" s="343">
        <f t="shared" si="69"/>
        <v>0</v>
      </c>
      <c r="J42" s="343">
        <f t="shared" si="69"/>
        <v>0</v>
      </c>
      <c r="K42" s="343">
        <f t="shared" si="69"/>
        <v>0</v>
      </c>
      <c r="L42" s="343">
        <f t="shared" si="69"/>
        <v>0</v>
      </c>
      <c r="M42" s="343">
        <f t="shared" si="69"/>
        <v>0</v>
      </c>
      <c r="N42" s="343">
        <f t="shared" si="69"/>
        <v>0</v>
      </c>
      <c r="O42" s="343">
        <f t="shared" si="69"/>
        <v>0</v>
      </c>
      <c r="P42" s="343">
        <f t="shared" si="69"/>
        <v>0</v>
      </c>
      <c r="Q42" s="343">
        <f>Q17-Q40</f>
        <v>0</v>
      </c>
      <c r="R42" s="343">
        <f t="shared" si="69"/>
        <v>-0.46978505340666743</v>
      </c>
      <c r="S42" s="343">
        <f t="shared" si="69"/>
        <v>-0.46978505340666743</v>
      </c>
      <c r="T42" s="343">
        <f>T17-T40</f>
        <v>-0.46978505341030541</v>
      </c>
      <c r="U42" s="343">
        <f>U17-U40</f>
        <v>-0.46978505341030541</v>
      </c>
      <c r="V42" s="343">
        <f>V17-V40</f>
        <v>-0.46978505339575349</v>
      </c>
      <c r="W42" s="343">
        <f t="shared" ref="W42:AC42" si="70">W17-W40</f>
        <v>-0.46978505339211551</v>
      </c>
      <c r="X42" s="343">
        <f>X17-X40</f>
        <v>-0.46978505339939147</v>
      </c>
      <c r="Y42" s="343">
        <f t="shared" si="70"/>
        <v>-0.46978505339211551</v>
      </c>
      <c r="Z42" s="343">
        <f t="shared" si="70"/>
        <v>-0.46978505339211551</v>
      </c>
      <c r="AA42" s="343">
        <f t="shared" si="70"/>
        <v>-0.46978505339939147</v>
      </c>
      <c r="AB42" s="343">
        <f t="shared" si="70"/>
        <v>-0.46978505339939147</v>
      </c>
      <c r="AC42" s="343">
        <f t="shared" si="70"/>
        <v>-0.46978505339211551</v>
      </c>
      <c r="AD42" s="343">
        <f>AD17-AD40</f>
        <v>-0.46978505339211551</v>
      </c>
      <c r="AE42" s="64"/>
      <c r="AH42"/>
      <c r="AI42"/>
      <c r="AJ42"/>
      <c r="AK42"/>
      <c r="AL42"/>
      <c r="AM42"/>
    </row>
    <row r="43" spans="2:39">
      <c r="B43" s="4"/>
      <c r="Q43" s="64"/>
      <c r="R43" s="64"/>
      <c r="S43" s="64"/>
      <c r="T43" s="64"/>
      <c r="U43" s="64"/>
      <c r="V43" s="64"/>
      <c r="W43" s="64"/>
      <c r="X43" s="64"/>
      <c r="Y43" s="64"/>
      <c r="Z43" s="64"/>
      <c r="AA43" s="64"/>
      <c r="AB43" s="64"/>
      <c r="AC43" s="64"/>
      <c r="AD43" s="64"/>
      <c r="AE43" s="64"/>
    </row>
    <row r="44" spans="2:39">
      <c r="B44" s="289" t="s">
        <v>349</v>
      </c>
      <c r="C44" s="290"/>
      <c r="D44" s="290"/>
      <c r="E44" s="290"/>
      <c r="F44" s="290"/>
      <c r="G44" s="290"/>
      <c r="H44" s="290"/>
      <c r="I44" s="290"/>
      <c r="J44" s="290"/>
      <c r="K44" s="290"/>
      <c r="L44" s="290"/>
      <c r="M44" s="290"/>
      <c r="N44" s="290"/>
      <c r="O44" s="290"/>
      <c r="P44" s="290"/>
      <c r="Q44" s="290"/>
      <c r="R44" s="290"/>
      <c r="S44" s="290"/>
      <c r="T44" s="290"/>
      <c r="U44" s="290"/>
      <c r="V44" s="290"/>
      <c r="W44" s="290"/>
      <c r="X44" s="290"/>
      <c r="Y44" s="290"/>
      <c r="Z44" s="290"/>
      <c r="AA44" s="290"/>
      <c r="AB44" s="290"/>
      <c r="AC44" s="290"/>
      <c r="AD44" s="290"/>
      <c r="AE44" s="64"/>
    </row>
    <row r="45" spans="2:39" s="64" customFormat="1" hidden="1" outlineLevel="1">
      <c r="B45" s="104" t="s">
        <v>350</v>
      </c>
      <c r="C45" s="64">
        <f>REVS!G56</f>
        <v>1852.4</v>
      </c>
      <c r="D45" s="64">
        <f>REVS!L56</f>
        <v>2211.5619999999999</v>
      </c>
      <c r="E45" s="64">
        <f>REVS!Q56</f>
        <v>2422.5</v>
      </c>
      <c r="F45" s="64">
        <f>REVS!V56</f>
        <v>2683.049</v>
      </c>
      <c r="G45" s="64">
        <f>REVS!AA56</f>
        <v>3171.6169999999997</v>
      </c>
      <c r="H45" s="64">
        <f>REVS!AF56</f>
        <v>4097.5069999999996</v>
      </c>
      <c r="I45" s="64">
        <f>REVS!AK56</f>
        <v>4377.348</v>
      </c>
      <c r="J45" s="64">
        <f>REVS!AP56</f>
        <v>4716.4229999999998</v>
      </c>
      <c r="K45" s="64">
        <f>REVS!AU56</f>
        <v>5035.0209999999997</v>
      </c>
      <c r="L45" s="64">
        <f>REVS!AZ56</f>
        <v>5563.2520000000004</v>
      </c>
      <c r="M45" s="64">
        <f>REVS!BE56</f>
        <v>6932.7650000000003</v>
      </c>
      <c r="N45" s="64">
        <f>REVS!BJ56</f>
        <v>9703.3240000000005</v>
      </c>
      <c r="O45" s="64">
        <f>REVS!BO56</f>
        <v>10763.710999999998</v>
      </c>
      <c r="P45" s="64">
        <f>REVS!BT56</f>
        <v>11448.8</v>
      </c>
      <c r="Q45" s="64">
        <f>REVS!BY56</f>
        <v>12273.900000000003</v>
      </c>
      <c r="R45" s="64">
        <f>REVS!CD56</f>
        <v>12868.75464720094</v>
      </c>
      <c r="S45" s="64">
        <f>REVS!CI56</f>
        <v>13416.991846807408</v>
      </c>
      <c r="T45" s="64">
        <f>REVS!CN56</f>
        <v>14086.784182794972</v>
      </c>
      <c r="U45" s="64">
        <f>REVS!CS56</f>
        <v>14607.489701855131</v>
      </c>
      <c r="V45" s="64">
        <f>REVS!CX56</f>
        <v>14952.400133891926</v>
      </c>
      <c r="W45" s="64">
        <f>REVS!DC56</f>
        <v>15302.910087576756</v>
      </c>
      <c r="X45" s="64">
        <f>REVS!DH56</f>
        <v>15660.776822432199</v>
      </c>
      <c r="Y45" s="64">
        <f>REVS!DM56</f>
        <v>15165.290491441607</v>
      </c>
      <c r="Z45" s="64">
        <f>REVS!DR56</f>
        <v>14255.157231075118</v>
      </c>
      <c r="AA45" s="64">
        <f>REVS!DW56</f>
        <v>12708.751749751562</v>
      </c>
      <c r="AB45" s="64">
        <f>REVS!EB56</f>
        <v>12423.328497190125</v>
      </c>
      <c r="AC45" s="64">
        <f>REVS!EG56</f>
        <v>12286.744087447398</v>
      </c>
      <c r="AD45" s="64">
        <f>REVS!EL56</f>
        <v>12432.220906493016</v>
      </c>
      <c r="AH45"/>
      <c r="AI45"/>
      <c r="AJ45"/>
      <c r="AK45"/>
      <c r="AL45"/>
      <c r="AM45"/>
    </row>
    <row r="46" spans="2:39" s="64" customFormat="1" hidden="1" outlineLevel="1">
      <c r="B46" s="104" t="s">
        <v>153</v>
      </c>
      <c r="C46" s="64">
        <f>IS!G11</f>
        <v>230.5</v>
      </c>
      <c r="D46" s="64">
        <f>IS!L11</f>
        <v>258.81899999999996</v>
      </c>
      <c r="E46" s="64">
        <f>IS!Q11</f>
        <v>303.01400000000001</v>
      </c>
      <c r="F46" s="64">
        <f>IS!V11</f>
        <v>266.48299999999995</v>
      </c>
      <c r="G46" s="64">
        <f>IS!AA11</f>
        <v>335.09199999999998</v>
      </c>
      <c r="H46" s="64">
        <f>IS!AF11</f>
        <v>401.98899999999998</v>
      </c>
      <c r="I46" s="64">
        <f>IS!AK11</f>
        <v>382.10399999999998</v>
      </c>
      <c r="J46" s="64">
        <f>IS!AP11</f>
        <v>400.262</v>
      </c>
      <c r="K46" s="64">
        <f>IS!AU11</f>
        <v>466.78099999999995</v>
      </c>
      <c r="L46" s="64">
        <f>IS!AZ11</f>
        <v>545.495</v>
      </c>
      <c r="M46" s="64">
        <f>IS!BE11</f>
        <v>857.726</v>
      </c>
      <c r="N46" s="64">
        <f>IS!BJ11</f>
        <v>1171.0360000000001</v>
      </c>
      <c r="O46" s="64">
        <f>IS!BO11</f>
        <v>1240.3789999999999</v>
      </c>
      <c r="P46" s="64">
        <f>IS!BT11</f>
        <v>1478.6999999999998</v>
      </c>
      <c r="Q46" s="64">
        <f>IS!BY11</f>
        <v>1630</v>
      </c>
      <c r="R46" s="64">
        <f>IS!CD11</f>
        <v>1694.1772671017693</v>
      </c>
      <c r="S46" s="64">
        <f>IS!CI11</f>
        <v>1749.1601024441284</v>
      </c>
      <c r="T46" s="64">
        <f>IS!CN11</f>
        <v>1882.6653595089203</v>
      </c>
      <c r="U46" s="64">
        <f>IS!CS11</f>
        <v>1961.391974267651</v>
      </c>
      <c r="V46" s="64">
        <f>IS!CX11</f>
        <v>2041.4237258945493</v>
      </c>
      <c r="W46" s="64">
        <f>IS!DC11</f>
        <v>2120.6289170946993</v>
      </c>
      <c r="X46" s="64">
        <f>IS!DH11</f>
        <v>2203.1292956199482</v>
      </c>
      <c r="Y46" s="64">
        <f>IS!DM11</f>
        <v>2220.6563358469375</v>
      </c>
      <c r="Z46" s="64">
        <f>IS!DR11</f>
        <v>2202.0440995670069</v>
      </c>
      <c r="AA46" s="64">
        <f>IS!DW11</f>
        <v>2097.795350264129</v>
      </c>
      <c r="AB46" s="64">
        <f>IS!EB11</f>
        <v>2131.9575703616556</v>
      </c>
      <c r="AC46" s="64">
        <f>IS!EG11</f>
        <v>2138.6822171501854</v>
      </c>
      <c r="AD46" s="64">
        <f>IS!EL11</f>
        <v>2171.0209192955972</v>
      </c>
      <c r="AH46"/>
      <c r="AI46"/>
      <c r="AJ46"/>
      <c r="AK46"/>
      <c r="AL46"/>
      <c r="AM46"/>
    </row>
    <row r="47" spans="2:39" s="64" customFormat="1" hidden="1" outlineLevel="1">
      <c r="B47" s="104" t="s">
        <v>351</v>
      </c>
      <c r="C47" s="64">
        <f>IS!G14+IS!G21</f>
        <v>1042.5</v>
      </c>
      <c r="D47" s="64">
        <f>IS!L14+IS!L21</f>
        <v>1253.75</v>
      </c>
      <c r="E47" s="64">
        <f>IS!Q14+IS!Q21</f>
        <v>1357.2410000000002</v>
      </c>
      <c r="F47" s="64">
        <f>IS!V14+IS!V21</f>
        <v>1352.857</v>
      </c>
      <c r="G47" s="64">
        <f>IS!AA14+IS!AA21</f>
        <v>1663.9669999999999</v>
      </c>
      <c r="H47" s="64">
        <f>IS!AF14+IS!AF21</f>
        <v>1960.9629999999997</v>
      </c>
      <c r="I47" s="64">
        <f>IS!AK14+IS!AK21</f>
        <v>2154.1019999999999</v>
      </c>
      <c r="J47" s="64">
        <f>IS!AP14+IS!AP21</f>
        <v>2234.7439999999997</v>
      </c>
      <c r="K47" s="64">
        <f>IS!AU14+IS!AU21</f>
        <v>2263.4319999999998</v>
      </c>
      <c r="L47" s="64">
        <f>IS!AZ14+IS!AZ21</f>
        <v>2604.1859999999997</v>
      </c>
      <c r="M47" s="64">
        <f>IS!BE14+IS!BE21</f>
        <v>3119.2040000000002</v>
      </c>
      <c r="N47" s="64">
        <f>IS!BJ14+IS!BJ21</f>
        <v>4078.4640000000004</v>
      </c>
      <c r="O47" s="64">
        <f>IS!BO14+IS!BO21</f>
        <v>4125.9229999999998</v>
      </c>
      <c r="P47" s="64">
        <f>IS!BT14+IS!BT21</f>
        <v>3921.2000000000003</v>
      </c>
      <c r="Q47" s="64">
        <f>IS!BY14+IS!BY21</f>
        <v>4170.7</v>
      </c>
      <c r="R47" s="64">
        <f>IS!CD14+IS!CD21</f>
        <v>4475</v>
      </c>
      <c r="S47" s="64">
        <f>IS!CI14+IS!CI21</f>
        <v>4305</v>
      </c>
      <c r="T47" s="64">
        <f>IS!CN14+IS!CN21</f>
        <v>4520.25</v>
      </c>
      <c r="U47" s="64">
        <f>IS!CS14+IS!CS21</f>
        <v>4633.2562499999995</v>
      </c>
      <c r="V47" s="64">
        <f>IS!CX14+IS!CX21</f>
        <v>4749.0876562499989</v>
      </c>
      <c r="W47" s="64">
        <f>IS!DC14+IS!DC21</f>
        <v>4867.8148476562483</v>
      </c>
      <c r="X47" s="64">
        <f>IS!DH14+IS!DH21</f>
        <v>4989.510218847654</v>
      </c>
      <c r="Y47" s="64">
        <f>IS!DM14+IS!DM21</f>
        <v>5114.2479743188451</v>
      </c>
      <c r="Z47" s="64">
        <f>IS!DR14+IS!DR21</f>
        <v>5175.0576301110505</v>
      </c>
      <c r="AA47" s="64">
        <f>IS!DW14+IS!DW21</f>
        <v>5237.3875272980604</v>
      </c>
      <c r="AB47" s="64">
        <f>IS!EB14+IS!EB21</f>
        <v>5237.3875272980604</v>
      </c>
      <c r="AC47" s="64">
        <f>IS!EG14+IS!EG21</f>
        <v>5237.3875272980604</v>
      </c>
      <c r="AD47" s="64">
        <f>IS!EL14+IS!EL21</f>
        <v>5237.3875272980604</v>
      </c>
      <c r="AH47"/>
      <c r="AI47"/>
      <c r="AJ47"/>
      <c r="AK47"/>
      <c r="AL47"/>
      <c r="AM47"/>
    </row>
    <row r="48" spans="2:39" s="64" customFormat="1" hidden="1" outlineLevel="1">
      <c r="B48" s="104" t="s">
        <v>164</v>
      </c>
      <c r="C48" s="64">
        <f>IS!G39</f>
        <v>200.4</v>
      </c>
      <c r="D48" s="64">
        <f>IS!L39</f>
        <v>234.40700000000001</v>
      </c>
      <c r="E48" s="64">
        <f>IS!Q39</f>
        <v>240.68399999999997</v>
      </c>
      <c r="F48" s="64">
        <f>IS!V39</f>
        <v>348.73099999999999</v>
      </c>
      <c r="G48" s="64">
        <f>IS!AA39</f>
        <v>337.923</v>
      </c>
      <c r="H48" s="64">
        <f>IS!AF39</f>
        <v>447.67600000000004</v>
      </c>
      <c r="I48" s="64">
        <f>IS!AK39</f>
        <v>452.51700000000005</v>
      </c>
      <c r="J48" s="64">
        <f>IS!AP39</f>
        <v>447.43299999999999</v>
      </c>
      <c r="K48" s="64">
        <f>IS!AU39</f>
        <v>506.42700000000002</v>
      </c>
      <c r="L48" s="64">
        <f>IS!AZ39</f>
        <v>523.654</v>
      </c>
      <c r="M48" s="64">
        <f>IS!BE39</f>
        <v>694.0139999999999</v>
      </c>
      <c r="N48" s="64">
        <f>IS!BJ39</f>
        <v>1124.942</v>
      </c>
      <c r="O48" s="64">
        <f>IS!BO39</f>
        <v>1265.875</v>
      </c>
      <c r="P48" s="64">
        <f>IS!BT39</f>
        <v>1462.1999999999998</v>
      </c>
      <c r="Q48" s="64">
        <f>IS!BY39</f>
        <v>1498.1</v>
      </c>
      <c r="R48" s="64">
        <f>IS!CD39</f>
        <v>1466.7331344344127</v>
      </c>
      <c r="S48" s="64">
        <f>IS!CI39</f>
        <v>1577.1087015471178</v>
      </c>
      <c r="T48" s="64">
        <f>IS!CN39</f>
        <v>1612.2046314094664</v>
      </c>
      <c r="U48" s="64">
        <f>IS!CS39</f>
        <v>1645.9668552617466</v>
      </c>
      <c r="V48" s="64">
        <f>IS!CX39</f>
        <v>1639.1948556850562</v>
      </c>
      <c r="W48" s="64">
        <f>IS!DC39</f>
        <v>1668.7157879723809</v>
      </c>
      <c r="X48" s="64">
        <f>IS!DH39</f>
        <v>1701.5219163345173</v>
      </c>
      <c r="Y48" s="64">
        <f>IS!DM39</f>
        <v>1572.0037414910862</v>
      </c>
      <c r="Z48" s="64">
        <f>IS!DR39</f>
        <v>1381.1155895412078</v>
      </c>
      <c r="AA48" s="64">
        <f>IS!DW39</f>
        <v>1067.4001703914248</v>
      </c>
      <c r="AB48" s="64">
        <f>IS!EB39</f>
        <v>1000.7760034359715</v>
      </c>
      <c r="AC48" s="64">
        <f>IS!EG39</f>
        <v>971.29029009120848</v>
      </c>
      <c r="AD48" s="64">
        <f>IS!EL39</f>
        <v>995.25704859749726</v>
      </c>
      <c r="AH48"/>
      <c r="AI48"/>
      <c r="AJ48"/>
      <c r="AK48"/>
      <c r="AL48"/>
      <c r="AM48"/>
    </row>
    <row r="49" spans="2:39" s="64" customFormat="1" hidden="1" outlineLevel="1">
      <c r="B49" s="104" t="s">
        <v>352</v>
      </c>
      <c r="C49" s="64">
        <f>IS!G44</f>
        <v>431.6</v>
      </c>
      <c r="D49" s="64">
        <f>IS!L44</f>
        <v>497.96300000000031</v>
      </c>
      <c r="E49" s="64">
        <f>IS!Q44</f>
        <v>541.71600000000024</v>
      </c>
      <c r="F49" s="64">
        <f>IS!V44</f>
        <v>776.80299999999988</v>
      </c>
      <c r="G49" s="64">
        <f>IS!AA44</f>
        <v>879.07899999999995</v>
      </c>
      <c r="H49" s="64">
        <f>IS!AF44</f>
        <v>1080.9700000000005</v>
      </c>
      <c r="I49" s="64">
        <f>IS!AK44</f>
        <v>1195.1430000000003</v>
      </c>
      <c r="J49" s="64">
        <f>IS!AP44</f>
        <v>1314.5300000000004</v>
      </c>
      <c r="K49" s="64">
        <f>IS!AU44</f>
        <v>1436.7729999999992</v>
      </c>
      <c r="L49" s="64">
        <f>IS!AZ44</f>
        <v>1567.0610000000004</v>
      </c>
      <c r="M49" s="64">
        <f>IS!BE44</f>
        <v>2136.8629999999989</v>
      </c>
      <c r="N49" s="64">
        <f>IS!BJ44</f>
        <v>3281.0979999999986</v>
      </c>
      <c r="O49" s="64">
        <f>IS!BO44</f>
        <v>3931.9489999999996</v>
      </c>
      <c r="P49" s="64">
        <f>IS!BT44</f>
        <v>4422.6999999999989</v>
      </c>
      <c r="Q49" s="64">
        <f>IS!BY44</f>
        <v>4645.2309711965954</v>
      </c>
      <c r="R49" s="64">
        <f>IS!CD44</f>
        <v>4888.9674500630335</v>
      </c>
      <c r="S49" s="64">
        <f>IS!CI44</f>
        <v>5410.8633053289614</v>
      </c>
      <c r="T49" s="64">
        <f>IS!CN44</f>
        <v>5694.5982386335636</v>
      </c>
      <c r="U49" s="64">
        <f>IS!CS44</f>
        <v>5988.2929366533535</v>
      </c>
      <c r="V49" s="64">
        <f>IS!CX44</f>
        <v>6145.0949332914024</v>
      </c>
      <c r="W49" s="64">
        <f>IS!DC44</f>
        <v>6256.1498690389571</v>
      </c>
      <c r="X49" s="64">
        <f>IS!DH44</f>
        <v>6379.5633995441376</v>
      </c>
      <c r="Y49" s="64">
        <f>IS!DM44</f>
        <v>5892.3283608474194</v>
      </c>
      <c r="Z49" s="64">
        <f>IS!DR44</f>
        <v>5174.2253130359732</v>
      </c>
      <c r="AA49" s="64">
        <f>IS!DW44</f>
        <v>3994.0577838534559</v>
      </c>
      <c r="AB49" s="64">
        <f>IS!EB44</f>
        <v>3743.4240129257973</v>
      </c>
      <c r="AC49" s="64">
        <f>IS!EG44</f>
        <v>3632.5015674859746</v>
      </c>
      <c r="AD49" s="64">
        <f>IS!EL44</f>
        <v>3722.662230438204</v>
      </c>
      <c r="AH49"/>
      <c r="AI49"/>
      <c r="AJ49"/>
      <c r="AK49"/>
      <c r="AL49"/>
      <c r="AM49"/>
    </row>
    <row r="50" spans="2:39" s="64" customFormat="1" hidden="1" outlineLevel="1">
      <c r="B50" s="104" t="s">
        <v>353</v>
      </c>
      <c r="C50" s="64">
        <f>CF!C23</f>
        <v>169.96699999999981</v>
      </c>
      <c r="D50" s="64">
        <f>+CF!D23</f>
        <v>727.98599999999999</v>
      </c>
      <c r="E50" s="64">
        <f>+CF!E23</f>
        <v>889.50299999999993</v>
      </c>
      <c r="F50" s="64">
        <f>+CF!F23</f>
        <v>841.26799999999992</v>
      </c>
      <c r="G50" s="64">
        <f>+CF!G23</f>
        <v>1020.6349999999999</v>
      </c>
      <c r="H50" s="64">
        <f>+CF!H23</f>
        <v>1562.4450000000002</v>
      </c>
      <c r="I50" s="64">
        <f>+CF!I23</f>
        <v>1074.8980000000001</v>
      </c>
      <c r="J50" s="64">
        <f>+CF!J23</f>
        <v>1624.6729999999998</v>
      </c>
      <c r="K50" s="64">
        <f>+CF!K23</f>
        <v>1727.7409999999998</v>
      </c>
      <c r="L50" s="64">
        <f>+CF!L23</f>
        <v>1879.8969999999999</v>
      </c>
      <c r="M50" s="64">
        <f>+CF!M23</f>
        <v>2345.078</v>
      </c>
      <c r="N50" s="64">
        <f>+CF!N23</f>
        <v>2942.1149999999998</v>
      </c>
      <c r="O50" s="64">
        <f>+CF!O23</f>
        <v>3716.0999999999985</v>
      </c>
      <c r="P50" s="64">
        <f>+CF!P23</f>
        <v>4522.3999999999996</v>
      </c>
      <c r="Q50" s="64">
        <f>+CF!Q23</f>
        <v>4551</v>
      </c>
      <c r="R50" s="64">
        <f>+CF!R23</f>
        <v>4405.3217682991508</v>
      </c>
      <c r="S50" s="64">
        <f>+CF!S23</f>
        <v>5768.7739844974667</v>
      </c>
      <c r="T50" s="64">
        <f>+CF!T23</f>
        <v>6388.0845652038224</v>
      </c>
      <c r="U50" s="64">
        <f>+CF!U23</f>
        <v>6712.6211738554011</v>
      </c>
      <c r="V50" s="64">
        <f>+CF!V23</f>
        <v>7006.8034923744081</v>
      </c>
      <c r="W50" s="64">
        <f>+CF!W23</f>
        <v>7171.6805307440982</v>
      </c>
      <c r="X50" s="64">
        <f>+CF!X23</f>
        <v>7357.4536668527981</v>
      </c>
      <c r="Y50" s="64">
        <f>+CF!Y23</f>
        <v>7158.5351532303375</v>
      </c>
      <c r="Z50" s="64">
        <f>+CF!Z23</f>
        <v>6531.2884171096748</v>
      </c>
      <c r="AA50" s="64">
        <f>+CF!AA23</f>
        <v>5582.014674615828</v>
      </c>
      <c r="AB50" s="64">
        <f>+CF!AB23</f>
        <v>5008.2680081573062</v>
      </c>
      <c r="AC50" s="64">
        <f>+CF!AC23</f>
        <v>4933.1279924609235</v>
      </c>
      <c r="AD50" s="64">
        <f>+CF!AD23</f>
        <v>5003.7107246032356</v>
      </c>
      <c r="AH50"/>
      <c r="AI50"/>
      <c r="AJ50"/>
      <c r="AK50"/>
      <c r="AL50"/>
      <c r="AM50"/>
    </row>
    <row r="51" spans="2:39" s="64" customFormat="1" hidden="1" outlineLevel="1">
      <c r="B51" s="104" t="s">
        <v>354</v>
      </c>
      <c r="C51" s="64">
        <f>-C105</f>
        <v>-301.24799999999999</v>
      </c>
      <c r="D51" s="64">
        <f t="shared" ref="D51:P51" si="71">-D105</f>
        <v>-361.01299999999998</v>
      </c>
      <c r="E51" s="64">
        <f t="shared" si="71"/>
        <v>-318.37599999999998</v>
      </c>
      <c r="F51" s="64">
        <f t="shared" si="71"/>
        <v>-124.09600000000002</v>
      </c>
      <c r="G51" s="64">
        <f t="shared" si="71"/>
        <v>-267.43700000000001</v>
      </c>
      <c r="H51" s="64">
        <f t="shared" si="71"/>
        <v>-275.95400000000001</v>
      </c>
      <c r="I51" s="64">
        <f t="shared" si="71"/>
        <v>-165.64599999999999</v>
      </c>
      <c r="J51" s="64">
        <f t="shared" si="71"/>
        <v>-173.05500000000001</v>
      </c>
      <c r="K51" s="64">
        <f t="shared" si="71"/>
        <v>-205.81300000000002</v>
      </c>
      <c r="L51" s="64">
        <f t="shared" si="71"/>
        <v>-254.548</v>
      </c>
      <c r="M51" s="64">
        <f t="shared" si="71"/>
        <v>-246.28100000000001</v>
      </c>
      <c r="N51" s="64">
        <f t="shared" si="71"/>
        <v>-287.75099999999998</v>
      </c>
      <c r="O51" s="64">
        <f t="shared" si="71"/>
        <v>-643</v>
      </c>
      <c r="P51" s="64">
        <f t="shared" si="71"/>
        <v>-616.1</v>
      </c>
      <c r="Q51" s="64">
        <f>-Q105</f>
        <v>-867.4</v>
      </c>
      <c r="R51" s="64">
        <f>-R105</f>
        <v>-457.15234300705339</v>
      </c>
      <c r="S51" s="64">
        <f>-S105</f>
        <v>-476.62803643619463</v>
      </c>
      <c r="T51" s="64">
        <f>-T105</f>
        <v>-500.42188006126389</v>
      </c>
      <c r="U51" s="64">
        <f t="shared" ref="U51:AD51" si="72">-U105</f>
        <v>-518.91953228799525</v>
      </c>
      <c r="V51" s="64">
        <f t="shared" si="72"/>
        <v>-531.17220291976389</v>
      </c>
      <c r="W51" s="64">
        <f t="shared" si="72"/>
        <v>-543.62379213466647</v>
      </c>
      <c r="X51" s="64">
        <f t="shared" si="72"/>
        <v>-556.33672518907304</v>
      </c>
      <c r="Y51" s="64">
        <f t="shared" si="72"/>
        <v>-538.73496469629788</v>
      </c>
      <c r="Z51" s="64">
        <f t="shared" si="72"/>
        <v>-506.40319959300666</v>
      </c>
      <c r="AA51" s="64">
        <f t="shared" si="72"/>
        <v>-451.46836647146762</v>
      </c>
      <c r="AB51" s="64">
        <f t="shared" si="72"/>
        <v>-441.32893089791457</v>
      </c>
      <c r="AC51" s="64">
        <f t="shared" si="72"/>
        <v>-436.47687763837837</v>
      </c>
      <c r="AD51" s="64">
        <f t="shared" si="72"/>
        <v>-441.64482671372906</v>
      </c>
      <c r="AH51"/>
      <c r="AI51"/>
      <c r="AJ51"/>
      <c r="AK51"/>
      <c r="AL51"/>
      <c r="AM51"/>
    </row>
    <row r="52" spans="2:39" collapsed="1">
      <c r="C52" s="3"/>
      <c r="D52" s="3"/>
      <c r="E52" s="3"/>
      <c r="F52" s="3"/>
      <c r="G52" s="3"/>
      <c r="H52" s="3"/>
      <c r="I52" s="3"/>
      <c r="J52" s="3"/>
      <c r="K52" s="3"/>
      <c r="L52" s="3"/>
      <c r="M52" s="3"/>
      <c r="N52" s="3"/>
      <c r="O52" s="3"/>
      <c r="P52" s="3"/>
      <c r="Q52" s="3"/>
      <c r="R52" s="3"/>
      <c r="S52" s="3"/>
      <c r="T52" s="3"/>
      <c r="U52" s="3"/>
      <c r="V52" s="3"/>
      <c r="W52" s="3"/>
      <c r="X52" s="3"/>
      <c r="Y52" s="3"/>
      <c r="Z52" s="3"/>
    </row>
    <row r="53" spans="2:39">
      <c r="B53" s="289" t="s">
        <v>355</v>
      </c>
      <c r="C53" s="291"/>
      <c r="D53" s="291"/>
      <c r="E53" s="291"/>
      <c r="F53" s="291"/>
      <c r="G53" s="291"/>
      <c r="H53" s="291"/>
      <c r="I53" s="291"/>
      <c r="J53" s="291"/>
      <c r="K53" s="291"/>
      <c r="L53" s="291"/>
      <c r="M53" s="291"/>
      <c r="N53" s="291"/>
      <c r="O53" s="291"/>
      <c r="P53" s="291"/>
      <c r="Q53" s="291"/>
      <c r="R53" s="291"/>
      <c r="S53" s="291"/>
      <c r="T53" s="291"/>
      <c r="U53" s="291"/>
      <c r="V53" s="291"/>
      <c r="W53" s="291"/>
      <c r="X53" s="291"/>
      <c r="Y53" s="291"/>
      <c r="Z53" s="291"/>
      <c r="AA53" s="291"/>
      <c r="AB53" s="291"/>
      <c r="AC53" s="291"/>
      <c r="AD53" s="291"/>
    </row>
    <row r="54" spans="2:39" s="293" customFormat="1" hidden="1" outlineLevel="1">
      <c r="B54" s="294" t="s">
        <v>356</v>
      </c>
      <c r="C54" s="293">
        <f t="shared" ref="C54:L54" si="73">C45/C61</f>
        <v>9.330861759787231</v>
      </c>
      <c r="D54" s="293">
        <f t="shared" si="73"/>
        <v>7.9370722481221083</v>
      </c>
      <c r="E54" s="293">
        <f t="shared" si="73"/>
        <v>8.635994182067078</v>
      </c>
      <c r="F54" s="293">
        <f t="shared" si="73"/>
        <v>8.4544623810079003</v>
      </c>
      <c r="G54" s="293">
        <f t="shared" si="73"/>
        <v>8.0775482241000791</v>
      </c>
      <c r="H54" s="293">
        <f t="shared" si="73"/>
        <v>9.173557364020013</v>
      </c>
      <c r="I54" s="296">
        <f t="shared" si="73"/>
        <v>7.9413724038838334</v>
      </c>
      <c r="J54" s="296">
        <f t="shared" si="73"/>
        <v>7.7915034634058502</v>
      </c>
      <c r="K54" s="296">
        <f t="shared" si="73"/>
        <v>8.6127183746918856</v>
      </c>
      <c r="L54" s="296">
        <f t="shared" si="73"/>
        <v>8.099684355199404</v>
      </c>
      <c r="M54" s="296">
        <f t="shared" ref="M54:N54" si="74">M45/M61</f>
        <v>8.4094062876786442</v>
      </c>
      <c r="N54" s="296">
        <f t="shared" si="74"/>
        <v>7.507726827834067</v>
      </c>
      <c r="O54" s="296">
        <f t="shared" ref="O54:P54" si="75">O45/O61</f>
        <v>8.7723806030969822</v>
      </c>
      <c r="P54" s="296">
        <f t="shared" si="75"/>
        <v>7.9417314095449498</v>
      </c>
      <c r="Q54" s="293">
        <f t="shared" ref="Q54:T54" si="76">P54</f>
        <v>7.9417314095449498</v>
      </c>
      <c r="R54" s="293">
        <f t="shared" si="76"/>
        <v>7.9417314095449498</v>
      </c>
      <c r="S54" s="293">
        <f t="shared" si="76"/>
        <v>7.9417314095449498</v>
      </c>
      <c r="T54" s="293">
        <f t="shared" si="76"/>
        <v>7.9417314095449498</v>
      </c>
      <c r="U54" s="293">
        <f t="shared" ref="U54:U56" si="77">T54</f>
        <v>7.9417314095449498</v>
      </c>
      <c r="V54" s="293">
        <f t="shared" ref="V54:V56" si="78">U54</f>
        <v>7.9417314095449498</v>
      </c>
      <c r="W54" s="293">
        <f t="shared" ref="W54:W56" si="79">V54</f>
        <v>7.9417314095449498</v>
      </c>
      <c r="X54" s="293">
        <f t="shared" ref="X54:X56" si="80">W54</f>
        <v>7.9417314095449498</v>
      </c>
      <c r="Y54" s="293">
        <f t="shared" ref="Y54:Y56" si="81">X54</f>
        <v>7.9417314095449498</v>
      </c>
      <c r="Z54" s="293">
        <f t="shared" ref="Z54:Z56" si="82">Y54</f>
        <v>7.9417314095449498</v>
      </c>
      <c r="AA54" s="293">
        <f t="shared" ref="AA54:AA56" si="83">Z54</f>
        <v>7.9417314095449498</v>
      </c>
      <c r="AB54" s="293">
        <f t="shared" ref="AB54:AB56" si="84">AA54</f>
        <v>7.9417314095449498</v>
      </c>
      <c r="AC54" s="293">
        <f t="shared" ref="AC54:AC56" si="85">AB54</f>
        <v>7.9417314095449498</v>
      </c>
      <c r="AD54" s="293">
        <f t="shared" ref="AD54:AD56" si="86">AC54</f>
        <v>7.9417314095449498</v>
      </c>
      <c r="AH54"/>
      <c r="AI54"/>
      <c r="AJ54"/>
      <c r="AK54"/>
      <c r="AL54"/>
      <c r="AM54"/>
    </row>
    <row r="55" spans="2:39" s="293" customFormat="1" hidden="1" outlineLevel="1">
      <c r="B55" s="294" t="s">
        <v>357</v>
      </c>
      <c r="C55" s="293">
        <f t="shared" ref="C55:L55" si="87">C46/C63</f>
        <v>0.4643909829575561</v>
      </c>
      <c r="D55" s="293">
        <f t="shared" si="87"/>
        <v>1.0310856678458742</v>
      </c>
      <c r="E55" s="293">
        <f t="shared" si="87"/>
        <v>1.6574898121051336</v>
      </c>
      <c r="F55" s="293">
        <f t="shared" si="87"/>
        <v>1.5758713675769651</v>
      </c>
      <c r="G55" s="293">
        <f t="shared" si="87"/>
        <v>1.4320966549423686</v>
      </c>
      <c r="H55" s="293">
        <f t="shared" si="87"/>
        <v>1.5249846359284072</v>
      </c>
      <c r="I55" s="296">
        <f t="shared" si="87"/>
        <v>1.299894539887736</v>
      </c>
      <c r="J55" s="296">
        <f t="shared" si="87"/>
        <v>1.3846733963869844</v>
      </c>
      <c r="K55" s="296">
        <f t="shared" si="87"/>
        <v>1.4281505187505925</v>
      </c>
      <c r="L55" s="296">
        <f t="shared" si="87"/>
        <v>1.2193292845120292</v>
      </c>
      <c r="M55" s="296">
        <f t="shared" ref="M55:N55" si="88">M46/M63</f>
        <v>1.3015509792823401</v>
      </c>
      <c r="N55" s="296">
        <f t="shared" si="88"/>
        <v>1.45647258408352</v>
      </c>
      <c r="O55" s="296">
        <f t="shared" ref="O55:P55" si="89">O46/O63</f>
        <v>1.3883803447503917</v>
      </c>
      <c r="P55" s="296">
        <f t="shared" si="89"/>
        <v>1.4763378594249199</v>
      </c>
      <c r="Q55" s="293">
        <f t="shared" ref="Q55:T55" si="90">P55</f>
        <v>1.4763378594249199</v>
      </c>
      <c r="R55" s="293">
        <f t="shared" si="90"/>
        <v>1.4763378594249199</v>
      </c>
      <c r="S55" s="293">
        <f t="shared" si="90"/>
        <v>1.4763378594249199</v>
      </c>
      <c r="T55" s="293">
        <f t="shared" si="90"/>
        <v>1.4763378594249199</v>
      </c>
      <c r="U55" s="293">
        <f t="shared" si="77"/>
        <v>1.4763378594249199</v>
      </c>
      <c r="V55" s="293">
        <f t="shared" si="78"/>
        <v>1.4763378594249199</v>
      </c>
      <c r="W55" s="293">
        <f t="shared" si="79"/>
        <v>1.4763378594249199</v>
      </c>
      <c r="X55" s="293">
        <f t="shared" si="80"/>
        <v>1.4763378594249199</v>
      </c>
      <c r="Y55" s="293">
        <f t="shared" si="81"/>
        <v>1.4763378594249199</v>
      </c>
      <c r="Z55" s="293">
        <f t="shared" si="82"/>
        <v>1.4763378594249199</v>
      </c>
      <c r="AA55" s="293">
        <f t="shared" si="83"/>
        <v>1.4763378594249199</v>
      </c>
      <c r="AB55" s="293">
        <f t="shared" si="84"/>
        <v>1.4763378594249199</v>
      </c>
      <c r="AC55" s="293">
        <f t="shared" si="85"/>
        <v>1.4763378594249199</v>
      </c>
      <c r="AD55" s="293">
        <f t="shared" si="86"/>
        <v>1.4763378594249199</v>
      </c>
      <c r="AH55"/>
      <c r="AI55"/>
      <c r="AJ55"/>
      <c r="AK55"/>
      <c r="AL55"/>
      <c r="AM55"/>
    </row>
    <row r="56" spans="2:39" s="293" customFormat="1" hidden="1" outlineLevel="1">
      <c r="B56" s="294" t="s">
        <v>358</v>
      </c>
      <c r="C56" s="293">
        <f t="shared" ref="C56:L56" si="91">C46/C71</f>
        <v>3.6377122656397956</v>
      </c>
      <c r="D56" s="293">
        <f t="shared" si="91"/>
        <v>2.1307060944587595</v>
      </c>
      <c r="E56" s="293">
        <f t="shared" si="91"/>
        <v>3.0368210062136702</v>
      </c>
      <c r="F56" s="293">
        <f t="shared" si="91"/>
        <v>2.6527071284231059</v>
      </c>
      <c r="G56" s="293">
        <f t="shared" si="91"/>
        <v>3.6956502558673017</v>
      </c>
      <c r="H56" s="293">
        <f t="shared" si="91"/>
        <v>3.7423219788301663</v>
      </c>
      <c r="I56" s="296">
        <f t="shared" si="91"/>
        <v>3.2235814196770542</v>
      </c>
      <c r="J56" s="296">
        <f t="shared" si="91"/>
        <v>2.4627112699887403</v>
      </c>
      <c r="K56" s="296">
        <f t="shared" si="91"/>
        <v>2.5035452244057321</v>
      </c>
      <c r="L56" s="296">
        <f t="shared" si="91"/>
        <v>2.6740082059225783</v>
      </c>
      <c r="M56" s="296">
        <f t="shared" ref="M56:N56" si="92">M46/M71</f>
        <v>3.9002969356063533</v>
      </c>
      <c r="N56" s="296">
        <f t="shared" si="92"/>
        <v>5.1097225737199912</v>
      </c>
      <c r="O56" s="296">
        <f t="shared" ref="O56:P56" si="93">O46/O71</f>
        <v>4.6386649214659688</v>
      </c>
      <c r="P56" s="296">
        <f t="shared" si="93"/>
        <v>5.2848463187991417</v>
      </c>
      <c r="Q56" s="293">
        <f t="shared" ref="Q56:T56" si="94">P56</f>
        <v>5.2848463187991417</v>
      </c>
      <c r="R56" s="293">
        <f t="shared" si="94"/>
        <v>5.2848463187991417</v>
      </c>
      <c r="S56" s="293">
        <f t="shared" si="94"/>
        <v>5.2848463187991417</v>
      </c>
      <c r="T56" s="293">
        <f t="shared" si="94"/>
        <v>5.2848463187991417</v>
      </c>
      <c r="U56" s="293">
        <f t="shared" si="77"/>
        <v>5.2848463187991417</v>
      </c>
      <c r="V56" s="293">
        <f t="shared" si="78"/>
        <v>5.2848463187991417</v>
      </c>
      <c r="W56" s="293">
        <f t="shared" si="79"/>
        <v>5.2848463187991417</v>
      </c>
      <c r="X56" s="293">
        <f t="shared" si="80"/>
        <v>5.2848463187991417</v>
      </c>
      <c r="Y56" s="293">
        <f t="shared" si="81"/>
        <v>5.2848463187991417</v>
      </c>
      <c r="Z56" s="293">
        <f t="shared" si="82"/>
        <v>5.2848463187991417</v>
      </c>
      <c r="AA56" s="293">
        <f t="shared" si="83"/>
        <v>5.2848463187991417</v>
      </c>
      <c r="AB56" s="293">
        <f t="shared" si="84"/>
        <v>5.2848463187991417</v>
      </c>
      <c r="AC56" s="293">
        <f t="shared" si="85"/>
        <v>5.2848463187991417</v>
      </c>
      <c r="AD56" s="293">
        <f t="shared" si="86"/>
        <v>5.2848463187991417</v>
      </c>
      <c r="AH56"/>
      <c r="AI56"/>
      <c r="AJ56"/>
      <c r="AK56"/>
      <c r="AL56"/>
      <c r="AM56"/>
    </row>
    <row r="57" spans="2:39" s="293" customFormat="1" hidden="1" outlineLevel="1">
      <c r="B57" s="294" t="s">
        <v>359</v>
      </c>
      <c r="C57" s="293">
        <f t="shared" ref="C57:O57" si="95">365/(C45/C61)</f>
        <v>39.117501619520617</v>
      </c>
      <c r="D57" s="293">
        <f t="shared" si="95"/>
        <v>45.986730193410814</v>
      </c>
      <c r="E57" s="293">
        <f t="shared" si="95"/>
        <v>42.26496594427244</v>
      </c>
      <c r="F57" s="293">
        <f t="shared" si="95"/>
        <v>43.172467219197259</v>
      </c>
      <c r="G57" s="293">
        <f t="shared" si="95"/>
        <v>45.186978755631593</v>
      </c>
      <c r="H57" s="293">
        <f t="shared" si="95"/>
        <v>39.788272478851177</v>
      </c>
      <c r="I57" s="293">
        <f t="shared" si="95"/>
        <v>45.961828943003844</v>
      </c>
      <c r="J57" s="293">
        <f t="shared" si="95"/>
        <v>46.845901014391629</v>
      </c>
      <c r="K57" s="293">
        <f t="shared" si="95"/>
        <v>42.379186700512271</v>
      </c>
      <c r="L57" s="293">
        <f t="shared" si="95"/>
        <v>45.063484451180713</v>
      </c>
      <c r="M57" s="293">
        <f t="shared" si="95"/>
        <v>43.403777569267092</v>
      </c>
      <c r="N57" s="293">
        <f t="shared" si="95"/>
        <v>48.616579741127879</v>
      </c>
      <c r="O57" s="293">
        <f t="shared" si="95"/>
        <v>41.607861823863544</v>
      </c>
      <c r="P57" s="293">
        <f t="shared" ref="P57" si="96">365/(P45/P61)</f>
        <v>45.959751240304662</v>
      </c>
      <c r="Q57" s="293">
        <f>365/(Q45/Q61)</f>
        <v>45.959751240304662</v>
      </c>
      <c r="R57" s="293">
        <f>365/(R45/R61)</f>
        <v>45.959751240304662</v>
      </c>
      <c r="S57" s="293">
        <f>365/(S45/S61)</f>
        <v>45.959751240304662</v>
      </c>
      <c r="T57" s="293">
        <f>365/(T45/T61)</f>
        <v>45.959751240304662</v>
      </c>
      <c r="U57" s="293">
        <f t="shared" ref="U57:AD57" si="97">365/(U45/U61)</f>
        <v>45.959751240304662</v>
      </c>
      <c r="V57" s="293">
        <f t="shared" si="97"/>
        <v>45.959751240304662</v>
      </c>
      <c r="W57" s="293">
        <f t="shared" si="97"/>
        <v>45.959751240304662</v>
      </c>
      <c r="X57" s="293">
        <f t="shared" si="97"/>
        <v>45.959751240304662</v>
      </c>
      <c r="Y57" s="293">
        <f t="shared" si="97"/>
        <v>45.959751240304662</v>
      </c>
      <c r="Z57" s="293">
        <f t="shared" si="97"/>
        <v>45.959751240304662</v>
      </c>
      <c r="AA57" s="293">
        <f t="shared" si="97"/>
        <v>45.959751240304662</v>
      </c>
      <c r="AB57" s="293">
        <f t="shared" si="97"/>
        <v>45.959751240304662</v>
      </c>
      <c r="AC57" s="293">
        <f t="shared" si="97"/>
        <v>45.959751240304655</v>
      </c>
      <c r="AD57" s="293">
        <f t="shared" si="97"/>
        <v>45.959751240304662</v>
      </c>
      <c r="AH57"/>
      <c r="AI57"/>
      <c r="AJ57"/>
      <c r="AK57"/>
      <c r="AL57"/>
      <c r="AM57"/>
    </row>
    <row r="58" spans="2:39" s="293" customFormat="1" hidden="1" outlineLevel="1">
      <c r="B58" s="294" t="s">
        <v>360</v>
      </c>
      <c r="C58" s="293">
        <f t="shared" ref="C58:O58" si="98">365/(C46/C61)</f>
        <v>314.36555314533621</v>
      </c>
      <c r="D58" s="293">
        <f t="shared" si="98"/>
        <v>392.94837318743993</v>
      </c>
      <c r="E58" s="293">
        <f t="shared" si="98"/>
        <v>337.89488274469164</v>
      </c>
      <c r="F58" s="293">
        <f t="shared" si="98"/>
        <v>434.67630205303914</v>
      </c>
      <c r="G58" s="293">
        <f t="shared" si="98"/>
        <v>427.69087295429318</v>
      </c>
      <c r="H58" s="293">
        <f t="shared" si="98"/>
        <v>405.56513984213501</v>
      </c>
      <c r="I58" s="293">
        <f t="shared" si="98"/>
        <v>526.53445135355821</v>
      </c>
      <c r="J58" s="293">
        <f t="shared" si="98"/>
        <v>552.00115174560665</v>
      </c>
      <c r="K58" s="293">
        <f t="shared" si="98"/>
        <v>457.13106360370278</v>
      </c>
      <c r="L58" s="293">
        <f t="shared" si="98"/>
        <v>459.58170102384071</v>
      </c>
      <c r="M58" s="293">
        <f t="shared" si="98"/>
        <v>350.82087986140095</v>
      </c>
      <c r="N58" s="293">
        <f t="shared" si="98"/>
        <v>402.84194935083121</v>
      </c>
      <c r="O58" s="293">
        <f t="shared" si="98"/>
        <v>361.06302992875567</v>
      </c>
      <c r="P58" s="293">
        <f t="shared" ref="P58" si="99">365/(P46/P61)</f>
        <v>355.84229390681008</v>
      </c>
      <c r="Q58" s="293">
        <f>365/(Q46/Q61)</f>
        <v>346.07692683949421</v>
      </c>
      <c r="R58" s="293">
        <f>365/(R46/R61)</f>
        <v>349.10441418545003</v>
      </c>
      <c r="S58" s="293">
        <f>365/(S46/S61)</f>
        <v>352.53582951659001</v>
      </c>
      <c r="T58" s="293">
        <f>365/(T46/T61)</f>
        <v>343.88750690456823</v>
      </c>
      <c r="U58" s="293">
        <f t="shared" ref="U58:AD58" si="100">365/(U46/U61)</f>
        <v>342.28578568200095</v>
      </c>
      <c r="V58" s="293">
        <f t="shared" si="100"/>
        <v>336.63201905720831</v>
      </c>
      <c r="W58" s="293">
        <f t="shared" si="100"/>
        <v>331.6553571481686</v>
      </c>
      <c r="X58" s="293">
        <f t="shared" si="100"/>
        <v>326.70139170673355</v>
      </c>
      <c r="Y58" s="293">
        <f t="shared" si="100"/>
        <v>313.8680070492706</v>
      </c>
      <c r="Z58" s="293">
        <f t="shared" si="100"/>
        <v>297.52514055484579</v>
      </c>
      <c r="AA58" s="293">
        <f t="shared" si="100"/>
        <v>278.43091029819794</v>
      </c>
      <c r="AB58" s="293">
        <f t="shared" si="100"/>
        <v>267.81634646255588</v>
      </c>
      <c r="AC58" s="293">
        <f t="shared" si="100"/>
        <v>264.03908784766952</v>
      </c>
      <c r="AD58" s="293">
        <f t="shared" si="100"/>
        <v>263.18575521249363</v>
      </c>
      <c r="AH58"/>
      <c r="AI58"/>
      <c r="AJ58"/>
      <c r="AK58"/>
      <c r="AL58"/>
      <c r="AM58"/>
    </row>
    <row r="59" spans="2:39" s="293" customFormat="1" hidden="1" outlineLevel="1">
      <c r="B59" s="294" t="s">
        <v>361</v>
      </c>
      <c r="C59" s="293">
        <f>365/C54</f>
        <v>39.117501619520617</v>
      </c>
      <c r="D59" s="293">
        <f t="shared" ref="D59:O59" si="101">365/D54</f>
        <v>45.986730193410814</v>
      </c>
      <c r="E59" s="293">
        <f t="shared" si="101"/>
        <v>42.26496594427244</v>
      </c>
      <c r="F59" s="293">
        <f t="shared" si="101"/>
        <v>43.172467219197259</v>
      </c>
      <c r="G59" s="293">
        <f t="shared" si="101"/>
        <v>45.186978755631593</v>
      </c>
      <c r="H59" s="293">
        <f t="shared" si="101"/>
        <v>39.788272478851177</v>
      </c>
      <c r="I59" s="293">
        <f t="shared" si="101"/>
        <v>45.961828943003844</v>
      </c>
      <c r="J59" s="293">
        <f t="shared" si="101"/>
        <v>46.845901014391629</v>
      </c>
      <c r="K59" s="293">
        <f t="shared" si="101"/>
        <v>42.379186700512271</v>
      </c>
      <c r="L59" s="293">
        <f t="shared" si="101"/>
        <v>45.063484451180713</v>
      </c>
      <c r="M59" s="293">
        <f t="shared" si="101"/>
        <v>43.403777569267092</v>
      </c>
      <c r="N59" s="293">
        <f t="shared" si="101"/>
        <v>48.616579741127879</v>
      </c>
      <c r="O59" s="293">
        <f t="shared" si="101"/>
        <v>41.607861823863544</v>
      </c>
      <c r="P59" s="293">
        <f t="shared" ref="P59" si="102">365/P54</f>
        <v>45.959751240304662</v>
      </c>
      <c r="Q59" s="293">
        <f>365/Q54</f>
        <v>45.959751240304662</v>
      </c>
      <c r="R59" s="293">
        <f>365/R54</f>
        <v>45.959751240304662</v>
      </c>
      <c r="S59" s="293">
        <f>365/S54</f>
        <v>45.959751240304662</v>
      </c>
      <c r="T59" s="293">
        <f>365/T54</f>
        <v>45.959751240304662</v>
      </c>
      <c r="U59" s="293">
        <f t="shared" ref="U59:AD59" si="103">365/U54</f>
        <v>45.959751240304662</v>
      </c>
      <c r="V59" s="293">
        <f t="shared" si="103"/>
        <v>45.959751240304662</v>
      </c>
      <c r="W59" s="293">
        <f t="shared" si="103"/>
        <v>45.959751240304662</v>
      </c>
      <c r="X59" s="293">
        <f t="shared" si="103"/>
        <v>45.959751240304662</v>
      </c>
      <c r="Y59" s="293">
        <f t="shared" si="103"/>
        <v>45.959751240304662</v>
      </c>
      <c r="Z59" s="293">
        <f t="shared" si="103"/>
        <v>45.959751240304662</v>
      </c>
      <c r="AA59" s="293">
        <f t="shared" si="103"/>
        <v>45.959751240304662</v>
      </c>
      <c r="AB59" s="293">
        <f t="shared" si="103"/>
        <v>45.959751240304662</v>
      </c>
      <c r="AC59" s="293">
        <f t="shared" si="103"/>
        <v>45.959751240304662</v>
      </c>
      <c r="AD59" s="293">
        <f t="shared" si="103"/>
        <v>45.959751240304662</v>
      </c>
      <c r="AH59"/>
      <c r="AI59"/>
      <c r="AJ59"/>
      <c r="AK59"/>
      <c r="AL59"/>
      <c r="AM59"/>
    </row>
    <row r="60" spans="2:39" s="293" customFormat="1" hidden="1" outlineLevel="1">
      <c r="B60" s="294" t="s">
        <v>362</v>
      </c>
      <c r="C60" s="293">
        <f t="shared" ref="C60:O60" si="104">365/(C46/C71)</f>
        <v>100.3377874186551</v>
      </c>
      <c r="D60" s="293">
        <f t="shared" si="104"/>
        <v>171.30471487796493</v>
      </c>
      <c r="E60" s="293">
        <f t="shared" si="104"/>
        <v>120.19147630142501</v>
      </c>
      <c r="F60" s="293">
        <f t="shared" si="104"/>
        <v>137.59528750426858</v>
      </c>
      <c r="G60" s="293">
        <f t="shared" si="104"/>
        <v>98.764757141322391</v>
      </c>
      <c r="H60" s="293">
        <f t="shared" si="104"/>
        <v>97.533029510757771</v>
      </c>
      <c r="I60" s="293">
        <f t="shared" si="104"/>
        <v>113.22810020308609</v>
      </c>
      <c r="J60" s="293">
        <f t="shared" si="104"/>
        <v>148.21063453437998</v>
      </c>
      <c r="K60" s="293">
        <f t="shared" si="104"/>
        <v>145.7932520818114</v>
      </c>
      <c r="L60" s="293">
        <f t="shared" si="104"/>
        <v>136.49920714213695</v>
      </c>
      <c r="M60" s="293">
        <f t="shared" si="104"/>
        <v>93.582618458575354</v>
      </c>
      <c r="N60" s="293">
        <f t="shared" si="104"/>
        <v>71.432449557485839</v>
      </c>
      <c r="O60" s="293">
        <f t="shared" si="104"/>
        <v>78.686433743234929</v>
      </c>
      <c r="P60" s="293">
        <f t="shared" ref="P60" si="105">365/(P46/P71)</f>
        <v>69.065395279637528</v>
      </c>
      <c r="Q60" s="293">
        <f>365/(Q46/Q71)</f>
        <v>69.065395279637528</v>
      </c>
      <c r="R60" s="293">
        <f>365/(R46/R71)</f>
        <v>69.065395279637542</v>
      </c>
      <c r="S60" s="293">
        <f>365/(S46/S71)</f>
        <v>69.065395279637542</v>
      </c>
      <c r="T60" s="293">
        <f>365/(T46/T71)</f>
        <v>69.065395279637528</v>
      </c>
      <c r="U60" s="293">
        <f t="shared" ref="U60:AD60" si="106">365/(U46/U71)</f>
        <v>69.065395279637528</v>
      </c>
      <c r="V60" s="293">
        <f t="shared" si="106"/>
        <v>69.065395279637528</v>
      </c>
      <c r="W60" s="293">
        <f t="shared" si="106"/>
        <v>69.065395279637528</v>
      </c>
      <c r="X60" s="293">
        <f t="shared" si="106"/>
        <v>69.065395279637528</v>
      </c>
      <c r="Y60" s="293">
        <f t="shared" si="106"/>
        <v>69.065395279637528</v>
      </c>
      <c r="Z60" s="293">
        <f t="shared" si="106"/>
        <v>69.065395279637528</v>
      </c>
      <c r="AA60" s="293">
        <f t="shared" si="106"/>
        <v>69.065395279637528</v>
      </c>
      <c r="AB60" s="293">
        <f t="shared" si="106"/>
        <v>69.065395279637528</v>
      </c>
      <c r="AC60" s="293">
        <f t="shared" si="106"/>
        <v>69.065395279637528</v>
      </c>
      <c r="AD60" s="293">
        <f t="shared" si="106"/>
        <v>69.065395279637528</v>
      </c>
      <c r="AH60"/>
      <c r="AI60"/>
      <c r="AJ60"/>
      <c r="AK60"/>
      <c r="AL60"/>
      <c r="AM60"/>
    </row>
    <row r="61" spans="2:39" s="293" customFormat="1" hidden="1" outlineLevel="1">
      <c r="B61" s="294" t="s">
        <v>264</v>
      </c>
      <c r="C61" s="293">
        <f t="shared" ref="C61:O61" si="107">C5</f>
        <v>198.524</v>
      </c>
      <c r="D61" s="293">
        <f t="shared" si="107"/>
        <v>278.637</v>
      </c>
      <c r="E61" s="293">
        <f t="shared" si="107"/>
        <v>280.512</v>
      </c>
      <c r="F61" s="293">
        <f t="shared" si="107"/>
        <v>317.35300000000001</v>
      </c>
      <c r="G61" s="293">
        <f t="shared" si="107"/>
        <v>392.64600000000002</v>
      </c>
      <c r="H61" s="293">
        <f t="shared" si="107"/>
        <v>446.66500000000002</v>
      </c>
      <c r="I61" s="296">
        <f t="shared" si="107"/>
        <v>551.20799999999997</v>
      </c>
      <c r="J61" s="296">
        <f t="shared" si="107"/>
        <v>605.32899999999995</v>
      </c>
      <c r="K61" s="296">
        <f t="shared" si="107"/>
        <v>584.60299999999995</v>
      </c>
      <c r="L61" s="296">
        <f t="shared" si="107"/>
        <v>686.84799999999996</v>
      </c>
      <c r="M61" s="296">
        <f t="shared" si="107"/>
        <v>824.40599999999995</v>
      </c>
      <c r="N61" s="296">
        <f t="shared" si="107"/>
        <v>1292.4449999999999</v>
      </c>
      <c r="O61" s="296">
        <f t="shared" si="107"/>
        <v>1227</v>
      </c>
      <c r="P61" s="296">
        <f t="shared" ref="P61" si="108">P5</f>
        <v>1441.6</v>
      </c>
      <c r="Q61" s="293">
        <f>Q45/Q54</f>
        <v>1545.4942212284261</v>
      </c>
      <c r="R61" s="293">
        <f t="shared" ref="R61:AD61" si="109">R45/R54</f>
        <v>1620.3966091996433</v>
      </c>
      <c r="S61" s="293">
        <f t="shared" si="109"/>
        <v>1689.4290621163407</v>
      </c>
      <c r="T61" s="293">
        <f t="shared" si="109"/>
        <v>1773.767388540042</v>
      </c>
      <c r="U61" s="293">
        <f t="shared" si="109"/>
        <v>1839.3331313495175</v>
      </c>
      <c r="V61" s="293">
        <f t="shared" si="109"/>
        <v>1882.7632619155372</v>
      </c>
      <c r="W61" s="293">
        <f t="shared" si="109"/>
        <v>1926.898468158292</v>
      </c>
      <c r="X61" s="293">
        <f t="shared" si="109"/>
        <v>1971.9600191477061</v>
      </c>
      <c r="Y61" s="293">
        <f t="shared" si="109"/>
        <v>1909.5698040372984</v>
      </c>
      <c r="Z61" s="293">
        <f t="shared" si="109"/>
        <v>1794.9684389908018</v>
      </c>
      <c r="AA61" s="293">
        <f t="shared" si="109"/>
        <v>1600.2495040914202</v>
      </c>
      <c r="AB61" s="293">
        <f t="shared" si="109"/>
        <v>1564.3098282395783</v>
      </c>
      <c r="AC61" s="293">
        <f t="shared" si="109"/>
        <v>1547.1115118147027</v>
      </c>
      <c r="AD61" s="293">
        <f t="shared" si="109"/>
        <v>1565.4295348683122</v>
      </c>
      <c r="AH61"/>
      <c r="AI61"/>
      <c r="AJ61"/>
      <c r="AK61"/>
      <c r="AL61"/>
      <c r="AM61"/>
    </row>
    <row r="62" spans="2:39" hidden="1" outlineLevel="1">
      <c r="B62" s="81" t="s">
        <v>363</v>
      </c>
      <c r="C62" s="71">
        <f t="shared" ref="C62:O62" si="110">C61/C45</f>
        <v>0.10717123731375512</v>
      </c>
      <c r="D62" s="71">
        <f t="shared" si="110"/>
        <v>0.12599104162578306</v>
      </c>
      <c r="E62" s="71">
        <f t="shared" si="110"/>
        <v>0.11579442724458204</v>
      </c>
      <c r="F62" s="71">
        <f t="shared" si="110"/>
        <v>0.11828073210738976</v>
      </c>
      <c r="G62" s="71">
        <f t="shared" si="110"/>
        <v>0.12379994179625095</v>
      </c>
      <c r="H62" s="71">
        <f t="shared" si="110"/>
        <v>0.10900896569548266</v>
      </c>
      <c r="I62" s="71">
        <f t="shared" si="110"/>
        <v>0.12592281902192834</v>
      </c>
      <c r="J62" s="71">
        <f t="shared" si="110"/>
        <v>0.12834493428600446</v>
      </c>
      <c r="K62" s="71">
        <f t="shared" si="110"/>
        <v>0.11610736082332129</v>
      </c>
      <c r="L62" s="71">
        <f t="shared" si="110"/>
        <v>0.12346160123611152</v>
      </c>
      <c r="M62" s="71">
        <f t="shared" si="110"/>
        <v>0.11891445909388244</v>
      </c>
      <c r="N62" s="71">
        <f t="shared" si="110"/>
        <v>0.13319610887980241</v>
      </c>
      <c r="O62" s="71">
        <f t="shared" si="110"/>
        <v>0.11399414198318779</v>
      </c>
      <c r="P62" s="71">
        <f t="shared" ref="P62" si="111">P61/P45</f>
        <v>0.12591712668576618</v>
      </c>
      <c r="Q62" s="71">
        <f>Q61/Q45</f>
        <v>0.12591712668576618</v>
      </c>
      <c r="R62" s="71">
        <f>R61/R45</f>
        <v>0.12591712668576621</v>
      </c>
      <c r="S62" s="71">
        <f>S61/S45</f>
        <v>0.12591712668576621</v>
      </c>
      <c r="T62" s="71">
        <f>T61/T45</f>
        <v>0.12591712668576621</v>
      </c>
      <c r="U62" s="71">
        <f t="shared" ref="U62:AD62" si="112">U61/U45</f>
        <v>0.12591712668576618</v>
      </c>
      <c r="V62" s="71">
        <f t="shared" si="112"/>
        <v>0.12591712668576621</v>
      </c>
      <c r="W62" s="71">
        <f t="shared" si="112"/>
        <v>0.12591712668576621</v>
      </c>
      <c r="X62" s="71">
        <f t="shared" si="112"/>
        <v>0.12591712668576618</v>
      </c>
      <c r="Y62" s="71">
        <f t="shared" si="112"/>
        <v>0.12591712668576621</v>
      </c>
      <c r="Z62" s="71">
        <f t="shared" si="112"/>
        <v>0.12591712668576621</v>
      </c>
      <c r="AA62" s="71">
        <f t="shared" si="112"/>
        <v>0.12591712668576618</v>
      </c>
      <c r="AB62" s="71">
        <f t="shared" si="112"/>
        <v>0.12591712668576618</v>
      </c>
      <c r="AC62" s="71">
        <f t="shared" si="112"/>
        <v>0.12591712668576618</v>
      </c>
      <c r="AD62" s="71">
        <f t="shared" si="112"/>
        <v>0.12591712668576621</v>
      </c>
    </row>
    <row r="63" spans="2:39" s="293" customFormat="1" hidden="1" outlineLevel="1">
      <c r="B63" s="294" t="s">
        <v>265</v>
      </c>
      <c r="C63" s="293">
        <f t="shared" ref="C63:O63" si="113">C6</f>
        <v>496.34899999999999</v>
      </c>
      <c r="D63" s="293">
        <f t="shared" si="113"/>
        <v>251.01599999999999</v>
      </c>
      <c r="E63" s="293">
        <f t="shared" si="113"/>
        <v>182.815</v>
      </c>
      <c r="F63" s="293">
        <f t="shared" si="113"/>
        <v>169.102</v>
      </c>
      <c r="G63" s="293">
        <f t="shared" si="113"/>
        <v>233.98699999999999</v>
      </c>
      <c r="H63" s="293">
        <f t="shared" si="113"/>
        <v>263.60199999999998</v>
      </c>
      <c r="I63" s="296">
        <f t="shared" si="113"/>
        <v>293.95</v>
      </c>
      <c r="J63" s="296">
        <f t="shared" si="113"/>
        <v>289.06599999999997</v>
      </c>
      <c r="K63" s="296">
        <f t="shared" si="113"/>
        <v>326.84300000000002</v>
      </c>
      <c r="L63" s="296">
        <f t="shared" si="113"/>
        <v>447.37299999999999</v>
      </c>
      <c r="M63" s="296">
        <f t="shared" si="113"/>
        <v>659.00300000000004</v>
      </c>
      <c r="N63" s="296">
        <f t="shared" si="113"/>
        <v>804.02200000000005</v>
      </c>
      <c r="O63" s="296">
        <f t="shared" si="113"/>
        <v>893.4</v>
      </c>
      <c r="P63" s="296">
        <f t="shared" ref="P63" si="114">P6</f>
        <v>1001.6</v>
      </c>
      <c r="Q63" s="293">
        <f t="shared" ref="Q63:AD63" si="115">Q46/Q55</f>
        <v>1104.0833164265912</v>
      </c>
      <c r="R63" s="293">
        <f t="shared" si="115"/>
        <v>1147.5538991878896</v>
      </c>
      <c r="S63" s="293">
        <f t="shared" si="115"/>
        <v>1184.7966177101773</v>
      </c>
      <c r="T63" s="293">
        <f t="shared" si="115"/>
        <v>1275.2266342626192</v>
      </c>
      <c r="U63" s="293">
        <f t="shared" si="115"/>
        <v>1328.5522427987282</v>
      </c>
      <c r="V63" s="293">
        <f t="shared" si="115"/>
        <v>1382.7618880475964</v>
      </c>
      <c r="W63" s="293">
        <f t="shared" si="115"/>
        <v>1436.4116611632185</v>
      </c>
      <c r="X63" s="293">
        <f t="shared" si="115"/>
        <v>1492.2934351071485</v>
      </c>
      <c r="Y63" s="293">
        <f t="shared" si="115"/>
        <v>1504.1654060893304</v>
      </c>
      <c r="Z63" s="293">
        <f t="shared" si="115"/>
        <v>1491.558375685612</v>
      </c>
      <c r="AA63" s="293">
        <f t="shared" si="115"/>
        <v>1420.9453052171177</v>
      </c>
      <c r="AB63" s="293">
        <f t="shared" si="115"/>
        <v>1444.085144028021</v>
      </c>
      <c r="AC63" s="293">
        <f t="shared" si="115"/>
        <v>1448.6400951495407</v>
      </c>
      <c r="AD63" s="293">
        <f t="shared" si="115"/>
        <v>1470.5447709247787</v>
      </c>
      <c r="AH63"/>
      <c r="AI63"/>
      <c r="AJ63"/>
      <c r="AK63"/>
      <c r="AL63"/>
      <c r="AM63"/>
    </row>
    <row r="64" spans="2:39" hidden="1" outlineLevel="1">
      <c r="B64" s="11" t="s">
        <v>363</v>
      </c>
      <c r="C64" s="71">
        <f t="shared" ref="C64:O64" si="116">C63/C45</f>
        <v>0.26794914705247247</v>
      </c>
      <c r="D64" s="71">
        <f t="shared" si="116"/>
        <v>0.11350167890386975</v>
      </c>
      <c r="E64" s="71">
        <f t="shared" si="116"/>
        <v>7.5465428276573793E-2</v>
      </c>
      <c r="F64" s="71">
        <f t="shared" si="116"/>
        <v>6.3026057295263713E-2</v>
      </c>
      <c r="G64" s="71">
        <f t="shared" si="116"/>
        <v>7.3775301368355639E-2</v>
      </c>
      <c r="H64" s="71">
        <f t="shared" si="116"/>
        <v>6.4332287900911458E-2</v>
      </c>
      <c r="I64" s="71">
        <f t="shared" si="116"/>
        <v>6.7152531624170619E-2</v>
      </c>
      <c r="J64" s="71">
        <f t="shared" si="116"/>
        <v>6.1289243988505694E-2</v>
      </c>
      <c r="K64" s="71">
        <f t="shared" si="116"/>
        <v>6.4913929852526933E-2</v>
      </c>
      <c r="L64" s="71">
        <f t="shared" si="116"/>
        <v>8.041573525700435E-2</v>
      </c>
      <c r="M64" s="71">
        <f t="shared" si="116"/>
        <v>9.5056301490098111E-2</v>
      </c>
      <c r="N64" s="71">
        <f t="shared" si="116"/>
        <v>8.2860471318900619E-2</v>
      </c>
      <c r="O64" s="71">
        <f t="shared" si="116"/>
        <v>8.3001113649372432E-2</v>
      </c>
      <c r="P64" s="71">
        <f t="shared" ref="P64" si="117">P63/P45</f>
        <v>8.7485151282230458E-2</v>
      </c>
      <c r="Q64" s="71">
        <f>Q63/Q45</f>
        <v>8.9953748720992585E-2</v>
      </c>
      <c r="R64" s="71">
        <f>R63/R45</f>
        <v>8.9173655932393736E-2</v>
      </c>
      <c r="S64" s="71">
        <f>S63/S45</f>
        <v>8.8305682170635086E-2</v>
      </c>
      <c r="T64" s="71">
        <f>T63/T45</f>
        <v>9.0526454988934191E-2</v>
      </c>
      <c r="U64" s="71">
        <f t="shared" ref="U64:AD64" si="118">U63/U45</f>
        <v>9.0950072183176273E-2</v>
      </c>
      <c r="V64" s="71">
        <f t="shared" si="118"/>
        <v>9.2477587254594179E-2</v>
      </c>
      <c r="W64" s="71">
        <f t="shared" si="118"/>
        <v>9.3865261766736083E-2</v>
      </c>
      <c r="X64" s="71">
        <f t="shared" si="118"/>
        <v>9.5288595963491152E-2</v>
      </c>
      <c r="Y64" s="71">
        <f t="shared" si="118"/>
        <v>9.9184740769600974E-2</v>
      </c>
      <c r="Z64" s="71">
        <f t="shared" si="118"/>
        <v>0.1046328954151507</v>
      </c>
      <c r="AA64" s="71">
        <f t="shared" si="118"/>
        <v>0.11180840834701923</v>
      </c>
      <c r="AB64" s="71">
        <f t="shared" si="118"/>
        <v>0.11623979389699308</v>
      </c>
      <c r="AC64" s="71">
        <f t="shared" si="118"/>
        <v>0.11790268315505376</v>
      </c>
      <c r="AD64" s="71">
        <f t="shared" si="118"/>
        <v>0.1182849614711039</v>
      </c>
    </row>
    <row r="65" spans="2:39" s="293" customFormat="1" hidden="1" outlineLevel="1">
      <c r="B65" s="294" t="s">
        <v>364</v>
      </c>
      <c r="C65" s="293">
        <f t="shared" ref="C65:M65" si="119">C9</f>
        <v>66.545000000000002</v>
      </c>
      <c r="D65" s="293">
        <f t="shared" si="119"/>
        <v>119.11799999999999</v>
      </c>
      <c r="E65" s="293">
        <f t="shared" si="119"/>
        <v>136.47</v>
      </c>
      <c r="F65" s="293">
        <f t="shared" si="119"/>
        <v>107.51299999999999</v>
      </c>
      <c r="G65" s="293">
        <f t="shared" si="119"/>
        <v>499.61799999999999</v>
      </c>
      <c r="H65" s="293">
        <f t="shared" si="119"/>
        <v>128.03700000000001</v>
      </c>
      <c r="I65" s="296">
        <f t="shared" si="119"/>
        <v>89.124000000000009</v>
      </c>
      <c r="J65" s="296">
        <f t="shared" si="119"/>
        <v>103.622</v>
      </c>
      <c r="K65" s="296">
        <f t="shared" si="119"/>
        <v>144.6</v>
      </c>
      <c r="L65" s="296">
        <f t="shared" si="119"/>
        <v>136.011</v>
      </c>
      <c r="M65" s="296">
        <f t="shared" si="119"/>
        <v>226.13399999999999</v>
      </c>
      <c r="N65" s="296">
        <f t="shared" ref="N65:O65" si="120">N9</f>
        <v>447.46199999999999</v>
      </c>
      <c r="O65" s="296">
        <f t="shared" si="120"/>
        <v>836.9</v>
      </c>
      <c r="P65" s="296">
        <f t="shared" ref="P65" si="121">P9</f>
        <v>1093.3</v>
      </c>
      <c r="Q65" s="293">
        <f t="shared" ref="Q65:AD65" si="122">Q66*Q45</f>
        <v>1172.0926970512196</v>
      </c>
      <c r="R65" s="293">
        <f t="shared" si="122"/>
        <v>1228.8981776068049</v>
      </c>
      <c r="S65" s="293">
        <f t="shared" si="122"/>
        <v>1281.2519378550187</v>
      </c>
      <c r="T65" s="293">
        <f t="shared" si="122"/>
        <v>1345.2135723438039</v>
      </c>
      <c r="U65" s="293">
        <f t="shared" si="122"/>
        <v>1394.9382023476883</v>
      </c>
      <c r="V65" s="293">
        <f t="shared" si="122"/>
        <v>1427.8753289763156</v>
      </c>
      <c r="W65" s="293">
        <f t="shared" si="122"/>
        <v>1461.3471803811462</v>
      </c>
      <c r="X65" s="293">
        <f t="shared" si="122"/>
        <v>1495.5215655758789</v>
      </c>
      <c r="Y65" s="293">
        <f t="shared" si="122"/>
        <v>1448.205234984724</v>
      </c>
      <c r="Z65" s="293">
        <f t="shared" si="122"/>
        <v>1361.2923101752522</v>
      </c>
      <c r="AA65" s="293">
        <f t="shared" si="122"/>
        <v>1213.6187450216078</v>
      </c>
      <c r="AB65" s="293">
        <f t="shared" si="122"/>
        <v>1186.3623301986202</v>
      </c>
      <c r="AC65" s="293">
        <f t="shared" si="122"/>
        <v>1173.3192396413806</v>
      </c>
      <c r="AD65" s="293">
        <f t="shared" si="122"/>
        <v>1187.2115083736996</v>
      </c>
      <c r="AH65"/>
      <c r="AI65"/>
      <c r="AJ65"/>
      <c r="AK65"/>
      <c r="AL65"/>
      <c r="AM65"/>
    </row>
    <row r="66" spans="2:39" hidden="1" outlineLevel="1">
      <c r="B66" s="11" t="s">
        <v>363</v>
      </c>
      <c r="C66" s="71">
        <f t="shared" ref="C66:M66" si="123">C65/C45</f>
        <v>3.5923666594687972E-2</v>
      </c>
      <c r="D66" s="71">
        <f t="shared" si="123"/>
        <v>5.3861478900433267E-2</v>
      </c>
      <c r="E66" s="71">
        <f t="shared" si="123"/>
        <v>5.63343653250774E-2</v>
      </c>
      <c r="F66" s="71">
        <f t="shared" si="123"/>
        <v>4.0071202575875431E-2</v>
      </c>
      <c r="G66" s="71">
        <f t="shared" si="123"/>
        <v>0.15752784778237727</v>
      </c>
      <c r="H66" s="71">
        <f t="shared" si="123"/>
        <v>3.1247536611895971E-2</v>
      </c>
      <c r="I66" s="292">
        <f t="shared" si="123"/>
        <v>2.0360272932378236E-2</v>
      </c>
      <c r="J66" s="292">
        <f t="shared" si="123"/>
        <v>2.1970463633138929E-2</v>
      </c>
      <c r="K66" s="292">
        <f t="shared" si="123"/>
        <v>2.8718847448699816E-2</v>
      </c>
      <c r="L66" s="292">
        <f t="shared" si="123"/>
        <v>2.444811056554691E-2</v>
      </c>
      <c r="M66" s="292">
        <f t="shared" si="123"/>
        <v>3.2618154516992855E-2</v>
      </c>
      <c r="N66" s="292">
        <f t="shared" ref="N66:O66" si="124">N65/N45</f>
        <v>4.6114300625229039E-2</v>
      </c>
      <c r="O66" s="292">
        <f t="shared" si="124"/>
        <v>7.7751994641996627E-2</v>
      </c>
      <c r="P66" s="292">
        <f t="shared" ref="P66" si="125">P65/P45</f>
        <v>9.5494724337921874E-2</v>
      </c>
      <c r="Q66" s="71">
        <f t="shared" ref="Q66:T66" si="126">P66</f>
        <v>9.5494724337921874E-2</v>
      </c>
      <c r="R66" s="71">
        <f t="shared" si="126"/>
        <v>9.5494724337921874E-2</v>
      </c>
      <c r="S66" s="71">
        <f t="shared" si="126"/>
        <v>9.5494724337921874E-2</v>
      </c>
      <c r="T66" s="71">
        <f t="shared" si="126"/>
        <v>9.5494724337921874E-2</v>
      </c>
      <c r="U66" s="71">
        <f t="shared" ref="U66" si="127">T66</f>
        <v>9.5494724337921874E-2</v>
      </c>
      <c r="V66" s="71">
        <f t="shared" ref="V66" si="128">U66</f>
        <v>9.5494724337921874E-2</v>
      </c>
      <c r="W66" s="71">
        <f t="shared" ref="W66" si="129">V66</f>
        <v>9.5494724337921874E-2</v>
      </c>
      <c r="X66" s="71">
        <f t="shared" ref="X66" si="130">W66</f>
        <v>9.5494724337921874E-2</v>
      </c>
      <c r="Y66" s="71">
        <f t="shared" ref="Y66" si="131">X66</f>
        <v>9.5494724337921874E-2</v>
      </c>
      <c r="Z66" s="71">
        <f t="shared" ref="Z66" si="132">Y66</f>
        <v>9.5494724337921874E-2</v>
      </c>
      <c r="AA66" s="71">
        <f t="shared" ref="AA66" si="133">Z66</f>
        <v>9.5494724337921874E-2</v>
      </c>
      <c r="AB66" s="71">
        <f t="shared" ref="AB66" si="134">AA66</f>
        <v>9.5494724337921874E-2</v>
      </c>
      <c r="AC66" s="71">
        <f t="shared" ref="AC66" si="135">AB66</f>
        <v>9.5494724337921874E-2</v>
      </c>
      <c r="AD66" s="71">
        <f t="shared" ref="AD66" si="136">AC66</f>
        <v>9.5494724337921874E-2</v>
      </c>
    </row>
    <row r="67" spans="2:39" hidden="1" outlineLevel="1">
      <c r="B67" s="11" t="s">
        <v>365</v>
      </c>
      <c r="C67" s="71">
        <f t="shared" ref="C67:T67" si="137">C65/C17</f>
        <v>7.0018292403838623E-3</v>
      </c>
      <c r="D67" s="71">
        <f t="shared" si="137"/>
        <v>1.299597916506196E-2</v>
      </c>
      <c r="E67" s="71">
        <f t="shared" si="137"/>
        <v>1.6281866829910865E-2</v>
      </c>
      <c r="F67" s="71">
        <f t="shared" si="137"/>
        <v>1.2570491469000588E-2</v>
      </c>
      <c r="G67" s="71">
        <f t="shared" si="137"/>
        <v>5.790111388411967E-2</v>
      </c>
      <c r="H67" s="71">
        <f t="shared" si="137"/>
        <v>1.5100499575951904E-2</v>
      </c>
      <c r="I67" s="71">
        <f t="shared" si="137"/>
        <v>1.0421599807480345E-2</v>
      </c>
      <c r="J67" s="71">
        <f t="shared" si="137"/>
        <v>1.2804706781952113E-2</v>
      </c>
      <c r="K67" s="71">
        <f t="shared" si="137"/>
        <v>1.5978599726573669E-2</v>
      </c>
      <c r="L67" s="71">
        <f t="shared" si="137"/>
        <v>1.3426398389436331E-2</v>
      </c>
      <c r="M67" s="71">
        <f t="shared" si="137"/>
        <v>1.9061587656422078E-2</v>
      </c>
      <c r="N67" s="71">
        <f t="shared" si="137"/>
        <v>3.1254856701250631E-2</v>
      </c>
      <c r="O67" s="71">
        <f t="shared" si="137"/>
        <v>4.2907386899634962E-2</v>
      </c>
      <c r="P67" s="71">
        <f t="shared" ref="P67" si="138">P65/P17</f>
        <v>4.7790774933557142E-2</v>
      </c>
      <c r="Q67" s="71">
        <f t="shared" si="137"/>
        <v>4.9554497055343587E-2</v>
      </c>
      <c r="R67" s="71">
        <f t="shared" si="137"/>
        <v>5.0204748789362187E-2</v>
      </c>
      <c r="S67" s="71">
        <f t="shared" si="137"/>
        <v>4.8091720754920693E-2</v>
      </c>
      <c r="T67" s="71">
        <f t="shared" si="137"/>
        <v>4.8118168571436401E-2</v>
      </c>
      <c r="U67" s="71">
        <f t="shared" ref="U67:AD67" si="139">U65/U17</f>
        <v>4.5333453814575583E-2</v>
      </c>
      <c r="V67" s="71">
        <f t="shared" si="139"/>
        <v>4.3815326429232047E-2</v>
      </c>
      <c r="W67" s="71">
        <f t="shared" si="139"/>
        <v>4.1260969625228176E-2</v>
      </c>
      <c r="X67" s="71">
        <f t="shared" si="139"/>
        <v>3.9081875721479496E-2</v>
      </c>
      <c r="Y67" s="71">
        <f t="shared" si="139"/>
        <v>3.7176406214701294E-2</v>
      </c>
      <c r="Z67" s="71">
        <f t="shared" si="139"/>
        <v>3.3306240281860078E-2</v>
      </c>
      <c r="AA67" s="71">
        <f t="shared" si="139"/>
        <v>2.8880915339260734E-2</v>
      </c>
      <c r="AB67" s="71">
        <f t="shared" si="139"/>
        <v>2.7478455648719136E-2</v>
      </c>
      <c r="AC67" s="71">
        <f t="shared" si="139"/>
        <v>2.6529870204626244E-2</v>
      </c>
      <c r="AD67" s="71">
        <f t="shared" si="139"/>
        <v>2.6195632612049397E-2</v>
      </c>
    </row>
    <row r="68" spans="2:39" s="293" customFormat="1" hidden="1" outlineLevel="1">
      <c r="B68" s="294" t="s">
        <v>366</v>
      </c>
      <c r="C68" s="293">
        <f t="shared" ref="C68:O68" si="140">C16</f>
        <v>120.29300000000001</v>
      </c>
      <c r="D68" s="293">
        <f t="shared" si="140"/>
        <v>155.93299999999999</v>
      </c>
      <c r="E68" s="293">
        <f t="shared" si="140"/>
        <v>264.06099999999998</v>
      </c>
      <c r="F68" s="293">
        <f t="shared" si="140"/>
        <v>245.62</v>
      </c>
      <c r="G68" s="293">
        <f t="shared" si="140"/>
        <v>201.02799999999999</v>
      </c>
      <c r="H68" s="293">
        <f t="shared" si="140"/>
        <v>235.15199999999999</v>
      </c>
      <c r="I68" s="296">
        <f t="shared" si="140"/>
        <v>230.39699999999999</v>
      </c>
      <c r="J68" s="296">
        <f t="shared" si="140"/>
        <v>248.19800000000001</v>
      </c>
      <c r="K68" s="296">
        <f t="shared" si="140"/>
        <v>331.548</v>
      </c>
      <c r="L68" s="296">
        <f t="shared" si="140"/>
        <v>274.05399999999997</v>
      </c>
      <c r="M68" s="296">
        <f t="shared" si="140"/>
        <v>594.35</v>
      </c>
      <c r="N68" s="296">
        <f t="shared" si="140"/>
        <v>618.79499999999996</v>
      </c>
      <c r="O68" s="296">
        <f t="shared" si="140"/>
        <v>1107.5999999999999</v>
      </c>
      <c r="P68" s="296">
        <f t="shared" ref="P68" si="141">P16</f>
        <v>1335.8</v>
      </c>
      <c r="Q68" s="293">
        <f t="shared" ref="Q68:T68" si="142">P68</f>
        <v>1335.8</v>
      </c>
      <c r="R68" s="293">
        <f t="shared" si="142"/>
        <v>1335.8</v>
      </c>
      <c r="S68" s="293">
        <f t="shared" si="142"/>
        <v>1335.8</v>
      </c>
      <c r="T68" s="293">
        <f t="shared" si="142"/>
        <v>1335.8</v>
      </c>
      <c r="U68" s="293">
        <f t="shared" ref="U68" si="143">T68</f>
        <v>1335.8</v>
      </c>
      <c r="V68" s="293">
        <f t="shared" ref="V68" si="144">U68</f>
        <v>1335.8</v>
      </c>
      <c r="W68" s="293">
        <f t="shared" ref="W68" si="145">V68</f>
        <v>1335.8</v>
      </c>
      <c r="X68" s="293">
        <f t="shared" ref="X68" si="146">W68</f>
        <v>1335.8</v>
      </c>
      <c r="Y68" s="293">
        <f t="shared" ref="Y68" si="147">X68</f>
        <v>1335.8</v>
      </c>
      <c r="Z68" s="293">
        <f t="shared" ref="Z68" si="148">Y68</f>
        <v>1335.8</v>
      </c>
      <c r="AA68" s="293">
        <f t="shared" ref="AA68" si="149">Z68</f>
        <v>1335.8</v>
      </c>
      <c r="AB68" s="293">
        <f t="shared" ref="AB68" si="150">AA68</f>
        <v>1335.8</v>
      </c>
      <c r="AC68" s="293">
        <f t="shared" ref="AC68" si="151">AB68</f>
        <v>1335.8</v>
      </c>
      <c r="AD68" s="293">
        <f t="shared" ref="AD68" si="152">AC68</f>
        <v>1335.8</v>
      </c>
      <c r="AH68"/>
      <c r="AI68"/>
      <c r="AJ68"/>
      <c r="AK68"/>
      <c r="AL68"/>
      <c r="AM68"/>
    </row>
    <row r="69" spans="2:39" hidden="1" outlineLevel="1">
      <c r="B69" s="11" t="s">
        <v>363</v>
      </c>
      <c r="C69" s="71">
        <f t="shared" ref="C69:AD69" si="153">C68/C45</f>
        <v>6.4938998056575256E-2</v>
      </c>
      <c r="D69" s="71">
        <f t="shared" si="153"/>
        <v>7.0508084331345894E-2</v>
      </c>
      <c r="E69" s="71">
        <f t="shared" si="153"/>
        <v>0.10900350877192981</v>
      </c>
      <c r="F69" s="71">
        <f t="shared" si="153"/>
        <v>9.1545104096123486E-2</v>
      </c>
      <c r="G69" s="71">
        <f t="shared" si="153"/>
        <v>6.3383441317157785E-2</v>
      </c>
      <c r="H69" s="71">
        <f t="shared" si="153"/>
        <v>5.7389041678269255E-2</v>
      </c>
      <c r="I69" s="292">
        <f t="shared" si="153"/>
        <v>5.2633923553713345E-2</v>
      </c>
      <c r="J69" s="292">
        <f t="shared" si="153"/>
        <v>5.2624202706161007E-2</v>
      </c>
      <c r="K69" s="292">
        <f t="shared" si="153"/>
        <v>6.5848384743579028E-2</v>
      </c>
      <c r="L69" s="292">
        <f t="shared" si="153"/>
        <v>4.9261475122823833E-2</v>
      </c>
      <c r="M69" s="292">
        <f t="shared" si="153"/>
        <v>8.5730585127290482E-2</v>
      </c>
      <c r="N69" s="292">
        <f t="shared" si="153"/>
        <v>6.3771445743747185E-2</v>
      </c>
      <c r="O69" s="292">
        <f t="shared" si="153"/>
        <v>0.10290131349680423</v>
      </c>
      <c r="P69" s="292">
        <f t="shared" ref="P69" si="154">P68/P45</f>
        <v>0.11667598350918874</v>
      </c>
      <c r="Q69" s="292">
        <f t="shared" si="153"/>
        <v>0.10883256340690405</v>
      </c>
      <c r="R69" s="292">
        <f t="shared" si="153"/>
        <v>0.10380180807088023</v>
      </c>
      <c r="S69" s="292">
        <f t="shared" si="153"/>
        <v>9.9560319872882344E-2</v>
      </c>
      <c r="T69" s="292">
        <f t="shared" si="153"/>
        <v>9.4826468743057196E-2</v>
      </c>
      <c r="U69" s="292">
        <f t="shared" si="153"/>
        <v>9.1446239378854752E-2</v>
      </c>
      <c r="V69" s="292">
        <f t="shared" si="153"/>
        <v>8.9336828070311125E-2</v>
      </c>
      <c r="W69" s="292">
        <f t="shared" si="153"/>
        <v>8.7290586715557603E-2</v>
      </c>
      <c r="X69" s="292">
        <f t="shared" si="153"/>
        <v>8.5295896566677673E-2</v>
      </c>
      <c r="Y69" s="292">
        <f t="shared" si="153"/>
        <v>8.8082717621126114E-2</v>
      </c>
      <c r="Z69" s="292">
        <f t="shared" si="153"/>
        <v>9.3706437491132069E-2</v>
      </c>
      <c r="AA69" s="292">
        <f t="shared" si="153"/>
        <v>0.10510867048969723</v>
      </c>
      <c r="AB69" s="292">
        <f t="shared" si="153"/>
        <v>0.10752351918426109</v>
      </c>
      <c r="AC69" s="292">
        <f t="shared" si="153"/>
        <v>0.10871879405095641</v>
      </c>
      <c r="AD69" s="292">
        <f t="shared" si="153"/>
        <v>0.10744661070994543</v>
      </c>
    </row>
    <row r="70" spans="2:39" hidden="1" outlineLevel="1">
      <c r="B70" s="11" t="s">
        <v>365</v>
      </c>
      <c r="C70" s="71">
        <f t="shared" ref="C70:AD70" si="155">C68/C17</f>
        <v>1.2657164998324382E-2</v>
      </c>
      <c r="D70" s="71">
        <f t="shared" si="155"/>
        <v>1.7012559135861974E-2</v>
      </c>
      <c r="E70" s="71">
        <f t="shared" si="155"/>
        <v>3.1504404169217355E-2</v>
      </c>
      <c r="F70" s="71">
        <f t="shared" si="155"/>
        <v>2.8718053766669378E-2</v>
      </c>
      <c r="G70" s="71">
        <f t="shared" si="155"/>
        <v>2.3297289372874494E-2</v>
      </c>
      <c r="H70" s="71">
        <f t="shared" si="155"/>
        <v>2.7733488571930313E-2</v>
      </c>
      <c r="I70" s="71">
        <f t="shared" si="155"/>
        <v>2.6941175562632383E-2</v>
      </c>
      <c r="J70" s="71">
        <f t="shared" si="155"/>
        <v>3.0670153190123246E-2</v>
      </c>
      <c r="K70" s="71">
        <f t="shared" si="155"/>
        <v>3.6636741231992023E-2</v>
      </c>
      <c r="L70" s="71">
        <f t="shared" si="155"/>
        <v>2.7053386742385426E-2</v>
      </c>
      <c r="M70" s="71">
        <f t="shared" si="155"/>
        <v>5.0099740081520086E-2</v>
      </c>
      <c r="N70" s="71">
        <f t="shared" si="155"/>
        <v>4.3222327376292023E-2</v>
      </c>
      <c r="O70" s="71">
        <f t="shared" si="155"/>
        <v>5.6786021902300969E-2</v>
      </c>
      <c r="P70" s="71">
        <f t="shared" ref="P70" si="156">P68/P17</f>
        <v>5.8391033711008532E-2</v>
      </c>
      <c r="Q70" s="71">
        <f t="shared" si="155"/>
        <v>5.6475820839992225E-2</v>
      </c>
      <c r="R70" s="71">
        <f t="shared" si="155"/>
        <v>5.4572058657806455E-2</v>
      </c>
      <c r="S70" s="71">
        <f t="shared" si="155"/>
        <v>5.0139179256166171E-2</v>
      </c>
      <c r="T70" s="71">
        <f t="shared" si="155"/>
        <v>4.7781445934814946E-2</v>
      </c>
      <c r="U70" s="71">
        <f t="shared" si="155"/>
        <v>4.3411548628887846E-2</v>
      </c>
      <c r="V70" s="71">
        <f t="shared" si="155"/>
        <v>4.098993228360414E-2</v>
      </c>
      <c r="W70" s="71">
        <f t="shared" si="155"/>
        <v>3.7716159421476027E-2</v>
      </c>
      <c r="X70" s="71">
        <f t="shared" si="155"/>
        <v>3.4907934990993976E-2</v>
      </c>
      <c r="Y70" s="71">
        <f t="shared" si="155"/>
        <v>3.4290887936281912E-2</v>
      </c>
      <c r="Z70" s="71">
        <f t="shared" si="155"/>
        <v>3.2682529267193908E-2</v>
      </c>
      <c r="AA70" s="71">
        <f t="shared" si="155"/>
        <v>3.1788505960739434E-2</v>
      </c>
      <c r="AB70" s="71">
        <f t="shared" si="155"/>
        <v>3.0939722310142609E-2</v>
      </c>
      <c r="AC70" s="71">
        <f t="shared" si="155"/>
        <v>3.0203715597616358E-2</v>
      </c>
      <c r="AD70" s="71">
        <f t="shared" si="155"/>
        <v>2.9474213984928017E-2</v>
      </c>
    </row>
    <row r="71" spans="2:39" s="293" customFormat="1" hidden="1" outlineLevel="1">
      <c r="B71" s="294" t="s">
        <v>367</v>
      </c>
      <c r="C71" s="293">
        <f t="shared" ref="C71:O71" si="157">C21</f>
        <v>63.363999999999997</v>
      </c>
      <c r="D71" s="293">
        <f t="shared" si="157"/>
        <v>121.471</v>
      </c>
      <c r="E71" s="293">
        <f t="shared" si="157"/>
        <v>99.78</v>
      </c>
      <c r="F71" s="293">
        <f t="shared" si="157"/>
        <v>100.45699999999999</v>
      </c>
      <c r="G71" s="293">
        <f t="shared" si="157"/>
        <v>90.671999999999997</v>
      </c>
      <c r="H71" s="293">
        <f t="shared" si="157"/>
        <v>107.417</v>
      </c>
      <c r="I71" s="296">
        <f t="shared" si="157"/>
        <v>118.53400000000001</v>
      </c>
      <c r="J71" s="296">
        <f t="shared" si="157"/>
        <v>162.529</v>
      </c>
      <c r="K71" s="296">
        <f t="shared" si="157"/>
        <v>186.44800000000001</v>
      </c>
      <c r="L71" s="296">
        <f t="shared" si="157"/>
        <v>203.999</v>
      </c>
      <c r="M71" s="296">
        <f t="shared" si="157"/>
        <v>219.91300000000001</v>
      </c>
      <c r="N71" s="296">
        <f t="shared" si="157"/>
        <v>229.178</v>
      </c>
      <c r="O71" s="296">
        <f t="shared" si="157"/>
        <v>267.39999999999998</v>
      </c>
      <c r="P71" s="296">
        <f t="shared" ref="P71" si="158">P21</f>
        <v>279.8</v>
      </c>
      <c r="Q71" s="293">
        <f t="shared" ref="Q71:AD71" si="159">Q46/Q56</f>
        <v>308.42902549536757</v>
      </c>
      <c r="R71" s="293">
        <f t="shared" si="159"/>
        <v>320.5726647292048</v>
      </c>
      <c r="S71" s="293">
        <f t="shared" si="159"/>
        <v>330.97653118541098</v>
      </c>
      <c r="T71" s="293">
        <f t="shared" si="159"/>
        <v>356.23843077743692</v>
      </c>
      <c r="U71" s="293">
        <f t="shared" si="159"/>
        <v>371.13510137288756</v>
      </c>
      <c r="V71" s="293">
        <f t="shared" si="159"/>
        <v>386.27873030722589</v>
      </c>
      <c r="W71" s="293">
        <f t="shared" si="159"/>
        <v>401.26595726184956</v>
      </c>
      <c r="X71" s="293">
        <f t="shared" si="159"/>
        <v>416.87670042230445</v>
      </c>
      <c r="Y71" s="293">
        <f t="shared" si="159"/>
        <v>420.19317154931576</v>
      </c>
      <c r="Z71" s="293">
        <f t="shared" si="159"/>
        <v>416.67135934188718</v>
      </c>
      <c r="AA71" s="293">
        <f t="shared" si="159"/>
        <v>396.9453837856924</v>
      </c>
      <c r="AB71" s="293">
        <f t="shared" si="159"/>
        <v>403.40956799025582</v>
      </c>
      <c r="AC71" s="293">
        <f t="shared" si="159"/>
        <v>404.68200741098394</v>
      </c>
      <c r="AD71" s="293">
        <f t="shared" si="159"/>
        <v>410.80114507263687</v>
      </c>
      <c r="AH71"/>
      <c r="AI71"/>
      <c r="AJ71"/>
      <c r="AK71"/>
      <c r="AL71"/>
      <c r="AM71"/>
    </row>
    <row r="72" spans="2:39" hidden="1" outlineLevel="1">
      <c r="B72" s="11" t="s">
        <v>368</v>
      </c>
      <c r="C72" s="71">
        <f t="shared" ref="C72:O72" si="160">C71/C47</f>
        <v>6.0780815347721819E-2</v>
      </c>
      <c r="D72" s="71">
        <f t="shared" si="160"/>
        <v>9.6886141575274184E-2</v>
      </c>
      <c r="E72" s="71">
        <f t="shared" si="160"/>
        <v>7.3516788838533451E-2</v>
      </c>
      <c r="F72" s="71">
        <f t="shared" si="160"/>
        <v>7.4255446067100953E-2</v>
      </c>
      <c r="G72" s="71">
        <f t="shared" si="160"/>
        <v>5.4491465275453184E-2</v>
      </c>
      <c r="H72" s="71">
        <f t="shared" si="160"/>
        <v>5.477767811019383E-2</v>
      </c>
      <c r="I72" s="71">
        <f t="shared" si="160"/>
        <v>5.5027106423001335E-2</v>
      </c>
      <c r="J72" s="71">
        <f t="shared" si="160"/>
        <v>7.2728240908130876E-2</v>
      </c>
      <c r="K72" s="71">
        <f t="shared" si="160"/>
        <v>8.2374023164822285E-2</v>
      </c>
      <c r="L72" s="71">
        <f t="shared" si="160"/>
        <v>7.8335034440704318E-2</v>
      </c>
      <c r="M72" s="71">
        <f t="shared" si="160"/>
        <v>7.0502923181683538E-2</v>
      </c>
      <c r="N72" s="71">
        <f t="shared" si="160"/>
        <v>5.6192233154442453E-2</v>
      </c>
      <c r="O72" s="71">
        <f t="shared" si="160"/>
        <v>6.4809740753765888E-2</v>
      </c>
      <c r="P72" s="71">
        <f t="shared" ref="P72" si="161">P71/P47</f>
        <v>7.1355707436499036E-2</v>
      </c>
      <c r="Q72" s="71">
        <f>Q71/Q47</f>
        <v>7.3951381181904141E-2</v>
      </c>
      <c r="R72" s="71">
        <f>R71/R47</f>
        <v>7.16363496601575E-2</v>
      </c>
      <c r="S72" s="71">
        <f>S71/S47</f>
        <v>7.688188877709895E-2</v>
      </c>
      <c r="T72" s="71">
        <f>T71/T47</f>
        <v>7.8809453188968953E-2</v>
      </c>
      <c r="U72" s="71">
        <f t="shared" ref="U72:AD72" si="162">U71/U47</f>
        <v>8.0102433655139971E-2</v>
      </c>
      <c r="V72" s="71">
        <f t="shared" si="162"/>
        <v>8.1337460638122111E-2</v>
      </c>
      <c r="W72" s="71">
        <f t="shared" si="162"/>
        <v>8.243246093368789E-2</v>
      </c>
      <c r="X72" s="71">
        <f t="shared" si="162"/>
        <v>8.3550625640082102E-2</v>
      </c>
      <c r="Y72" s="71">
        <f t="shared" si="162"/>
        <v>8.2161282295913768E-2</v>
      </c>
      <c r="Z72" s="71">
        <f t="shared" si="162"/>
        <v>8.0515308064877708E-2</v>
      </c>
      <c r="AA72" s="71">
        <f t="shared" si="162"/>
        <v>7.5790722324203183E-2</v>
      </c>
      <c r="AB72" s="71">
        <f t="shared" si="162"/>
        <v>7.7024960610156068E-2</v>
      </c>
      <c r="AC72" s="71">
        <f t="shared" si="162"/>
        <v>7.726791368821187E-2</v>
      </c>
      <c r="AD72" s="71">
        <f t="shared" si="162"/>
        <v>7.8436270551201115E-2</v>
      </c>
    </row>
    <row r="73" spans="2:39" s="293" customFormat="1" hidden="1" outlineLevel="1">
      <c r="B73" s="294" t="s">
        <v>369</v>
      </c>
      <c r="C73" s="293">
        <f t="shared" ref="C73:M73" si="163">C23</f>
        <v>240.13</v>
      </c>
      <c r="D73" s="293">
        <f t="shared" si="163"/>
        <v>247.80199999999999</v>
      </c>
      <c r="E73" s="293">
        <f t="shared" si="163"/>
        <v>297.83300000000003</v>
      </c>
      <c r="F73" s="293">
        <f t="shared" si="163"/>
        <v>336.86900000000003</v>
      </c>
      <c r="G73" s="293">
        <f t="shared" si="163"/>
        <v>576.09400000000005</v>
      </c>
      <c r="H73" s="293">
        <f t="shared" si="163"/>
        <v>564.87799999999993</v>
      </c>
      <c r="I73" s="296">
        <f t="shared" si="163"/>
        <v>500.755</v>
      </c>
      <c r="J73" s="296">
        <f t="shared" si="163"/>
        <v>665.923</v>
      </c>
      <c r="K73" s="296">
        <f t="shared" si="163"/>
        <v>677.21</v>
      </c>
      <c r="L73" s="296">
        <f t="shared" si="163"/>
        <v>979.94500000000005</v>
      </c>
      <c r="M73" s="296">
        <f t="shared" si="163"/>
        <v>1355.1869999999999</v>
      </c>
      <c r="N73" s="296">
        <f t="shared" ref="N73:O73" si="164">N23</f>
        <v>1819.3340000000001</v>
      </c>
      <c r="O73" s="296">
        <f t="shared" si="164"/>
        <v>2096.8000000000002</v>
      </c>
      <c r="P73" s="296">
        <f t="shared" ref="P73" si="165">P23</f>
        <v>2903.5</v>
      </c>
      <c r="Q73" s="293">
        <f t="shared" ref="Q73:AD73" si="166">Q74*Q47</f>
        <v>3088.2452948077116</v>
      </c>
      <c r="R73" s="293">
        <f t="shared" si="166"/>
        <v>3313.567912883811</v>
      </c>
      <c r="S73" s="293">
        <f t="shared" si="166"/>
        <v>3187.6893552993979</v>
      </c>
      <c r="T73" s="293">
        <f t="shared" si="166"/>
        <v>3347.0738230643678</v>
      </c>
      <c r="U73" s="293">
        <f t="shared" si="166"/>
        <v>3430.7506686409765</v>
      </c>
      <c r="V73" s="293">
        <f t="shared" si="166"/>
        <v>3516.5194353570009</v>
      </c>
      <c r="W73" s="293">
        <f t="shared" si="166"/>
        <v>3604.4324212409251</v>
      </c>
      <c r="X73" s="293">
        <f t="shared" si="166"/>
        <v>3694.5432317719483</v>
      </c>
      <c r="Y73" s="293">
        <f t="shared" si="166"/>
        <v>3786.9068125662466</v>
      </c>
      <c r="Z73" s="293">
        <f t="shared" si="166"/>
        <v>3831.934058203467</v>
      </c>
      <c r="AA73" s="293">
        <f t="shared" si="166"/>
        <v>3878.0869849816172</v>
      </c>
      <c r="AB73" s="293">
        <f t="shared" si="166"/>
        <v>3878.0869849816172</v>
      </c>
      <c r="AC73" s="293">
        <f t="shared" si="166"/>
        <v>3878.0869849816172</v>
      </c>
      <c r="AD73" s="293">
        <f t="shared" si="166"/>
        <v>3878.0869849816172</v>
      </c>
      <c r="AH73"/>
      <c r="AI73"/>
      <c r="AJ73"/>
      <c r="AK73"/>
      <c r="AL73"/>
      <c r="AM73"/>
    </row>
    <row r="74" spans="2:39" hidden="1" outlineLevel="1">
      <c r="B74" s="11" t="s">
        <v>368</v>
      </c>
      <c r="C74" s="71">
        <f t="shared" ref="C74:M74" si="167">C73/C47</f>
        <v>0.23034052757793766</v>
      </c>
      <c r="D74" s="71">
        <f t="shared" si="167"/>
        <v>0.19764865403788634</v>
      </c>
      <c r="E74" s="71">
        <f t="shared" si="167"/>
        <v>0.21944002575813726</v>
      </c>
      <c r="F74" s="71">
        <f t="shared" si="167"/>
        <v>0.24900562291506054</v>
      </c>
      <c r="G74" s="71">
        <f t="shared" si="167"/>
        <v>0.3462172026248117</v>
      </c>
      <c r="H74" s="71">
        <f t="shared" si="167"/>
        <v>0.28806152895286652</v>
      </c>
      <c r="I74" s="292">
        <f t="shared" si="167"/>
        <v>0.23246577924350845</v>
      </c>
      <c r="J74" s="292">
        <f t="shared" si="167"/>
        <v>0.29798625703883758</v>
      </c>
      <c r="K74" s="292">
        <f t="shared" si="167"/>
        <v>0.29919608806449677</v>
      </c>
      <c r="L74" s="292">
        <f t="shared" si="167"/>
        <v>0.37629608637785478</v>
      </c>
      <c r="M74" s="292">
        <f t="shared" si="167"/>
        <v>0.43446565213432653</v>
      </c>
      <c r="N74" s="292">
        <f t="shared" ref="N74:O74" si="168">N73/N47</f>
        <v>0.44608313325801086</v>
      </c>
      <c r="O74" s="292">
        <f t="shared" si="168"/>
        <v>0.50820143759347913</v>
      </c>
      <c r="P74" s="292">
        <f t="shared" ref="P74" si="169">P73/P47</f>
        <v>0.74046210343772312</v>
      </c>
      <c r="Q74" s="71">
        <f t="shared" ref="Q74:T74" si="170">P74</f>
        <v>0.74046210343772312</v>
      </c>
      <c r="R74" s="71">
        <f t="shared" si="170"/>
        <v>0.74046210343772312</v>
      </c>
      <c r="S74" s="71">
        <f t="shared" si="170"/>
        <v>0.74046210343772312</v>
      </c>
      <c r="T74" s="71">
        <f t="shared" si="170"/>
        <v>0.74046210343772312</v>
      </c>
      <c r="U74" s="71">
        <f t="shared" ref="U74" si="171">T74</f>
        <v>0.74046210343772312</v>
      </c>
      <c r="V74" s="71">
        <f t="shared" ref="V74" si="172">U74</f>
        <v>0.74046210343772312</v>
      </c>
      <c r="W74" s="71">
        <f t="shared" ref="W74" si="173">V74</f>
        <v>0.74046210343772312</v>
      </c>
      <c r="X74" s="71">
        <f t="shared" ref="X74" si="174">W74</f>
        <v>0.74046210343772312</v>
      </c>
      <c r="Y74" s="71">
        <f t="shared" ref="Y74" si="175">X74</f>
        <v>0.74046210343772312</v>
      </c>
      <c r="Z74" s="71">
        <f t="shared" ref="Z74" si="176">Y74</f>
        <v>0.74046210343772312</v>
      </c>
      <c r="AA74" s="71">
        <f t="shared" ref="AA74" si="177">Z74</f>
        <v>0.74046210343772312</v>
      </c>
      <c r="AB74" s="71">
        <f t="shared" ref="AB74" si="178">AA74</f>
        <v>0.74046210343772312</v>
      </c>
      <c r="AC74" s="71">
        <f t="shared" ref="AC74" si="179">AB74</f>
        <v>0.74046210343772312</v>
      </c>
      <c r="AD74" s="71">
        <f t="shared" ref="AD74" si="180">AC74</f>
        <v>0.74046210343772312</v>
      </c>
    </row>
    <row r="75" spans="2:39" hidden="1" outlineLevel="1">
      <c r="B75" s="11" t="s">
        <v>370</v>
      </c>
      <c r="C75" s="71">
        <f t="shared" ref="C75:AD75" si="181">C73/C29</f>
        <v>9.7987568028786207E-2</v>
      </c>
      <c r="D75" s="71">
        <f t="shared" si="181"/>
        <v>0.10592739799868084</v>
      </c>
      <c r="E75" s="71">
        <f t="shared" si="181"/>
        <v>0.20180561456146021</v>
      </c>
      <c r="F75" s="71">
        <f t="shared" si="181"/>
        <v>0.24010106697647238</v>
      </c>
      <c r="G75" s="71">
        <f t="shared" si="181"/>
        <v>0.18616586740431473</v>
      </c>
      <c r="H75" s="71">
        <f t="shared" si="181"/>
        <v>0.21356131232847603</v>
      </c>
      <c r="I75" s="71">
        <f t="shared" si="181"/>
        <v>0.21867297940760846</v>
      </c>
      <c r="J75" s="71">
        <f t="shared" si="181"/>
        <v>0.2519524791434139</v>
      </c>
      <c r="K75" s="71">
        <f t="shared" si="181"/>
        <v>0.25821917573172143</v>
      </c>
      <c r="L75" s="71">
        <f t="shared" si="181"/>
        <v>0.30948990358848422</v>
      </c>
      <c r="M75" s="71">
        <f t="shared" si="181"/>
        <v>0.41794549077454807</v>
      </c>
      <c r="N75" s="71">
        <f t="shared" si="181"/>
        <v>0.51943586887037585</v>
      </c>
      <c r="O75" s="71">
        <f t="shared" si="181"/>
        <v>0.20699118451317389</v>
      </c>
      <c r="P75" s="71">
        <f t="shared" ref="P75" si="182">P73/P29</f>
        <v>0.27013825570793248</v>
      </c>
      <c r="Q75" s="71">
        <f t="shared" si="181"/>
        <v>0.27936544346715919</v>
      </c>
      <c r="R75" s="71">
        <f t="shared" si="181"/>
        <v>0.31253054810091846</v>
      </c>
      <c r="S75" s="71">
        <f t="shared" si="181"/>
        <v>0.30487916263865106</v>
      </c>
      <c r="T75" s="71">
        <f t="shared" si="181"/>
        <v>0.3640264313364921</v>
      </c>
      <c r="U75" s="71">
        <f t="shared" si="181"/>
        <v>0.36834399669974999</v>
      </c>
      <c r="V75" s="71">
        <f t="shared" si="181"/>
        <v>0.41649918099861144</v>
      </c>
      <c r="W75" s="71">
        <f t="shared" si="181"/>
        <v>0.42069438879998616</v>
      </c>
      <c r="X75" s="71">
        <f t="shared" si="181"/>
        <v>0.42485737115618322</v>
      </c>
      <c r="Y75" s="71">
        <f t="shared" si="181"/>
        <v>0.53488707797200541</v>
      </c>
      <c r="Z75" s="71">
        <f t="shared" si="181"/>
        <v>0.53724716437667241</v>
      </c>
      <c r="AA75" s="71">
        <f t="shared" si="181"/>
        <v>0.54084318351411753</v>
      </c>
      <c r="AB75" s="71">
        <f t="shared" si="181"/>
        <v>0.54035605050766011</v>
      </c>
      <c r="AC75" s="71">
        <f t="shared" si="181"/>
        <v>0.54026026438036334</v>
      </c>
      <c r="AD75" s="71">
        <f t="shared" si="181"/>
        <v>0.53980010458767413</v>
      </c>
    </row>
    <row r="76" spans="2:39" s="293" customFormat="1" hidden="1" outlineLevel="1">
      <c r="B76" s="294" t="s">
        <v>341</v>
      </c>
      <c r="C76" s="293">
        <f t="shared" ref="C76:M76" si="183">C28</f>
        <v>50.204000000000001</v>
      </c>
      <c r="D76" s="293">
        <f t="shared" si="183"/>
        <v>54.959000000000003</v>
      </c>
      <c r="E76" s="293">
        <f t="shared" si="183"/>
        <v>72.308999999999997</v>
      </c>
      <c r="F76" s="293">
        <f t="shared" si="183"/>
        <v>79.835999999999999</v>
      </c>
      <c r="G76" s="293">
        <f t="shared" si="183"/>
        <v>331.97699999999998</v>
      </c>
      <c r="H76" s="293">
        <f t="shared" si="183"/>
        <v>280.36900000000003</v>
      </c>
      <c r="I76" s="296">
        <f t="shared" si="183"/>
        <v>254.20500000000001</v>
      </c>
      <c r="J76" s="296">
        <f t="shared" si="183"/>
        <v>325.59899999999999</v>
      </c>
      <c r="K76" s="296">
        <f t="shared" si="183"/>
        <v>400.27600000000001</v>
      </c>
      <c r="L76" s="296">
        <f t="shared" si="183"/>
        <v>604.26599999999996</v>
      </c>
      <c r="M76" s="296">
        <f t="shared" si="183"/>
        <v>659.23099999999999</v>
      </c>
      <c r="N76" s="296">
        <f t="shared" ref="N76:O76" si="184">N28</f>
        <v>650.096</v>
      </c>
      <c r="O76" s="296">
        <f t="shared" si="184"/>
        <v>905.8</v>
      </c>
      <c r="P76" s="296">
        <f t="shared" ref="P76" si="185">P28</f>
        <v>722.5</v>
      </c>
      <c r="Q76" s="293">
        <f t="shared" ref="Q76:AD76" si="186">Q77*Q47</f>
        <v>768.47157757829223</v>
      </c>
      <c r="R76" s="293">
        <f t="shared" si="186"/>
        <v>824.54031929001326</v>
      </c>
      <c r="S76" s="293">
        <f t="shared" si="186"/>
        <v>793.21699989799038</v>
      </c>
      <c r="T76" s="293">
        <f t="shared" si="186"/>
        <v>832.87784989288991</v>
      </c>
      <c r="U76" s="293">
        <f t="shared" si="186"/>
        <v>853.69979614021202</v>
      </c>
      <c r="V76" s="293">
        <f t="shared" si="186"/>
        <v>875.04229104371723</v>
      </c>
      <c r="W76" s="293">
        <f t="shared" si="186"/>
        <v>896.91834831981009</v>
      </c>
      <c r="X76" s="293">
        <f t="shared" si="186"/>
        <v>919.34130702780521</v>
      </c>
      <c r="Y76" s="293">
        <f t="shared" si="186"/>
        <v>942.32483970350029</v>
      </c>
      <c r="Z76" s="293">
        <f t="shared" si="186"/>
        <v>953.52931188290154</v>
      </c>
      <c r="AA76" s="293">
        <f t="shared" si="186"/>
        <v>965.01389586678783</v>
      </c>
      <c r="AB76" s="293">
        <f t="shared" si="186"/>
        <v>965.01389586678783</v>
      </c>
      <c r="AC76" s="293">
        <f t="shared" si="186"/>
        <v>965.01389586678783</v>
      </c>
      <c r="AD76" s="293">
        <f t="shared" si="186"/>
        <v>965.01389586678783</v>
      </c>
      <c r="AH76"/>
      <c r="AI76"/>
      <c r="AJ76"/>
      <c r="AK76"/>
      <c r="AL76"/>
      <c r="AM76"/>
    </row>
    <row r="77" spans="2:39" hidden="1" outlineLevel="1">
      <c r="B77" s="11" t="s">
        <v>368</v>
      </c>
      <c r="C77" s="71">
        <f t="shared" ref="C77:L77" si="187">C76/C47</f>
        <v>4.8157314148681053E-2</v>
      </c>
      <c r="D77" s="71">
        <f t="shared" si="187"/>
        <v>4.3835692921236291E-2</v>
      </c>
      <c r="E77" s="71">
        <f t="shared" si="187"/>
        <v>5.3276463059987123E-2</v>
      </c>
      <c r="F77" s="71">
        <f t="shared" si="187"/>
        <v>5.901288901931246E-2</v>
      </c>
      <c r="G77" s="71">
        <f t="shared" si="187"/>
        <v>0.19950936526986413</v>
      </c>
      <c r="H77" s="71">
        <f t="shared" si="187"/>
        <v>0.14297516067360785</v>
      </c>
      <c r="I77" s="292">
        <f t="shared" si="187"/>
        <v>0.11800973212967632</v>
      </c>
      <c r="J77" s="292">
        <f t="shared" si="187"/>
        <v>0.14569856771066397</v>
      </c>
      <c r="K77" s="292">
        <f t="shared" si="187"/>
        <v>0.17684472076033211</v>
      </c>
      <c r="L77" s="292">
        <f t="shared" si="187"/>
        <v>0.23203642136160782</v>
      </c>
      <c r="M77" s="292">
        <f t="shared" ref="M77:N77" si="188">M76/M47</f>
        <v>0.21134590748152413</v>
      </c>
      <c r="N77" s="292">
        <f t="shared" si="188"/>
        <v>0.15939726328343218</v>
      </c>
      <c r="O77" s="292">
        <f t="shared" ref="O77:P77" si="189">O76/O47</f>
        <v>0.21953875532820172</v>
      </c>
      <c r="P77" s="292">
        <f t="shared" si="189"/>
        <v>0.18425481995307558</v>
      </c>
      <c r="Q77" s="71">
        <f t="shared" ref="Q77:T77" si="190">P77</f>
        <v>0.18425481995307558</v>
      </c>
      <c r="R77" s="71">
        <f t="shared" si="190"/>
        <v>0.18425481995307558</v>
      </c>
      <c r="S77" s="71">
        <f t="shared" si="190"/>
        <v>0.18425481995307558</v>
      </c>
      <c r="T77" s="71">
        <f t="shared" si="190"/>
        <v>0.18425481995307558</v>
      </c>
      <c r="U77" s="71">
        <f t="shared" ref="U77" si="191">T77</f>
        <v>0.18425481995307558</v>
      </c>
      <c r="V77" s="71">
        <f t="shared" ref="V77" si="192">U77</f>
        <v>0.18425481995307558</v>
      </c>
      <c r="W77" s="71">
        <f t="shared" ref="W77" si="193">V77</f>
        <v>0.18425481995307558</v>
      </c>
      <c r="X77" s="71">
        <f t="shared" ref="X77" si="194">W77</f>
        <v>0.18425481995307558</v>
      </c>
      <c r="Y77" s="71">
        <f t="shared" ref="Y77" si="195">X77</f>
        <v>0.18425481995307558</v>
      </c>
      <c r="Z77" s="71">
        <f t="shared" ref="Z77" si="196">Y77</f>
        <v>0.18425481995307558</v>
      </c>
      <c r="AA77" s="71">
        <f t="shared" ref="AA77" si="197">Z77</f>
        <v>0.18425481995307558</v>
      </c>
      <c r="AB77" s="71">
        <f t="shared" ref="AB77" si="198">AA77</f>
        <v>0.18425481995307558</v>
      </c>
      <c r="AC77" s="71">
        <f t="shared" ref="AC77" si="199">AB77</f>
        <v>0.18425481995307558</v>
      </c>
      <c r="AD77" s="71">
        <f t="shared" ref="AD77" si="200">AC77</f>
        <v>0.18425481995307558</v>
      </c>
    </row>
    <row r="78" spans="2:39" hidden="1" outlineLevel="1">
      <c r="B78" s="11" t="s">
        <v>370</v>
      </c>
      <c r="C78" s="71">
        <f t="shared" ref="C78:AD78" si="201">C76/C29</f>
        <v>2.0486269376242799E-2</v>
      </c>
      <c r="D78" s="71">
        <f t="shared" si="201"/>
        <v>2.3493207748966918E-2</v>
      </c>
      <c r="E78" s="71">
        <f t="shared" si="201"/>
        <v>4.8995115327464131E-2</v>
      </c>
      <c r="F78" s="71">
        <f t="shared" si="201"/>
        <v>5.6902560886082268E-2</v>
      </c>
      <c r="G78" s="71">
        <f t="shared" si="201"/>
        <v>0.10727899641947701</v>
      </c>
      <c r="H78" s="71">
        <f t="shared" si="201"/>
        <v>0.10599805900782559</v>
      </c>
      <c r="I78" s="71">
        <f t="shared" si="201"/>
        <v>0.11100790752026662</v>
      </c>
      <c r="J78" s="71">
        <f t="shared" si="201"/>
        <v>0.12319063203495961</v>
      </c>
      <c r="K78" s="71">
        <f t="shared" si="201"/>
        <v>0.15262464934834175</v>
      </c>
      <c r="L78" s="71">
        <f t="shared" si="201"/>
        <v>0.1908415534359571</v>
      </c>
      <c r="M78" s="71">
        <f t="shared" si="201"/>
        <v>0.20330967152783794</v>
      </c>
      <c r="N78" s="71">
        <f t="shared" si="201"/>
        <v>0.18560812946339475</v>
      </c>
      <c r="O78" s="71">
        <f t="shared" si="201"/>
        <v>8.941845427891687E-2</v>
      </c>
      <c r="P78" s="71">
        <f t="shared" ref="P78" si="202">P76/P29</f>
        <v>6.7220557860851113E-2</v>
      </c>
      <c r="Q78" s="71">
        <f t="shared" si="201"/>
        <v>6.9516629207860337E-2</v>
      </c>
      <c r="R78" s="71">
        <f t="shared" si="201"/>
        <v>7.7769354573071672E-2</v>
      </c>
      <c r="S78" s="71">
        <f t="shared" si="201"/>
        <v>7.5865402103125673E-2</v>
      </c>
      <c r="T78" s="71">
        <f t="shared" si="201"/>
        <v>9.0583467070988646E-2</v>
      </c>
      <c r="U78" s="71">
        <f t="shared" si="201"/>
        <v>9.1657839716056275E-2</v>
      </c>
      <c r="V78" s="71">
        <f t="shared" si="201"/>
        <v>0.10364066067556285</v>
      </c>
      <c r="W78" s="71">
        <f t="shared" si="201"/>
        <v>0.10468458615739282</v>
      </c>
      <c r="X78" s="71">
        <f t="shared" si="201"/>
        <v>0.10572049273647058</v>
      </c>
      <c r="Y78" s="71">
        <f t="shared" si="201"/>
        <v>0.13310002198545684</v>
      </c>
      <c r="Z78" s="71">
        <f t="shared" si="201"/>
        <v>0.13368730024527148</v>
      </c>
      <c r="AA78" s="71">
        <f t="shared" si="201"/>
        <v>0.13458212505216113</v>
      </c>
      <c r="AB78" s="71">
        <f t="shared" si="201"/>
        <v>0.13446090803918873</v>
      </c>
      <c r="AC78" s="71">
        <f t="shared" si="201"/>
        <v>0.13443707284822198</v>
      </c>
      <c r="AD78" s="71">
        <f t="shared" si="201"/>
        <v>0.13432256778529172</v>
      </c>
    </row>
    <row r="79" spans="2:39" collapsed="1">
      <c r="B79" s="4"/>
    </row>
    <row r="80" spans="2:39">
      <c r="B80" s="4" t="s">
        <v>371</v>
      </c>
    </row>
    <row r="81" spans="2:39" s="293" customFormat="1" hidden="1" outlineLevel="1">
      <c r="B81" s="294" t="s">
        <v>372</v>
      </c>
      <c r="C81" s="293">
        <f t="shared" ref="C81:AD81" si="203">+C10/C24</f>
        <v>4.5418736491076395</v>
      </c>
      <c r="D81" s="293">
        <f t="shared" si="203"/>
        <v>1.5316653288365318</v>
      </c>
      <c r="E81" s="293">
        <f t="shared" si="203"/>
        <v>2.7314061752474879</v>
      </c>
      <c r="F81" s="293">
        <f t="shared" si="203"/>
        <v>2.9382384984258518</v>
      </c>
      <c r="G81" s="293">
        <f t="shared" si="203"/>
        <v>1.0818719380588577</v>
      </c>
      <c r="H81" s="293">
        <f t="shared" si="203"/>
        <v>2.6624148904597162</v>
      </c>
      <c r="I81" s="293">
        <f t="shared" si="203"/>
        <v>3.4696450900912246</v>
      </c>
      <c r="J81" s="293">
        <f t="shared" si="203"/>
        <v>2.4191665349359401</v>
      </c>
      <c r="K81" s="293">
        <f t="shared" si="203"/>
        <v>3.2593524513933239</v>
      </c>
      <c r="L81" s="293">
        <f t="shared" si="203"/>
        <v>1.9574988128918436</v>
      </c>
      <c r="M81" s="293">
        <f t="shared" si="203"/>
        <v>1.8113928449353032</v>
      </c>
      <c r="N81" s="293">
        <f t="shared" si="203"/>
        <v>2.1050864393753042</v>
      </c>
      <c r="O81" s="293">
        <f t="shared" si="203"/>
        <v>2.5993327384877984</v>
      </c>
      <c r="P81" s="293">
        <f t="shared" si="203"/>
        <v>2.5533495131436594</v>
      </c>
      <c r="Q81" s="293">
        <f t="shared" si="203"/>
        <v>2.3375393385190901</v>
      </c>
      <c r="R81" s="293">
        <f t="shared" si="203"/>
        <v>2.3147235185264434</v>
      </c>
      <c r="S81" s="293">
        <f t="shared" si="203"/>
        <v>2.1519905433495885</v>
      </c>
      <c r="T81" s="293">
        <f t="shared" si="203"/>
        <v>3.2980458610710537</v>
      </c>
      <c r="U81" s="293">
        <f t="shared" si="203"/>
        <v>3.188262336282607</v>
      </c>
      <c r="V81" s="293">
        <f t="shared" si="203"/>
        <v>4.4390092826387413</v>
      </c>
      <c r="W81" s="293">
        <f t="shared" si="203"/>
        <v>5.1096036904995623</v>
      </c>
      <c r="X81" s="293">
        <f t="shared" si="203"/>
        <v>4.0714453221665323</v>
      </c>
      <c r="Y81" s="293">
        <f t="shared" si="203"/>
        <v>5.913890694190628</v>
      </c>
      <c r="Z81" s="293">
        <f t="shared" si="203"/>
        <v>6.4506372623253778</v>
      </c>
      <c r="AA81" s="293">
        <f t="shared" si="203"/>
        <v>6.8627261131055501</v>
      </c>
      <c r="AB81" s="293">
        <f t="shared" si="203"/>
        <v>7.3284334715265746</v>
      </c>
      <c r="AC81" s="293">
        <f t="shared" si="203"/>
        <v>7.7978720332287326</v>
      </c>
      <c r="AD81" s="293">
        <f t="shared" si="203"/>
        <v>8.2829935285840666</v>
      </c>
      <c r="AH81"/>
      <c r="AI81"/>
      <c r="AJ81"/>
      <c r="AK81"/>
      <c r="AL81"/>
      <c r="AM81"/>
    </row>
    <row r="82" spans="2:39" s="293" customFormat="1" hidden="1" outlineLevel="1">
      <c r="B82" s="294" t="s">
        <v>373</v>
      </c>
      <c r="C82" s="293">
        <f t="shared" ref="C82:AD82" si="204">+(C3+C4+C5)/C24</f>
        <v>2.5553831902674</v>
      </c>
      <c r="D82" s="293">
        <f t="shared" si="204"/>
        <v>1.060147626647038</v>
      </c>
      <c r="E82" s="293">
        <f t="shared" si="204"/>
        <v>1.8923614015249091</v>
      </c>
      <c r="F82" s="293">
        <f t="shared" si="204"/>
        <v>2.0932204407614239</v>
      </c>
      <c r="G82" s="293">
        <f t="shared" si="204"/>
        <v>0.62659038222161312</v>
      </c>
      <c r="H82" s="293">
        <f t="shared" si="204"/>
        <v>1.9373845077348677</v>
      </c>
      <c r="I82" s="293">
        <f t="shared" si="204"/>
        <v>2.5385723597158933</v>
      </c>
      <c r="J82" s="293">
        <f t="shared" si="204"/>
        <v>1.7265355834845857</v>
      </c>
      <c r="K82" s="293">
        <f t="shared" si="204"/>
        <v>2.4923731143654928</v>
      </c>
      <c r="L82" s="293">
        <f t="shared" si="204"/>
        <v>1.4435705799905754</v>
      </c>
      <c r="M82" s="293">
        <f t="shared" si="204"/>
        <v>1.1642833702728634</v>
      </c>
      <c r="N82" s="293">
        <f t="shared" si="204"/>
        <v>1.4136236961111064</v>
      </c>
      <c r="O82" s="293">
        <f t="shared" si="204"/>
        <v>1.8060674244481512</v>
      </c>
      <c r="P82" s="293">
        <f t="shared" si="204"/>
        <v>1.8528904353928479</v>
      </c>
      <c r="Q82" s="293">
        <f t="shared" si="204"/>
        <v>1.6257941927438986</v>
      </c>
      <c r="R82" s="293">
        <f t="shared" si="204"/>
        <v>1.5213225234087533</v>
      </c>
      <c r="S82" s="293">
        <f t="shared" si="204"/>
        <v>1.5439618277171243</v>
      </c>
      <c r="T82" s="293">
        <f t="shared" si="204"/>
        <v>2.4219852397606756</v>
      </c>
      <c r="U82" s="293">
        <f t="shared" si="204"/>
        <v>2.4767699965779784</v>
      </c>
      <c r="V82" s="293">
        <f t="shared" si="204"/>
        <v>3.5433234510020739</v>
      </c>
      <c r="W82" s="293">
        <f t="shared" si="204"/>
        <v>4.2121218758125556</v>
      </c>
      <c r="X82" s="293">
        <f t="shared" si="204"/>
        <v>3.4372723314052704</v>
      </c>
      <c r="Y82" s="293">
        <f t="shared" si="204"/>
        <v>5.0461340444667302</v>
      </c>
      <c r="Z82" s="293">
        <f t="shared" si="204"/>
        <v>5.6121720543057805</v>
      </c>
      <c r="AA82" s="293">
        <f t="shared" si="204"/>
        <v>6.0756324222615588</v>
      </c>
      <c r="AB82" s="293">
        <f t="shared" si="204"/>
        <v>6.5401351250891366</v>
      </c>
      <c r="AC82" s="293">
        <f t="shared" si="204"/>
        <v>7.0084935572181761</v>
      </c>
      <c r="AD82" s="293">
        <f t="shared" si="204"/>
        <v>7.4833120188136624</v>
      </c>
      <c r="AH82"/>
      <c r="AI82"/>
      <c r="AJ82"/>
      <c r="AK82"/>
      <c r="AL82"/>
      <c r="AM82"/>
    </row>
    <row r="83" spans="2:39" hidden="1" outlineLevel="1">
      <c r="B83" s="9" t="s">
        <v>374</v>
      </c>
    </row>
    <row r="84" spans="2:39" hidden="1" outlineLevel="1">
      <c r="B84" s="9" t="s">
        <v>375</v>
      </c>
      <c r="C84" s="71">
        <f>+C49/AVERAGE(C39)</f>
        <v>6.1190972545158824E-2</v>
      </c>
      <c r="D84" s="71">
        <f t="shared" ref="D84:P84" si="205">+D49/AVERAGE(C39:D39)</f>
        <v>7.1753994620500194E-2</v>
      </c>
      <c r="E84" s="71">
        <f t="shared" si="205"/>
        <v>7.8896748150361393E-2</v>
      </c>
      <c r="F84" s="71">
        <f t="shared" si="205"/>
        <v>0.11053245903748056</v>
      </c>
      <c r="G84" s="71">
        <f t="shared" si="205"/>
        <v>0.13861146967539525</v>
      </c>
      <c r="H84" s="71">
        <f t="shared" si="205"/>
        <v>0.19064091161687916</v>
      </c>
      <c r="I84" s="71">
        <f t="shared" si="205"/>
        <v>0.19873319834949796</v>
      </c>
      <c r="J84" s="71">
        <f t="shared" si="205"/>
        <v>0.22629125955540169</v>
      </c>
      <c r="K84" s="71">
        <f t="shared" si="205"/>
        <v>0.24306756764186771</v>
      </c>
      <c r="L84" s="71">
        <f t="shared" si="205"/>
        <v>0.2341164450166737</v>
      </c>
      <c r="M84" s="71">
        <f t="shared" si="205"/>
        <v>0.27426690987328545</v>
      </c>
      <c r="N84" s="71">
        <f t="shared" si="205"/>
        <v>0.33765048589448293</v>
      </c>
      <c r="O84" s="71">
        <f t="shared" si="205"/>
        <v>0.38951515037441281</v>
      </c>
      <c r="P84" s="71">
        <f t="shared" si="205"/>
        <v>0.41134699002487957</v>
      </c>
      <c r="Q84" s="71">
        <f>+Q49/AVERAGE(P39:Q39)</f>
        <v>0.37572591338080658</v>
      </c>
      <c r="R84" s="71">
        <f>+R49/AVERAGE(Q39:R39)</f>
        <v>0.36934220943236534</v>
      </c>
      <c r="S84" s="71">
        <f>+S49/AVERAGE(R39:S39)</f>
        <v>0.3599737494087395</v>
      </c>
      <c r="T84" s="71">
        <f>+T49/AVERAGE(S39:T39)</f>
        <v>0.32587986163156191</v>
      </c>
      <c r="U84" s="71">
        <f t="shared" ref="U84:AD84" si="206">+U49/AVERAGE(T39:U39)</f>
        <v>0.29778104943540362</v>
      </c>
      <c r="V84" s="71">
        <f t="shared" si="206"/>
        <v>0.26950387395079972</v>
      </c>
      <c r="W84" s="71">
        <f t="shared" si="206"/>
        <v>0.24535964642003563</v>
      </c>
      <c r="X84" s="71">
        <f t="shared" si="206"/>
        <v>0.22614260253115642</v>
      </c>
      <c r="Y84" s="71">
        <f t="shared" si="206"/>
        <v>0.19178733669009884</v>
      </c>
      <c r="Z84" s="71">
        <f t="shared" si="206"/>
        <v>0.15771344742648746</v>
      </c>
      <c r="AA84" s="71">
        <f t="shared" si="206"/>
        <v>0.11645938879124586</v>
      </c>
      <c r="AB84" s="71">
        <f t="shared" si="206"/>
        <v>0.10567280863768508</v>
      </c>
      <c r="AC84" s="71">
        <f t="shared" si="206"/>
        <v>9.9457285043002053E-2</v>
      </c>
      <c r="AD84" s="71">
        <f t="shared" si="206"/>
        <v>9.9025709394997483E-2</v>
      </c>
    </row>
    <row r="85" spans="2:39" hidden="1" outlineLevel="1">
      <c r="B85" s="9" t="s">
        <v>376</v>
      </c>
      <c r="C85" s="71">
        <f>+C49/AVERAGE(C17)</f>
        <v>4.5412720717554658E-2</v>
      </c>
      <c r="D85" s="71">
        <f t="shared" ref="D85:T85" si="207">+D49/AVERAGE(C17:D17)</f>
        <v>5.3344501516708678E-2</v>
      </c>
      <c r="E85" s="71">
        <f t="shared" si="207"/>
        <v>6.1742900331814142E-2</v>
      </c>
      <c r="F85" s="71">
        <f t="shared" si="207"/>
        <v>9.1741929578774695E-2</v>
      </c>
      <c r="G85" s="71">
        <f t="shared" si="207"/>
        <v>0.10232781850701764</v>
      </c>
      <c r="H85" s="71">
        <f t="shared" si="207"/>
        <v>0.12637155226099719</v>
      </c>
      <c r="I85" s="71">
        <f t="shared" si="207"/>
        <v>0.14035040539679625</v>
      </c>
      <c r="J85" s="71">
        <f t="shared" si="207"/>
        <v>0.15795513035146413</v>
      </c>
      <c r="K85" s="71">
        <f t="shared" si="207"/>
        <v>0.16763094970236128</v>
      </c>
      <c r="L85" s="71">
        <f t="shared" si="207"/>
        <v>0.16340810362110569</v>
      </c>
      <c r="M85" s="71">
        <f t="shared" si="207"/>
        <v>0.19431810002731256</v>
      </c>
      <c r="N85" s="71">
        <f t="shared" si="207"/>
        <v>0.2506578521670102</v>
      </c>
      <c r="O85" s="71">
        <f t="shared" si="207"/>
        <v>0.23251277395447059</v>
      </c>
      <c r="P85" s="71">
        <f t="shared" si="207"/>
        <v>0.20870849613983422</v>
      </c>
      <c r="Q85" s="71">
        <f t="shared" si="207"/>
        <v>0.19966863837473064</v>
      </c>
      <c r="R85" s="71">
        <f t="shared" si="207"/>
        <v>0.20315537701609609</v>
      </c>
      <c r="S85" s="71">
        <f t="shared" si="207"/>
        <v>0.21169440646622498</v>
      </c>
      <c r="T85" s="71">
        <f t="shared" si="207"/>
        <v>0.20859984284979638</v>
      </c>
      <c r="U85" s="71">
        <f t="shared" ref="U85" si="208">+U49/AVERAGE(T17:U17)</f>
        <v>0.20393636930671022</v>
      </c>
      <c r="V85" s="71">
        <f t="shared" ref="V85" si="209">+V49/AVERAGE(U17:V17)</f>
        <v>0.19397669963062392</v>
      </c>
      <c r="W85" s="71">
        <f t="shared" ref="W85" si="210">+W49/AVERAGE(V17:W17)</f>
        <v>0.18398906687318067</v>
      </c>
      <c r="X85" s="71">
        <f t="shared" ref="X85" si="211">+X49/AVERAGE(W17:X17)</f>
        <v>0.17316112775643183</v>
      </c>
      <c r="Y85" s="71">
        <f t="shared" ref="Y85" si="212">+Y49/AVERAGE(X17:Y17)</f>
        <v>0.15260883590039084</v>
      </c>
      <c r="Z85" s="71">
        <f t="shared" ref="Z85" si="213">+Z49/AVERAGE(Y17:Z17)</f>
        <v>0.12963606022927018</v>
      </c>
      <c r="AA85" s="71">
        <f t="shared" ref="AA85" si="214">+AA49/AVERAGE(Z17:AA17)</f>
        <v>9.636604427194341E-2</v>
      </c>
      <c r="AB85" s="71">
        <f t="shared" ref="AB85" si="215">+AB49/AVERAGE(AA17:AB17)</f>
        <v>8.7878186395301414E-2</v>
      </c>
      <c r="AC85" s="71">
        <f t="shared" ref="AC85" si="216">+AC49/AVERAGE(AB17:AC17)</f>
        <v>8.3123016754572815E-2</v>
      </c>
      <c r="AD85" s="71">
        <f t="shared" ref="AD85" si="217">+AD49/AVERAGE(AC17:AD17)</f>
        <v>8.3144025280726189E-2</v>
      </c>
    </row>
    <row r="86" spans="2:39" hidden="1" outlineLevel="1">
      <c r="B86" s="9" t="s">
        <v>377</v>
      </c>
      <c r="C86" s="71">
        <f t="shared" ref="C86:P86" si="218">1-C46/C45</f>
        <v>0.87556683221766352</v>
      </c>
      <c r="D86" s="71">
        <f t="shared" si="218"/>
        <v>0.88297004560577552</v>
      </c>
      <c r="E86" s="71">
        <f t="shared" si="218"/>
        <v>0.87491682146542826</v>
      </c>
      <c r="F86" s="71">
        <f t="shared" si="218"/>
        <v>0.90067904089712858</v>
      </c>
      <c r="G86" s="71">
        <f t="shared" si="218"/>
        <v>0.8943466376930127</v>
      </c>
      <c r="H86" s="71">
        <f t="shared" si="218"/>
        <v>0.90189424935698703</v>
      </c>
      <c r="I86" s="71">
        <f t="shared" si="218"/>
        <v>0.9127087908021021</v>
      </c>
      <c r="J86" s="71">
        <f t="shared" si="218"/>
        <v>0.91513441436444531</v>
      </c>
      <c r="K86" s="71">
        <f t="shared" si="218"/>
        <v>0.90729313740697404</v>
      </c>
      <c r="L86" s="71">
        <f t="shared" si="218"/>
        <v>0.9019467390655681</v>
      </c>
      <c r="M86" s="71">
        <f t="shared" si="218"/>
        <v>0.87627937770860542</v>
      </c>
      <c r="N86" s="71">
        <f t="shared" si="218"/>
        <v>0.87931599521978243</v>
      </c>
      <c r="O86" s="71">
        <f t="shared" si="218"/>
        <v>0.8847628852168179</v>
      </c>
      <c r="P86" s="71">
        <f t="shared" si="218"/>
        <v>0.87084235902452656</v>
      </c>
      <c r="Q86" s="71">
        <f>1-Q46/Q45</f>
        <v>0.86719787516600266</v>
      </c>
      <c r="R86" s="71">
        <f>1-R46/R45</f>
        <v>0.86834955568367556</v>
      </c>
      <c r="S86" s="71">
        <f>1-S46/S45</f>
        <v>0.86963097820914725</v>
      </c>
      <c r="T86" s="71">
        <f>1-T46/T45</f>
        <v>0.8663523672203105</v>
      </c>
      <c r="U86" s="71">
        <f t="shared" ref="U86:AD86" si="219">1-U46/U45</f>
        <v>0.86572696511854752</v>
      </c>
      <c r="V86" s="71">
        <f t="shared" si="219"/>
        <v>0.86347183678777117</v>
      </c>
      <c r="W86" s="71">
        <f t="shared" si="219"/>
        <v>0.86142316036893707</v>
      </c>
      <c r="X86" s="71">
        <f t="shared" si="219"/>
        <v>0.8593218382076534</v>
      </c>
      <c r="Y86" s="71">
        <f t="shared" si="219"/>
        <v>0.85356981212459171</v>
      </c>
      <c r="Z86" s="71">
        <f t="shared" si="219"/>
        <v>0.84552649515736489</v>
      </c>
      <c r="AA86" s="71">
        <f t="shared" si="219"/>
        <v>0.83493301375525431</v>
      </c>
      <c r="AB86" s="71">
        <f t="shared" si="219"/>
        <v>0.82839079149811934</v>
      </c>
      <c r="AC86" s="71">
        <f t="shared" si="219"/>
        <v>0.82593580513041331</v>
      </c>
      <c r="AD86" s="71">
        <f t="shared" si="219"/>
        <v>0.82537143317959138</v>
      </c>
    </row>
    <row r="87" spans="2:39" hidden="1" outlineLevel="1">
      <c r="B87" s="9" t="s">
        <v>378</v>
      </c>
      <c r="C87" s="71">
        <f t="shared" ref="C87:P87" si="220">C49/C45</f>
        <v>0.23299503347009284</v>
      </c>
      <c r="D87" s="71">
        <f t="shared" si="220"/>
        <v>0.22516348173824668</v>
      </c>
      <c r="E87" s="71">
        <f t="shared" si="220"/>
        <v>0.22361857585139328</v>
      </c>
      <c r="F87" s="71">
        <f t="shared" si="220"/>
        <v>0.28952247983544088</v>
      </c>
      <c r="G87" s="71">
        <f t="shared" si="220"/>
        <v>0.27717060414293404</v>
      </c>
      <c r="H87" s="71">
        <f t="shared" si="220"/>
        <v>0.26381162985200529</v>
      </c>
      <c r="I87" s="71">
        <f t="shared" si="220"/>
        <v>0.27302901208677038</v>
      </c>
      <c r="J87" s="71">
        <f t="shared" si="220"/>
        <v>0.27871333847706209</v>
      </c>
      <c r="K87" s="71">
        <f t="shared" si="220"/>
        <v>0.28535591013423761</v>
      </c>
      <c r="L87" s="71">
        <f t="shared" si="220"/>
        <v>0.28168075075513394</v>
      </c>
      <c r="M87" s="71">
        <f t="shared" si="220"/>
        <v>0.30822665992572934</v>
      </c>
      <c r="N87" s="71">
        <f t="shared" si="220"/>
        <v>0.33814165125270457</v>
      </c>
      <c r="O87" s="71">
        <f t="shared" si="220"/>
        <v>0.36529678286605805</v>
      </c>
      <c r="P87" s="71">
        <f t="shared" si="220"/>
        <v>0.38630249458458521</v>
      </c>
      <c r="Q87" s="71">
        <f>Q49/Q45</f>
        <v>0.3784641370058901</v>
      </c>
      <c r="R87" s="71">
        <f>R49/R45</f>
        <v>0.37990991234932153</v>
      </c>
      <c r="S87" s="71">
        <f>S49/S45</f>
        <v>0.40328438498801678</v>
      </c>
      <c r="T87" s="71">
        <f>T49/T45</f>
        <v>0.40425111684387949</v>
      </c>
      <c r="U87" s="71">
        <f t="shared" ref="U87:AD87" si="221">U49/U45</f>
        <v>0.40994675052845314</v>
      </c>
      <c r="V87" s="71">
        <f t="shared" si="221"/>
        <v>0.41097715940349905</v>
      </c>
      <c r="W87" s="71">
        <f t="shared" si="221"/>
        <v>0.40882092577397022</v>
      </c>
      <c r="X87" s="71">
        <f t="shared" si="221"/>
        <v>0.40735932015876586</v>
      </c>
      <c r="Y87" s="71">
        <f t="shared" si="221"/>
        <v>0.38854042157469393</v>
      </c>
      <c r="Z87" s="71">
        <f t="shared" si="221"/>
        <v>0.36297216713657637</v>
      </c>
      <c r="AA87" s="71">
        <f t="shared" si="221"/>
        <v>0.31427616673144426</v>
      </c>
      <c r="AB87" s="71">
        <f t="shared" si="221"/>
        <v>0.30132214677994507</v>
      </c>
      <c r="AC87" s="71">
        <f t="shared" si="221"/>
        <v>0.29564395104453062</v>
      </c>
      <c r="AD87" s="71">
        <f t="shared" si="221"/>
        <v>0.29943662185844505</v>
      </c>
    </row>
    <row r="88" spans="2:39" s="293" customFormat="1" hidden="1" outlineLevel="1">
      <c r="B88" s="294" t="s">
        <v>379</v>
      </c>
      <c r="C88" s="293">
        <f>C45/AVERAGE(C13)</f>
        <v>1.4786279826594073</v>
      </c>
      <c r="D88" s="293">
        <f t="shared" ref="D88:T88" si="222">D45/AVERAGE(D13,C13)</f>
        <v>1.5921926790707586</v>
      </c>
      <c r="E88" s="293">
        <f t="shared" si="222"/>
        <v>1.7946963666381317</v>
      </c>
      <c r="F88" s="293">
        <f t="shared" si="222"/>
        <v>2.1859783011193259</v>
      </c>
      <c r="G88" s="293">
        <f t="shared" si="222"/>
        <v>2.283572278174419</v>
      </c>
      <c r="H88" s="293">
        <f t="shared" si="222"/>
        <v>2.650275198026478</v>
      </c>
      <c r="I88" s="293">
        <f t="shared" si="222"/>
        <v>2.7088915684794745</v>
      </c>
      <c r="J88" s="293">
        <f t="shared" si="222"/>
        <v>2.8769930433154185</v>
      </c>
      <c r="K88" s="293">
        <f t="shared" si="222"/>
        <v>3.1341351332593219</v>
      </c>
      <c r="L88" s="293">
        <f t="shared" si="222"/>
        <v>3.3578163774707548</v>
      </c>
      <c r="M88" s="293">
        <f t="shared" si="222"/>
        <v>3.9695917703616672</v>
      </c>
      <c r="N88" s="293">
        <f t="shared" si="222"/>
        <v>5.5189075851305587</v>
      </c>
      <c r="O88" s="293">
        <f t="shared" si="222"/>
        <v>5.4454543223948288</v>
      </c>
      <c r="P88" s="293">
        <f t="shared" si="222"/>
        <v>4.8828421546466503</v>
      </c>
      <c r="Q88" s="293">
        <f t="shared" si="222"/>
        <v>4.318602441856374</v>
      </c>
      <c r="R88" s="293">
        <f t="shared" si="222"/>
        <v>4.0531297036976399</v>
      </c>
      <c r="S88" s="293">
        <f t="shared" si="222"/>
        <v>4.2641735403397627</v>
      </c>
      <c r="T88" s="293">
        <f t="shared" si="222"/>
        <v>4.5570492651140215</v>
      </c>
      <c r="U88" s="293">
        <f t="shared" ref="U88" si="223">U45/AVERAGE(U13,T13)</f>
        <v>4.856912403007188</v>
      </c>
      <c r="V88" s="293">
        <f t="shared" ref="V88" si="224">V45/AVERAGE(V13,U13)</f>
        <v>5.1743689758120626</v>
      </c>
      <c r="W88" s="293">
        <f t="shared" ref="W88" si="225">W45/AVERAGE(W13,V13)</f>
        <v>5.5961269544413446</v>
      </c>
      <c r="X88" s="293">
        <f t="shared" ref="X88" si="226">X45/AVERAGE(X13,W13)</f>
        <v>6.1600741666366101</v>
      </c>
      <c r="Y88" s="293">
        <f t="shared" ref="Y88" si="227">Y45/AVERAGE(Y13,X13)</f>
        <v>6.5996566033404935</v>
      </c>
      <c r="Z88" s="293">
        <f t="shared" ref="Z88" si="228">Z45/AVERAGE(Z13,Y13)</f>
        <v>7.2040800863218122</v>
      </c>
      <c r="AA88" s="293">
        <f t="shared" ref="AA88" si="229">AA45/AVERAGE(AA13,Z13)</f>
        <v>8.1142832548297843</v>
      </c>
      <c r="AB88" s="293">
        <f t="shared" ref="AB88" si="230">AB45/AVERAGE(AB13,AA13)</f>
        <v>11.596114179806731</v>
      </c>
      <c r="AC88" s="293">
        <f t="shared" ref="AC88" si="231">AC45/AVERAGE(AC13,AB13)</f>
        <v>23.668128534514079</v>
      </c>
      <c r="AD88" s="293">
        <f t="shared" ref="AD88" si="232">AD45/AVERAGE(AD13,AC13)</f>
        <v>-150.19158611812753</v>
      </c>
      <c r="AH88"/>
      <c r="AI88"/>
      <c r="AJ88"/>
      <c r="AK88"/>
      <c r="AL88"/>
      <c r="AM88"/>
    </row>
    <row r="89" spans="2:39" s="293" customFormat="1" hidden="1" outlineLevel="1">
      <c r="B89" s="294" t="s">
        <v>380</v>
      </c>
      <c r="C89" s="293">
        <f>C45/AVERAGE(C17)</f>
        <v>0.19490853535032032</v>
      </c>
      <c r="D89" s="293">
        <f t="shared" ref="D89:T89" si="233">D45/AVERAGE(D17,C17)</f>
        <v>0.23691453474112575</v>
      </c>
      <c r="E89" s="293">
        <f t="shared" si="233"/>
        <v>0.27610810102308164</v>
      </c>
      <c r="F89" s="293">
        <f t="shared" si="233"/>
        <v>0.31687325153790846</v>
      </c>
      <c r="G89" s="293">
        <f t="shared" si="233"/>
        <v>0.36918712510453755</v>
      </c>
      <c r="H89" s="293">
        <f t="shared" si="233"/>
        <v>0.47902191549284584</v>
      </c>
      <c r="I89" s="293">
        <f t="shared" si="233"/>
        <v>0.51404942033116963</v>
      </c>
      <c r="J89" s="293">
        <f t="shared" si="233"/>
        <v>0.56672971309718556</v>
      </c>
      <c r="K89" s="293">
        <f t="shared" si="233"/>
        <v>0.58744516496435639</v>
      </c>
      <c r="L89" s="293">
        <f t="shared" si="233"/>
        <v>0.58011810598714619</v>
      </c>
      <c r="M89" s="293">
        <f t="shared" si="233"/>
        <v>0.63043897654451986</v>
      </c>
      <c r="N89" s="293">
        <f t="shared" si="233"/>
        <v>0.74128061786652</v>
      </c>
      <c r="O89" s="293">
        <f t="shared" si="233"/>
        <v>0.63650375492007871</v>
      </c>
      <c r="P89" s="293">
        <f t="shared" si="233"/>
        <v>0.54027219359344625</v>
      </c>
      <c r="Q89" s="293">
        <f t="shared" si="233"/>
        <v>0.52757611316715902</v>
      </c>
      <c r="R89" s="293">
        <f t="shared" si="233"/>
        <v>0.53474618695733778</v>
      </c>
      <c r="S89" s="293">
        <f t="shared" si="233"/>
        <v>0.52492586955112397</v>
      </c>
      <c r="T89" s="293">
        <f t="shared" si="233"/>
        <v>0.51601550164759835</v>
      </c>
      <c r="U89" s="293">
        <f t="shared" ref="U89" si="234">U45/AVERAGE(U17,T17)</f>
        <v>0.49747038863906207</v>
      </c>
      <c r="V89" s="293">
        <f t="shared" ref="V89" si="235">V45/AVERAGE(V17,U17)</f>
        <v>0.47198900277612948</v>
      </c>
      <c r="W89" s="293">
        <f t="shared" ref="W89" si="236">W45/AVERAGE(W17,V17)</f>
        <v>0.45004806572671613</v>
      </c>
      <c r="X89" s="293">
        <f t="shared" ref="X89" si="237">X45/AVERAGE(X17,W17)</f>
        <v>0.4250820324644673</v>
      </c>
      <c r="Y89" s="293">
        <f t="shared" ref="Y89" si="238">Y45/AVERAGE(Y17,X17)</f>
        <v>0.39277467008938466</v>
      </c>
      <c r="Z89" s="293">
        <f t="shared" ref="Z89" si="239">Z45/AVERAGE(Z17,Y17)</f>
        <v>0.35715151729661887</v>
      </c>
      <c r="AA89" s="293">
        <f t="shared" ref="AA89" si="240">AA45/AVERAGE(AA17,Z17)</f>
        <v>0.30662854671474427</v>
      </c>
      <c r="AB89" s="293">
        <f t="shared" ref="AB89" si="241">AB45/AVERAGE(AB17,AA17)</f>
        <v>0.29164197631805228</v>
      </c>
      <c r="AC89" s="293">
        <f t="shared" ref="AC89" si="242">AC45/AVERAGE(AC17,AB17)</f>
        <v>0.28115919997988603</v>
      </c>
      <c r="AD89" s="293">
        <f t="shared" ref="AD89" si="243">AD45/AVERAGE(AD17,AC17)</f>
        <v>0.27766819156820266</v>
      </c>
      <c r="AH89"/>
      <c r="AI89"/>
      <c r="AJ89"/>
      <c r="AK89"/>
      <c r="AL89"/>
      <c r="AM89"/>
    </row>
    <row r="90" spans="2:39" s="293" customFormat="1" hidden="1" outlineLevel="1">
      <c r="B90" s="294" t="s">
        <v>381</v>
      </c>
      <c r="AH90"/>
      <c r="AI90"/>
      <c r="AJ90"/>
      <c r="AK90"/>
      <c r="AL90"/>
      <c r="AM90"/>
    </row>
    <row r="91" spans="2:39" s="293" customFormat="1" hidden="1" outlineLevel="1">
      <c r="B91" s="294" t="s">
        <v>382</v>
      </c>
      <c r="C91" s="293">
        <f>IF(IS!G132&lt;0,"NM",(C19+C26)/IS!G132)</f>
        <v>1.3848274096780437</v>
      </c>
      <c r="D91" s="293">
        <f>IF(IS!L132&lt;0,"NM",(D19+D26)/IS!L132)</f>
        <v>0.74691504425400612</v>
      </c>
      <c r="E91" s="293">
        <f>IF(IS!Q132&lt;0,"NM",(E19+E26)/IS!Q132)</f>
        <v>3.730850450812527E-2</v>
      </c>
      <c r="F91" s="293">
        <f>IF(IS!V132&lt;0,"NM",(F19+F26)/IS!V132)</f>
        <v>6.6719521190455003E-2</v>
      </c>
      <c r="G91" s="293">
        <f>IF(IS!AA132&lt;0,"NM",(G19+G26)/IS!AA132)</f>
        <v>1.0157307255395862</v>
      </c>
      <c r="H91" s="293">
        <f>IF(IS!AF132&lt;0,"NM",(H19+H26)/IS!AF132)</f>
        <v>0.54018857861381253</v>
      </c>
      <c r="I91" s="293">
        <f>IF(IS!AK132&lt;0,"NM",(I19+I26)/IS!AK132)</f>
        <v>0.53573423715869717</v>
      </c>
      <c r="J91" s="293">
        <f>IF(IS!AP132&lt;0,"NM",(J19+J26)/IS!AP132)</f>
        <v>0.55272619723924377</v>
      </c>
      <c r="K91" s="293">
        <f>IF(IS!AU132&lt;0,"NM",(K19+K26)/IS!AU132)</f>
        <v>0.45358655634409506</v>
      </c>
      <c r="L91" s="293">
        <f>IF(IS!AZ132&lt;0,"NM",(L19+L26)/IS!AZ132)</f>
        <v>0.46348003615938593</v>
      </c>
      <c r="M91" s="293">
        <f>IF(IS!BE132&lt;0,"NM",(M19+M26)/IS!BE132)</f>
        <v>0.17451448428020511</v>
      </c>
      <c r="N91" s="293">
        <f>IF(IS!BJ132&lt;0,"NM",(N19+N26)/IS!BJ132)</f>
        <v>0.1138099737099947</v>
      </c>
      <c r="O91" s="293">
        <f>IF(IS!BO132&lt;0,"NM",(O19+O26)/IS!BO132)</f>
        <v>1.0912406464609716</v>
      </c>
      <c r="P91" s="293">
        <f>IF(IS!BT132&lt;0,"NM",(P19+P26)/IS!BT132)</f>
        <v>0.96156626683781132</v>
      </c>
      <c r="Q91" s="293">
        <f>IF(IS!BY132&lt;0,"NM",(Q19+Q26)/IS!BY132)</f>
        <v>0.79588800579003072</v>
      </c>
      <c r="R91" s="293">
        <f>IF(IS!CD132&lt;0,"NM",(R19+R26)/IS!CD132)</f>
        <v>0.81128637844487483</v>
      </c>
      <c r="S91" s="293">
        <f>IF(IS!CI132&lt;0,"NM",(S19+S26)/IS!CI132)</f>
        <v>0.74112496063349398</v>
      </c>
      <c r="T91" s="293">
        <f>IF(IS!CN132&lt;0,"NM",(T19+T26)/IS!CN132)</f>
        <v>0.53294293046465524</v>
      </c>
      <c r="U91" s="293">
        <f>IF(IS!CS132&lt;0,"NM",(U19+U26)/IS!CS132)</f>
        <v>0.51149907076571399</v>
      </c>
      <c r="V91" s="293">
        <f>IF(IS!CX132&lt;0,"NM",(V19+V26)/IS!CX132)</f>
        <v>0.39006211766636445</v>
      </c>
      <c r="W91" s="293">
        <f>IF(IS!DC132&lt;0,"NM",(W19+W26)/IS!DC132)</f>
        <v>0.38197819929218163</v>
      </c>
      <c r="X91" s="293">
        <f>IF(IS!DH132&lt;0,"NM",(X19+X26)/IS!DH132)</f>
        <v>0.37435416180205883</v>
      </c>
      <c r="Y91" s="293">
        <f>IF(IS!DM132&lt;0,"NM",(Y19+Y26)/IS!DM132)</f>
        <v>0.20053956210788063</v>
      </c>
      <c r="Z91" s="293">
        <f>IF(IS!DR132&lt;0,"NM",(Z19+Z26)/IS!DR132)</f>
        <v>0.22394215609133597</v>
      </c>
      <c r="AA91" s="293">
        <f>IF(IS!DW132&lt;0,"NM",(AA19+AA26)/IS!DW132)</f>
        <v>0.27579975763076497</v>
      </c>
      <c r="AB91" s="293">
        <f>IF(IS!EB132&lt;0,"NM",(AB19+AB26)/IS!EB132)</f>
        <v>0.28850544525630628</v>
      </c>
      <c r="AC91" s="293">
        <f>IF(IS!EG132&lt;0,"NM",(AC19+AC26)/IS!EG132)</f>
        <v>0.29322266105580969</v>
      </c>
      <c r="AD91" s="293">
        <f>IF(IS!EL132&lt;0,"NM",(AD19+AD26)/IS!EL132)</f>
        <v>0.28561432564105577</v>
      </c>
      <c r="AH91"/>
      <c r="AI91"/>
      <c r="AJ91"/>
      <c r="AK91"/>
      <c r="AL91"/>
      <c r="AM91"/>
    </row>
    <row r="92" spans="2:39" s="293" customFormat="1" hidden="1" outlineLevel="1">
      <c r="B92" s="294" t="s">
        <v>383</v>
      </c>
      <c r="D92" s="293">
        <f>+IF(IS!L132&lt;0,"NM",IS!L132/-(IS!L36))</f>
        <v>60.240660387342594</v>
      </c>
      <c r="E92" s="293">
        <f>+IF(IS!Q132&lt;0,"NM",IS!Q132/-(IS!Q36))</f>
        <v>120.70622991603609</v>
      </c>
      <c r="F92" s="293">
        <f>+IF(IS!V132&lt;0,"NM",IS!V132/-(IS!V36))</f>
        <v>1610.29</v>
      </c>
      <c r="G92" s="293">
        <f>+IF(IS!AA132&lt;0,"NM",IS!AA132/-(IS!AA36))</f>
        <v>37.994370370370369</v>
      </c>
      <c r="H92" s="293">
        <f>+IF(IS!AF132&lt;0,"NM",IS!AF132/-(IS!AF36))</f>
        <v>39.626403846153863</v>
      </c>
      <c r="I92" s="293">
        <f>+IF(IS!AK132&lt;0,"NM",IS!AK132/-(IS!AK36))</f>
        <v>57.351927374301695</v>
      </c>
      <c r="J92" s="293">
        <f>+IF(IS!AP132&lt;0,"NM",IS!AP132/-(IS!AP36))</f>
        <v>60.317091412742393</v>
      </c>
      <c r="K92" s="293">
        <f>+IF(IS!AU132&lt;0,"NM",IS!AU132/-(IS!AU36))</f>
        <v>71.089969696969675</v>
      </c>
      <c r="L92" s="293">
        <f>+IF(IS!AZ132&lt;0,"NM",IS!AZ132/-(IS!AZ36))</f>
        <v>65.775654730090835</v>
      </c>
      <c r="M92" s="293">
        <f>+IF(OR(IS!BE132&lt;0,IS!BE36=0),"NM",IS!BE132/-(IS!BE36))</f>
        <v>107.04611285266455</v>
      </c>
      <c r="N92" s="293">
        <f>+IF(OR(IS!BJ132&lt;0,IS!BJ36=0),"NM",IS!BJ132/-(IS!BJ36))</f>
        <v>174.30094915254233</v>
      </c>
      <c r="O92" s="293">
        <f>+IF(OR(IS!BO132&lt;0,IS!BO36=0),"NM",IS!BO132/-(IS!BO36))</f>
        <v>62.624335078534017</v>
      </c>
      <c r="P92" s="293">
        <f>+IF(OR(IS!BT132&lt;0,IS!BT36=0),"NM",IS!BT132/-(IS!BT36))</f>
        <v>25.983303959698315</v>
      </c>
      <c r="Q92" s="293">
        <f>+IF(OR(IS!BY132&lt;0,IS!BY36=0),"NM",IS!BY132/-(IS!BY36))</f>
        <v>31.448529246196752</v>
      </c>
      <c r="R92" s="297">
        <f>+IF(OR(IS!CD132&lt;0,IS!CD36=0),"NM",IS!CD132/-(IS!CD36))</f>
        <v>34.332512639095967</v>
      </c>
      <c r="S92" s="297">
        <f>+IF(OR(IS!CI132&lt;0,IS!CI36=0),"NM",IS!CI132/-(IS!CI36))</f>
        <v>38.458567337564503</v>
      </c>
      <c r="T92" s="297">
        <f>+IF(OR(IS!CN132&lt;0,IS!CN36=0),"NM",IS!CN132/-(IS!CN36))</f>
        <v>42.319391133047596</v>
      </c>
      <c r="U92" s="297">
        <f>+IF(OR(IS!CS132&lt;0,IS!CS36=0),"NM",IS!CS132/-(IS!CS36))</f>
        <v>52.685965138074742</v>
      </c>
      <c r="V92" s="297">
        <f>+IF(OR(IS!CX132&lt;0,IS!CX36=0),"NM",IS!CX132/-(IS!CX36))</f>
        <v>56.813992912195189</v>
      </c>
      <c r="W92" s="297">
        <f>+IF(OR(IS!DC132&lt;0,IS!DC36=0),"NM",IS!DC132/-(IS!DC36))</f>
        <v>56.927995167386236</v>
      </c>
      <c r="X92" s="297">
        <f>+IF(OR(IS!DH132&lt;0,IS!DH36=0),"NM",IS!DH132/-(IS!DH36))</f>
        <v>58.087381688707111</v>
      </c>
      <c r="Y92" s="297">
        <f>+IF(OR(IS!DM132&lt;0,IS!DM36=0),"NM",IS!DM132/-(IS!DM36))</f>
        <v>60.99741252952488</v>
      </c>
      <c r="Z92" s="297">
        <f>+IF(OR(IS!DR132&lt;0,IS!DR36=0),"NM",IS!DR132/-(IS!DR36))</f>
        <v>86.776708513092188</v>
      </c>
      <c r="AA92" s="297">
        <f>+IF(OR(IS!DW132&lt;0,IS!DW36=0),"NM",IS!DW132/-(IS!DW36))</f>
        <v>70.460407107926841</v>
      </c>
      <c r="AB92" s="297">
        <f>+IF(OR(IS!EB132&lt;0,IS!EB36=0),"NM",IS!EB132/-(IS!EB36))</f>
        <v>67.357353292473007</v>
      </c>
      <c r="AC92" s="297">
        <f>+IF(OR(IS!EG132&lt;0,IS!EG36=0),"NM",IS!EG132/-(IS!EG36))</f>
        <v>66.273742735158308</v>
      </c>
      <c r="AD92" s="297">
        <f>+IF(OR(IS!EL132&lt;0,IS!EL36=0),"NM",IS!EL132/-(IS!EL36))</f>
        <v>68.039175413608362</v>
      </c>
      <c r="AH92"/>
      <c r="AI92"/>
      <c r="AJ92"/>
      <c r="AK92"/>
      <c r="AL92"/>
      <c r="AM92"/>
    </row>
    <row r="93" spans="2:39" s="293" customFormat="1" hidden="1" outlineLevel="1">
      <c r="B93" s="294" t="s">
        <v>384</v>
      </c>
      <c r="C93" s="293">
        <f t="shared" ref="C93:AD93" si="244">C26/C39</f>
        <v>0.12579451855918228</v>
      </c>
      <c r="D93" s="293">
        <f t="shared" si="244"/>
        <v>1.492426243345505E-2</v>
      </c>
      <c r="E93" s="293">
        <f t="shared" si="244"/>
        <v>6.2908746117074791E-3</v>
      </c>
      <c r="F93" s="293">
        <f t="shared" si="244"/>
        <v>1.3524056271397517E-2</v>
      </c>
      <c r="G93" s="293">
        <f t="shared" si="244"/>
        <v>9.367588825676983E-3</v>
      </c>
      <c r="H93" s="293">
        <f t="shared" si="244"/>
        <v>0.18694720692074154</v>
      </c>
      <c r="I93" s="293">
        <f t="shared" si="244"/>
        <v>0.17362401209991754</v>
      </c>
      <c r="J93" s="293">
        <f t="shared" si="244"/>
        <v>0.19760545063787566</v>
      </c>
      <c r="K93" s="293">
        <f t="shared" si="244"/>
        <v>0.16509348145568151</v>
      </c>
      <c r="L93" s="293">
        <f t="shared" si="244"/>
        <v>9.8742186156678652E-2</v>
      </c>
      <c r="M93" s="293">
        <f t="shared" si="244"/>
        <v>6.8721045448249932E-2</v>
      </c>
      <c r="N93" s="293">
        <f t="shared" si="244"/>
        <v>5.382456510240391E-2</v>
      </c>
      <c r="O93" s="293">
        <f t="shared" si="244"/>
        <v>0.69563408676359217</v>
      </c>
      <c r="P93" s="293">
        <f t="shared" si="244"/>
        <v>0.53697046650066782</v>
      </c>
      <c r="Q93" s="293">
        <f t="shared" si="244"/>
        <v>0.47110278534064659</v>
      </c>
      <c r="R93" s="293">
        <f t="shared" si="244"/>
        <v>0.42901258445909285</v>
      </c>
      <c r="S93" s="293">
        <f t="shared" si="244"/>
        <v>0.27600391240516414</v>
      </c>
      <c r="T93" s="293">
        <f t="shared" si="244"/>
        <v>0.23811531422080737</v>
      </c>
      <c r="U93" s="293">
        <f t="shared" si="244"/>
        <v>0.16192310753958192</v>
      </c>
      <c r="V93" s="293">
        <f t="shared" si="244"/>
        <v>0.14389180825436856</v>
      </c>
      <c r="W93" s="293">
        <f t="shared" si="244"/>
        <v>0.12940117791267447</v>
      </c>
      <c r="X93" s="293">
        <f t="shared" si="244"/>
        <v>5.8828144847343528E-2</v>
      </c>
      <c r="Y93" s="293">
        <f t="shared" si="244"/>
        <v>5.4574658876828053E-2</v>
      </c>
      <c r="Z93" s="293">
        <f t="shared" si="244"/>
        <v>5.1559095402112239E-2</v>
      </c>
      <c r="AA93" s="293">
        <f t="shared" si="244"/>
        <v>4.9914635817812927E-2</v>
      </c>
      <c r="AB93" s="293">
        <f t="shared" si="244"/>
        <v>4.8325132779749931E-2</v>
      </c>
      <c r="AC93" s="293">
        <f t="shared" si="244"/>
        <v>4.6954498113925616E-2</v>
      </c>
      <c r="AD93" s="293">
        <f t="shared" si="244"/>
        <v>4.5614329033559733E-2</v>
      </c>
      <c r="AH93"/>
      <c r="AI93"/>
      <c r="AJ93"/>
      <c r="AK93"/>
      <c r="AL93"/>
      <c r="AM93"/>
    </row>
    <row r="94" spans="2:39" s="293" customFormat="1" hidden="1" outlineLevel="1">
      <c r="B94" s="294" t="s">
        <v>385</v>
      </c>
      <c r="C94" s="293">
        <f>C50/AVERAGE(C24)</f>
        <v>0.41985302291113397</v>
      </c>
      <c r="D94" s="293">
        <f t="shared" ref="D94:T94" si="245">D50/AVERAGE(D24,C24)</f>
        <v>0.87415682170640363</v>
      </c>
      <c r="E94" s="293">
        <f t="shared" si="245"/>
        <v>0.95719898372605783</v>
      </c>
      <c r="F94" s="293">
        <f t="shared" si="245"/>
        <v>1.4250796799419985</v>
      </c>
      <c r="G94" s="293">
        <f t="shared" si="245"/>
        <v>0.7363809193984191</v>
      </c>
      <c r="H94" s="293">
        <f t="shared" si="245"/>
        <v>1.0040139480920975</v>
      </c>
      <c r="I94" s="293">
        <f t="shared" si="245"/>
        <v>1.3123203781794743</v>
      </c>
      <c r="J94" s="293">
        <f t="shared" si="245"/>
        <v>1.8409224821309595</v>
      </c>
      <c r="K94" s="293">
        <f t="shared" si="245"/>
        <v>1.7602968093403448</v>
      </c>
      <c r="L94" s="293">
        <f t="shared" si="245"/>
        <v>1.4627966313371548</v>
      </c>
      <c r="M94" s="293">
        <f t="shared" si="245"/>
        <v>1.3731299412003741</v>
      </c>
      <c r="N94" s="293">
        <f t="shared" si="245"/>
        <v>1.4791986395122152</v>
      </c>
      <c r="O94" s="293">
        <f t="shared" si="245"/>
        <v>1.5492122201039469</v>
      </c>
      <c r="P94" s="293">
        <f t="shared" si="245"/>
        <v>1.5080698946245163</v>
      </c>
      <c r="Q94" s="293">
        <f t="shared" si="245"/>
        <v>1.3408759446678746</v>
      </c>
      <c r="R94" s="293">
        <f t="shared" si="245"/>
        <v>1.2461060706581415</v>
      </c>
      <c r="S94" s="293">
        <f t="shared" si="245"/>
        <v>1.3148942354994551</v>
      </c>
      <c r="T94" s="293">
        <f t="shared" si="245"/>
        <v>1.4446669052946557</v>
      </c>
      <c r="U94" s="293">
        <f t="shared" ref="U94" si="246">U50/AVERAGE(U24,T24)</f>
        <v>1.5547835989470047</v>
      </c>
      <c r="V94" s="293">
        <f t="shared" ref="V94" si="247">V50/AVERAGE(V24,U24)</f>
        <v>1.5862753661509044</v>
      </c>
      <c r="W94" s="293">
        <f t="shared" ref="W94" si="248">W50/AVERAGE(W24,V24)</f>
        <v>1.7829142963793527</v>
      </c>
      <c r="X94" s="293">
        <f t="shared" ref="X94" si="249">X50/AVERAGE(X24,W24)</f>
        <v>1.4732116934986552</v>
      </c>
      <c r="Y94" s="293">
        <f t="shared" ref="Y94" si="250">Y50/AVERAGE(Y24,X24)</f>
        <v>1.4050504257280478</v>
      </c>
      <c r="Z94" s="293">
        <f t="shared" ref="Z94" si="251">Z50/AVERAGE(Z24,Y24)</f>
        <v>1.5202998826916461</v>
      </c>
      <c r="AA94" s="293">
        <f t="shared" ref="AA94" si="252">AA50/AVERAGE(AA24,Z24)</f>
        <v>1.2891432606537345</v>
      </c>
      <c r="AB94" s="293">
        <f t="shared" ref="AB94" si="253">AB50/AVERAGE(AB24,AA24)</f>
        <v>1.1522625005325153</v>
      </c>
      <c r="AC94" s="293">
        <f t="shared" ref="AC94" si="254">AC50/AVERAGE(AC24,AB24)</f>
        <v>1.1339656642908627</v>
      </c>
      <c r="AD94" s="293">
        <f t="shared" ref="AD94" si="255">AD50/AVERAGE(AD24,AC24)</f>
        <v>1.1492140334507259</v>
      </c>
      <c r="AH94"/>
      <c r="AI94"/>
      <c r="AJ94"/>
      <c r="AK94"/>
      <c r="AL94"/>
      <c r="AM94"/>
    </row>
    <row r="95" spans="2:39" s="293" customFormat="1" hidden="1" outlineLevel="1">
      <c r="B95" s="294" t="s">
        <v>386</v>
      </c>
      <c r="C95" s="293">
        <f>C50/AVERAGE(C29)</f>
        <v>6.9356819119429841E-2</v>
      </c>
      <c r="D95" s="293">
        <f t="shared" ref="D95:T95" si="256">D50/AVERAGE(D29,C29)</f>
        <v>0.30396240146606224</v>
      </c>
      <c r="E95" s="293">
        <f t="shared" si="256"/>
        <v>0.46629454093863537</v>
      </c>
      <c r="F95" s="293">
        <f t="shared" si="256"/>
        <v>0.58444299866162808</v>
      </c>
      <c r="G95" s="293">
        <f t="shared" si="256"/>
        <v>0.45386265855854846</v>
      </c>
      <c r="H95" s="293">
        <f t="shared" si="256"/>
        <v>0.5444477528674242</v>
      </c>
      <c r="I95" s="293">
        <f t="shared" si="256"/>
        <v>0.43562131877720234</v>
      </c>
      <c r="J95" s="293">
        <f t="shared" si="256"/>
        <v>0.65869278507170648</v>
      </c>
      <c r="K95" s="293">
        <f t="shared" si="256"/>
        <v>0.65622873607465115</v>
      </c>
      <c r="L95" s="293">
        <f t="shared" si="256"/>
        <v>0.64947883377613169</v>
      </c>
      <c r="M95" s="293">
        <f t="shared" si="256"/>
        <v>0.73182832409086229</v>
      </c>
      <c r="N95" s="293">
        <f t="shared" si="256"/>
        <v>0.8723819187382208</v>
      </c>
      <c r="O95" s="293">
        <f t="shared" si="256"/>
        <v>0.54518570768694807</v>
      </c>
      <c r="P95" s="293">
        <f t="shared" si="256"/>
        <v>0.43321949794282044</v>
      </c>
      <c r="Q95" s="293">
        <f t="shared" si="256"/>
        <v>0.41747123062739927</v>
      </c>
      <c r="R95" s="293">
        <f t="shared" si="256"/>
        <v>0.40682883091711691</v>
      </c>
      <c r="S95" s="293">
        <f t="shared" si="256"/>
        <v>0.54789475790401643</v>
      </c>
      <c r="T95" s="293">
        <f t="shared" si="256"/>
        <v>0.65018100028091674</v>
      </c>
      <c r="U95" s="293">
        <f t="shared" ref="U95" si="257">U50/AVERAGE(U29,T29)</f>
        <v>0.72535253858307736</v>
      </c>
      <c r="V95" s="293">
        <f t="shared" ref="V95" si="258">V50/AVERAGE(V29,U29)</f>
        <v>0.78918659953003478</v>
      </c>
      <c r="W95" s="293">
        <f t="shared" ref="W95" si="259">W50/AVERAGE(W29,V29)</f>
        <v>0.84318861223378383</v>
      </c>
      <c r="X95" s="293">
        <f t="shared" ref="X95" si="260">X50/AVERAGE(X29,W29)</f>
        <v>0.85235730919661357</v>
      </c>
      <c r="Y95" s="293">
        <f t="shared" ref="Y95" si="261">Y50/AVERAGE(Y29,X29)</f>
        <v>0.90753451202042701</v>
      </c>
      <c r="Z95" s="293">
        <f t="shared" ref="Z95" si="262">Z50/AVERAGE(Z29,Y29)</f>
        <v>0.91909980079519871</v>
      </c>
      <c r="AA95" s="293">
        <f t="shared" ref="AA95" si="263">AA50/AVERAGE(AA29,Z29)</f>
        <v>0.78053864113125926</v>
      </c>
      <c r="AB95" s="293">
        <f t="shared" ref="AB95" si="264">AB50/AVERAGE(AB29,AA29)</f>
        <v>0.69814504625152818</v>
      </c>
      <c r="AC95" s="293">
        <f t="shared" ref="AC95" si="265">AC50/AVERAGE(AC29,AB29)</f>
        <v>0.68730002329029494</v>
      </c>
      <c r="AD95" s="293">
        <f t="shared" ref="AD95" si="266">AD50/AVERAGE(AD29,AC29)</f>
        <v>0.696775071236169</v>
      </c>
      <c r="AH95"/>
      <c r="AI95"/>
      <c r="AJ95"/>
      <c r="AK95"/>
      <c r="AL95"/>
      <c r="AM95"/>
    </row>
    <row r="96" spans="2:39" s="293" customFormat="1" hidden="1" outlineLevel="1">
      <c r="B96" s="294" t="s">
        <v>387</v>
      </c>
      <c r="C96" s="293">
        <f t="shared" ref="C96:P96" si="267">-C50/C51</f>
        <v>0.56420955491820635</v>
      </c>
      <c r="D96" s="293">
        <f t="shared" si="267"/>
        <v>2.0165091007803042</v>
      </c>
      <c r="E96" s="293">
        <f t="shared" si="267"/>
        <v>2.7938757946578887</v>
      </c>
      <c r="F96" s="293">
        <f t="shared" si="267"/>
        <v>6.7791709644146447</v>
      </c>
      <c r="G96" s="293">
        <f t="shared" si="267"/>
        <v>3.8163567494400543</v>
      </c>
      <c r="H96" s="293">
        <f t="shared" si="267"/>
        <v>5.6619762714075534</v>
      </c>
      <c r="I96" s="293">
        <f t="shared" si="267"/>
        <v>6.4891274162974071</v>
      </c>
      <c r="J96" s="293">
        <f t="shared" si="267"/>
        <v>9.3881887261275292</v>
      </c>
      <c r="K96" s="293">
        <f t="shared" si="267"/>
        <v>8.3947126760700232</v>
      </c>
      <c r="L96" s="293">
        <f t="shared" si="267"/>
        <v>7.3852357904992374</v>
      </c>
      <c r="M96" s="293">
        <f t="shared" si="267"/>
        <v>9.5219606871825277</v>
      </c>
      <c r="N96" s="293">
        <f t="shared" si="267"/>
        <v>10.224517030349157</v>
      </c>
      <c r="O96" s="293">
        <f t="shared" si="267"/>
        <v>5.7793157076205262</v>
      </c>
      <c r="P96" s="293">
        <f t="shared" si="267"/>
        <v>7.3403668235676021</v>
      </c>
      <c r="Q96" s="293">
        <f>-Q50/Q51</f>
        <v>5.2467143186534475</v>
      </c>
      <c r="R96" s="293">
        <f>-R50/R51</f>
        <v>9.636441408835088</v>
      </c>
      <c r="S96" s="293">
        <f>-S50/S51</f>
        <v>12.103303925701237</v>
      </c>
      <c r="T96" s="293">
        <f>-T50/T51</f>
        <v>12.765398196461282</v>
      </c>
      <c r="U96" s="293">
        <f t="shared" ref="U96:AD96" si="268">-U50/U51</f>
        <v>12.935765096870476</v>
      </c>
      <c r="V96" s="293">
        <f t="shared" si="268"/>
        <v>13.191208903363528</v>
      </c>
      <c r="W96" s="293">
        <f t="shared" si="268"/>
        <v>13.192359559140726</v>
      </c>
      <c r="X96" s="293">
        <f t="shared" si="268"/>
        <v>13.224821108749095</v>
      </c>
      <c r="Y96" s="293">
        <f t="shared" si="268"/>
        <v>13.287675057931004</v>
      </c>
      <c r="Z96" s="293">
        <f t="shared" si="268"/>
        <v>12.897407485495419</v>
      </c>
      <c r="AA96" s="293">
        <f t="shared" si="268"/>
        <v>12.36413243798911</v>
      </c>
      <c r="AB96" s="293">
        <f t="shared" si="268"/>
        <v>11.348152494710996</v>
      </c>
      <c r="AC96" s="293">
        <f t="shared" si="268"/>
        <v>11.302151947091287</v>
      </c>
      <c r="AD96" s="293">
        <f t="shared" si="268"/>
        <v>11.329716600182445</v>
      </c>
      <c r="AH96"/>
      <c r="AI96"/>
      <c r="AJ96"/>
      <c r="AK96"/>
      <c r="AL96"/>
      <c r="AM96"/>
    </row>
    <row r="97" spans="2:39" s="293" customFormat="1" hidden="1" outlineLevel="1">
      <c r="B97" s="294" t="s">
        <v>388</v>
      </c>
      <c r="C97" s="297" t="str">
        <f t="shared" ref="C97:AD97" si="269">IF((C26+C19-C3-C4-C12)&lt;0,"NM",(C26+C19-C3-C4-C12)/(C39+C26+C19))</f>
        <v>NM</v>
      </c>
      <c r="D97" s="297" t="str">
        <f t="shared" si="269"/>
        <v>NM</v>
      </c>
      <c r="E97" s="297" t="str">
        <f t="shared" si="269"/>
        <v>NM</v>
      </c>
      <c r="F97" s="297" t="str">
        <f t="shared" si="269"/>
        <v>NM</v>
      </c>
      <c r="G97" s="297" t="str">
        <f t="shared" si="269"/>
        <v>NM</v>
      </c>
      <c r="H97" s="297" t="str">
        <f t="shared" si="269"/>
        <v>NM</v>
      </c>
      <c r="I97" s="297" t="str">
        <f t="shared" si="269"/>
        <v>NM</v>
      </c>
      <c r="J97" s="297" t="str">
        <f t="shared" si="269"/>
        <v>NM</v>
      </c>
      <c r="K97" s="297" t="str">
        <f t="shared" si="269"/>
        <v>NM</v>
      </c>
      <c r="L97" s="297" t="str">
        <f t="shared" si="269"/>
        <v>NM</v>
      </c>
      <c r="M97" s="297" t="str">
        <f t="shared" si="269"/>
        <v>NM</v>
      </c>
      <c r="N97" s="297" t="str">
        <f t="shared" si="269"/>
        <v>NM</v>
      </c>
      <c r="O97" s="297">
        <f t="shared" si="269"/>
        <v>2.1218524388096502E-2</v>
      </c>
      <c r="P97" s="297" t="str">
        <f t="shared" si="269"/>
        <v>NM</v>
      </c>
      <c r="Q97" s="297" t="str">
        <f t="shared" si="269"/>
        <v>NM</v>
      </c>
      <c r="R97" s="297" t="str">
        <f t="shared" si="269"/>
        <v>NM</v>
      </c>
      <c r="S97" s="297" t="str">
        <f t="shared" si="269"/>
        <v>NM</v>
      </c>
      <c r="T97" s="297" t="str">
        <f t="shared" si="269"/>
        <v>NM</v>
      </c>
      <c r="U97" s="297" t="str">
        <f t="shared" si="269"/>
        <v>NM</v>
      </c>
      <c r="V97" s="297" t="str">
        <f t="shared" si="269"/>
        <v>NM</v>
      </c>
      <c r="W97" s="297" t="str">
        <f t="shared" si="269"/>
        <v>NM</v>
      </c>
      <c r="X97" s="297" t="str">
        <f t="shared" si="269"/>
        <v>NM</v>
      </c>
      <c r="Y97" s="297" t="str">
        <f t="shared" si="269"/>
        <v>NM</v>
      </c>
      <c r="Z97" s="297" t="str">
        <f t="shared" si="269"/>
        <v>NM</v>
      </c>
      <c r="AA97" s="297" t="str">
        <f t="shared" si="269"/>
        <v>NM</v>
      </c>
      <c r="AB97" s="297" t="str">
        <f t="shared" si="269"/>
        <v>NM</v>
      </c>
      <c r="AC97" s="297" t="str">
        <f t="shared" si="269"/>
        <v>NM</v>
      </c>
      <c r="AD97" s="297" t="str">
        <f t="shared" si="269"/>
        <v>NM</v>
      </c>
      <c r="AH97"/>
      <c r="AI97"/>
      <c r="AJ97"/>
      <c r="AK97"/>
      <c r="AL97"/>
      <c r="AM97"/>
    </row>
    <row r="98" spans="2:39" s="293" customFormat="1" hidden="1" outlineLevel="1">
      <c r="B98" s="294" t="s">
        <v>389</v>
      </c>
      <c r="C98" s="297" t="str">
        <f t="shared" ref="C98:AD98" si="270">IF((C26+C19-C3-C4-C12)&lt;0,"NM",(C26+C19-C3-C4-C12)/C17)</f>
        <v>NM</v>
      </c>
      <c r="D98" s="297" t="str">
        <f t="shared" si="270"/>
        <v>NM</v>
      </c>
      <c r="E98" s="297" t="str">
        <f t="shared" si="270"/>
        <v>NM</v>
      </c>
      <c r="F98" s="297" t="str">
        <f t="shared" si="270"/>
        <v>NM</v>
      </c>
      <c r="G98" s="297" t="str">
        <f t="shared" si="270"/>
        <v>NM</v>
      </c>
      <c r="H98" s="297" t="str">
        <f t="shared" si="270"/>
        <v>NM</v>
      </c>
      <c r="I98" s="297" t="str">
        <f t="shared" si="270"/>
        <v>NM</v>
      </c>
      <c r="J98" s="297" t="str">
        <f t="shared" si="270"/>
        <v>NM</v>
      </c>
      <c r="K98" s="297" t="str">
        <f t="shared" si="270"/>
        <v>NM</v>
      </c>
      <c r="L98" s="297" t="str">
        <f t="shared" si="270"/>
        <v>NM</v>
      </c>
      <c r="M98" s="297" t="str">
        <f t="shared" si="270"/>
        <v>NM</v>
      </c>
      <c r="N98" s="297" t="str">
        <f t="shared" si="270"/>
        <v>NM</v>
      </c>
      <c r="O98" s="297">
        <f t="shared" si="270"/>
        <v>1.7298306057995986E-2</v>
      </c>
      <c r="P98" s="297" t="str">
        <f t="shared" si="270"/>
        <v>NM</v>
      </c>
      <c r="Q98" s="297" t="str">
        <f t="shared" si="270"/>
        <v>NM</v>
      </c>
      <c r="R98" s="297" t="str">
        <f t="shared" si="270"/>
        <v>NM</v>
      </c>
      <c r="S98" s="297" t="str">
        <f t="shared" si="270"/>
        <v>NM</v>
      </c>
      <c r="T98" s="297" t="str">
        <f t="shared" si="270"/>
        <v>NM</v>
      </c>
      <c r="U98" s="297" t="str">
        <f t="shared" si="270"/>
        <v>NM</v>
      </c>
      <c r="V98" s="297" t="str">
        <f t="shared" si="270"/>
        <v>NM</v>
      </c>
      <c r="W98" s="297" t="str">
        <f t="shared" si="270"/>
        <v>NM</v>
      </c>
      <c r="X98" s="297" t="str">
        <f t="shared" si="270"/>
        <v>NM</v>
      </c>
      <c r="Y98" s="297" t="str">
        <f t="shared" si="270"/>
        <v>NM</v>
      </c>
      <c r="Z98" s="297" t="str">
        <f t="shared" si="270"/>
        <v>NM</v>
      </c>
      <c r="AA98" s="297" t="str">
        <f t="shared" si="270"/>
        <v>NM</v>
      </c>
      <c r="AB98" s="297" t="str">
        <f t="shared" si="270"/>
        <v>NM</v>
      </c>
      <c r="AC98" s="297" t="str">
        <f t="shared" si="270"/>
        <v>NM</v>
      </c>
      <c r="AD98" s="297" t="str">
        <f t="shared" si="270"/>
        <v>NM</v>
      </c>
      <c r="AH98"/>
      <c r="AI98"/>
      <c r="AJ98"/>
      <c r="AK98"/>
      <c r="AL98"/>
      <c r="AM98"/>
    </row>
    <row r="99" spans="2:39" s="293" customFormat="1" hidden="1" outlineLevel="1">
      <c r="B99" s="294" t="s">
        <v>390</v>
      </c>
      <c r="C99" s="293">
        <f>(C3+C4+C12)/IS!G106</f>
        <v>6.5688833702284501</v>
      </c>
      <c r="D99" s="293">
        <f>(D3+D4+D12)/IS!L106</f>
        <v>6.3106951015357735</v>
      </c>
      <c r="E99" s="293">
        <f>(E3+E4+E12)/IS!Q106</f>
        <v>5.9368881134032225</v>
      </c>
      <c r="F99" s="293">
        <f>(F3+F4+F12)/IS!V106</f>
        <v>6.7044783813763287</v>
      </c>
      <c r="G99" s="293">
        <f>(G3+G4+G12)/IS!AA106</f>
        <v>5.9697505395554247</v>
      </c>
      <c r="H99" s="293">
        <f>(H3+H4+H12)/IS!AF106</f>
        <v>7.571180131803759</v>
      </c>
      <c r="I99" s="293">
        <f>(I3+I4+I12)/IS!AK106</f>
        <v>8.4905277121419402</v>
      </c>
      <c r="J99" s="293">
        <f>(J3+J4+J12)/IS!AP106</f>
        <v>7.6543648255756915</v>
      </c>
      <c r="K99" s="293">
        <f>(K3+K4+K12)/IS!AU106</f>
        <v>12.681532691515022</v>
      </c>
      <c r="L99" s="293">
        <f>(L3+L4+L12)/IS!AZ106</f>
        <v>15.610110953532994</v>
      </c>
      <c r="M99" s="293">
        <f>(M3+M4+M12)/IS!BE106</f>
        <v>7.7584738248709648</v>
      </c>
      <c r="N99" s="293">
        <f>(N3+N4+N12)/IS!BJ106</f>
        <v>13.981330320099842</v>
      </c>
      <c r="O99" s="293">
        <f>(O3+O4+O12)/IS!BO106</f>
        <v>26.768598615916954</v>
      </c>
      <c r="P99" s="293">
        <f>(P3+P4+P12)/IS!BT106</f>
        <v>35.303930530164529</v>
      </c>
      <c r="Q99" s="293">
        <f>(Q3+Q4+Q12)/IS!BY106</f>
        <v>31.676487850686698</v>
      </c>
      <c r="R99" s="293">
        <f>(R3+R4+R12)/IS!CD106</f>
        <v>34.262930834850721</v>
      </c>
      <c r="S99" s="293">
        <f>(S3+S4+S12)/IS!CI106</f>
        <v>46.795216961409913</v>
      </c>
      <c r="T99" s="293">
        <f>(T3+T4+T12)/IS!CN106</f>
        <v>55.884671287742201</v>
      </c>
      <c r="U99" s="293">
        <f>(U3+U4+U12)/IS!CS106</f>
        <v>74.258477956375515</v>
      </c>
      <c r="V99" s="293">
        <f>(V3+V4+V12)/IS!CX106</f>
        <v>89.295274605948634</v>
      </c>
      <c r="W99" s="293">
        <f>(W3+W4+W12)/IS!DC106</f>
        <v>111.35734653068324</v>
      </c>
      <c r="X99" s="293">
        <f>(X3+X4+X12)/IS!DH106</f>
        <v>135.33218830340007</v>
      </c>
      <c r="Y99" s="293">
        <f>(Y3+Y4+Y12)/IS!DM106</f>
        <v>149.57231911210812</v>
      </c>
      <c r="Z99" s="293">
        <f>(Z3+Z4+Z12)/IS!DR106</f>
        <v>173.07406343137495</v>
      </c>
      <c r="AA99" s="293">
        <f>(AA3+AA4+AA12)/IS!DW106</f>
        <v>194.10867226875831</v>
      </c>
      <c r="AB99" s="293">
        <f>(AB3+AB4+AB12)/IS!EB106</f>
        <v>213.36969785631896</v>
      </c>
      <c r="AC99" s="293">
        <f>(AC3+AC4+AC12)/IS!EG106</f>
        <v>232.60698680273947</v>
      </c>
      <c r="AD99" s="293">
        <f>(AD3+AD4+AD12)/IS!EL106</f>
        <v>252.48307038574512</v>
      </c>
      <c r="AH99"/>
      <c r="AI99"/>
      <c r="AJ99"/>
      <c r="AK99"/>
      <c r="AL99"/>
      <c r="AM99"/>
    </row>
    <row r="100" spans="2:39" s="293" customFormat="1" hidden="1" outlineLevel="1">
      <c r="B100" s="294" t="s">
        <v>391</v>
      </c>
      <c r="C100" s="293">
        <f>(C3+C4+C12-C19-C26)/IS!G106</f>
        <v>4.0762998505466843</v>
      </c>
      <c r="D100" s="293">
        <f>(D3+D4+D12-D19-D26)/IS!L106</f>
        <v>3.8350884343838705</v>
      </c>
      <c r="E100" s="293">
        <f>(E3+E4+E12-E19-E26)/IS!Q106</f>
        <v>5.8113865433336311</v>
      </c>
      <c r="F100" s="293">
        <f>(F3+F4+F12-F19-F26)/IS!V106</f>
        <v>6.4244340117179926</v>
      </c>
      <c r="G100" s="293">
        <f>(G3+G4+G12-G19-G26)/IS!AA106</f>
        <v>1.0880529467066034</v>
      </c>
      <c r="H100" s="293">
        <f>(H3+H4+H12-H19-H26)/IS!AF106</f>
        <v>3.7977619125105093</v>
      </c>
      <c r="I100" s="293">
        <f>(I3+I4+I12-I19-I26)/IS!AK106</f>
        <v>4.690665201951111</v>
      </c>
      <c r="J100" s="293">
        <f>(J3+J4+J12-J19-J26)/IS!AP106</f>
        <v>2.932168542808602</v>
      </c>
      <c r="K100" s="293">
        <f>(K3+K4+K12-K19-K26)/IS!AU106</f>
        <v>8.3388523178510674</v>
      </c>
      <c r="L100" s="293">
        <f>(L3+L4+L12-L19-L26)/IS!AZ106</f>
        <v>10.851726870776673</v>
      </c>
      <c r="M100" s="293">
        <f>(M3+M4+M12-M19-M26)/IS!BE106</f>
        <v>5.2572666137123676</v>
      </c>
      <c r="N100" s="293">
        <f>(N3+N4+N12-N19-N26)/IS!BJ106</f>
        <v>11.513976962255878</v>
      </c>
      <c r="O100" s="293">
        <f>(O3+O4+O12-O19-O26)/IS!BO106</f>
        <v>-1.4593425605536356</v>
      </c>
      <c r="P100" s="293">
        <f>(P3+P4+P12-P19-P26)/IS!BT106</f>
        <v>5.5169104204753214</v>
      </c>
      <c r="Q100" s="293">
        <f>(Q3+Q4+Q12-Q19-Q26)/IS!BY106</f>
        <v>3.7943420589271053</v>
      </c>
      <c r="R100" s="293">
        <f>(R3+R4+R12-R19-R26)/IS!CD106</f>
        <v>6.0699400168619047</v>
      </c>
      <c r="S100" s="293">
        <f>(S3+S4+S12-S19-S26)/IS!CI106</f>
        <v>17.719128452430265</v>
      </c>
      <c r="T100" s="293">
        <f>(T3+T4+T12-T19-T26)/IS!CN106</f>
        <v>33.267884670937214</v>
      </c>
      <c r="U100" s="293">
        <f>(U3+U4+U12-U19-U26)/IS!CS106</f>
        <v>50.789541221083319</v>
      </c>
      <c r="V100" s="293">
        <f>(V3+V4+V12-V19-V26)/IS!CX106</f>
        <v>70.355371633634022</v>
      </c>
      <c r="W100" s="293">
        <f>(W3+W4+W12-W19-W26)/IS!DC106</f>
        <v>91.712425568764544</v>
      </c>
      <c r="X100" s="293">
        <f>(X3+X4+X12-X19-X26)/IS!DH106</f>
        <v>114.97307229756984</v>
      </c>
      <c r="Y100" s="293">
        <f>(Y3+Y4+Y12-Y19-Y26)/IS!DM106</f>
        <v>139.02539222410834</v>
      </c>
      <c r="Z100" s="293">
        <f>(Z3+Z4+Z12-Z19-Z26)/IS!DR106</f>
        <v>162.1979922193558</v>
      </c>
      <c r="AA100" s="293">
        <f>(AA3+AA4+AA12-AA19-AA26)/IS!DW106</f>
        <v>182.94525302533006</v>
      </c>
      <c r="AB100" s="293">
        <f>(AB3+AB4+AB12-AB19-AB26)/IS!EB106</f>
        <v>201.95989734237375</v>
      </c>
      <c r="AC100" s="59">
        <f>(AC3+AC4+AC12-AC19-AC26)/IS!EG106</f>
        <v>220.97256636599718</v>
      </c>
      <c r="AD100" s="293">
        <f>(AD3+AD4+AD12-AD19-AD26)/IS!EL106</f>
        <v>240.63176510206745</v>
      </c>
      <c r="AH100"/>
      <c r="AI100"/>
      <c r="AJ100"/>
      <c r="AK100"/>
      <c r="AL100"/>
      <c r="AM100"/>
    </row>
    <row r="101" spans="2:39" collapsed="1"/>
    <row r="102" spans="2:39">
      <c r="B102" s="4" t="s">
        <v>392</v>
      </c>
    </row>
    <row r="103" spans="2:39" s="293" customFormat="1" outlineLevel="1">
      <c r="B103" s="294" t="s">
        <v>393</v>
      </c>
      <c r="AH103"/>
      <c r="AI103"/>
      <c r="AJ103"/>
      <c r="AK103"/>
      <c r="AL103"/>
      <c r="AM103"/>
    </row>
    <row r="104" spans="2:39" s="293" customFormat="1" outlineLevel="1">
      <c r="B104" s="295" t="s">
        <v>394</v>
      </c>
      <c r="C104" s="293">
        <v>264.53699999999998</v>
      </c>
      <c r="D104" s="293">
        <f t="shared" ref="D104:P104" si="271">C109</f>
        <v>1252.7829999999999</v>
      </c>
      <c r="E104" s="293">
        <f t="shared" si="271"/>
        <v>1525.2249999999999</v>
      </c>
      <c r="F104" s="293">
        <f t="shared" si="271"/>
        <v>1174.396</v>
      </c>
      <c r="G104" s="293">
        <f t="shared" si="271"/>
        <v>1280.385</v>
      </c>
      <c r="H104" s="293">
        <f t="shared" si="271"/>
        <v>1497.383</v>
      </c>
      <c r="I104" s="293">
        <f t="shared" si="271"/>
        <v>1594.7539999999999</v>
      </c>
      <c r="J104" s="293">
        <f t="shared" si="271"/>
        <v>1637.0830000000001</v>
      </c>
      <c r="K104" s="293">
        <f t="shared" si="271"/>
        <v>1641.634</v>
      </c>
      <c r="L104" s="293">
        <f t="shared" si="271"/>
        <v>1571.3869999999999</v>
      </c>
      <c r="M104" s="293">
        <f>L109</f>
        <v>1742.2260000000001</v>
      </c>
      <c r="N104" s="293">
        <f>M109</f>
        <v>1750.71</v>
      </c>
      <c r="O104" s="293">
        <f t="shared" si="271"/>
        <v>1765.683</v>
      </c>
      <c r="P104" s="293">
        <f t="shared" si="271"/>
        <v>2187.6</v>
      </c>
      <c r="Q104" s="293">
        <f>P109</f>
        <v>2501.8000000000002</v>
      </c>
      <c r="R104" s="293">
        <f>Q109</f>
        <v>3182.4</v>
      </c>
      <c r="S104" s="293">
        <f>R109</f>
        <v>3167.6334743597627</v>
      </c>
      <c r="T104" s="293">
        <f>S109</f>
        <v>3125.2585572991384</v>
      </c>
      <c r="U104" s="293">
        <f t="shared" ref="U104:AD104" si="272">T109</f>
        <v>3057.1561427721394</v>
      </c>
      <c r="V104" s="293">
        <f t="shared" si="272"/>
        <v>2957.9779546889599</v>
      </c>
      <c r="W104" s="293">
        <f t="shared" si="272"/>
        <v>2821.4321352323154</v>
      </c>
      <c r="X104" s="293">
        <f t="shared" si="272"/>
        <v>2647.6754143852504</v>
      </c>
      <c r="Y104" s="293">
        <f t="shared" si="272"/>
        <v>2436.9311662471891</v>
      </c>
      <c r="Z104" s="293">
        <f t="shared" si="272"/>
        <v>2158.8505245048773</v>
      </c>
      <c r="AA104" s="293">
        <f t="shared" si="272"/>
        <v>1798.6727290583335</v>
      </c>
      <c r="AB104" s="293">
        <f t="shared" si="272"/>
        <v>1333.7670319487913</v>
      </c>
      <c r="AC104" s="293">
        <f t="shared" si="272"/>
        <v>808.90391877777017</v>
      </c>
      <c r="AD104" s="293">
        <f t="shared" si="272"/>
        <v>229.34835110746701</v>
      </c>
      <c r="AH104"/>
      <c r="AI104"/>
      <c r="AJ104"/>
      <c r="AK104"/>
      <c r="AL104"/>
      <c r="AM104"/>
    </row>
    <row r="105" spans="2:39" s="293" customFormat="1" outlineLevel="1">
      <c r="B105" s="295" t="s">
        <v>395</v>
      </c>
      <c r="C105" s="293">
        <f>-CF!C26</f>
        <v>301.24799999999999</v>
      </c>
      <c r="D105" s="293">
        <f>-CF!D26</f>
        <v>361.01299999999998</v>
      </c>
      <c r="E105" s="293">
        <f>-CF!E26</f>
        <v>318.37599999999998</v>
      </c>
      <c r="F105" s="293">
        <f>-CF!F26</f>
        <v>124.09600000000002</v>
      </c>
      <c r="G105" s="293">
        <f>-CF!G26</f>
        <v>267.43700000000001</v>
      </c>
      <c r="H105" s="293">
        <f>-CF!H26</f>
        <v>275.95400000000001</v>
      </c>
      <c r="I105" s="296">
        <f>-CF!I26</f>
        <v>165.64599999999999</v>
      </c>
      <c r="J105" s="296">
        <f>-CF!J26</f>
        <v>173.05500000000001</v>
      </c>
      <c r="K105" s="296">
        <f>-CF!K26</f>
        <v>205.81300000000002</v>
      </c>
      <c r="L105" s="296">
        <f>-CF!L26</f>
        <v>254.548</v>
      </c>
      <c r="M105" s="296">
        <f>-CF!M26</f>
        <v>246.28100000000001</v>
      </c>
      <c r="N105" s="296">
        <f>-CF!N26</f>
        <v>287.75099999999998</v>
      </c>
      <c r="O105" s="296">
        <f>-CF!O26</f>
        <v>643</v>
      </c>
      <c r="P105" s="293">
        <f>-CF!P26</f>
        <v>616.1</v>
      </c>
      <c r="Q105" s="293">
        <f>-CF!Q26</f>
        <v>867.4</v>
      </c>
      <c r="R105" s="293">
        <f t="shared" ref="R105:AD105" si="273">R106*R45</f>
        <v>457.15234300705339</v>
      </c>
      <c r="S105" s="293">
        <f t="shared" si="273"/>
        <v>476.62803643619463</v>
      </c>
      <c r="T105" s="293">
        <f>T106*T45</f>
        <v>500.42188006126389</v>
      </c>
      <c r="U105" s="293">
        <f t="shared" si="273"/>
        <v>518.91953228799525</v>
      </c>
      <c r="V105" s="293">
        <f t="shared" si="273"/>
        <v>531.17220291976389</v>
      </c>
      <c r="W105" s="293">
        <f t="shared" si="273"/>
        <v>543.62379213466647</v>
      </c>
      <c r="X105" s="293">
        <f t="shared" si="273"/>
        <v>556.33672518907304</v>
      </c>
      <c r="Y105" s="293">
        <f t="shared" si="273"/>
        <v>538.73496469629788</v>
      </c>
      <c r="Z105" s="293">
        <f t="shared" si="273"/>
        <v>506.40319959300666</v>
      </c>
      <c r="AA105" s="293">
        <f t="shared" si="273"/>
        <v>451.46836647146762</v>
      </c>
      <c r="AB105" s="293">
        <f t="shared" si="273"/>
        <v>441.32893089791457</v>
      </c>
      <c r="AC105" s="293">
        <f t="shared" si="273"/>
        <v>436.47687763837837</v>
      </c>
      <c r="AD105" s="293">
        <f t="shared" si="273"/>
        <v>441.64482671372906</v>
      </c>
      <c r="AH105"/>
      <c r="AI105"/>
      <c r="AJ105"/>
      <c r="AK105"/>
      <c r="AL105"/>
      <c r="AM105"/>
    </row>
    <row r="106" spans="2:39" outlineLevel="1">
      <c r="B106" s="81" t="s">
        <v>396</v>
      </c>
      <c r="C106" s="71">
        <f t="shared" ref="C106:M106" si="274">C105/C45</f>
        <v>0.16262578276830056</v>
      </c>
      <c r="D106" s="71">
        <f t="shared" si="274"/>
        <v>0.16323892343963226</v>
      </c>
      <c r="E106" s="71">
        <f t="shared" si="274"/>
        <v>0.13142456140350875</v>
      </c>
      <c r="F106" s="71">
        <f t="shared" si="274"/>
        <v>4.6251857494961898E-2</v>
      </c>
      <c r="G106" s="71">
        <f t="shared" si="274"/>
        <v>8.4321972041390886E-2</v>
      </c>
      <c r="H106" s="71">
        <f t="shared" si="274"/>
        <v>6.7346803800457211E-2</v>
      </c>
      <c r="I106" s="71">
        <f t="shared" si="274"/>
        <v>3.7841633792880983E-2</v>
      </c>
      <c r="J106" s="71">
        <f t="shared" si="274"/>
        <v>3.6692001544390743E-2</v>
      </c>
      <c r="K106" s="71">
        <f t="shared" si="274"/>
        <v>4.0876294259745892E-2</v>
      </c>
      <c r="L106" s="71">
        <f t="shared" si="274"/>
        <v>4.5755252503391901E-2</v>
      </c>
      <c r="M106" s="71">
        <f t="shared" si="274"/>
        <v>3.5524210037409312E-2</v>
      </c>
      <c r="N106" s="5">
        <f t="shared" ref="N106:T106" si="275">M106</f>
        <v>3.5524210037409312E-2</v>
      </c>
      <c r="O106" s="71">
        <f t="shared" si="275"/>
        <v>3.5524210037409312E-2</v>
      </c>
      <c r="P106" s="71">
        <f t="shared" si="275"/>
        <v>3.5524210037409312E-2</v>
      </c>
      <c r="Q106" s="71">
        <f t="shared" si="275"/>
        <v>3.5524210037409312E-2</v>
      </c>
      <c r="R106" s="71">
        <f t="shared" si="275"/>
        <v>3.5524210037409312E-2</v>
      </c>
      <c r="S106" s="71">
        <f t="shared" si="275"/>
        <v>3.5524210037409312E-2</v>
      </c>
      <c r="T106" s="71">
        <f t="shared" si="275"/>
        <v>3.5524210037409312E-2</v>
      </c>
      <c r="U106" s="71">
        <f t="shared" ref="U106" si="276">T106</f>
        <v>3.5524210037409312E-2</v>
      </c>
      <c r="V106" s="71">
        <f t="shared" ref="V106" si="277">U106</f>
        <v>3.5524210037409312E-2</v>
      </c>
      <c r="W106" s="71">
        <f t="shared" ref="W106" si="278">V106</f>
        <v>3.5524210037409312E-2</v>
      </c>
      <c r="X106" s="71">
        <f t="shared" ref="X106" si="279">W106</f>
        <v>3.5524210037409312E-2</v>
      </c>
      <c r="Y106" s="71">
        <f t="shared" ref="Y106" si="280">X106</f>
        <v>3.5524210037409312E-2</v>
      </c>
      <c r="Z106" s="71">
        <f t="shared" ref="Z106" si="281">Y106</f>
        <v>3.5524210037409312E-2</v>
      </c>
      <c r="AA106" s="71">
        <f t="shared" ref="AA106" si="282">Z106</f>
        <v>3.5524210037409312E-2</v>
      </c>
      <c r="AB106" s="71">
        <f t="shared" ref="AB106" si="283">AA106</f>
        <v>3.5524210037409312E-2</v>
      </c>
      <c r="AC106" s="71">
        <f t="shared" ref="AC106" si="284">AB106</f>
        <v>3.5524210037409312E-2</v>
      </c>
      <c r="AD106" s="71">
        <f t="shared" ref="AD106" si="285">AC106</f>
        <v>3.5524210037409312E-2</v>
      </c>
    </row>
    <row r="107" spans="2:39" s="293" customFormat="1" outlineLevel="1">
      <c r="B107" s="295" t="s">
        <v>397</v>
      </c>
      <c r="C107" s="293">
        <f>-CF!C5</f>
        <v>-28.107999999999997</v>
      </c>
      <c r="D107" s="293">
        <f>-CF!D5</f>
        <v>-92</v>
      </c>
      <c r="E107" s="293">
        <f>-CF!E5</f>
        <v>-135.80000000000001</v>
      </c>
      <c r="F107" s="293">
        <f>-CF!F5</f>
        <v>-108.4</v>
      </c>
      <c r="G107" s="293">
        <f>-CF!G5</f>
        <v>-122.6</v>
      </c>
      <c r="H107" s="293">
        <f>-CF!H5</f>
        <v>-129.1</v>
      </c>
      <c r="I107" s="293">
        <f>-CF!I5</f>
        <v>-137.9</v>
      </c>
      <c r="J107" s="293">
        <f>-CF!J5</f>
        <v>-144.9</v>
      </c>
      <c r="K107" s="293">
        <f>-CF!K5</f>
        <v>-143.9</v>
      </c>
      <c r="L107" s="296">
        <f>-CF!L5</f>
        <v>-164.3</v>
      </c>
      <c r="M107" s="296">
        <f>-CF!M5</f>
        <v>-188.79200000000003</v>
      </c>
      <c r="N107" s="296">
        <f>-CF!N5</f>
        <v>-198.38899999999995</v>
      </c>
      <c r="O107" s="296">
        <f>-CF!O5</f>
        <v>-217.79999999999995</v>
      </c>
      <c r="P107" s="293">
        <f>-CF!P5</f>
        <v>-360.00000000000006</v>
      </c>
      <c r="Q107" s="293">
        <f>-CF!Q5</f>
        <v>-753.5</v>
      </c>
      <c r="R107" s="293">
        <f t="shared" ref="R107:AD107" si="286">-R141</f>
        <v>-471.91886864729099</v>
      </c>
      <c r="S107" s="293">
        <f t="shared" si="286"/>
        <v>-519.0029534968188</v>
      </c>
      <c r="T107" s="293">
        <f t="shared" si="286"/>
        <v>-568.52429458826271</v>
      </c>
      <c r="U107" s="293">
        <f t="shared" si="286"/>
        <v>-618.09772037117489</v>
      </c>
      <c r="V107" s="293">
        <f t="shared" si="286"/>
        <v>-667.71802237640838</v>
      </c>
      <c r="W107" s="293">
        <f t="shared" si="286"/>
        <v>-717.38051298173127</v>
      </c>
      <c r="X107" s="293">
        <f t="shared" si="286"/>
        <v>-767.08097332713442</v>
      </c>
      <c r="Y107" s="293">
        <f t="shared" si="286"/>
        <v>-816.81560643860996</v>
      </c>
      <c r="Z107" s="293">
        <f t="shared" si="286"/>
        <v>-866.58099503955054</v>
      </c>
      <c r="AA107" s="293">
        <f t="shared" si="286"/>
        <v>-916.37406358100975</v>
      </c>
      <c r="AB107" s="293">
        <f t="shared" si="286"/>
        <v>-966.19204406893562</v>
      </c>
      <c r="AC107" s="293">
        <f t="shared" si="286"/>
        <v>-1016.0324453086815</v>
      </c>
      <c r="AD107" s="293">
        <f t="shared" si="286"/>
        <v>-1065.8930252250657</v>
      </c>
      <c r="AH107"/>
      <c r="AI107"/>
      <c r="AJ107"/>
      <c r="AK107"/>
      <c r="AL107"/>
      <c r="AM107"/>
    </row>
    <row r="108" spans="2:39" s="293" customFormat="1" outlineLevel="1">
      <c r="B108" s="295" t="s">
        <v>313</v>
      </c>
      <c r="C108" s="293">
        <f>+C109-C104-C105-C107</f>
        <v>715.10599999999977</v>
      </c>
      <c r="D108" s="293">
        <f t="shared" ref="D108:M108" si="287">+D109-D104-D105-D107</f>
        <v>3.4290000000000305</v>
      </c>
      <c r="E108" s="293">
        <f t="shared" si="287"/>
        <v>-533.40499999999997</v>
      </c>
      <c r="F108" s="293">
        <f t="shared" si="287"/>
        <v>90.293000000000021</v>
      </c>
      <c r="G108" s="293">
        <f t="shared" si="287"/>
        <v>72.16100000000003</v>
      </c>
      <c r="H108" s="293">
        <f t="shared" si="287"/>
        <v>-49.483000000000146</v>
      </c>
      <c r="I108" s="293">
        <f t="shared" si="287"/>
        <v>14.583000000000197</v>
      </c>
      <c r="J108" s="293">
        <f t="shared" si="287"/>
        <v>-23.60400000000007</v>
      </c>
      <c r="K108" s="293">
        <f t="shared" si="287"/>
        <v>-132.16000000000005</v>
      </c>
      <c r="L108" s="296">
        <f t="shared" si="287"/>
        <v>80.591000000000179</v>
      </c>
      <c r="M108" s="296">
        <f t="shared" si="287"/>
        <v>-49.005000000000052</v>
      </c>
      <c r="N108" s="296">
        <f t="shared" ref="N108:O108" si="288">+N109-N104-N105-N107</f>
        <v>-74.389000000000067</v>
      </c>
      <c r="O108" s="296">
        <f t="shared" si="288"/>
        <v>-3.2830000000001291</v>
      </c>
      <c r="P108" s="293">
        <f t="shared" ref="P108:Q108" si="289">+P109-P104-P105-P107</f>
        <v>58.100000000000307</v>
      </c>
      <c r="Q108" s="293">
        <f t="shared" si="289"/>
        <v>566.69999999999993</v>
      </c>
      <c r="R108" s="293">
        <v>0</v>
      </c>
      <c r="S108" s="293">
        <v>0</v>
      </c>
      <c r="T108" s="293">
        <v>0</v>
      </c>
      <c r="U108" s="293">
        <v>0</v>
      </c>
      <c r="V108" s="293">
        <v>0</v>
      </c>
      <c r="W108" s="293">
        <v>0</v>
      </c>
      <c r="X108" s="293">
        <v>0</v>
      </c>
      <c r="Y108" s="293">
        <v>0</v>
      </c>
      <c r="Z108" s="293">
        <v>0</v>
      </c>
      <c r="AA108" s="293">
        <v>0</v>
      </c>
      <c r="AB108" s="293">
        <v>0</v>
      </c>
      <c r="AC108" s="293">
        <v>0</v>
      </c>
      <c r="AD108" s="293">
        <v>0</v>
      </c>
      <c r="AH108"/>
      <c r="AI108"/>
      <c r="AJ108"/>
      <c r="AK108"/>
      <c r="AL108"/>
      <c r="AM108"/>
    </row>
    <row r="109" spans="2:39" s="293" customFormat="1" outlineLevel="1">
      <c r="B109" s="294" t="s">
        <v>398</v>
      </c>
      <c r="C109" s="293">
        <f t="shared" ref="C109:M109" si="290">C13</f>
        <v>1252.7829999999999</v>
      </c>
      <c r="D109" s="293">
        <f t="shared" si="290"/>
        <v>1525.2249999999999</v>
      </c>
      <c r="E109" s="293">
        <f t="shared" si="290"/>
        <v>1174.396</v>
      </c>
      <c r="F109" s="293">
        <f t="shared" si="290"/>
        <v>1280.385</v>
      </c>
      <c r="G109" s="293">
        <f t="shared" si="290"/>
        <v>1497.383</v>
      </c>
      <c r="H109" s="293">
        <f t="shared" si="290"/>
        <v>1594.7539999999999</v>
      </c>
      <c r="I109" s="296">
        <f t="shared" si="290"/>
        <v>1637.0830000000001</v>
      </c>
      <c r="J109" s="296">
        <f t="shared" si="290"/>
        <v>1641.634</v>
      </c>
      <c r="K109" s="296">
        <f t="shared" si="290"/>
        <v>1571.3869999999999</v>
      </c>
      <c r="L109" s="296">
        <f t="shared" si="290"/>
        <v>1742.2260000000001</v>
      </c>
      <c r="M109" s="296">
        <f t="shared" si="290"/>
        <v>1750.71</v>
      </c>
      <c r="N109" s="296">
        <f t="shared" ref="N109:O109" si="291">N13</f>
        <v>1765.683</v>
      </c>
      <c r="O109" s="296">
        <f t="shared" si="291"/>
        <v>2187.6</v>
      </c>
      <c r="P109" s="293">
        <f t="shared" ref="P109:Q109" si="292">P13</f>
        <v>2501.8000000000002</v>
      </c>
      <c r="Q109" s="293">
        <f t="shared" si="292"/>
        <v>3182.4</v>
      </c>
      <c r="R109" s="293">
        <f t="shared" ref="R109:AD109" si="293">R104+R105+R107+R108</f>
        <v>3167.6334743597627</v>
      </c>
      <c r="S109" s="293">
        <f t="shared" si="293"/>
        <v>3125.2585572991384</v>
      </c>
      <c r="T109" s="293">
        <f t="shared" si="293"/>
        <v>3057.1561427721394</v>
      </c>
      <c r="U109" s="293">
        <f t="shared" si="293"/>
        <v>2957.9779546889599</v>
      </c>
      <c r="V109" s="293">
        <f t="shared" si="293"/>
        <v>2821.4321352323154</v>
      </c>
      <c r="W109" s="293">
        <f t="shared" si="293"/>
        <v>2647.6754143852504</v>
      </c>
      <c r="X109" s="293">
        <f t="shared" si="293"/>
        <v>2436.9311662471891</v>
      </c>
      <c r="Y109" s="293">
        <f t="shared" si="293"/>
        <v>2158.8505245048773</v>
      </c>
      <c r="Z109" s="293">
        <f t="shared" si="293"/>
        <v>1798.6727290583335</v>
      </c>
      <c r="AA109" s="293">
        <f t="shared" si="293"/>
        <v>1333.7670319487913</v>
      </c>
      <c r="AB109" s="293">
        <f t="shared" si="293"/>
        <v>808.90391877777017</v>
      </c>
      <c r="AC109" s="293">
        <f t="shared" si="293"/>
        <v>229.34835110746701</v>
      </c>
      <c r="AD109" s="293">
        <f t="shared" si="293"/>
        <v>-394.89984740386967</v>
      </c>
      <c r="AH109"/>
      <c r="AI109"/>
      <c r="AJ109"/>
      <c r="AK109"/>
      <c r="AL109"/>
      <c r="AM109"/>
    </row>
    <row r="110" spans="2:39" s="293" customFormat="1" outlineLevel="1">
      <c r="B110" s="295" t="s">
        <v>399</v>
      </c>
      <c r="C110" s="293">
        <f>C45/AVERAGE(C104)</f>
        <v>7.0024231014943101</v>
      </c>
      <c r="D110" s="293">
        <f t="shared" ref="D110:P110" si="294">D45/AVERAGE(C104,D104)</f>
        <v>2.9150897635304354</v>
      </c>
      <c r="E110" s="293">
        <f t="shared" si="294"/>
        <v>1.7440554526840817</v>
      </c>
      <c r="F110" s="293">
        <f t="shared" si="294"/>
        <v>1.9877227210782549</v>
      </c>
      <c r="G110" s="293">
        <f t="shared" si="294"/>
        <v>2.5840325470989058</v>
      </c>
      <c r="H110" s="293">
        <f t="shared" si="294"/>
        <v>2.9502154247582948</v>
      </c>
      <c r="I110" s="293">
        <f t="shared" si="294"/>
        <v>2.8312768806815485</v>
      </c>
      <c r="J110" s="293">
        <f t="shared" si="294"/>
        <v>2.9187257896979331</v>
      </c>
      <c r="K110" s="293">
        <f t="shared" si="294"/>
        <v>3.0713361354456632</v>
      </c>
      <c r="L110" s="293">
        <f t="shared" si="294"/>
        <v>3.462941574300324</v>
      </c>
      <c r="M110" s="293">
        <f t="shared" si="294"/>
        <v>4.1844144141153476</v>
      </c>
      <c r="N110" s="293">
        <f t="shared" si="294"/>
        <v>5.5559701065235663</v>
      </c>
      <c r="O110" s="293">
        <f t="shared" si="294"/>
        <v>6.1220182158251353</v>
      </c>
      <c r="P110" s="293">
        <f t="shared" si="294"/>
        <v>5.7920467621468026</v>
      </c>
      <c r="Q110" s="293">
        <f>Q45/AVERAGE(P104,Q104)</f>
        <v>5.2347421845012176</v>
      </c>
      <c r="R110" s="293">
        <f>R45/AVERAGE(Q104,R104)</f>
        <v>4.5279035386513273</v>
      </c>
      <c r="S110" s="293">
        <f>S45/AVERAGE(R104,S104)</f>
        <v>4.225801927181231</v>
      </c>
      <c r="T110" s="293">
        <f>T45/AVERAGE(S104,T104)</f>
        <v>4.4770462013096015</v>
      </c>
      <c r="U110" s="293">
        <f t="shared" ref="U110:AD110" si="295">U45/AVERAGE(T104,U104)</f>
        <v>4.7254965609753476</v>
      </c>
      <c r="V110" s="293">
        <f t="shared" si="295"/>
        <v>4.9715932817534751</v>
      </c>
      <c r="W110" s="293">
        <f t="shared" si="295"/>
        <v>5.2956650763591018</v>
      </c>
      <c r="X110" s="293">
        <f t="shared" si="295"/>
        <v>5.726995375516907</v>
      </c>
      <c r="Y110" s="293">
        <f t="shared" si="295"/>
        <v>5.965177541643861</v>
      </c>
      <c r="Z110" s="293">
        <f t="shared" si="295"/>
        <v>6.2035832814949767</v>
      </c>
      <c r="AA110" s="293">
        <f t="shared" si="295"/>
        <v>6.4225784337762573</v>
      </c>
      <c r="AB110" s="293">
        <f t="shared" si="295"/>
        <v>7.9320462291640972</v>
      </c>
      <c r="AC110" s="293">
        <f t="shared" si="295"/>
        <v>11.46862431982948</v>
      </c>
      <c r="AD110" s="293">
        <f t="shared" si="295"/>
        <v>23.948362584109173</v>
      </c>
      <c r="AH110"/>
      <c r="AI110"/>
      <c r="AJ110"/>
      <c r="AK110"/>
      <c r="AL110"/>
      <c r="AM110"/>
    </row>
    <row r="111" spans="2:39" s="293" customFormat="1" outlineLevel="1">
      <c r="B111" s="294" t="s">
        <v>397</v>
      </c>
      <c r="AH111"/>
      <c r="AI111"/>
      <c r="AJ111"/>
      <c r="AK111"/>
      <c r="AL111"/>
      <c r="AM111"/>
    </row>
    <row r="112" spans="2:39" s="293" customFormat="1" outlineLevel="1">
      <c r="B112" s="295" t="s">
        <v>400</v>
      </c>
      <c r="C112" s="293">
        <f>+C141</f>
        <v>28.107999999999997</v>
      </c>
      <c r="D112" s="293">
        <f>C112-(C112*(1/$B$143))</f>
        <v>25.297199999999997</v>
      </c>
      <c r="E112" s="293">
        <f t="shared" ref="E112:P112" si="296">D112-(D112*(1/$B$143))</f>
        <v>22.767479999999995</v>
      </c>
      <c r="F112" s="293">
        <f t="shared" si="296"/>
        <v>20.490731999999994</v>
      </c>
      <c r="G112" s="293">
        <f t="shared" si="296"/>
        <v>18.441658799999995</v>
      </c>
      <c r="H112" s="293">
        <f t="shared" si="296"/>
        <v>16.597492919999997</v>
      </c>
      <c r="I112" s="293">
        <f t="shared" si="296"/>
        <v>14.937743627999996</v>
      </c>
      <c r="J112" s="293">
        <f t="shared" si="296"/>
        <v>13.443969265199996</v>
      </c>
      <c r="K112" s="293">
        <f t="shared" si="296"/>
        <v>12.099572338679996</v>
      </c>
      <c r="L112" s="293">
        <f t="shared" si="296"/>
        <v>10.889615104811996</v>
      </c>
      <c r="M112" s="293">
        <f>L112-(L112*(1/$B$143))</f>
        <v>9.8006535943307966</v>
      </c>
      <c r="N112" s="293">
        <f t="shared" si="296"/>
        <v>8.8205882348977163</v>
      </c>
      <c r="O112" s="293">
        <f t="shared" si="296"/>
        <v>7.938529411407945</v>
      </c>
      <c r="P112" s="293">
        <f t="shared" si="296"/>
        <v>7.1446764702671501</v>
      </c>
      <c r="Q112" s="293">
        <f>P112-(P112*(1/$B$143))</f>
        <v>6.4302088232404353</v>
      </c>
      <c r="R112" s="293">
        <f>Q112-(Q112*(1/$B$143))</f>
        <v>5.7871879409163913</v>
      </c>
      <c r="S112" s="293">
        <f>R112-(R112*(1/$B$143))</f>
        <v>5.2084691468247524</v>
      </c>
      <c r="T112" s="293">
        <f>S112-(S112*(1/$B$143))</f>
        <v>4.6876222321422771</v>
      </c>
      <c r="U112" s="293">
        <f t="shared" ref="U112:AD112" si="297">T112-(T112*(1/$B$143))</f>
        <v>4.2188600089280497</v>
      </c>
      <c r="V112" s="293">
        <f t="shared" si="297"/>
        <v>3.7969740080352445</v>
      </c>
      <c r="W112" s="293">
        <f t="shared" si="297"/>
        <v>3.4172766072317202</v>
      </c>
      <c r="X112" s="293">
        <f t="shared" si="297"/>
        <v>3.0755489465085484</v>
      </c>
      <c r="Y112" s="293">
        <f t="shared" si="297"/>
        <v>2.7679940518576935</v>
      </c>
      <c r="Z112" s="293">
        <f t="shared" si="297"/>
        <v>2.4911946466719241</v>
      </c>
      <c r="AA112" s="293">
        <f t="shared" si="297"/>
        <v>2.2420751820047315</v>
      </c>
      <c r="AB112" s="293">
        <f t="shared" si="297"/>
        <v>2.0178676638042585</v>
      </c>
      <c r="AC112" s="293">
        <f t="shared" si="297"/>
        <v>1.8160808974238327</v>
      </c>
      <c r="AD112" s="293">
        <f t="shared" si="297"/>
        <v>1.6344728076814494</v>
      </c>
      <c r="AH112"/>
      <c r="AI112"/>
      <c r="AJ112"/>
      <c r="AK112"/>
      <c r="AL112"/>
      <c r="AM112"/>
    </row>
    <row r="113" spans="2:39" s="293" customFormat="1" outlineLevel="1">
      <c r="B113" s="295" t="s">
        <v>401</v>
      </c>
      <c r="D113" s="293">
        <f>D141-D112</f>
        <v>66.702799999999996</v>
      </c>
      <c r="E113" s="293">
        <f>D113</f>
        <v>66.702799999999996</v>
      </c>
      <c r="F113" s="293">
        <f t="shared" ref="F113:P124" si="298">E113</f>
        <v>66.702799999999996</v>
      </c>
      <c r="G113" s="293">
        <f t="shared" si="298"/>
        <v>66.702799999999996</v>
      </c>
      <c r="H113" s="293">
        <f t="shared" si="298"/>
        <v>66.702799999999996</v>
      </c>
      <c r="I113" s="293">
        <f t="shared" si="298"/>
        <v>66.702799999999996</v>
      </c>
      <c r="J113" s="293">
        <f t="shared" si="298"/>
        <v>66.702799999999996</v>
      </c>
      <c r="K113" s="293">
        <f t="shared" si="298"/>
        <v>66.702799999999996</v>
      </c>
      <c r="L113" s="293">
        <f t="shared" si="298"/>
        <v>66.702799999999996</v>
      </c>
      <c r="M113" s="293">
        <f t="shared" si="298"/>
        <v>66.702799999999996</v>
      </c>
      <c r="N113" s="293">
        <f t="shared" si="298"/>
        <v>66.702799999999996</v>
      </c>
      <c r="O113" s="293">
        <f t="shared" si="298"/>
        <v>66.702799999999996</v>
      </c>
      <c r="P113" s="293">
        <f t="shared" si="298"/>
        <v>66.702799999999996</v>
      </c>
      <c r="Q113" s="293">
        <f t="shared" ref="Q113:Q124" si="299">P113</f>
        <v>66.702799999999996</v>
      </c>
      <c r="R113" s="293">
        <f t="shared" ref="R113:R126" si="300">Q113</f>
        <v>66.702799999999996</v>
      </c>
      <c r="S113" s="293">
        <f t="shared" ref="S113:S127" si="301">R113</f>
        <v>66.702799999999996</v>
      </c>
      <c r="T113" s="293">
        <f t="shared" ref="T113:T128" si="302">S113</f>
        <v>66.702799999999996</v>
      </c>
      <c r="U113" s="293">
        <f t="shared" ref="U113:U120" si="303">T113</f>
        <v>66.702799999999996</v>
      </c>
      <c r="V113" s="293">
        <f t="shared" ref="V113:V120" si="304">U113</f>
        <v>66.702799999999996</v>
      </c>
      <c r="W113" s="293">
        <f t="shared" ref="W113:W120" si="305">V113</f>
        <v>66.702799999999996</v>
      </c>
      <c r="X113" s="293">
        <f t="shared" ref="X113:X120" si="306">W113</f>
        <v>66.702799999999996</v>
      </c>
      <c r="Y113" s="293">
        <f t="shared" ref="Y113:Y120" si="307">X113</f>
        <v>66.702799999999996</v>
      </c>
      <c r="Z113" s="293">
        <f t="shared" ref="Z113:Z120" si="308">Y113</f>
        <v>66.702799999999996</v>
      </c>
      <c r="AA113" s="293">
        <f t="shared" ref="AA113:AA120" si="309">Z113</f>
        <v>66.702799999999996</v>
      </c>
      <c r="AB113" s="293">
        <f t="shared" ref="AB113:AB120" si="310">AA113</f>
        <v>66.702799999999996</v>
      </c>
      <c r="AC113" s="293">
        <f t="shared" ref="AC113:AC120" si="311">AB113</f>
        <v>66.702799999999996</v>
      </c>
      <c r="AD113" s="293">
        <f t="shared" ref="AD113:AD114" si="312">AC113</f>
        <v>66.702799999999996</v>
      </c>
      <c r="AH113"/>
      <c r="AI113"/>
      <c r="AJ113"/>
      <c r="AK113"/>
      <c r="AL113"/>
      <c r="AM113"/>
    </row>
    <row r="114" spans="2:39" s="293" customFormat="1" outlineLevel="1">
      <c r="B114" s="295" t="s">
        <v>402</v>
      </c>
      <c r="E114" s="293">
        <f>+E141-E112-E113</f>
        <v>46.329720000000023</v>
      </c>
      <c r="F114" s="293">
        <f t="shared" si="298"/>
        <v>46.329720000000023</v>
      </c>
      <c r="G114" s="293">
        <f t="shared" si="298"/>
        <v>46.329720000000023</v>
      </c>
      <c r="H114" s="293">
        <f t="shared" si="298"/>
        <v>46.329720000000023</v>
      </c>
      <c r="I114" s="293">
        <f t="shared" si="298"/>
        <v>46.329720000000023</v>
      </c>
      <c r="J114" s="293">
        <f t="shared" si="298"/>
        <v>46.329720000000023</v>
      </c>
      <c r="K114" s="293">
        <f t="shared" si="298"/>
        <v>46.329720000000023</v>
      </c>
      <c r="L114" s="293">
        <f t="shared" si="298"/>
        <v>46.329720000000023</v>
      </c>
      <c r="M114" s="293">
        <f t="shared" si="298"/>
        <v>46.329720000000023</v>
      </c>
      <c r="N114" s="293">
        <f t="shared" si="298"/>
        <v>46.329720000000023</v>
      </c>
      <c r="O114" s="293">
        <f t="shared" si="298"/>
        <v>46.329720000000023</v>
      </c>
      <c r="P114" s="293">
        <f t="shared" si="298"/>
        <v>46.329720000000023</v>
      </c>
      <c r="Q114" s="293">
        <f t="shared" si="299"/>
        <v>46.329720000000023</v>
      </c>
      <c r="R114" s="293">
        <f t="shared" si="300"/>
        <v>46.329720000000023</v>
      </c>
      <c r="S114" s="293">
        <f t="shared" si="301"/>
        <v>46.329720000000023</v>
      </c>
      <c r="T114" s="293">
        <f t="shared" si="302"/>
        <v>46.329720000000023</v>
      </c>
      <c r="U114" s="293">
        <f t="shared" si="303"/>
        <v>46.329720000000023</v>
      </c>
      <c r="V114" s="293">
        <f t="shared" si="304"/>
        <v>46.329720000000023</v>
      </c>
      <c r="W114" s="293">
        <f t="shared" si="305"/>
        <v>46.329720000000023</v>
      </c>
      <c r="X114" s="293">
        <f t="shared" si="306"/>
        <v>46.329720000000023</v>
      </c>
      <c r="Y114" s="293">
        <f t="shared" si="307"/>
        <v>46.329720000000023</v>
      </c>
      <c r="Z114" s="293">
        <f t="shared" si="308"/>
        <v>46.329720000000023</v>
      </c>
      <c r="AA114" s="293">
        <f t="shared" si="309"/>
        <v>46.329720000000023</v>
      </c>
      <c r="AB114" s="293">
        <f t="shared" si="310"/>
        <v>46.329720000000023</v>
      </c>
      <c r="AC114" s="293">
        <f t="shared" si="311"/>
        <v>46.329720000000023</v>
      </c>
      <c r="AD114" s="293">
        <f t="shared" si="312"/>
        <v>46.329720000000023</v>
      </c>
      <c r="AH114"/>
      <c r="AI114"/>
      <c r="AJ114"/>
      <c r="AK114"/>
      <c r="AL114"/>
      <c r="AM114"/>
    </row>
    <row r="115" spans="2:39" s="293" customFormat="1" outlineLevel="1">
      <c r="B115" s="295" t="s">
        <v>403</v>
      </c>
      <c r="F115" s="293">
        <f>+F141-F112-F113-F114</f>
        <v>-25.123252000000008</v>
      </c>
      <c r="G115" s="293">
        <f t="shared" si="298"/>
        <v>-25.123252000000008</v>
      </c>
      <c r="H115" s="293">
        <f t="shared" si="298"/>
        <v>-25.123252000000008</v>
      </c>
      <c r="I115" s="293">
        <f t="shared" si="298"/>
        <v>-25.123252000000008</v>
      </c>
      <c r="J115" s="293">
        <f t="shared" si="298"/>
        <v>-25.123252000000008</v>
      </c>
      <c r="K115" s="293">
        <f t="shared" si="298"/>
        <v>-25.123252000000008</v>
      </c>
      <c r="L115" s="293">
        <f t="shared" si="298"/>
        <v>-25.123252000000008</v>
      </c>
      <c r="M115" s="293">
        <f t="shared" si="298"/>
        <v>-25.123252000000008</v>
      </c>
      <c r="N115" s="293">
        <f t="shared" si="298"/>
        <v>-25.123252000000008</v>
      </c>
      <c r="O115" s="293">
        <f t="shared" si="298"/>
        <v>-25.123252000000008</v>
      </c>
      <c r="P115" s="293">
        <f t="shared" si="298"/>
        <v>-25.123252000000008</v>
      </c>
      <c r="Q115" s="293">
        <f t="shared" si="299"/>
        <v>-25.123252000000008</v>
      </c>
      <c r="R115" s="293">
        <f t="shared" si="300"/>
        <v>-25.123252000000008</v>
      </c>
      <c r="S115" s="293">
        <f t="shared" si="301"/>
        <v>-25.123252000000008</v>
      </c>
      <c r="T115" s="293">
        <f t="shared" si="302"/>
        <v>-25.123252000000008</v>
      </c>
      <c r="U115" s="293">
        <f t="shared" si="303"/>
        <v>-25.123252000000008</v>
      </c>
      <c r="V115" s="293">
        <f t="shared" si="304"/>
        <v>-25.123252000000008</v>
      </c>
      <c r="W115" s="293">
        <f t="shared" si="305"/>
        <v>-25.123252000000008</v>
      </c>
      <c r="X115" s="293">
        <f t="shared" si="306"/>
        <v>-25.123252000000008</v>
      </c>
      <c r="Y115" s="293">
        <f t="shared" si="307"/>
        <v>-25.123252000000008</v>
      </c>
      <c r="Z115" s="293">
        <f t="shared" si="308"/>
        <v>-25.123252000000008</v>
      </c>
      <c r="AA115" s="293">
        <f t="shared" si="309"/>
        <v>-25.123252000000008</v>
      </c>
      <c r="AB115" s="293">
        <f t="shared" si="310"/>
        <v>-25.123252000000008</v>
      </c>
      <c r="AC115" s="293">
        <f t="shared" si="311"/>
        <v>-25.123252000000008</v>
      </c>
      <c r="AD115" s="293">
        <f>AC115</f>
        <v>-25.123252000000008</v>
      </c>
      <c r="AH115"/>
      <c r="AI115"/>
      <c r="AJ115"/>
      <c r="AK115"/>
      <c r="AL115"/>
      <c r="AM115"/>
    </row>
    <row r="116" spans="2:39" s="293" customFormat="1" outlineLevel="1">
      <c r="B116" s="295" t="s">
        <v>404</v>
      </c>
      <c r="G116" s="293">
        <f>+G141-G112-G113-G114-G115</f>
        <v>16.249073199999984</v>
      </c>
      <c r="H116" s="293">
        <f>G116</f>
        <v>16.249073199999984</v>
      </c>
      <c r="I116" s="293">
        <f t="shared" si="298"/>
        <v>16.249073199999984</v>
      </c>
      <c r="J116" s="293">
        <f t="shared" si="298"/>
        <v>16.249073199999984</v>
      </c>
      <c r="K116" s="293">
        <f t="shared" si="298"/>
        <v>16.249073199999984</v>
      </c>
      <c r="L116" s="293">
        <f t="shared" si="298"/>
        <v>16.249073199999984</v>
      </c>
      <c r="M116" s="293">
        <f t="shared" si="298"/>
        <v>16.249073199999984</v>
      </c>
      <c r="N116" s="293">
        <f t="shared" si="298"/>
        <v>16.249073199999984</v>
      </c>
      <c r="O116" s="293">
        <f t="shared" si="298"/>
        <v>16.249073199999984</v>
      </c>
      <c r="P116" s="293">
        <f t="shared" si="298"/>
        <v>16.249073199999984</v>
      </c>
      <c r="Q116" s="293">
        <f t="shared" si="299"/>
        <v>16.249073199999984</v>
      </c>
      <c r="R116" s="293">
        <f t="shared" si="300"/>
        <v>16.249073199999984</v>
      </c>
      <c r="S116" s="293">
        <f t="shared" si="301"/>
        <v>16.249073199999984</v>
      </c>
      <c r="T116" s="293">
        <f t="shared" si="302"/>
        <v>16.249073199999984</v>
      </c>
      <c r="U116" s="293">
        <f t="shared" si="303"/>
        <v>16.249073199999984</v>
      </c>
      <c r="V116" s="293">
        <f t="shared" si="304"/>
        <v>16.249073199999984</v>
      </c>
      <c r="W116" s="293">
        <f t="shared" si="305"/>
        <v>16.249073199999984</v>
      </c>
      <c r="X116" s="293">
        <f t="shared" si="306"/>
        <v>16.249073199999984</v>
      </c>
      <c r="Y116" s="293">
        <f t="shared" si="307"/>
        <v>16.249073199999984</v>
      </c>
      <c r="Z116" s="293">
        <f t="shared" si="308"/>
        <v>16.249073199999984</v>
      </c>
      <c r="AA116" s="293">
        <f t="shared" si="309"/>
        <v>16.249073199999984</v>
      </c>
      <c r="AB116" s="293">
        <f t="shared" si="310"/>
        <v>16.249073199999984</v>
      </c>
      <c r="AC116" s="293">
        <f t="shared" si="311"/>
        <v>16.249073199999984</v>
      </c>
      <c r="AD116" s="293">
        <f t="shared" ref="AD116:AD120" si="313">AC116</f>
        <v>16.249073199999984</v>
      </c>
      <c r="AH116"/>
      <c r="AI116"/>
      <c r="AJ116"/>
      <c r="AK116"/>
      <c r="AL116"/>
      <c r="AM116"/>
    </row>
    <row r="117" spans="2:39" s="293" customFormat="1" outlineLevel="1">
      <c r="B117" s="295" t="s">
        <v>405</v>
      </c>
      <c r="H117" s="293">
        <f>+H141-H112-H113-H114-H115-H116</f>
        <v>8.3441658800000056</v>
      </c>
      <c r="I117" s="293">
        <f>H117</f>
        <v>8.3441658800000056</v>
      </c>
      <c r="J117" s="293">
        <f t="shared" si="298"/>
        <v>8.3441658800000056</v>
      </c>
      <c r="K117" s="293">
        <f t="shared" si="298"/>
        <v>8.3441658800000056</v>
      </c>
      <c r="L117" s="293">
        <f t="shared" si="298"/>
        <v>8.3441658800000056</v>
      </c>
      <c r="M117" s="293">
        <f t="shared" si="298"/>
        <v>8.3441658800000056</v>
      </c>
      <c r="N117" s="293">
        <f t="shared" si="298"/>
        <v>8.3441658800000056</v>
      </c>
      <c r="O117" s="293">
        <f t="shared" si="298"/>
        <v>8.3441658800000056</v>
      </c>
      <c r="P117" s="293">
        <f t="shared" si="298"/>
        <v>8.3441658800000056</v>
      </c>
      <c r="Q117" s="293">
        <f t="shared" si="299"/>
        <v>8.3441658800000056</v>
      </c>
      <c r="R117" s="293">
        <f t="shared" si="300"/>
        <v>8.3441658800000056</v>
      </c>
      <c r="S117" s="293">
        <f t="shared" si="301"/>
        <v>8.3441658800000056</v>
      </c>
      <c r="T117" s="293">
        <f t="shared" si="302"/>
        <v>8.3441658800000056</v>
      </c>
      <c r="U117" s="293">
        <f t="shared" si="303"/>
        <v>8.3441658800000056</v>
      </c>
      <c r="V117" s="293">
        <f t="shared" si="304"/>
        <v>8.3441658800000056</v>
      </c>
      <c r="W117" s="293">
        <f t="shared" si="305"/>
        <v>8.3441658800000056</v>
      </c>
      <c r="X117" s="293">
        <f t="shared" si="306"/>
        <v>8.3441658800000056</v>
      </c>
      <c r="Y117" s="293">
        <f t="shared" si="307"/>
        <v>8.3441658800000056</v>
      </c>
      <c r="Z117" s="293">
        <f t="shared" si="308"/>
        <v>8.3441658800000056</v>
      </c>
      <c r="AA117" s="293">
        <f t="shared" si="309"/>
        <v>8.3441658800000056</v>
      </c>
      <c r="AB117" s="293">
        <f t="shared" si="310"/>
        <v>8.3441658800000056</v>
      </c>
      <c r="AC117" s="293">
        <f t="shared" si="311"/>
        <v>8.3441658800000056</v>
      </c>
      <c r="AD117" s="293">
        <f t="shared" si="313"/>
        <v>8.3441658800000056</v>
      </c>
      <c r="AH117"/>
      <c r="AI117"/>
      <c r="AJ117"/>
      <c r="AK117"/>
      <c r="AL117"/>
      <c r="AM117"/>
    </row>
    <row r="118" spans="2:39" s="293" customFormat="1" outlineLevel="1">
      <c r="B118" s="295" t="s">
        <v>406</v>
      </c>
      <c r="I118" s="293">
        <f>+I141-I112-I113-I114-I115-I116-I117</f>
        <v>10.459749292000012</v>
      </c>
      <c r="J118" s="293">
        <f t="shared" si="298"/>
        <v>10.459749292000012</v>
      </c>
      <c r="K118" s="293">
        <f t="shared" si="298"/>
        <v>10.459749292000012</v>
      </c>
      <c r="L118" s="293">
        <f t="shared" si="298"/>
        <v>10.459749292000012</v>
      </c>
      <c r="M118" s="293">
        <f t="shared" si="298"/>
        <v>10.459749292000012</v>
      </c>
      <c r="N118" s="293">
        <f t="shared" si="298"/>
        <v>10.459749292000012</v>
      </c>
      <c r="O118" s="293">
        <f t="shared" si="298"/>
        <v>10.459749292000012</v>
      </c>
      <c r="P118" s="293">
        <f t="shared" si="298"/>
        <v>10.459749292000012</v>
      </c>
      <c r="Q118" s="293">
        <f t="shared" si="299"/>
        <v>10.459749292000012</v>
      </c>
      <c r="R118" s="293">
        <f t="shared" si="300"/>
        <v>10.459749292000012</v>
      </c>
      <c r="S118" s="293">
        <f t="shared" si="301"/>
        <v>10.459749292000012</v>
      </c>
      <c r="T118" s="293">
        <f t="shared" si="302"/>
        <v>10.459749292000012</v>
      </c>
      <c r="U118" s="293">
        <f t="shared" si="303"/>
        <v>10.459749292000012</v>
      </c>
      <c r="V118" s="293">
        <f t="shared" si="304"/>
        <v>10.459749292000012</v>
      </c>
      <c r="W118" s="293">
        <f t="shared" si="305"/>
        <v>10.459749292000012</v>
      </c>
      <c r="X118" s="293">
        <f t="shared" si="306"/>
        <v>10.459749292000012</v>
      </c>
      <c r="Y118" s="293">
        <f t="shared" si="307"/>
        <v>10.459749292000012</v>
      </c>
      <c r="Z118" s="293">
        <f t="shared" si="308"/>
        <v>10.459749292000012</v>
      </c>
      <c r="AA118" s="293">
        <f t="shared" si="309"/>
        <v>10.459749292000012</v>
      </c>
      <c r="AB118" s="293">
        <f t="shared" si="310"/>
        <v>10.459749292000012</v>
      </c>
      <c r="AC118" s="293">
        <f t="shared" si="311"/>
        <v>10.459749292000012</v>
      </c>
      <c r="AD118" s="293">
        <f t="shared" si="313"/>
        <v>10.459749292000012</v>
      </c>
      <c r="AH118"/>
      <c r="AI118"/>
      <c r="AJ118"/>
      <c r="AK118"/>
      <c r="AL118"/>
      <c r="AM118"/>
    </row>
    <row r="119" spans="2:39" s="293" customFormat="1" outlineLevel="1">
      <c r="B119" s="295" t="s">
        <v>407</v>
      </c>
      <c r="J119" s="293">
        <f>+J141-J112-J113-J114-J115-J116-J117-J118</f>
        <v>8.4937743627999964</v>
      </c>
      <c r="K119" s="293">
        <f t="shared" si="298"/>
        <v>8.4937743627999964</v>
      </c>
      <c r="L119" s="293">
        <f t="shared" si="298"/>
        <v>8.4937743627999964</v>
      </c>
      <c r="M119" s="293">
        <f t="shared" si="298"/>
        <v>8.4937743627999964</v>
      </c>
      <c r="N119" s="293">
        <f t="shared" si="298"/>
        <v>8.4937743627999964</v>
      </c>
      <c r="O119" s="293">
        <f t="shared" si="298"/>
        <v>8.4937743627999964</v>
      </c>
      <c r="P119" s="293">
        <f t="shared" si="298"/>
        <v>8.4937743627999964</v>
      </c>
      <c r="Q119" s="293">
        <f t="shared" si="299"/>
        <v>8.4937743627999964</v>
      </c>
      <c r="R119" s="293">
        <f t="shared" si="300"/>
        <v>8.4937743627999964</v>
      </c>
      <c r="S119" s="293">
        <f t="shared" si="301"/>
        <v>8.4937743627999964</v>
      </c>
      <c r="T119" s="293">
        <f t="shared" si="302"/>
        <v>8.4937743627999964</v>
      </c>
      <c r="U119" s="293">
        <f t="shared" si="303"/>
        <v>8.4937743627999964</v>
      </c>
      <c r="V119" s="293">
        <f t="shared" si="304"/>
        <v>8.4937743627999964</v>
      </c>
      <c r="W119" s="293">
        <f t="shared" si="305"/>
        <v>8.4937743627999964</v>
      </c>
      <c r="X119" s="293">
        <f t="shared" si="306"/>
        <v>8.4937743627999964</v>
      </c>
      <c r="Y119" s="293">
        <f t="shared" si="307"/>
        <v>8.4937743627999964</v>
      </c>
      <c r="Z119" s="293">
        <f t="shared" si="308"/>
        <v>8.4937743627999964</v>
      </c>
      <c r="AA119" s="293">
        <f t="shared" si="309"/>
        <v>8.4937743627999964</v>
      </c>
      <c r="AB119" s="293">
        <f t="shared" si="310"/>
        <v>8.4937743627999964</v>
      </c>
      <c r="AC119" s="293">
        <f t="shared" si="311"/>
        <v>8.4937743627999964</v>
      </c>
      <c r="AD119" s="293">
        <f t="shared" si="313"/>
        <v>8.4937743627999964</v>
      </c>
      <c r="AH119"/>
      <c r="AI119"/>
      <c r="AJ119"/>
      <c r="AK119"/>
      <c r="AL119"/>
      <c r="AM119"/>
    </row>
    <row r="120" spans="2:39" s="293" customFormat="1" outlineLevel="1">
      <c r="B120" s="295" t="s">
        <v>408</v>
      </c>
      <c r="K120" s="293">
        <f>+K141-K112-K113-K114-K115-K116-K117-K118-K119</f>
        <v>0.34439692652000531</v>
      </c>
      <c r="L120" s="293">
        <f t="shared" si="298"/>
        <v>0.34439692652000531</v>
      </c>
      <c r="M120" s="293">
        <f t="shared" si="298"/>
        <v>0.34439692652000531</v>
      </c>
      <c r="N120" s="293">
        <f t="shared" si="298"/>
        <v>0.34439692652000531</v>
      </c>
      <c r="O120" s="293">
        <f t="shared" si="298"/>
        <v>0.34439692652000531</v>
      </c>
      <c r="P120" s="293">
        <f t="shared" si="298"/>
        <v>0.34439692652000531</v>
      </c>
      <c r="Q120" s="293">
        <f t="shared" si="299"/>
        <v>0.34439692652000531</v>
      </c>
      <c r="R120" s="293">
        <f t="shared" si="300"/>
        <v>0.34439692652000531</v>
      </c>
      <c r="S120" s="293">
        <f t="shared" si="301"/>
        <v>0.34439692652000531</v>
      </c>
      <c r="T120" s="293">
        <f t="shared" si="302"/>
        <v>0.34439692652000531</v>
      </c>
      <c r="U120" s="293">
        <f t="shared" si="303"/>
        <v>0.34439692652000531</v>
      </c>
      <c r="V120" s="293">
        <f t="shared" si="304"/>
        <v>0.34439692652000531</v>
      </c>
      <c r="W120" s="293">
        <f t="shared" si="305"/>
        <v>0.34439692652000531</v>
      </c>
      <c r="X120" s="293">
        <f t="shared" si="306"/>
        <v>0.34439692652000531</v>
      </c>
      <c r="Y120" s="293">
        <f t="shared" si="307"/>
        <v>0.34439692652000531</v>
      </c>
      <c r="Z120" s="293">
        <f t="shared" si="308"/>
        <v>0.34439692652000531</v>
      </c>
      <c r="AA120" s="293">
        <f t="shared" si="309"/>
        <v>0.34439692652000531</v>
      </c>
      <c r="AB120" s="293">
        <f t="shared" si="310"/>
        <v>0.34439692652000531</v>
      </c>
      <c r="AC120" s="293">
        <f t="shared" si="311"/>
        <v>0.34439692652000531</v>
      </c>
      <c r="AD120" s="293">
        <f t="shared" si="313"/>
        <v>0.34439692652000531</v>
      </c>
      <c r="AH120"/>
      <c r="AI120"/>
      <c r="AJ120"/>
      <c r="AK120"/>
      <c r="AL120"/>
      <c r="AM120"/>
    </row>
    <row r="121" spans="2:39" s="293" customFormat="1" outlineLevel="1">
      <c r="B121" s="295" t="s">
        <v>409</v>
      </c>
      <c r="L121" s="293">
        <f>+L141-L112-L113-L114-L115-L116-L117-L118-L119-L120</f>
        <v>21.609957233867988</v>
      </c>
      <c r="M121" s="293">
        <f t="shared" si="298"/>
        <v>21.609957233867988</v>
      </c>
      <c r="N121" s="293">
        <f t="shared" si="298"/>
        <v>21.609957233867988</v>
      </c>
      <c r="O121" s="293">
        <f t="shared" si="298"/>
        <v>21.609957233867988</v>
      </c>
      <c r="P121" s="293">
        <f t="shared" si="298"/>
        <v>21.609957233867988</v>
      </c>
      <c r="Q121" s="293">
        <f t="shared" si="299"/>
        <v>21.609957233867988</v>
      </c>
      <c r="R121" s="293">
        <f t="shared" si="300"/>
        <v>21.609957233867988</v>
      </c>
      <c r="S121" s="293">
        <f t="shared" si="301"/>
        <v>21.609957233867988</v>
      </c>
      <c r="T121" s="293">
        <f t="shared" si="302"/>
        <v>21.609957233867988</v>
      </c>
      <c r="U121" s="293">
        <f t="shared" ref="U121" si="314">T121</f>
        <v>21.609957233867988</v>
      </c>
      <c r="V121" s="293">
        <f t="shared" ref="V121" si="315">U121</f>
        <v>21.609957233867988</v>
      </c>
      <c r="W121" s="293">
        <f t="shared" ref="W121" si="316">V121</f>
        <v>21.609957233867988</v>
      </c>
      <c r="X121" s="293">
        <f t="shared" ref="X121" si="317">W121</f>
        <v>21.609957233867988</v>
      </c>
      <c r="Y121" s="293">
        <f t="shared" ref="Y121" si="318">X121</f>
        <v>21.609957233867988</v>
      </c>
      <c r="Z121" s="293">
        <f t="shared" ref="Z121" si="319">Y121</f>
        <v>21.609957233867988</v>
      </c>
      <c r="AA121" s="293">
        <f t="shared" ref="AA121" si="320">Z121</f>
        <v>21.609957233867988</v>
      </c>
      <c r="AB121" s="293">
        <f t="shared" ref="AB121" si="321">AA121</f>
        <v>21.609957233867988</v>
      </c>
      <c r="AC121" s="293">
        <f t="shared" ref="AC121" si="322">AB121</f>
        <v>21.609957233867988</v>
      </c>
      <c r="AD121" s="293">
        <f t="shared" ref="AD121" si="323">AC121</f>
        <v>21.609957233867988</v>
      </c>
      <c r="AH121"/>
      <c r="AI121"/>
      <c r="AJ121"/>
      <c r="AK121"/>
      <c r="AL121"/>
      <c r="AM121"/>
    </row>
    <row r="122" spans="2:39" s="293" customFormat="1" outlineLevel="1">
      <c r="B122" s="295" t="s">
        <v>410</v>
      </c>
      <c r="M122" s="293">
        <f>+M141-M113-M114-M115-M116-M117-M118-M119-M120-M121-M112</f>
        <v>25.580961510481231</v>
      </c>
      <c r="N122" s="293">
        <f t="shared" si="298"/>
        <v>25.580961510481231</v>
      </c>
      <c r="O122" s="293">
        <f t="shared" si="298"/>
        <v>25.580961510481231</v>
      </c>
      <c r="P122" s="293">
        <f t="shared" si="298"/>
        <v>25.580961510481231</v>
      </c>
      <c r="Q122" s="293">
        <f t="shared" si="299"/>
        <v>25.580961510481231</v>
      </c>
      <c r="R122" s="293">
        <f t="shared" si="300"/>
        <v>25.580961510481231</v>
      </c>
      <c r="S122" s="293">
        <f t="shared" si="301"/>
        <v>25.580961510481231</v>
      </c>
      <c r="T122" s="293">
        <f t="shared" si="302"/>
        <v>25.580961510481231</v>
      </c>
      <c r="U122" s="293">
        <f t="shared" ref="U122:U123" si="324">T122</f>
        <v>25.580961510481231</v>
      </c>
      <c r="V122" s="293">
        <f t="shared" ref="V122:V123" si="325">U122</f>
        <v>25.580961510481231</v>
      </c>
      <c r="W122" s="293">
        <f t="shared" ref="W122:W123" si="326">V122</f>
        <v>25.580961510481231</v>
      </c>
      <c r="X122" s="293">
        <f t="shared" ref="X122:X123" si="327">W122</f>
        <v>25.580961510481231</v>
      </c>
      <c r="Y122" s="293">
        <f t="shared" ref="Y122:Y123" si="328">X122</f>
        <v>25.580961510481231</v>
      </c>
      <c r="Z122" s="293">
        <f t="shared" ref="Z122:Z123" si="329">Y122</f>
        <v>25.580961510481231</v>
      </c>
      <c r="AA122" s="293">
        <f t="shared" ref="AA122:AA123" si="330">Z122</f>
        <v>25.580961510481231</v>
      </c>
      <c r="AB122" s="293">
        <f t="shared" ref="AB122:AB123" si="331">AA122</f>
        <v>25.580961510481231</v>
      </c>
      <c r="AC122" s="293">
        <f t="shared" ref="AC122:AC123" si="332">AB122</f>
        <v>25.580961510481231</v>
      </c>
      <c r="AD122" s="293">
        <f t="shared" ref="AD122:AD123" si="333">AC122</f>
        <v>25.580961510481231</v>
      </c>
      <c r="AH122"/>
      <c r="AI122"/>
      <c r="AJ122"/>
      <c r="AK122"/>
      <c r="AL122"/>
      <c r="AM122"/>
    </row>
    <row r="123" spans="2:39" s="293" customFormat="1" outlineLevel="1">
      <c r="B123" s="295" t="s">
        <v>411</v>
      </c>
      <c r="N123" s="293">
        <f>N$105/$B$143</f>
        <v>28.775099999999998</v>
      </c>
      <c r="O123" s="293">
        <f t="shared" si="298"/>
        <v>28.775099999999998</v>
      </c>
      <c r="P123" s="293">
        <f t="shared" si="298"/>
        <v>28.775099999999998</v>
      </c>
      <c r="Q123" s="293">
        <f t="shared" si="299"/>
        <v>28.775099999999998</v>
      </c>
      <c r="R123" s="293">
        <f t="shared" si="300"/>
        <v>28.775099999999998</v>
      </c>
      <c r="S123" s="293">
        <f t="shared" si="301"/>
        <v>28.775099999999998</v>
      </c>
      <c r="T123" s="293">
        <f t="shared" si="302"/>
        <v>28.775099999999998</v>
      </c>
      <c r="U123" s="293">
        <f t="shared" si="324"/>
        <v>28.775099999999998</v>
      </c>
      <c r="V123" s="293">
        <f t="shared" si="325"/>
        <v>28.775099999999998</v>
      </c>
      <c r="W123" s="293">
        <f t="shared" si="326"/>
        <v>28.775099999999998</v>
      </c>
      <c r="X123" s="293">
        <f t="shared" si="327"/>
        <v>28.775099999999998</v>
      </c>
      <c r="Y123" s="293">
        <f t="shared" si="328"/>
        <v>28.775099999999998</v>
      </c>
      <c r="Z123" s="293">
        <f t="shared" si="329"/>
        <v>28.775099999999998</v>
      </c>
      <c r="AA123" s="293">
        <f t="shared" si="330"/>
        <v>28.775099999999998</v>
      </c>
      <c r="AB123" s="293">
        <f t="shared" si="331"/>
        <v>28.775099999999998</v>
      </c>
      <c r="AC123" s="293">
        <f t="shared" si="332"/>
        <v>28.775099999999998</v>
      </c>
      <c r="AD123" s="293">
        <f t="shared" si="333"/>
        <v>28.775099999999998</v>
      </c>
      <c r="AH123"/>
      <c r="AI123"/>
      <c r="AJ123"/>
      <c r="AK123"/>
      <c r="AL123"/>
      <c r="AM123"/>
    </row>
    <row r="124" spans="2:39" s="293" customFormat="1" outlineLevel="1">
      <c r="B124" s="295" t="s">
        <v>412</v>
      </c>
      <c r="O124" s="293">
        <f>O$105/$B$143</f>
        <v>64.3</v>
      </c>
      <c r="P124" s="293">
        <f t="shared" si="298"/>
        <v>64.3</v>
      </c>
      <c r="Q124" s="293">
        <f t="shared" si="299"/>
        <v>64.3</v>
      </c>
      <c r="R124" s="293">
        <f t="shared" si="300"/>
        <v>64.3</v>
      </c>
      <c r="S124" s="293">
        <f t="shared" si="301"/>
        <v>64.3</v>
      </c>
      <c r="T124" s="293">
        <f t="shared" si="302"/>
        <v>64.3</v>
      </c>
      <c r="U124" s="293">
        <f t="shared" ref="U124:U126" si="334">T124</f>
        <v>64.3</v>
      </c>
      <c r="V124" s="293">
        <f t="shared" ref="V124:V126" si="335">U124</f>
        <v>64.3</v>
      </c>
      <c r="W124" s="293">
        <f t="shared" ref="W124:W126" si="336">V124</f>
        <v>64.3</v>
      </c>
      <c r="X124" s="293">
        <f t="shared" ref="X124:X126" si="337">W124</f>
        <v>64.3</v>
      </c>
      <c r="Y124" s="293">
        <f t="shared" ref="Y124:Y126" si="338">X124</f>
        <v>64.3</v>
      </c>
      <c r="Z124" s="293">
        <f t="shared" ref="Z124:Z126" si="339">Y124</f>
        <v>64.3</v>
      </c>
      <c r="AA124" s="293">
        <f t="shared" ref="AA124:AA126" si="340">Z124</f>
        <v>64.3</v>
      </c>
      <c r="AB124" s="293">
        <f t="shared" ref="AB124:AB126" si="341">AA124</f>
        <v>64.3</v>
      </c>
      <c r="AC124" s="293">
        <f t="shared" ref="AC124:AC126" si="342">AB124</f>
        <v>64.3</v>
      </c>
      <c r="AD124" s="293">
        <f t="shared" ref="AD124:AD126" si="343">AC124</f>
        <v>64.3</v>
      </c>
      <c r="AH124"/>
      <c r="AI124"/>
      <c r="AJ124"/>
      <c r="AK124"/>
      <c r="AL124"/>
      <c r="AM124"/>
    </row>
    <row r="125" spans="2:39" s="293" customFormat="1" outlineLevel="1">
      <c r="B125" s="295" t="s">
        <v>413</v>
      </c>
      <c r="P125" s="293">
        <f>P$105/$B$143</f>
        <v>61.61</v>
      </c>
      <c r="Q125" s="293">
        <f>P125</f>
        <v>61.61</v>
      </c>
      <c r="R125" s="293">
        <f t="shared" si="300"/>
        <v>61.61</v>
      </c>
      <c r="S125" s="293">
        <f t="shared" si="301"/>
        <v>61.61</v>
      </c>
      <c r="T125" s="293">
        <f t="shared" si="302"/>
        <v>61.61</v>
      </c>
      <c r="U125" s="293">
        <f t="shared" si="334"/>
        <v>61.61</v>
      </c>
      <c r="V125" s="293">
        <f t="shared" si="335"/>
        <v>61.61</v>
      </c>
      <c r="W125" s="293">
        <f t="shared" si="336"/>
        <v>61.61</v>
      </c>
      <c r="X125" s="293">
        <f t="shared" si="337"/>
        <v>61.61</v>
      </c>
      <c r="Y125" s="293">
        <f t="shared" si="338"/>
        <v>61.61</v>
      </c>
      <c r="Z125" s="293">
        <f t="shared" si="339"/>
        <v>61.61</v>
      </c>
      <c r="AA125" s="293">
        <f t="shared" si="340"/>
        <v>61.61</v>
      </c>
      <c r="AB125" s="293">
        <f t="shared" si="341"/>
        <v>61.61</v>
      </c>
      <c r="AC125" s="293">
        <f t="shared" si="342"/>
        <v>61.61</v>
      </c>
      <c r="AD125" s="293">
        <f t="shared" si="343"/>
        <v>61.61</v>
      </c>
      <c r="AH125"/>
      <c r="AI125"/>
      <c r="AJ125"/>
      <c r="AK125"/>
      <c r="AL125"/>
      <c r="AM125"/>
    </row>
    <row r="126" spans="2:39" s="293" customFormat="1" outlineLevel="1">
      <c r="B126" s="295" t="s">
        <v>534</v>
      </c>
      <c r="Q126" s="293">
        <f>$Q$105/$B$143</f>
        <v>86.74</v>
      </c>
      <c r="R126" s="293">
        <f t="shared" si="300"/>
        <v>86.74</v>
      </c>
      <c r="S126" s="293">
        <f t="shared" si="301"/>
        <v>86.74</v>
      </c>
      <c r="T126" s="293">
        <f t="shared" si="302"/>
        <v>86.74</v>
      </c>
      <c r="U126" s="293">
        <f t="shared" si="334"/>
        <v>86.74</v>
      </c>
      <c r="V126" s="293">
        <f t="shared" si="335"/>
        <v>86.74</v>
      </c>
      <c r="W126" s="293">
        <f t="shared" si="336"/>
        <v>86.74</v>
      </c>
      <c r="X126" s="293">
        <f t="shared" si="337"/>
        <v>86.74</v>
      </c>
      <c r="Y126" s="293">
        <f t="shared" si="338"/>
        <v>86.74</v>
      </c>
      <c r="Z126" s="293">
        <f t="shared" si="339"/>
        <v>86.74</v>
      </c>
      <c r="AA126" s="293">
        <f t="shared" si="340"/>
        <v>86.74</v>
      </c>
      <c r="AB126" s="293">
        <f t="shared" si="341"/>
        <v>86.74</v>
      </c>
      <c r="AC126" s="293">
        <f t="shared" si="342"/>
        <v>86.74</v>
      </c>
      <c r="AD126" s="293">
        <f t="shared" si="343"/>
        <v>86.74</v>
      </c>
      <c r="AH126"/>
      <c r="AI126"/>
      <c r="AJ126"/>
      <c r="AK126"/>
      <c r="AL126"/>
      <c r="AM126"/>
    </row>
    <row r="127" spans="2:39" s="293" customFormat="1" outlineLevel="1">
      <c r="B127" s="295" t="s">
        <v>535</v>
      </c>
      <c r="R127" s="293">
        <f>$R$105/$B$143</f>
        <v>45.71523430070534</v>
      </c>
      <c r="S127" s="293">
        <f t="shared" si="301"/>
        <v>45.71523430070534</v>
      </c>
      <c r="T127" s="293">
        <f t="shared" si="302"/>
        <v>45.71523430070534</v>
      </c>
      <c r="U127" s="293">
        <f t="shared" ref="U127" si="344">T127</f>
        <v>45.71523430070534</v>
      </c>
      <c r="V127" s="293">
        <f t="shared" ref="V127" si="345">U127</f>
        <v>45.71523430070534</v>
      </c>
      <c r="W127" s="293">
        <f t="shared" ref="W127" si="346">V127</f>
        <v>45.71523430070534</v>
      </c>
      <c r="X127" s="293">
        <f t="shared" ref="X127" si="347">W127</f>
        <v>45.71523430070534</v>
      </c>
      <c r="Y127" s="293">
        <f t="shared" ref="Y127" si="348">X127</f>
        <v>45.71523430070534</v>
      </c>
      <c r="Z127" s="293">
        <f t="shared" ref="Z127" si="349">Y127</f>
        <v>45.71523430070534</v>
      </c>
      <c r="AA127" s="293">
        <f t="shared" ref="AA127" si="350">Z127</f>
        <v>45.71523430070534</v>
      </c>
      <c r="AB127" s="293">
        <f t="shared" ref="AB127" si="351">AA127</f>
        <v>45.71523430070534</v>
      </c>
      <c r="AC127" s="293">
        <f t="shared" ref="AC127" si="352">AB127</f>
        <v>45.71523430070534</v>
      </c>
      <c r="AD127" s="293">
        <f t="shared" ref="AD127" si="353">AC127</f>
        <v>45.71523430070534</v>
      </c>
      <c r="AH127"/>
      <c r="AI127"/>
      <c r="AJ127"/>
      <c r="AK127"/>
      <c r="AL127"/>
      <c r="AM127"/>
    </row>
    <row r="128" spans="2:39" s="293" customFormat="1" outlineLevel="1">
      <c r="B128" s="295" t="s">
        <v>536</v>
      </c>
      <c r="S128" s="293">
        <f>$S$105/$B$143</f>
        <v>47.662803643619462</v>
      </c>
      <c r="T128" s="293">
        <f t="shared" si="302"/>
        <v>47.662803643619462</v>
      </c>
      <c r="U128" s="293">
        <f>T128</f>
        <v>47.662803643619462</v>
      </c>
      <c r="V128" s="293">
        <f t="shared" ref="V128:V130" si="354">U128</f>
        <v>47.662803643619462</v>
      </c>
      <c r="W128" s="293">
        <f t="shared" ref="W128:W131" si="355">V128</f>
        <v>47.662803643619462</v>
      </c>
      <c r="X128" s="293">
        <f t="shared" ref="X128:X132" si="356">W128</f>
        <v>47.662803643619462</v>
      </c>
      <c r="Y128" s="293">
        <f t="shared" ref="Y128:Y133" si="357">X128</f>
        <v>47.662803643619462</v>
      </c>
      <c r="Z128" s="293">
        <f t="shared" ref="Z128:Z134" si="358">Y128</f>
        <v>47.662803643619462</v>
      </c>
      <c r="AA128" s="293">
        <f t="shared" ref="AA128:AA135" si="359">Z128</f>
        <v>47.662803643619462</v>
      </c>
      <c r="AB128" s="293">
        <f t="shared" ref="AB128:AB136" si="360">AA128</f>
        <v>47.662803643619462</v>
      </c>
      <c r="AC128" s="293">
        <f t="shared" ref="AC128:AC137" si="361">AB128</f>
        <v>47.662803643619462</v>
      </c>
      <c r="AD128" s="293">
        <f t="shared" ref="AD128:AD138" si="362">AC128</f>
        <v>47.662803643619462</v>
      </c>
      <c r="AH128"/>
      <c r="AI128"/>
      <c r="AJ128"/>
      <c r="AK128"/>
      <c r="AL128"/>
      <c r="AM128"/>
    </row>
    <row r="129" spans="2:39" s="293" customFormat="1" outlineLevel="1">
      <c r="B129" s="295" t="s">
        <v>537</v>
      </c>
      <c r="T129" s="293">
        <f>$T$105/$B$143</f>
        <v>50.042188006126388</v>
      </c>
      <c r="U129" s="293">
        <f>T129</f>
        <v>50.042188006126388</v>
      </c>
      <c r="V129" s="293">
        <f t="shared" si="354"/>
        <v>50.042188006126388</v>
      </c>
      <c r="W129" s="293">
        <f t="shared" si="355"/>
        <v>50.042188006126388</v>
      </c>
      <c r="X129" s="293">
        <f t="shared" si="356"/>
        <v>50.042188006126388</v>
      </c>
      <c r="Y129" s="293">
        <f t="shared" si="357"/>
        <v>50.042188006126388</v>
      </c>
      <c r="Z129" s="293">
        <f>Y129</f>
        <v>50.042188006126388</v>
      </c>
      <c r="AA129" s="293">
        <f t="shared" si="359"/>
        <v>50.042188006126388</v>
      </c>
      <c r="AB129" s="293">
        <f t="shared" si="360"/>
        <v>50.042188006126388</v>
      </c>
      <c r="AC129" s="293">
        <f t="shared" si="361"/>
        <v>50.042188006126388</v>
      </c>
      <c r="AD129" s="293">
        <f t="shared" si="362"/>
        <v>50.042188006126388</v>
      </c>
      <c r="AH129"/>
      <c r="AI129"/>
      <c r="AJ129"/>
      <c r="AK129"/>
      <c r="AL129"/>
      <c r="AM129"/>
    </row>
    <row r="130" spans="2:39" s="293" customFormat="1" outlineLevel="1">
      <c r="B130" s="295" t="s">
        <v>704</v>
      </c>
      <c r="U130" s="293">
        <f>$T$105/$B$143</f>
        <v>50.042188006126388</v>
      </c>
      <c r="V130" s="293">
        <f t="shared" si="354"/>
        <v>50.042188006126388</v>
      </c>
      <c r="W130" s="293">
        <f t="shared" si="355"/>
        <v>50.042188006126388</v>
      </c>
      <c r="X130" s="293">
        <f t="shared" si="356"/>
        <v>50.042188006126388</v>
      </c>
      <c r="Y130" s="293">
        <f t="shared" si="357"/>
        <v>50.042188006126388</v>
      </c>
      <c r="Z130" s="293">
        <f>Y130</f>
        <v>50.042188006126388</v>
      </c>
      <c r="AA130" s="293">
        <f t="shared" si="359"/>
        <v>50.042188006126388</v>
      </c>
      <c r="AB130" s="293">
        <f t="shared" si="360"/>
        <v>50.042188006126388</v>
      </c>
      <c r="AC130" s="293">
        <f t="shared" si="361"/>
        <v>50.042188006126388</v>
      </c>
      <c r="AD130" s="293">
        <f t="shared" si="362"/>
        <v>50.042188006126388</v>
      </c>
      <c r="AH130"/>
      <c r="AI130"/>
      <c r="AJ130"/>
      <c r="AK130"/>
      <c r="AL130"/>
      <c r="AM130"/>
    </row>
    <row r="131" spans="2:39" s="293" customFormat="1" outlineLevel="1">
      <c r="B131" s="295" t="s">
        <v>705</v>
      </c>
      <c r="V131" s="293">
        <f>$T$105/$B$143</f>
        <v>50.042188006126388</v>
      </c>
      <c r="W131" s="293">
        <f t="shared" si="355"/>
        <v>50.042188006126388</v>
      </c>
      <c r="X131" s="293">
        <f t="shared" si="356"/>
        <v>50.042188006126388</v>
      </c>
      <c r="Y131" s="293">
        <f t="shared" si="357"/>
        <v>50.042188006126388</v>
      </c>
      <c r="Z131" s="293">
        <f>Y131</f>
        <v>50.042188006126388</v>
      </c>
      <c r="AA131" s="293">
        <f t="shared" si="359"/>
        <v>50.042188006126388</v>
      </c>
      <c r="AB131" s="293">
        <f t="shared" si="360"/>
        <v>50.042188006126388</v>
      </c>
      <c r="AC131" s="293">
        <f t="shared" si="361"/>
        <v>50.042188006126388</v>
      </c>
      <c r="AD131" s="293">
        <f t="shared" si="362"/>
        <v>50.042188006126388</v>
      </c>
      <c r="AH131"/>
      <c r="AI131"/>
      <c r="AJ131"/>
      <c r="AK131"/>
      <c r="AL131"/>
      <c r="AM131"/>
    </row>
    <row r="132" spans="2:39" s="293" customFormat="1" outlineLevel="1">
      <c r="B132" s="295" t="s">
        <v>706</v>
      </c>
      <c r="W132" s="293">
        <f>$T$105/$B$143</f>
        <v>50.042188006126388</v>
      </c>
      <c r="X132" s="293">
        <f t="shared" si="356"/>
        <v>50.042188006126388</v>
      </c>
      <c r="Y132" s="293">
        <f t="shared" si="357"/>
        <v>50.042188006126388</v>
      </c>
      <c r="Z132" s="293">
        <f>Y132</f>
        <v>50.042188006126388</v>
      </c>
      <c r="AA132" s="293">
        <f t="shared" si="359"/>
        <v>50.042188006126388</v>
      </c>
      <c r="AB132" s="293">
        <f t="shared" si="360"/>
        <v>50.042188006126388</v>
      </c>
      <c r="AC132" s="293">
        <f t="shared" si="361"/>
        <v>50.042188006126388</v>
      </c>
      <c r="AD132" s="293">
        <f t="shared" si="362"/>
        <v>50.042188006126388</v>
      </c>
      <c r="AH132"/>
      <c r="AI132"/>
      <c r="AJ132"/>
      <c r="AK132"/>
      <c r="AL132"/>
      <c r="AM132"/>
    </row>
    <row r="133" spans="2:39" s="293" customFormat="1" outlineLevel="1">
      <c r="B133" s="295" t="s">
        <v>707</v>
      </c>
      <c r="X133" s="293">
        <f>$T$105/$B$143</f>
        <v>50.042188006126388</v>
      </c>
      <c r="Y133" s="293">
        <f t="shared" si="357"/>
        <v>50.042188006126388</v>
      </c>
      <c r="Z133" s="293">
        <f>Y133</f>
        <v>50.042188006126388</v>
      </c>
      <c r="AA133" s="293">
        <f t="shared" si="359"/>
        <v>50.042188006126388</v>
      </c>
      <c r="AB133" s="293">
        <f t="shared" si="360"/>
        <v>50.042188006126388</v>
      </c>
      <c r="AC133" s="293">
        <f t="shared" si="361"/>
        <v>50.042188006126388</v>
      </c>
      <c r="AD133" s="293">
        <f t="shared" si="362"/>
        <v>50.042188006126388</v>
      </c>
      <c r="AH133"/>
      <c r="AI133"/>
      <c r="AJ133"/>
      <c r="AK133"/>
      <c r="AL133"/>
      <c r="AM133"/>
    </row>
    <row r="134" spans="2:39" s="293" customFormat="1" outlineLevel="1">
      <c r="B134" s="295" t="s">
        <v>708</v>
      </c>
      <c r="Y134" s="293">
        <f>$T$105/$B$143</f>
        <v>50.042188006126388</v>
      </c>
      <c r="Z134" s="293">
        <f t="shared" si="358"/>
        <v>50.042188006126388</v>
      </c>
      <c r="AA134" s="293">
        <f t="shared" si="359"/>
        <v>50.042188006126388</v>
      </c>
      <c r="AB134" s="293">
        <f t="shared" si="360"/>
        <v>50.042188006126388</v>
      </c>
      <c r="AC134" s="293">
        <f t="shared" si="361"/>
        <v>50.042188006126388</v>
      </c>
      <c r="AD134" s="293">
        <f t="shared" si="362"/>
        <v>50.042188006126388</v>
      </c>
      <c r="AH134"/>
      <c r="AI134"/>
      <c r="AJ134"/>
      <c r="AK134"/>
      <c r="AL134"/>
      <c r="AM134"/>
    </row>
    <row r="135" spans="2:39" s="293" customFormat="1" outlineLevel="1">
      <c r="B135" s="295" t="s">
        <v>709</v>
      </c>
      <c r="Z135" s="293">
        <f>$T$105/$B$143</f>
        <v>50.042188006126388</v>
      </c>
      <c r="AA135" s="293">
        <f t="shared" si="359"/>
        <v>50.042188006126388</v>
      </c>
      <c r="AB135" s="293">
        <f t="shared" si="360"/>
        <v>50.042188006126388</v>
      </c>
      <c r="AC135" s="293">
        <f t="shared" si="361"/>
        <v>50.042188006126388</v>
      </c>
      <c r="AD135" s="293">
        <f t="shared" si="362"/>
        <v>50.042188006126388</v>
      </c>
      <c r="AH135"/>
      <c r="AI135"/>
      <c r="AJ135"/>
      <c r="AK135"/>
      <c r="AL135"/>
      <c r="AM135"/>
    </row>
    <row r="136" spans="2:39" s="293" customFormat="1" outlineLevel="1">
      <c r="B136" s="295" t="s">
        <v>710</v>
      </c>
      <c r="AA136" s="293">
        <f>$T$105/$B$143</f>
        <v>50.042188006126388</v>
      </c>
      <c r="AB136" s="293">
        <f t="shared" si="360"/>
        <v>50.042188006126388</v>
      </c>
      <c r="AC136" s="293">
        <f t="shared" si="361"/>
        <v>50.042188006126388</v>
      </c>
      <c r="AD136" s="293">
        <f t="shared" si="362"/>
        <v>50.042188006126388</v>
      </c>
      <c r="AH136"/>
      <c r="AI136"/>
      <c r="AJ136"/>
      <c r="AK136"/>
      <c r="AL136"/>
      <c r="AM136"/>
    </row>
    <row r="137" spans="2:39" s="293" customFormat="1" outlineLevel="1">
      <c r="B137" s="295" t="s">
        <v>711</v>
      </c>
      <c r="AB137" s="293">
        <f>$T$105/$B$143</f>
        <v>50.042188006126388</v>
      </c>
      <c r="AC137" s="293">
        <f t="shared" si="361"/>
        <v>50.042188006126388</v>
      </c>
      <c r="AD137" s="293">
        <f t="shared" si="362"/>
        <v>50.042188006126388</v>
      </c>
      <c r="AH137"/>
      <c r="AI137"/>
      <c r="AJ137"/>
      <c r="AK137"/>
      <c r="AL137"/>
      <c r="AM137"/>
    </row>
    <row r="138" spans="2:39" s="293" customFormat="1" outlineLevel="1">
      <c r="B138" s="295" t="s">
        <v>712</v>
      </c>
      <c r="AC138" s="293">
        <f>$T$105/$B$143</f>
        <v>50.042188006126388</v>
      </c>
      <c r="AD138" s="293">
        <f t="shared" si="362"/>
        <v>50.042188006126388</v>
      </c>
      <c r="AH138"/>
      <c r="AI138"/>
      <c r="AJ138"/>
      <c r="AK138"/>
      <c r="AL138"/>
      <c r="AM138"/>
    </row>
    <row r="139" spans="2:39" s="293" customFormat="1" outlineLevel="1">
      <c r="B139" s="295" t="s">
        <v>713</v>
      </c>
      <c r="AD139" s="293">
        <f>$T$105/$B$143</f>
        <v>50.042188006126388</v>
      </c>
      <c r="AH139"/>
      <c r="AI139"/>
      <c r="AJ139"/>
      <c r="AK139"/>
      <c r="AL139"/>
      <c r="AM139"/>
    </row>
    <row r="140" spans="2:39" s="293" customFormat="1" outlineLevel="1">
      <c r="B140" s="295"/>
      <c r="AH140"/>
      <c r="AI140"/>
      <c r="AJ140"/>
      <c r="AK140"/>
      <c r="AL140"/>
      <c r="AM140"/>
    </row>
    <row r="141" spans="2:39" s="293" customFormat="1" outlineLevel="1">
      <c r="B141" s="294" t="s">
        <v>414</v>
      </c>
      <c r="C141" s="293">
        <f>CF!C5</f>
        <v>28.107999999999997</v>
      </c>
      <c r="D141" s="293">
        <f>CF!D5</f>
        <v>92</v>
      </c>
      <c r="E141" s="293">
        <f>CF!E5</f>
        <v>135.80000000000001</v>
      </c>
      <c r="F141" s="293">
        <f>CF!F5</f>
        <v>108.4</v>
      </c>
      <c r="G141" s="293">
        <f>CF!G5</f>
        <v>122.6</v>
      </c>
      <c r="H141" s="293">
        <f>CF!H5</f>
        <v>129.1</v>
      </c>
      <c r="I141" s="293">
        <f>CF!I5</f>
        <v>137.9</v>
      </c>
      <c r="J141" s="293">
        <f>CF!J5</f>
        <v>144.9</v>
      </c>
      <c r="K141" s="293">
        <f>CF!K5</f>
        <v>143.9</v>
      </c>
      <c r="L141" s="293">
        <f>CF!L5</f>
        <v>164.3</v>
      </c>
      <c r="M141" s="293">
        <f>CF!M5</f>
        <v>188.79200000000003</v>
      </c>
      <c r="N141" s="293">
        <f t="shared" ref="N141:S141" si="363">SUM(N112:N129)</f>
        <v>216.58703464056697</v>
      </c>
      <c r="O141" s="293">
        <f t="shared" si="363"/>
        <v>280.0049758170772</v>
      </c>
      <c r="P141" s="293">
        <f t="shared" si="363"/>
        <v>340.8211228759364</v>
      </c>
      <c r="Q141" s="293">
        <f t="shared" si="363"/>
        <v>426.8466552289097</v>
      </c>
      <c r="R141" s="293">
        <f t="shared" si="363"/>
        <v>471.91886864729099</v>
      </c>
      <c r="S141" s="293">
        <f t="shared" si="363"/>
        <v>519.0029534968188</v>
      </c>
      <c r="T141" s="293">
        <f>SUM(T112:T139)</f>
        <v>568.52429458826271</v>
      </c>
      <c r="U141" s="293">
        <f t="shared" ref="U141:AA141" si="364">SUM(U112:U139)</f>
        <v>618.09772037117489</v>
      </c>
      <c r="V141" s="293">
        <f t="shared" si="364"/>
        <v>667.71802237640838</v>
      </c>
      <c r="W141" s="293">
        <f t="shared" si="364"/>
        <v>717.38051298173127</v>
      </c>
      <c r="X141" s="293">
        <f t="shared" si="364"/>
        <v>767.08097332713442</v>
      </c>
      <c r="Y141" s="293">
        <f t="shared" si="364"/>
        <v>816.81560643860996</v>
      </c>
      <c r="Z141" s="293">
        <f t="shared" si="364"/>
        <v>866.58099503955054</v>
      </c>
      <c r="AA141" s="293">
        <f t="shared" si="364"/>
        <v>916.37406358100975</v>
      </c>
      <c r="AB141" s="293">
        <f>SUM(AB112:AB139)</f>
        <v>966.19204406893562</v>
      </c>
      <c r="AC141" s="293">
        <f>SUM(AC112:AC139)</f>
        <v>1016.0324453086815</v>
      </c>
      <c r="AD141" s="293">
        <f>SUM(AD112:AD139)</f>
        <v>1065.8930252250657</v>
      </c>
      <c r="AH141"/>
      <c r="AI141"/>
      <c r="AJ141"/>
      <c r="AK141"/>
      <c r="AL141"/>
      <c r="AM141"/>
    </row>
    <row r="142" spans="2:39" s="293" customFormat="1" outlineLevel="1">
      <c r="B142" s="294" t="s">
        <v>415</v>
      </c>
      <c r="C142" s="293">
        <f t="shared" ref="C142:P142" si="365">+C141+C160</f>
        <v>61.308</v>
      </c>
      <c r="D142" s="293">
        <f t="shared" si="365"/>
        <v>439.7</v>
      </c>
      <c r="E142" s="293">
        <f t="shared" si="365"/>
        <v>438.1</v>
      </c>
      <c r="F142" s="293">
        <f t="shared" si="365"/>
        <v>375.4</v>
      </c>
      <c r="G142" s="293">
        <f t="shared" si="365"/>
        <v>380.1</v>
      </c>
      <c r="H142" s="293">
        <f t="shared" si="365"/>
        <v>461.79999999999995</v>
      </c>
      <c r="I142" s="293">
        <f t="shared" si="365"/>
        <v>427.70000000000005</v>
      </c>
      <c r="J142" s="293">
        <f t="shared" si="365"/>
        <v>353.8</v>
      </c>
      <c r="K142" s="293">
        <f t="shared" si="365"/>
        <v>352.46600000000001</v>
      </c>
      <c r="L142" s="293">
        <f t="shared" si="365"/>
        <v>366.50400000000002</v>
      </c>
      <c r="M142" s="293">
        <f t="shared" si="365"/>
        <v>531.69200000000001</v>
      </c>
      <c r="N142" s="293">
        <f t="shared" si="365"/>
        <v>706.38703464056698</v>
      </c>
      <c r="O142" s="293">
        <f t="shared" si="365"/>
        <v>662.60497581707727</v>
      </c>
      <c r="P142" s="293">
        <f t="shared" si="365"/>
        <v>663.52112287593638</v>
      </c>
      <c r="Q142" s="293">
        <f>+Q141+Q160</f>
        <v>754.34665522890964</v>
      </c>
      <c r="R142" s="293">
        <f>+R141+R160</f>
        <v>802.11886864729104</v>
      </c>
      <c r="S142" s="293">
        <f>+S141+S160</f>
        <v>874.20295349681874</v>
      </c>
      <c r="T142" s="293">
        <f>+T141+T160</f>
        <v>948.72429458826264</v>
      </c>
      <c r="U142" s="293">
        <f t="shared" ref="U142:AD142" si="366">+U141+U160</f>
        <v>1023.2977203711748</v>
      </c>
      <c r="V142" s="293">
        <f t="shared" si="366"/>
        <v>1097.9180223764083</v>
      </c>
      <c r="W142" s="293">
        <f t="shared" si="366"/>
        <v>1172.5805129817313</v>
      </c>
      <c r="X142" s="293">
        <f t="shared" si="366"/>
        <v>1247.2809733271345</v>
      </c>
      <c r="Y142" s="293">
        <f t="shared" si="366"/>
        <v>1322.0156064386099</v>
      </c>
      <c r="Z142" s="293">
        <f t="shared" si="366"/>
        <v>1396.7809950395506</v>
      </c>
      <c r="AA142" s="293">
        <f t="shared" si="366"/>
        <v>1471.5740635810098</v>
      </c>
      <c r="AB142" s="293">
        <f>+AB141+AB160</f>
        <v>1546.3920440689358</v>
      </c>
      <c r="AC142" s="293">
        <f t="shared" si="366"/>
        <v>1621.2324453086817</v>
      </c>
      <c r="AD142" s="293">
        <f t="shared" si="366"/>
        <v>1696.0930252250657</v>
      </c>
      <c r="AH142"/>
      <c r="AI142"/>
      <c r="AJ142"/>
      <c r="AK142"/>
      <c r="AL142"/>
      <c r="AM142"/>
    </row>
    <row r="143" spans="2:39" outlineLevel="1">
      <c r="B143" s="82">
        <v>10</v>
      </c>
    </row>
    <row r="144" spans="2:39" outlineLevel="1">
      <c r="B144" s="9" t="s">
        <v>498</v>
      </c>
      <c r="C144" s="71">
        <f t="shared" ref="C144:P144" si="367">C141/C47</f>
        <v>2.6962110311750595E-2</v>
      </c>
      <c r="D144" s="71">
        <f t="shared" si="367"/>
        <v>7.3379860418743767E-2</v>
      </c>
      <c r="E144" s="71">
        <f t="shared" si="367"/>
        <v>0.10005592227172624</v>
      </c>
      <c r="F144" s="71">
        <f t="shared" si="367"/>
        <v>8.0126724406201111E-2</v>
      </c>
      <c r="G144" s="71">
        <f t="shared" si="367"/>
        <v>7.3679345804333857E-2</v>
      </c>
      <c r="H144" s="71">
        <f t="shared" si="367"/>
        <v>6.5835000456408416E-2</v>
      </c>
      <c r="I144" s="71">
        <f t="shared" si="367"/>
        <v>6.4017395647931255E-2</v>
      </c>
      <c r="J144" s="71">
        <f t="shared" si="367"/>
        <v>6.4839641587582306E-2</v>
      </c>
      <c r="K144" s="71">
        <f t="shared" si="367"/>
        <v>6.3576020839150468E-2</v>
      </c>
      <c r="L144" s="71">
        <f t="shared" si="367"/>
        <v>6.3090731614408507E-2</v>
      </c>
      <c r="M144" s="71">
        <f t="shared" si="367"/>
        <v>6.0525698223008184E-2</v>
      </c>
      <c r="N144" s="71">
        <f t="shared" si="367"/>
        <v>5.3105049999354399E-2</v>
      </c>
      <c r="O144" s="71">
        <f t="shared" si="367"/>
        <v>6.7864808872360738E-2</v>
      </c>
      <c r="P144" s="71">
        <f t="shared" si="367"/>
        <v>8.6917556583682637E-2</v>
      </c>
      <c r="Q144" s="71">
        <f>Q141/Q47</f>
        <v>0.10234412813889987</v>
      </c>
      <c r="R144" s="71">
        <f>R141/R47</f>
        <v>0.10545673042397564</v>
      </c>
      <c r="S144" s="71">
        <f>S141/S47</f>
        <v>0.12055817735117742</v>
      </c>
      <c r="T144" s="71">
        <f>T141/T47</f>
        <v>0.12577275473442015</v>
      </c>
      <c r="U144" s="71">
        <f t="shared" ref="U144:AD144" si="368">U141/U47</f>
        <v>0.13340460510276653</v>
      </c>
      <c r="V144" s="71">
        <f t="shared" si="368"/>
        <v>0.14059922046241102</v>
      </c>
      <c r="W144" s="71">
        <f t="shared" si="368"/>
        <v>0.14737218555614026</v>
      </c>
      <c r="X144" s="71">
        <f t="shared" si="368"/>
        <v>0.15373873179566203</v>
      </c>
      <c r="Y144" s="71">
        <f t="shared" si="368"/>
        <v>0.15971372732418196</v>
      </c>
      <c r="Z144" s="71">
        <f t="shared" si="368"/>
        <v>0.16745339993845726</v>
      </c>
      <c r="AA144" s="71">
        <f t="shared" si="368"/>
        <v>0.17496777903195607</v>
      </c>
      <c r="AB144" s="71">
        <f t="shared" si="368"/>
        <v>0.18447976954788922</v>
      </c>
      <c r="AC144" s="71">
        <f t="shared" si="368"/>
        <v>0.19399604096755604</v>
      </c>
      <c r="AD144" s="71">
        <f t="shared" si="368"/>
        <v>0.20351616520058313</v>
      </c>
    </row>
    <row r="145" spans="2:39" outlineLevel="1">
      <c r="B145" s="9" t="s">
        <v>416</v>
      </c>
      <c r="C145" s="71">
        <f t="shared" ref="C145:P145" si="369">C160/C47</f>
        <v>3.1846522781774585E-2</v>
      </c>
      <c r="D145" s="71">
        <f t="shared" si="369"/>
        <v>0.27732801595214357</v>
      </c>
      <c r="E145" s="71">
        <f t="shared" si="369"/>
        <v>0.22273126143404154</v>
      </c>
      <c r="F145" s="71">
        <f t="shared" si="369"/>
        <v>0.19736010531785694</v>
      </c>
      <c r="G145" s="71">
        <f t="shared" si="369"/>
        <v>0.15475066512737334</v>
      </c>
      <c r="H145" s="71">
        <f t="shared" si="369"/>
        <v>0.16966153874397427</v>
      </c>
      <c r="I145" s="71">
        <f t="shared" si="369"/>
        <v>0.13453401928042405</v>
      </c>
      <c r="J145" s="71">
        <f t="shared" si="369"/>
        <v>9.3478268651800853E-2</v>
      </c>
      <c r="K145" s="71">
        <f t="shared" si="369"/>
        <v>9.2145909397764111E-2</v>
      </c>
      <c r="L145" s="71">
        <f t="shared" si="369"/>
        <v>7.7645759557881056E-2</v>
      </c>
      <c r="M145" s="71">
        <f t="shared" si="369"/>
        <v>0.10993189288036305</v>
      </c>
      <c r="N145" s="71">
        <f t="shared" si="369"/>
        <v>0.12009423155383987</v>
      </c>
      <c r="O145" s="71">
        <f t="shared" si="369"/>
        <v>9.2730765940130258E-2</v>
      </c>
      <c r="P145" s="71">
        <f t="shared" si="369"/>
        <v>8.2296235846169533E-2</v>
      </c>
      <c r="Q145" s="71">
        <f>Q160/Q47</f>
        <v>7.8523988778862061E-2</v>
      </c>
      <c r="R145" s="71">
        <f>R160/R47</f>
        <v>7.3787709497206699E-2</v>
      </c>
      <c r="S145" s="71">
        <f>S160/S47</f>
        <v>8.2508710801393728E-2</v>
      </c>
      <c r="T145" s="71">
        <f>T160/T47</f>
        <v>8.41103921243294E-2</v>
      </c>
      <c r="U145" s="71">
        <f t="shared" ref="U145:AD145" si="370">U160/U47</f>
        <v>8.7454692366734532E-2</v>
      </c>
      <c r="V145" s="71">
        <f t="shared" si="370"/>
        <v>9.0585820085640811E-2</v>
      </c>
      <c r="W145" s="71">
        <f t="shared" si="370"/>
        <v>9.3512184470033677E-2</v>
      </c>
      <c r="X145" s="71">
        <f t="shared" si="370"/>
        <v>9.6241911317480777E-2</v>
      </c>
      <c r="Y145" s="71">
        <f t="shared" si="370"/>
        <v>9.8782851855611559E-2</v>
      </c>
      <c r="Z145" s="71">
        <f t="shared" si="370"/>
        <v>0.1024529653380155</v>
      </c>
      <c r="AA145" s="71">
        <f t="shared" si="370"/>
        <v>0.10600704971824468</v>
      </c>
      <c r="AB145" s="71">
        <f t="shared" si="370"/>
        <v>0.11078042191377083</v>
      </c>
      <c r="AC145" s="71">
        <f t="shared" si="370"/>
        <v>0.11555379410929698</v>
      </c>
      <c r="AD145" s="71">
        <f t="shared" si="370"/>
        <v>0.12032716630482312</v>
      </c>
    </row>
    <row r="147" spans="2:39">
      <c r="B147" s="4" t="s">
        <v>417</v>
      </c>
    </row>
    <row r="148" spans="2:39" outlineLevel="1">
      <c r="B148" s="1" t="s">
        <v>418</v>
      </c>
      <c r="C148" s="3"/>
      <c r="D148" s="3"/>
      <c r="E148" s="3"/>
      <c r="F148" s="3"/>
      <c r="G148" s="3"/>
      <c r="H148" s="3"/>
      <c r="I148" s="3"/>
      <c r="J148" s="3"/>
      <c r="K148" s="3"/>
      <c r="L148" s="3"/>
      <c r="M148" s="279">
        <v>3278.0909999999999</v>
      </c>
      <c r="N148" s="279">
        <v>3583.15</v>
      </c>
      <c r="O148" s="279">
        <v>6864.9</v>
      </c>
      <c r="P148" s="3">
        <v>0</v>
      </c>
      <c r="Q148" s="3">
        <v>0</v>
      </c>
      <c r="R148" s="3">
        <v>0</v>
      </c>
      <c r="S148" s="3">
        <v>0</v>
      </c>
      <c r="T148" s="3">
        <v>0</v>
      </c>
      <c r="U148" s="3">
        <v>0</v>
      </c>
      <c r="V148" s="3">
        <v>0</v>
      </c>
      <c r="W148" s="3">
        <v>0</v>
      </c>
      <c r="X148" s="3">
        <v>0</v>
      </c>
      <c r="Y148" s="3">
        <v>0</v>
      </c>
      <c r="Z148" s="3">
        <v>0</v>
      </c>
      <c r="AA148" s="3">
        <v>0</v>
      </c>
      <c r="AB148" s="3">
        <v>0</v>
      </c>
      <c r="AC148" s="3">
        <v>0</v>
      </c>
      <c r="AD148" s="3">
        <v>0</v>
      </c>
    </row>
    <row r="149" spans="2:39" outlineLevel="1">
      <c r="B149" s="9" t="s">
        <v>419</v>
      </c>
      <c r="C149" s="3"/>
      <c r="D149" s="3"/>
      <c r="E149" s="3"/>
      <c r="F149" s="3"/>
      <c r="G149" s="3"/>
      <c r="H149" s="3"/>
      <c r="I149" s="3"/>
      <c r="J149" s="3"/>
      <c r="K149" s="3"/>
      <c r="L149" s="3"/>
      <c r="M149" s="3">
        <f t="shared" ref="M149:AD149" si="371">+M150*M148</f>
        <v>0</v>
      </c>
      <c r="N149" s="3">
        <f t="shared" si="371"/>
        <v>2687.3625000000002</v>
      </c>
      <c r="O149" s="3">
        <f t="shared" si="371"/>
        <v>5148.6749999999993</v>
      </c>
      <c r="P149" s="3">
        <f t="shared" si="371"/>
        <v>0</v>
      </c>
      <c r="Q149" s="3">
        <f t="shared" si="371"/>
        <v>0</v>
      </c>
      <c r="R149" s="3">
        <f t="shared" si="371"/>
        <v>0</v>
      </c>
      <c r="S149" s="3">
        <f t="shared" si="371"/>
        <v>0</v>
      </c>
      <c r="T149" s="3">
        <f t="shared" si="371"/>
        <v>0</v>
      </c>
      <c r="U149" s="3">
        <f t="shared" si="371"/>
        <v>0</v>
      </c>
      <c r="V149" s="3">
        <f t="shared" si="371"/>
        <v>0</v>
      </c>
      <c r="W149" s="3">
        <f t="shared" si="371"/>
        <v>0</v>
      </c>
      <c r="X149" s="3">
        <f t="shared" si="371"/>
        <v>0</v>
      </c>
      <c r="Y149" s="3">
        <f t="shared" si="371"/>
        <v>0</v>
      </c>
      <c r="Z149" s="3">
        <f t="shared" si="371"/>
        <v>0</v>
      </c>
      <c r="AA149" s="3">
        <f t="shared" si="371"/>
        <v>0</v>
      </c>
      <c r="AB149" s="3">
        <f t="shared" si="371"/>
        <v>0</v>
      </c>
      <c r="AC149" s="3">
        <f t="shared" si="371"/>
        <v>0</v>
      </c>
      <c r="AD149" s="3">
        <f t="shared" si="371"/>
        <v>0</v>
      </c>
    </row>
    <row r="150" spans="2:39" outlineLevel="1">
      <c r="B150" s="9" t="s">
        <v>420</v>
      </c>
      <c r="C150" s="71"/>
      <c r="D150" s="71"/>
      <c r="E150" s="71"/>
      <c r="F150" s="71"/>
      <c r="G150" s="71"/>
      <c r="H150" s="71"/>
      <c r="I150" s="71"/>
      <c r="J150" s="71"/>
      <c r="K150" s="71"/>
      <c r="L150" s="71"/>
      <c r="M150" s="71">
        <f t="shared" ref="M150:AD150" si="372">1-M156</f>
        <v>0</v>
      </c>
      <c r="N150" s="71">
        <f t="shared" si="372"/>
        <v>0.75</v>
      </c>
      <c r="O150" s="71">
        <f t="shared" si="372"/>
        <v>0.75</v>
      </c>
      <c r="P150" s="71">
        <f t="shared" si="372"/>
        <v>0.75</v>
      </c>
      <c r="Q150" s="71">
        <f t="shared" si="372"/>
        <v>0.75</v>
      </c>
      <c r="R150" s="71">
        <f t="shared" si="372"/>
        <v>0.75</v>
      </c>
      <c r="S150" s="71">
        <f t="shared" si="372"/>
        <v>0.75</v>
      </c>
      <c r="T150" s="71">
        <f t="shared" si="372"/>
        <v>0.75</v>
      </c>
      <c r="U150" s="71">
        <f t="shared" si="372"/>
        <v>0.75</v>
      </c>
      <c r="V150" s="71">
        <f t="shared" si="372"/>
        <v>0.75</v>
      </c>
      <c r="W150" s="71">
        <f t="shared" si="372"/>
        <v>0.75</v>
      </c>
      <c r="X150" s="71">
        <f t="shared" si="372"/>
        <v>0.75</v>
      </c>
      <c r="Y150" s="71">
        <f t="shared" si="372"/>
        <v>0.75</v>
      </c>
      <c r="Z150" s="71">
        <f t="shared" si="372"/>
        <v>0.75</v>
      </c>
      <c r="AA150" s="71">
        <f t="shared" si="372"/>
        <v>0.75</v>
      </c>
      <c r="AB150" s="71">
        <f t="shared" si="372"/>
        <v>0.75</v>
      </c>
      <c r="AC150" s="71">
        <f t="shared" si="372"/>
        <v>0.75</v>
      </c>
      <c r="AD150" s="71">
        <f t="shared" si="372"/>
        <v>0.75</v>
      </c>
    </row>
    <row r="151" spans="2:39" outlineLevel="1">
      <c r="B151" s="9"/>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2:39" outlineLevel="1">
      <c r="B152" s="9" t="s">
        <v>421</v>
      </c>
      <c r="C152" s="3"/>
      <c r="D152" s="3"/>
      <c r="E152" s="3"/>
      <c r="F152" s="3"/>
      <c r="G152" s="3"/>
      <c r="H152" s="3"/>
      <c r="I152" s="3"/>
      <c r="J152" s="3"/>
      <c r="K152" s="3"/>
      <c r="L152" s="3"/>
      <c r="M152" s="3">
        <f t="shared" ref="M152:T152" si="373">+M153*M148</f>
        <v>0</v>
      </c>
      <c r="N152" s="3">
        <f t="shared" si="373"/>
        <v>0</v>
      </c>
      <c r="O152" s="3">
        <f t="shared" si="373"/>
        <v>0</v>
      </c>
      <c r="P152" s="3">
        <f t="shared" si="373"/>
        <v>0</v>
      </c>
      <c r="Q152" s="3">
        <f t="shared" si="373"/>
        <v>0</v>
      </c>
      <c r="R152" s="3">
        <f t="shared" si="373"/>
        <v>0</v>
      </c>
      <c r="S152" s="3">
        <f t="shared" si="373"/>
        <v>0</v>
      </c>
      <c r="T152" s="3">
        <f t="shared" si="373"/>
        <v>0</v>
      </c>
      <c r="U152" s="3">
        <f t="shared" ref="U152:AD152" si="374">+U153*U148</f>
        <v>0</v>
      </c>
      <c r="V152" s="3">
        <f t="shared" si="374"/>
        <v>0</v>
      </c>
      <c r="W152" s="3">
        <f t="shared" si="374"/>
        <v>0</v>
      </c>
      <c r="X152" s="3">
        <f t="shared" si="374"/>
        <v>0</v>
      </c>
      <c r="Y152" s="3">
        <f t="shared" si="374"/>
        <v>0</v>
      </c>
      <c r="Z152" s="3">
        <f t="shared" si="374"/>
        <v>0</v>
      </c>
      <c r="AA152" s="3">
        <f t="shared" si="374"/>
        <v>0</v>
      </c>
      <c r="AB152" s="3">
        <f t="shared" si="374"/>
        <v>0</v>
      </c>
      <c r="AC152" s="3">
        <f t="shared" si="374"/>
        <v>0</v>
      </c>
      <c r="AD152" s="3">
        <f t="shared" si="374"/>
        <v>0</v>
      </c>
    </row>
    <row r="153" spans="2:39" outlineLevel="1">
      <c r="B153" s="9" t="s">
        <v>420</v>
      </c>
      <c r="C153" s="71"/>
      <c r="D153" s="71"/>
      <c r="E153" s="71"/>
      <c r="F153" s="71"/>
      <c r="G153" s="71"/>
      <c r="H153" s="71"/>
      <c r="I153" s="71"/>
      <c r="J153" s="71"/>
      <c r="K153" s="71"/>
      <c r="L153" s="71"/>
      <c r="M153" s="71">
        <v>0</v>
      </c>
      <c r="N153" s="71">
        <v>0</v>
      </c>
      <c r="O153" s="71">
        <v>0</v>
      </c>
      <c r="P153" s="71">
        <v>0</v>
      </c>
      <c r="Q153" s="71">
        <v>0</v>
      </c>
      <c r="R153" s="71">
        <v>0</v>
      </c>
      <c r="S153" s="71">
        <v>0</v>
      </c>
      <c r="T153" s="71">
        <v>0</v>
      </c>
      <c r="U153" s="71">
        <v>0</v>
      </c>
      <c r="V153" s="71">
        <v>0</v>
      </c>
      <c r="W153" s="71">
        <v>0</v>
      </c>
      <c r="X153" s="71">
        <v>0</v>
      </c>
      <c r="Y153" s="71">
        <v>0</v>
      </c>
      <c r="Z153" s="71">
        <v>0</v>
      </c>
      <c r="AA153" s="71">
        <v>0</v>
      </c>
      <c r="AB153" s="71">
        <v>0</v>
      </c>
      <c r="AC153" s="71">
        <v>0</v>
      </c>
      <c r="AD153" s="71">
        <v>0</v>
      </c>
    </row>
    <row r="154" spans="2:39" outlineLevel="1">
      <c r="B154" s="9"/>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2:39" outlineLevel="1">
      <c r="B155" s="9" t="s">
        <v>422</v>
      </c>
      <c r="C155" s="3"/>
      <c r="D155" s="3"/>
      <c r="E155" s="3"/>
      <c r="F155" s="3"/>
      <c r="G155" s="3"/>
      <c r="H155" s="3"/>
      <c r="I155" s="3"/>
      <c r="J155" s="3"/>
      <c r="K155" s="3"/>
      <c r="L155" s="3"/>
      <c r="M155" s="3">
        <f t="shared" ref="M155:T155" si="375">+M156*M148</f>
        <v>3278.0909999999999</v>
      </c>
      <c r="N155" s="3">
        <f t="shared" si="375"/>
        <v>895.78750000000002</v>
      </c>
      <c r="O155" s="3">
        <f t="shared" si="375"/>
        <v>1716.2249999999999</v>
      </c>
      <c r="P155" s="3">
        <f t="shared" si="375"/>
        <v>0</v>
      </c>
      <c r="Q155" s="3">
        <f t="shared" si="375"/>
        <v>0</v>
      </c>
      <c r="R155" s="3">
        <f t="shared" si="375"/>
        <v>0</v>
      </c>
      <c r="S155" s="3">
        <f t="shared" si="375"/>
        <v>0</v>
      </c>
      <c r="T155" s="3">
        <f t="shared" si="375"/>
        <v>0</v>
      </c>
      <c r="U155" s="3">
        <f t="shared" ref="U155:AD155" si="376">+U156*U148</f>
        <v>0</v>
      </c>
      <c r="V155" s="3">
        <f t="shared" si="376"/>
        <v>0</v>
      </c>
      <c r="W155" s="3">
        <f t="shared" si="376"/>
        <v>0</v>
      </c>
      <c r="X155" s="3">
        <f t="shared" si="376"/>
        <v>0</v>
      </c>
      <c r="Y155" s="3">
        <f t="shared" si="376"/>
        <v>0</v>
      </c>
      <c r="Z155" s="3">
        <f t="shared" si="376"/>
        <v>0</v>
      </c>
      <c r="AA155" s="3">
        <f t="shared" si="376"/>
        <v>0</v>
      </c>
      <c r="AB155" s="3">
        <f t="shared" si="376"/>
        <v>0</v>
      </c>
      <c r="AC155" s="3">
        <f t="shared" si="376"/>
        <v>0</v>
      </c>
      <c r="AD155" s="3">
        <f t="shared" si="376"/>
        <v>0</v>
      </c>
    </row>
    <row r="156" spans="2:39" outlineLevel="1">
      <c r="B156" s="9" t="s">
        <v>420</v>
      </c>
      <c r="C156" s="71"/>
      <c r="D156" s="71"/>
      <c r="E156" s="71"/>
      <c r="F156" s="71"/>
      <c r="G156" s="71"/>
      <c r="H156" s="71"/>
      <c r="I156" s="71"/>
      <c r="J156" s="71"/>
      <c r="K156" s="71"/>
      <c r="L156" s="71"/>
      <c r="M156" s="71">
        <v>1</v>
      </c>
      <c r="N156" s="71">
        <v>0.25</v>
      </c>
      <c r="O156" s="71">
        <v>0.25</v>
      </c>
      <c r="P156" s="71">
        <v>0.25</v>
      </c>
      <c r="Q156" s="71">
        <v>0.25</v>
      </c>
      <c r="R156" s="71">
        <v>0.25</v>
      </c>
      <c r="S156" s="71">
        <v>0.25</v>
      </c>
      <c r="T156" s="71">
        <v>0.25</v>
      </c>
      <c r="U156" s="71">
        <v>0.25</v>
      </c>
      <c r="V156" s="71">
        <v>0.25</v>
      </c>
      <c r="W156" s="71">
        <v>0.25</v>
      </c>
      <c r="X156" s="71">
        <v>0.25</v>
      </c>
      <c r="Y156" s="71">
        <v>0.25</v>
      </c>
      <c r="Z156" s="71">
        <v>0.25</v>
      </c>
      <c r="AA156" s="71">
        <v>0.25</v>
      </c>
      <c r="AB156" s="71">
        <v>0.25</v>
      </c>
      <c r="AC156" s="71">
        <v>0.25</v>
      </c>
      <c r="AD156" s="71">
        <v>0.25</v>
      </c>
    </row>
    <row r="157" spans="2:39" outlineLevel="1"/>
    <row r="158" spans="2:39" s="293" customFormat="1" outlineLevel="1">
      <c r="B158" s="293" t="s">
        <v>423</v>
      </c>
      <c r="C158" s="293">
        <f t="shared" ref="C158:M158" si="377">+C15</f>
        <v>1151.066</v>
      </c>
      <c r="D158" s="293">
        <f t="shared" si="377"/>
        <v>1151.105</v>
      </c>
      <c r="E158" s="293">
        <f t="shared" si="377"/>
        <v>1130.43</v>
      </c>
      <c r="F158" s="293">
        <f t="shared" si="377"/>
        <v>1154.7570000000001</v>
      </c>
      <c r="G158" s="293">
        <f t="shared" si="377"/>
        <v>1137.3720000000001</v>
      </c>
      <c r="H158" s="293">
        <f t="shared" si="377"/>
        <v>1138.6210000000001</v>
      </c>
      <c r="I158" s="293">
        <f t="shared" si="377"/>
        <v>1138.6210000000001</v>
      </c>
      <c r="J158" s="293">
        <f t="shared" si="377"/>
        <v>1146.3140000000001</v>
      </c>
      <c r="K158" s="293">
        <f t="shared" si="377"/>
        <v>1146.3140000000001</v>
      </c>
      <c r="L158" s="293">
        <f t="shared" si="377"/>
        <v>1201.296</v>
      </c>
      <c r="M158" s="296">
        <f t="shared" si="377"/>
        <v>1232.9159999999999</v>
      </c>
      <c r="N158" s="296">
        <f t="shared" ref="N158:O158" si="378">+N15</f>
        <v>1760.249</v>
      </c>
      <c r="O158" s="296">
        <f t="shared" si="378"/>
        <v>2663.8</v>
      </c>
      <c r="P158" s="296">
        <f t="shared" ref="P158:Q158" si="379">+P15</f>
        <v>3669.3</v>
      </c>
      <c r="Q158" s="296">
        <f t="shared" si="379"/>
        <v>4632.5</v>
      </c>
      <c r="R158" s="293">
        <f t="shared" ref="R158:T158" si="380">Q158+R152</f>
        <v>4632.5</v>
      </c>
      <c r="S158" s="293">
        <f t="shared" si="380"/>
        <v>4632.5</v>
      </c>
      <c r="T158" s="293">
        <f t="shared" si="380"/>
        <v>4632.5</v>
      </c>
      <c r="U158" s="293">
        <f t="shared" ref="U158" si="381">T158+U152</f>
        <v>4632.5</v>
      </c>
      <c r="V158" s="293">
        <f t="shared" ref="V158" si="382">U158+V152</f>
        <v>4632.5</v>
      </c>
      <c r="W158" s="293">
        <f t="shared" ref="W158" si="383">V158+W152</f>
        <v>4632.5</v>
      </c>
      <c r="X158" s="293">
        <f t="shared" ref="X158" si="384">W158+X152</f>
        <v>4632.5</v>
      </c>
      <c r="Y158" s="293">
        <f t="shared" ref="Y158" si="385">X158+Y152</f>
        <v>4632.5</v>
      </c>
      <c r="Z158" s="293">
        <f t="shared" ref="Z158" si="386">Y158+Z152</f>
        <v>4632.5</v>
      </c>
      <c r="AA158" s="293">
        <f t="shared" ref="AA158" si="387">Z158+AA152</f>
        <v>4632.5</v>
      </c>
      <c r="AB158" s="293">
        <f t="shared" ref="AB158" si="388">AA158+AB152</f>
        <v>4632.5</v>
      </c>
      <c r="AC158" s="293">
        <f t="shared" ref="AC158" si="389">AB158+AC152</f>
        <v>4632.5</v>
      </c>
      <c r="AD158" s="293">
        <f t="shared" ref="AD158" si="390">AC158+AD152</f>
        <v>4632.5</v>
      </c>
      <c r="AH158"/>
      <c r="AI158"/>
      <c r="AJ158"/>
      <c r="AK158"/>
      <c r="AL158"/>
      <c r="AM158"/>
    </row>
    <row r="159" spans="2:39" s="293" customFormat="1" outlineLevel="1">
      <c r="B159" s="293" t="s">
        <v>424</v>
      </c>
      <c r="C159" s="293">
        <f t="shared" ref="C159:M159" si="391">+C14</f>
        <v>3638.8119999999999</v>
      </c>
      <c r="D159" s="293">
        <f t="shared" si="391"/>
        <v>3292.8270000000002</v>
      </c>
      <c r="E159" s="293">
        <f t="shared" si="391"/>
        <v>2975.6010000000001</v>
      </c>
      <c r="F159" s="293">
        <f t="shared" si="391"/>
        <v>2747.241</v>
      </c>
      <c r="G159" s="293">
        <f t="shared" si="391"/>
        <v>2492.3539999999998</v>
      </c>
      <c r="H159" s="293">
        <f t="shared" si="391"/>
        <v>2161.058</v>
      </c>
      <c r="I159" s="293">
        <f t="shared" si="391"/>
        <v>1871.078</v>
      </c>
      <c r="J159" s="293">
        <f t="shared" si="391"/>
        <v>1772.826</v>
      </c>
      <c r="K159" s="293">
        <f t="shared" si="391"/>
        <v>1608.191</v>
      </c>
      <c r="L159" s="293">
        <f t="shared" si="391"/>
        <v>1631.547</v>
      </c>
      <c r="M159" s="296">
        <f t="shared" si="391"/>
        <v>4474.6530000000002</v>
      </c>
      <c r="N159" s="296">
        <f t="shared" ref="N159:O159" si="392">+N14</f>
        <v>4028.5070000000001</v>
      </c>
      <c r="O159" s="296">
        <f t="shared" si="392"/>
        <v>4085.1</v>
      </c>
      <c r="P159" s="296">
        <f t="shared" ref="P159:Q159" si="393">+P14</f>
        <v>3808.3</v>
      </c>
      <c r="Q159" s="296">
        <f t="shared" si="393"/>
        <v>3879.6</v>
      </c>
      <c r="R159" s="293">
        <f t="shared" ref="R159:T159" si="394">+Q159+R155-R160</f>
        <v>3549.4</v>
      </c>
      <c r="S159" s="293">
        <f t="shared" si="394"/>
        <v>3194.2000000000003</v>
      </c>
      <c r="T159" s="293">
        <f t="shared" si="394"/>
        <v>2814.0000000000005</v>
      </c>
      <c r="U159" s="293">
        <f t="shared" ref="U159" si="395">+T159+U155-U160</f>
        <v>2408.8000000000006</v>
      </c>
      <c r="V159" s="293">
        <f t="shared" ref="V159" si="396">+U159+V155-V160</f>
        <v>1978.6000000000006</v>
      </c>
      <c r="W159" s="293">
        <f t="shared" ref="W159" si="397">+V159+W155-W160</f>
        <v>1523.4000000000005</v>
      </c>
      <c r="X159" s="293">
        <f t="shared" ref="X159" si="398">+W159+X155-X160</f>
        <v>1043.2000000000005</v>
      </c>
      <c r="Y159" s="293">
        <f t="shared" ref="Y159" si="399">+X159+Y155-Y160</f>
        <v>538.00000000000045</v>
      </c>
      <c r="Z159" s="293">
        <f t="shared" ref="Z159" si="400">+Y159+Z155-Z160</f>
        <v>7.8000000000004093</v>
      </c>
      <c r="AA159" s="293">
        <f t="shared" ref="AA159" si="401">+Z159+AA155-AA160</f>
        <v>-547.39999999999964</v>
      </c>
      <c r="AB159" s="293">
        <f t="shared" ref="AB159" si="402">+AA159+AB155-AB160</f>
        <v>-1127.5999999999997</v>
      </c>
      <c r="AC159" s="293">
        <f t="shared" ref="AC159" si="403">+AB159+AC155-AC160</f>
        <v>-1732.7999999999997</v>
      </c>
      <c r="AD159" s="293">
        <f t="shared" ref="AD159" si="404">+AC159+AD155-AD160</f>
        <v>-2363</v>
      </c>
      <c r="AH159"/>
      <c r="AI159"/>
      <c r="AJ159"/>
      <c r="AK159"/>
      <c r="AL159"/>
      <c r="AM159"/>
    </row>
    <row r="160" spans="2:39" s="293" customFormat="1" outlineLevel="1">
      <c r="B160" s="293" t="s">
        <v>425</v>
      </c>
      <c r="C160" s="293">
        <v>33.200000000000003</v>
      </c>
      <c r="D160" s="293">
        <v>347.7</v>
      </c>
      <c r="E160" s="293">
        <v>302.3</v>
      </c>
      <c r="F160" s="293">
        <v>267</v>
      </c>
      <c r="G160" s="293">
        <v>257.5</v>
      </c>
      <c r="H160" s="293">
        <v>332.7</v>
      </c>
      <c r="I160" s="293">
        <v>289.8</v>
      </c>
      <c r="J160" s="293">
        <v>208.9</v>
      </c>
      <c r="K160" s="293">
        <v>208.566</v>
      </c>
      <c r="L160" s="293">
        <v>202.20400000000001</v>
      </c>
      <c r="M160" s="299">
        <v>342.9</v>
      </c>
      <c r="N160" s="299">
        <v>489.8</v>
      </c>
      <c r="O160" s="299">
        <v>382.6</v>
      </c>
      <c r="P160" s="293">
        <v>322.7</v>
      </c>
      <c r="Q160" s="293">
        <v>327.5</v>
      </c>
      <c r="R160" s="293">
        <v>330.2</v>
      </c>
      <c r="S160" s="293">
        <f>R160+25</f>
        <v>355.2</v>
      </c>
      <c r="T160" s="293">
        <f>S160+25</f>
        <v>380.2</v>
      </c>
      <c r="U160" s="293">
        <f t="shared" ref="U160:AD160" si="405">T160+25</f>
        <v>405.2</v>
      </c>
      <c r="V160" s="293">
        <f t="shared" si="405"/>
        <v>430.2</v>
      </c>
      <c r="W160" s="293">
        <f t="shared" si="405"/>
        <v>455.2</v>
      </c>
      <c r="X160" s="293">
        <f t="shared" si="405"/>
        <v>480.2</v>
      </c>
      <c r="Y160" s="293">
        <f t="shared" si="405"/>
        <v>505.2</v>
      </c>
      <c r="Z160" s="293">
        <f t="shared" si="405"/>
        <v>530.20000000000005</v>
      </c>
      <c r="AA160" s="293">
        <f t="shared" si="405"/>
        <v>555.20000000000005</v>
      </c>
      <c r="AB160" s="293">
        <f t="shared" si="405"/>
        <v>580.20000000000005</v>
      </c>
      <c r="AC160" s="293">
        <f t="shared" si="405"/>
        <v>605.20000000000005</v>
      </c>
      <c r="AD160" s="293">
        <f t="shared" si="405"/>
        <v>630.20000000000005</v>
      </c>
      <c r="AH160"/>
      <c r="AI160"/>
      <c r="AJ160"/>
      <c r="AK160"/>
      <c r="AL160"/>
      <c r="AM160"/>
    </row>
    <row r="161" spans="2:39" outlineLevel="1">
      <c r="B161" s="1" t="s">
        <v>426</v>
      </c>
      <c r="C161" s="17"/>
      <c r="D161" s="17">
        <f>AVERAGE(D159/D160,C159/C160)</f>
        <v>59.536540848467197</v>
      </c>
      <c r="E161" s="17">
        <f t="shared" ref="E161:P161" si="406">AVERAGE(E159/E160,D159/D160)</f>
        <v>9.6567580188357489</v>
      </c>
      <c r="F161" s="17">
        <f t="shared" si="406"/>
        <v>10.066248779952947</v>
      </c>
      <c r="G161" s="17">
        <f t="shared" si="406"/>
        <v>9.9841683975128177</v>
      </c>
      <c r="H161" s="17">
        <f t="shared" si="406"/>
        <v>8.087280069802528</v>
      </c>
      <c r="I161" s="17">
        <f t="shared" si="406"/>
        <v>6.4759806520587873</v>
      </c>
      <c r="J161" s="17">
        <f t="shared" si="406"/>
        <v>7.4714636974179705</v>
      </c>
      <c r="K161" s="17">
        <f t="shared" si="406"/>
        <v>8.0985935271222935</v>
      </c>
      <c r="L161" s="17">
        <f t="shared" si="406"/>
        <v>7.8897610623678514</v>
      </c>
      <c r="M161" s="17">
        <f t="shared" si="406"/>
        <v>10.559128355305809</v>
      </c>
      <c r="N161" s="17">
        <f t="shared" si="406"/>
        <v>10.637119994162633</v>
      </c>
      <c r="O161" s="17">
        <f t="shared" si="406"/>
        <v>9.451004245628063</v>
      </c>
      <c r="P161" s="17">
        <f t="shared" si="406"/>
        <v>11.239286034214388</v>
      </c>
      <c r="Q161" s="17">
        <f>AVERAGE(Q159/Q160,P159/P160)</f>
        <v>11.823735182867836</v>
      </c>
      <c r="R161" s="17">
        <f>AVERAGE(R159/R160,Q159/Q160)</f>
        <v>11.297674876665081</v>
      </c>
      <c r="S161" s="17">
        <f>AVERAGE(S159/S160,R159/R160)</f>
        <v>9.8709615316406669</v>
      </c>
      <c r="T161" s="17">
        <f>AVERAGE(T159/T160,S159/S160)</f>
        <v>8.1970239406950363</v>
      </c>
      <c r="U161" s="17">
        <f t="shared" ref="U161:AD161" si="407">AVERAGE(U159/U160,T159/T160)</f>
        <v>6.6730431793315006</v>
      </c>
      <c r="V161" s="17">
        <f t="shared" si="407"/>
        <v>5.2719874086893643</v>
      </c>
      <c r="W161" s="17">
        <f t="shared" si="407"/>
        <v>3.9729584841807357</v>
      </c>
      <c r="X161" s="17">
        <f t="shared" si="407"/>
        <v>2.7595444816856491</v>
      </c>
      <c r="Y161" s="17">
        <f t="shared" si="407"/>
        <v>1.6186764685999475</v>
      </c>
      <c r="Z161" s="17">
        <f t="shared" si="407"/>
        <v>0.53981810595682023</v>
      </c>
      <c r="AA161" s="17">
        <f t="shared" si="407"/>
        <v>-0.48561978949817131</v>
      </c>
      <c r="AB161" s="17">
        <f t="shared" si="407"/>
        <v>-1.4647093891900531</v>
      </c>
      <c r="AC161" s="17">
        <f t="shared" si="407"/>
        <v>-2.4033267467311332</v>
      </c>
      <c r="AD161" s="17">
        <f t="shared" si="407"/>
        <v>-3.3063945121336018</v>
      </c>
    </row>
    <row r="163" spans="2:39" s="5" customFormat="1">
      <c r="B163" s="83" t="s">
        <v>427</v>
      </c>
      <c r="C163" s="5">
        <f>C169*C182</f>
        <v>0</v>
      </c>
      <c r="D163" s="5">
        <f t="shared" ref="D163:P163" si="408">D169*D182</f>
        <v>7.2331826977625802E-2</v>
      </c>
      <c r="E163" s="5">
        <f t="shared" si="408"/>
        <v>8.3116845961572733E-2</v>
      </c>
      <c r="F163" s="5">
        <f t="shared" si="408"/>
        <v>0.13055488003711949</v>
      </c>
      <c r="G163" s="5">
        <f t="shared" si="408"/>
        <v>0.15201362805917473</v>
      </c>
      <c r="H163" s="5">
        <f t="shared" si="408"/>
        <v>0.20787003298092549</v>
      </c>
      <c r="I163" s="5">
        <f t="shared" si="408"/>
        <v>0.2358539662884209</v>
      </c>
      <c r="J163" s="5">
        <f t="shared" si="408"/>
        <v>0.27768628906641152</v>
      </c>
      <c r="K163" s="5">
        <f t="shared" si="408"/>
        <v>0.3175716353973404</v>
      </c>
      <c r="L163" s="5">
        <f t="shared" si="408"/>
        <v>0.35325736796537088</v>
      </c>
      <c r="M163" s="5">
        <f t="shared" si="408"/>
        <v>0.50323046154924234</v>
      </c>
      <c r="N163" s="5">
        <f t="shared" si="408"/>
        <v>0.44106796724889413</v>
      </c>
      <c r="O163" s="5">
        <f t="shared" si="408"/>
        <v>0.50938848609428045</v>
      </c>
      <c r="P163" s="5">
        <f t="shared" si="408"/>
        <v>0.47053025803588994</v>
      </c>
      <c r="Q163" s="5">
        <f>Q169*Q182</f>
        <v>0.44123031157216031</v>
      </c>
      <c r="R163" s="5">
        <f>R169*R182</f>
        <v>0.43957349475693652</v>
      </c>
      <c r="S163" s="5">
        <f>S169*S182</f>
        <v>0.45383767975455802</v>
      </c>
      <c r="T163" s="5">
        <f>T169*T182</f>
        <v>0.47798841895184146</v>
      </c>
      <c r="U163" s="5">
        <f t="shared" ref="U163:AD163" si="409">U169*U182</f>
        <v>0.51747564922196809</v>
      </c>
      <c r="V163" s="5">
        <f t="shared" si="409"/>
        <v>0.54876692422810003</v>
      </c>
      <c r="W163" s="5">
        <f t="shared" si="409"/>
        <v>0.58586785377340933</v>
      </c>
      <c r="X163" s="5">
        <f t="shared" si="409"/>
        <v>0.63079373517899195</v>
      </c>
      <c r="Y163" s="5">
        <f t="shared" si="409"/>
        <v>0.61941603404979895</v>
      </c>
      <c r="Z163" s="5">
        <f t="shared" si="409"/>
        <v>0.60080266586620523</v>
      </c>
      <c r="AA163" s="5">
        <f t="shared" si="409"/>
        <v>0.52910244538018136</v>
      </c>
      <c r="AB163" s="5">
        <f t="shared" si="409"/>
        <v>0.61602752082232615</v>
      </c>
      <c r="AC163" s="5">
        <f t="shared" si="409"/>
        <v>0.74079258538774895</v>
      </c>
      <c r="AD163" s="5">
        <f t="shared" si="409"/>
        <v>1.0252877047722482</v>
      </c>
      <c r="AH163"/>
      <c r="AI163"/>
      <c r="AJ163"/>
      <c r="AK163"/>
      <c r="AL163"/>
      <c r="AM163"/>
    </row>
    <row r="164" spans="2:39" s="34" customFormat="1" hidden="1" outlineLevel="1">
      <c r="B164" s="46" t="s">
        <v>428</v>
      </c>
      <c r="C164" s="34">
        <f t="shared" ref="C164:P164" si="410">C45</f>
        <v>1852.4</v>
      </c>
      <c r="D164" s="34">
        <f t="shared" si="410"/>
        <v>2211.5619999999999</v>
      </c>
      <c r="E164" s="34">
        <f t="shared" si="410"/>
        <v>2422.5</v>
      </c>
      <c r="F164" s="34">
        <f t="shared" si="410"/>
        <v>2683.049</v>
      </c>
      <c r="G164" s="34">
        <f t="shared" si="410"/>
        <v>3171.6169999999997</v>
      </c>
      <c r="H164" s="34">
        <f t="shared" si="410"/>
        <v>4097.5069999999996</v>
      </c>
      <c r="I164" s="34">
        <f t="shared" si="410"/>
        <v>4377.348</v>
      </c>
      <c r="J164" s="34">
        <f t="shared" si="410"/>
        <v>4716.4229999999998</v>
      </c>
      <c r="K164" s="34">
        <f t="shared" si="410"/>
        <v>5035.0209999999997</v>
      </c>
      <c r="L164" s="34">
        <f t="shared" si="410"/>
        <v>5563.2520000000004</v>
      </c>
      <c r="M164" s="34">
        <f t="shared" si="410"/>
        <v>6932.7650000000003</v>
      </c>
      <c r="N164" s="34">
        <f t="shared" si="410"/>
        <v>9703.3240000000005</v>
      </c>
      <c r="O164" s="34">
        <f t="shared" si="410"/>
        <v>10763.710999999998</v>
      </c>
      <c r="P164" s="34">
        <f t="shared" si="410"/>
        <v>11448.8</v>
      </c>
      <c r="Q164" s="34">
        <f>Q45</f>
        <v>12273.900000000003</v>
      </c>
      <c r="R164" s="34">
        <f>R45</f>
        <v>12868.75464720094</v>
      </c>
      <c r="S164" s="34">
        <f>S45</f>
        <v>13416.991846807408</v>
      </c>
      <c r="T164" s="42">
        <f>T45</f>
        <v>14086.784182794972</v>
      </c>
      <c r="U164" s="42">
        <f t="shared" ref="U164:AD164" si="411">U45</f>
        <v>14607.489701855131</v>
      </c>
      <c r="V164" s="42">
        <f t="shared" si="411"/>
        <v>14952.400133891926</v>
      </c>
      <c r="W164" s="42">
        <f t="shared" si="411"/>
        <v>15302.910087576756</v>
      </c>
      <c r="X164" s="42">
        <f t="shared" si="411"/>
        <v>15660.776822432199</v>
      </c>
      <c r="Y164" s="42">
        <f t="shared" si="411"/>
        <v>15165.290491441607</v>
      </c>
      <c r="Z164" s="42">
        <f t="shared" si="411"/>
        <v>14255.157231075118</v>
      </c>
      <c r="AA164" s="42">
        <f t="shared" si="411"/>
        <v>12708.751749751562</v>
      </c>
      <c r="AB164" s="42">
        <f t="shared" si="411"/>
        <v>12423.328497190125</v>
      </c>
      <c r="AC164" s="42">
        <f t="shared" si="411"/>
        <v>12286.744087447398</v>
      </c>
      <c r="AD164" s="42">
        <f t="shared" si="411"/>
        <v>12432.220906493016</v>
      </c>
      <c r="AH164"/>
      <c r="AI164"/>
      <c r="AJ164"/>
      <c r="AK164"/>
      <c r="AL164"/>
      <c r="AM164"/>
    </row>
    <row r="165" spans="2:39" s="3" customFormat="1" hidden="1" outlineLevel="1">
      <c r="B165" s="8" t="s">
        <v>429</v>
      </c>
      <c r="C165" s="34">
        <f>IS!G33</f>
        <v>579.4</v>
      </c>
      <c r="D165" s="34">
        <f>IS!L33</f>
        <v>698.99300000000039</v>
      </c>
      <c r="E165" s="34">
        <f>IS!Q33</f>
        <v>762.24500000000023</v>
      </c>
      <c r="F165" s="34">
        <f>IS!V33</f>
        <v>1073.3909999999998</v>
      </c>
      <c r="G165" s="34">
        <f>IS!AA33</f>
        <v>1158.479</v>
      </c>
      <c r="H165" s="34">
        <f>IS!AF33</f>
        <v>1598.5140000000008</v>
      </c>
      <c r="I165" s="34">
        <f>IS!AK33</f>
        <v>1625.2380000000003</v>
      </c>
      <c r="J165" s="34">
        <f>IS!AP33</f>
        <v>1823.3460000000005</v>
      </c>
      <c r="K165" s="34">
        <f>IS!AU33</f>
        <v>1987.0359999999991</v>
      </c>
      <c r="L165" s="34">
        <f>IS!AZ33</f>
        <v>2095.6769999999988</v>
      </c>
      <c r="M165" s="34">
        <f>IS!BE33</f>
        <v>2883.030999999999</v>
      </c>
      <c r="N165" s="34">
        <f>IS!BJ33</f>
        <v>4453.7279999999992</v>
      </c>
      <c r="O165" s="34">
        <f>IS!BO33</f>
        <v>5380.2239999999993</v>
      </c>
      <c r="P165" s="34">
        <f>IS!BT33</f>
        <v>6095.199999999998</v>
      </c>
      <c r="Q165" s="34">
        <f>IS!BY33</f>
        <v>6380.1000000000022</v>
      </c>
      <c r="R165" s="34">
        <f>IS!CD33</f>
        <v>6535.48738009917</v>
      </c>
      <c r="S165" s="34">
        <f>IS!CI33</f>
        <v>7158.0457443632804</v>
      </c>
      <c r="T165" s="34">
        <f>IS!CN33</f>
        <v>7434.1620232860514</v>
      </c>
      <c r="U165" s="34">
        <f>IS!CS33</f>
        <v>7711.0289975874803</v>
      </c>
      <c r="V165" s="34">
        <f>IS!CX33</f>
        <v>7809.3812067473773</v>
      </c>
      <c r="W165" s="34">
        <f>IS!DC33</f>
        <v>7923.2265420758067</v>
      </c>
      <c r="X165" s="34">
        <f>IS!DH33</f>
        <v>8033.7698457020961</v>
      </c>
      <c r="Y165" s="34">
        <f>IS!DM33</f>
        <v>7352.5819727870739</v>
      </c>
      <c r="Z165" s="34">
        <f>IS!DR33</f>
        <v>6371.2963976354358</v>
      </c>
      <c r="AA165" s="34">
        <f>IS!DW33</f>
        <v>4835.900659906385</v>
      </c>
      <c r="AB165" s="34">
        <f>IS!EB33</f>
        <v>4483.3035079666624</v>
      </c>
      <c r="AC165" s="34">
        <f>IS!EG33</f>
        <v>4311.4604568572195</v>
      </c>
      <c r="AD165" s="34">
        <f>IS!EL33</f>
        <v>4394.637879450328</v>
      </c>
      <c r="AH165"/>
      <c r="AI165"/>
      <c r="AJ165"/>
      <c r="AK165"/>
      <c r="AL165"/>
      <c r="AM165"/>
    </row>
    <row r="166" spans="2:39" s="5" customFormat="1" hidden="1" outlineLevel="1">
      <c r="B166" s="41" t="s">
        <v>430</v>
      </c>
      <c r="C166" s="21">
        <f>IS!G40</f>
        <v>0.31708860759493673</v>
      </c>
      <c r="D166" s="21">
        <f>IS!L40</f>
        <v>0.32006635990005039</v>
      </c>
      <c r="E166" s="21">
        <f>IS!Q40</f>
        <v>0.30762269938650294</v>
      </c>
      <c r="F166" s="21">
        <f>IS!V40</f>
        <v>0.30983604226971379</v>
      </c>
      <c r="G166" s="21">
        <f>IS!AA40</f>
        <v>0.27766840153097533</v>
      </c>
      <c r="H166" s="21">
        <f>IS!AF40</f>
        <v>0.29055040738947513</v>
      </c>
      <c r="I166" s="21">
        <f>IS!AK40</f>
        <v>0.27219231393873045</v>
      </c>
      <c r="J166" s="21">
        <f>IS!AP40</f>
        <v>0.24797283030077644</v>
      </c>
      <c r="K166" s="21">
        <f>IS!AU40</f>
        <v>0.25635915501156958</v>
      </c>
      <c r="L166" s="21">
        <f>IS!AZ40</f>
        <v>0.24996217062789136</v>
      </c>
      <c r="M166" s="21">
        <f>IS!BE40</f>
        <v>0.24400254545071007</v>
      </c>
      <c r="N166" s="21">
        <f>IS!BJ40</f>
        <v>0.25449207323777218</v>
      </c>
      <c r="O166" s="21">
        <f>IS!BO40</f>
        <v>0.24081978889471448</v>
      </c>
      <c r="P166" s="21">
        <f>IS!BT40</f>
        <v>0.24876654530606693</v>
      </c>
      <c r="Q166" s="21">
        <f>IS!BY40</f>
        <v>0.24301141558318701</v>
      </c>
      <c r="R166" s="21">
        <f>IS!CD40</f>
        <v>0.23</v>
      </c>
      <c r="S166" s="21">
        <f>IS!CI40</f>
        <v>0.22500000000000001</v>
      </c>
      <c r="T166" s="21">
        <f>IS!CN40</f>
        <v>0.22</v>
      </c>
      <c r="U166" s="21">
        <f>IS!CS40</f>
        <v>0.215</v>
      </c>
      <c r="V166" s="21">
        <f>IS!CX40</f>
        <v>0.21</v>
      </c>
      <c r="W166" s="21">
        <f>IS!DC40</f>
        <v>0.21</v>
      </c>
      <c r="X166" s="21">
        <f>IS!DH40</f>
        <v>0.21</v>
      </c>
      <c r="Y166" s="21">
        <f>IS!DM40</f>
        <v>0.21</v>
      </c>
      <c r="Z166" s="21">
        <f>IS!DR40</f>
        <v>0.21</v>
      </c>
      <c r="AA166" s="21">
        <f>IS!DW40</f>
        <v>0.21</v>
      </c>
      <c r="AB166" s="21">
        <f>IS!EB40</f>
        <v>0.21</v>
      </c>
      <c r="AC166" s="21">
        <f>IS!EG40</f>
        <v>0.21</v>
      </c>
      <c r="AD166" s="21">
        <f>IS!EL40</f>
        <v>0.21</v>
      </c>
      <c r="AH166"/>
      <c r="AI166"/>
      <c r="AJ166"/>
      <c r="AK166"/>
      <c r="AL166"/>
      <c r="AM166"/>
    </row>
    <row r="167" spans="2:39" s="3" customFormat="1" hidden="1" outlineLevel="1">
      <c r="B167" s="8" t="s">
        <v>164</v>
      </c>
      <c r="C167" s="3">
        <f>C165*C166</f>
        <v>183.72113924050635</v>
      </c>
      <c r="D167" s="3">
        <f t="shared" ref="D167:P167" si="412">D165*D166</f>
        <v>223.72414510561606</v>
      </c>
      <c r="E167" s="3">
        <f t="shared" si="412"/>
        <v>234.48386449386501</v>
      </c>
      <c r="F167" s="3">
        <f t="shared" si="412"/>
        <v>332.57521924793031</v>
      </c>
      <c r="G167" s="3">
        <f t="shared" si="412"/>
        <v>321.67301213720276</v>
      </c>
      <c r="H167" s="3">
        <f t="shared" si="412"/>
        <v>464.44889391777969</v>
      </c>
      <c r="I167" s="3">
        <f t="shared" si="412"/>
        <v>442.37729192115449</v>
      </c>
      <c r="J167" s="3">
        <f t="shared" si="412"/>
        <v>452.14026823759963</v>
      </c>
      <c r="K167" s="3">
        <f t="shared" si="412"/>
        <v>509.39486993756896</v>
      </c>
      <c r="L167" s="3">
        <f t="shared" si="412"/>
        <v>523.83997185494718</v>
      </c>
      <c r="M167" s="3">
        <f t="shared" si="412"/>
        <v>703.46690261330582</v>
      </c>
      <c r="N167" s="3">
        <f t="shared" si="412"/>
        <v>1133.4384723571163</v>
      </c>
      <c r="O167" s="3">
        <f t="shared" si="412"/>
        <v>1295.6644078862762</v>
      </c>
      <c r="P167" s="3">
        <f t="shared" si="412"/>
        <v>1516.2818469495387</v>
      </c>
      <c r="Q167" s="3">
        <f>Q165*Q166</f>
        <v>1550.4371325622919</v>
      </c>
      <c r="R167" s="3">
        <f>R165*R166</f>
        <v>1503.1620974228092</v>
      </c>
      <c r="S167" s="3">
        <f>S165*S166</f>
        <v>1610.5602924817381</v>
      </c>
      <c r="T167" s="3">
        <f>T165*T166</f>
        <v>1635.5156451229313</v>
      </c>
      <c r="U167" s="3">
        <f t="shared" ref="U167:AD167" si="413">U165*U166</f>
        <v>1657.8712344813082</v>
      </c>
      <c r="V167" s="3">
        <f t="shared" si="413"/>
        <v>1639.9700534169492</v>
      </c>
      <c r="W167" s="3">
        <f t="shared" si="413"/>
        <v>1663.8775738359193</v>
      </c>
      <c r="X167" s="3">
        <f t="shared" si="413"/>
        <v>1687.0916675974402</v>
      </c>
      <c r="Y167" s="3">
        <f t="shared" si="413"/>
        <v>1544.0422142852856</v>
      </c>
      <c r="Z167" s="3">
        <f t="shared" si="413"/>
        <v>1337.9722435034414</v>
      </c>
      <c r="AA167" s="3">
        <f t="shared" si="413"/>
        <v>1015.5391385803408</v>
      </c>
      <c r="AB167" s="3">
        <f t="shared" si="413"/>
        <v>941.49373667299903</v>
      </c>
      <c r="AC167" s="3">
        <f t="shared" si="413"/>
        <v>905.40669594001611</v>
      </c>
      <c r="AD167" s="3">
        <f t="shared" si="413"/>
        <v>922.87395468456884</v>
      </c>
      <c r="AH167"/>
      <c r="AI167"/>
      <c r="AJ167"/>
      <c r="AK167"/>
      <c r="AL167"/>
      <c r="AM167"/>
    </row>
    <row r="168" spans="2:39" s="34" customFormat="1" hidden="1" outlineLevel="1">
      <c r="B168" s="46" t="s">
        <v>431</v>
      </c>
      <c r="C168" s="34">
        <f>C165-C167</f>
        <v>395.67886075949366</v>
      </c>
      <c r="D168" s="34">
        <f t="shared" ref="D168:P168" si="414">D165-D167</f>
        <v>475.26885489438433</v>
      </c>
      <c r="E168" s="34">
        <f t="shared" si="414"/>
        <v>527.76113550613525</v>
      </c>
      <c r="F168" s="34">
        <f t="shared" si="414"/>
        <v>740.81578075206949</v>
      </c>
      <c r="G168" s="34">
        <f t="shared" si="414"/>
        <v>836.80598786279734</v>
      </c>
      <c r="H168" s="34">
        <f t="shared" si="414"/>
        <v>1134.0651060822211</v>
      </c>
      <c r="I168" s="34">
        <f t="shared" si="414"/>
        <v>1182.8607080788458</v>
      </c>
      <c r="J168" s="34">
        <f t="shared" si="414"/>
        <v>1371.2057317624008</v>
      </c>
      <c r="K168" s="34">
        <f t="shared" si="414"/>
        <v>1477.6411300624302</v>
      </c>
      <c r="L168" s="34">
        <f t="shared" si="414"/>
        <v>1571.8370281450516</v>
      </c>
      <c r="M168" s="34">
        <f t="shared" si="414"/>
        <v>2179.564097386693</v>
      </c>
      <c r="N168" s="34">
        <f t="shared" si="414"/>
        <v>3320.2895276428826</v>
      </c>
      <c r="O168" s="34">
        <f t="shared" si="414"/>
        <v>4084.5595921137228</v>
      </c>
      <c r="P168" s="34">
        <f t="shared" si="414"/>
        <v>4578.9181530504593</v>
      </c>
      <c r="Q168" s="34">
        <f>Q165-Q167</f>
        <v>4829.6628674377098</v>
      </c>
      <c r="R168" s="34">
        <f>R165-R167</f>
        <v>5032.325282676361</v>
      </c>
      <c r="S168" s="34">
        <f>S165-S167</f>
        <v>5547.4854518815428</v>
      </c>
      <c r="T168" s="34">
        <f>T165-T167</f>
        <v>5798.6463781631201</v>
      </c>
      <c r="U168" s="34">
        <f t="shared" ref="U168:AD168" si="415">U165-U167</f>
        <v>6053.1577631061718</v>
      </c>
      <c r="V168" s="34">
        <f t="shared" si="415"/>
        <v>6169.4111533304276</v>
      </c>
      <c r="W168" s="34">
        <f t="shared" si="415"/>
        <v>6259.3489682398877</v>
      </c>
      <c r="X168" s="34">
        <f t="shared" si="415"/>
        <v>6346.6781781046557</v>
      </c>
      <c r="Y168" s="34">
        <f t="shared" si="415"/>
        <v>5808.5397585017881</v>
      </c>
      <c r="Z168" s="34">
        <f t="shared" si="415"/>
        <v>5033.3241541319949</v>
      </c>
      <c r="AA168" s="34">
        <f t="shared" si="415"/>
        <v>3820.3615213260441</v>
      </c>
      <c r="AB168" s="34">
        <f t="shared" si="415"/>
        <v>3541.8097712936633</v>
      </c>
      <c r="AC168" s="34">
        <f t="shared" si="415"/>
        <v>3406.0537609172034</v>
      </c>
      <c r="AD168" s="34">
        <f t="shared" si="415"/>
        <v>3471.7639247657589</v>
      </c>
      <c r="AH168"/>
      <c r="AI168"/>
      <c r="AJ168"/>
      <c r="AK168"/>
      <c r="AL168"/>
      <c r="AM168"/>
    </row>
    <row r="169" spans="2:39" s="5" customFormat="1" hidden="1" outlineLevel="1">
      <c r="B169" s="41" t="s">
        <v>432</v>
      </c>
      <c r="C169" s="5">
        <f>C168/C164</f>
        <v>0.21360335821609461</v>
      </c>
      <c r="D169" s="5">
        <f t="shared" ref="D169:P169" si="416">D168/D164</f>
        <v>0.21490189056168643</v>
      </c>
      <c r="E169" s="5">
        <f t="shared" si="416"/>
        <v>0.21785805387250165</v>
      </c>
      <c r="F169" s="5">
        <f t="shared" si="416"/>
        <v>0.27610967252259255</v>
      </c>
      <c r="G169" s="5">
        <f t="shared" si="416"/>
        <v>0.26384206789873982</v>
      </c>
      <c r="H169" s="5">
        <f t="shared" si="416"/>
        <v>0.27676953476399702</v>
      </c>
      <c r="I169" s="5">
        <f t="shared" si="416"/>
        <v>0.27022313694932315</v>
      </c>
      <c r="J169" s="5">
        <f t="shared" si="416"/>
        <v>0.29073001547197969</v>
      </c>
      <c r="K169" s="5">
        <f t="shared" si="416"/>
        <v>0.29347268463476722</v>
      </c>
      <c r="L169" s="5">
        <f t="shared" si="416"/>
        <v>0.28253924649558415</v>
      </c>
      <c r="M169" s="5">
        <f t="shared" si="416"/>
        <v>0.31438597693513237</v>
      </c>
      <c r="N169" s="5">
        <f t="shared" si="416"/>
        <v>0.34218063084803541</v>
      </c>
      <c r="O169" s="5">
        <f t="shared" si="416"/>
        <v>0.37947503348182832</v>
      </c>
      <c r="P169" s="5">
        <f t="shared" si="416"/>
        <v>0.3999474314382695</v>
      </c>
      <c r="Q169" s="5">
        <f>Q168/Q164</f>
        <v>0.39349048529299641</v>
      </c>
      <c r="R169" s="5">
        <f>R168/R164</f>
        <v>0.39104990503264692</v>
      </c>
      <c r="S169" s="5">
        <f>S168/S164</f>
        <v>0.41346715532226952</v>
      </c>
      <c r="T169" s="5">
        <f>T168/T164</f>
        <v>0.41163734056814416</v>
      </c>
      <c r="U169" s="5">
        <f t="shared" ref="U169:AD169" si="417">U168/U164</f>
        <v>0.41438726890476119</v>
      </c>
      <c r="V169" s="5">
        <f t="shared" si="417"/>
        <v>0.41260340133263979</v>
      </c>
      <c r="W169" s="5">
        <f t="shared" si="417"/>
        <v>0.4090299774630034</v>
      </c>
      <c r="X169" s="5">
        <f t="shared" si="417"/>
        <v>0.40525947403923124</v>
      </c>
      <c r="Y169" s="5">
        <f t="shared" si="417"/>
        <v>0.383015397019911</v>
      </c>
      <c r="Z169" s="5">
        <f t="shared" si="417"/>
        <v>0.35308794372044844</v>
      </c>
      <c r="AA169" s="5">
        <f t="shared" si="417"/>
        <v>0.30060871410134571</v>
      </c>
      <c r="AB169" s="5">
        <f t="shared" si="417"/>
        <v>0.28509346525729723</v>
      </c>
      <c r="AC169" s="5">
        <f t="shared" si="417"/>
        <v>0.27721369767902604</v>
      </c>
      <c r="AD169" s="5">
        <f t="shared" si="417"/>
        <v>0.27925532781938822</v>
      </c>
      <c r="AH169"/>
      <c r="AI169"/>
      <c r="AJ169"/>
      <c r="AK169"/>
      <c r="AL169"/>
      <c r="AM169"/>
    </row>
    <row r="170" spans="2:39" hidden="1" outlineLevel="1">
      <c r="B170" s="9" t="s">
        <v>433</v>
      </c>
      <c r="C170" s="3">
        <f t="shared" ref="C170:T170" si="418">C5</f>
        <v>198.524</v>
      </c>
      <c r="D170" s="3">
        <f t="shared" si="418"/>
        <v>278.637</v>
      </c>
      <c r="E170" s="3">
        <f t="shared" si="418"/>
        <v>280.512</v>
      </c>
      <c r="F170" s="3">
        <f t="shared" si="418"/>
        <v>317.35300000000001</v>
      </c>
      <c r="G170" s="3">
        <f t="shared" si="418"/>
        <v>392.64600000000002</v>
      </c>
      <c r="H170" s="3">
        <f t="shared" si="418"/>
        <v>446.66500000000002</v>
      </c>
      <c r="I170" s="3">
        <f t="shared" si="418"/>
        <v>551.20799999999997</v>
      </c>
      <c r="J170" s="3">
        <f t="shared" si="418"/>
        <v>605.32899999999995</v>
      </c>
      <c r="K170" s="3">
        <f t="shared" si="418"/>
        <v>584.60299999999995</v>
      </c>
      <c r="L170" s="3">
        <f t="shared" si="418"/>
        <v>686.84799999999996</v>
      </c>
      <c r="M170" s="3">
        <f t="shared" si="418"/>
        <v>824.40599999999995</v>
      </c>
      <c r="N170" s="3">
        <f t="shared" si="418"/>
        <v>1292.4449999999999</v>
      </c>
      <c r="O170" s="3">
        <f t="shared" si="418"/>
        <v>1227</v>
      </c>
      <c r="P170" s="3">
        <f t="shared" si="418"/>
        <v>1441.6</v>
      </c>
      <c r="Q170" s="3">
        <f t="shared" si="418"/>
        <v>1787</v>
      </c>
      <c r="R170" s="3">
        <f t="shared" si="418"/>
        <v>1620.3966091996433</v>
      </c>
      <c r="S170" s="3">
        <f t="shared" si="418"/>
        <v>1689.4290621163407</v>
      </c>
      <c r="T170" s="3">
        <f t="shared" si="418"/>
        <v>1773.767388540042</v>
      </c>
      <c r="U170" s="3">
        <f t="shared" ref="U170:AD170" si="419">U5</f>
        <v>1839.3331313495175</v>
      </c>
      <c r="V170" s="3">
        <f t="shared" si="419"/>
        <v>1882.7632619155372</v>
      </c>
      <c r="W170" s="3">
        <f t="shared" si="419"/>
        <v>1926.898468158292</v>
      </c>
      <c r="X170" s="3">
        <f t="shared" si="419"/>
        <v>1971.9600191477061</v>
      </c>
      <c r="Y170" s="3">
        <f t="shared" si="419"/>
        <v>1909.5698040372984</v>
      </c>
      <c r="Z170" s="3">
        <f t="shared" si="419"/>
        <v>1794.9684389908018</v>
      </c>
      <c r="AA170" s="3">
        <f t="shared" si="419"/>
        <v>1600.2495040914202</v>
      </c>
      <c r="AB170" s="3">
        <f t="shared" si="419"/>
        <v>1564.3098282395783</v>
      </c>
      <c r="AC170" s="3">
        <f t="shared" si="419"/>
        <v>1547.1115118147027</v>
      </c>
      <c r="AD170" s="3">
        <f t="shared" si="419"/>
        <v>1565.4295348683122</v>
      </c>
    </row>
    <row r="171" spans="2:39" hidden="1" outlineLevel="1">
      <c r="B171" s="9" t="s">
        <v>265</v>
      </c>
      <c r="C171" s="3">
        <f t="shared" ref="C171:T171" si="420">C6</f>
        <v>496.34899999999999</v>
      </c>
      <c r="D171" s="3">
        <f t="shared" si="420"/>
        <v>251.01599999999999</v>
      </c>
      <c r="E171" s="3">
        <f t="shared" si="420"/>
        <v>182.815</v>
      </c>
      <c r="F171" s="3">
        <f t="shared" si="420"/>
        <v>169.102</v>
      </c>
      <c r="G171" s="3">
        <f t="shared" si="420"/>
        <v>233.98699999999999</v>
      </c>
      <c r="H171" s="3">
        <f t="shared" si="420"/>
        <v>263.60199999999998</v>
      </c>
      <c r="I171" s="3">
        <f t="shared" si="420"/>
        <v>293.95</v>
      </c>
      <c r="J171" s="3">
        <f t="shared" si="420"/>
        <v>289.06599999999997</v>
      </c>
      <c r="K171" s="3">
        <f t="shared" si="420"/>
        <v>326.84300000000002</v>
      </c>
      <c r="L171" s="3">
        <f t="shared" si="420"/>
        <v>447.37299999999999</v>
      </c>
      <c r="M171" s="3">
        <f t="shared" si="420"/>
        <v>659.00300000000004</v>
      </c>
      <c r="N171" s="3">
        <f t="shared" si="420"/>
        <v>804.02200000000005</v>
      </c>
      <c r="O171" s="3">
        <f t="shared" si="420"/>
        <v>893.4</v>
      </c>
      <c r="P171" s="3">
        <f t="shared" si="420"/>
        <v>1001.6</v>
      </c>
      <c r="Q171" s="3">
        <f t="shared" si="420"/>
        <v>902.7</v>
      </c>
      <c r="R171" s="3">
        <f t="shared" si="420"/>
        <v>1147.5538991878896</v>
      </c>
      <c r="S171" s="3">
        <f t="shared" si="420"/>
        <v>1184.7966177101773</v>
      </c>
      <c r="T171" s="3">
        <f t="shared" si="420"/>
        <v>1275.2266342626192</v>
      </c>
      <c r="U171" s="3">
        <f t="shared" ref="U171:AD171" si="421">U6</f>
        <v>1328.5522427987282</v>
      </c>
      <c r="V171" s="3">
        <f t="shared" si="421"/>
        <v>1382.7618880475964</v>
      </c>
      <c r="W171" s="3">
        <f t="shared" si="421"/>
        <v>1436.4116611632185</v>
      </c>
      <c r="X171" s="3">
        <f t="shared" si="421"/>
        <v>1492.2934351071485</v>
      </c>
      <c r="Y171" s="3">
        <f t="shared" si="421"/>
        <v>1504.1654060893304</v>
      </c>
      <c r="Z171" s="3">
        <f t="shared" si="421"/>
        <v>1491.558375685612</v>
      </c>
      <c r="AA171" s="3">
        <f t="shared" si="421"/>
        <v>1420.9453052171177</v>
      </c>
      <c r="AB171" s="3">
        <f t="shared" si="421"/>
        <v>1444.085144028021</v>
      </c>
      <c r="AC171" s="3">
        <f t="shared" si="421"/>
        <v>1448.6400951495407</v>
      </c>
      <c r="AD171" s="3">
        <f t="shared" si="421"/>
        <v>1470.5447709247787</v>
      </c>
    </row>
    <row r="172" spans="2:39" hidden="1" outlineLevel="1">
      <c r="B172" s="9" t="s">
        <v>434</v>
      </c>
      <c r="C172" s="3">
        <f t="shared" ref="C172:T172" si="422">C9</f>
        <v>66.545000000000002</v>
      </c>
      <c r="D172" s="3">
        <f t="shared" si="422"/>
        <v>119.11799999999999</v>
      </c>
      <c r="E172" s="3">
        <f t="shared" si="422"/>
        <v>136.47</v>
      </c>
      <c r="F172" s="3">
        <f t="shared" si="422"/>
        <v>107.51299999999999</v>
      </c>
      <c r="G172" s="3">
        <f t="shared" si="422"/>
        <v>499.61799999999999</v>
      </c>
      <c r="H172" s="3">
        <f t="shared" si="422"/>
        <v>128.03700000000001</v>
      </c>
      <c r="I172" s="3">
        <f t="shared" si="422"/>
        <v>89.124000000000009</v>
      </c>
      <c r="J172" s="3">
        <f t="shared" si="422"/>
        <v>103.622</v>
      </c>
      <c r="K172" s="3">
        <f t="shared" si="422"/>
        <v>144.6</v>
      </c>
      <c r="L172" s="3">
        <f t="shared" si="422"/>
        <v>136.011</v>
      </c>
      <c r="M172" s="3">
        <f t="shared" si="422"/>
        <v>226.13399999999999</v>
      </c>
      <c r="N172" s="3">
        <f t="shared" si="422"/>
        <v>447.46199999999999</v>
      </c>
      <c r="O172" s="3">
        <f t="shared" si="422"/>
        <v>836.9</v>
      </c>
      <c r="P172" s="3">
        <f t="shared" si="422"/>
        <v>1093.3</v>
      </c>
      <c r="Q172" s="3">
        <f t="shared" si="422"/>
        <v>962</v>
      </c>
      <c r="R172" s="3">
        <f t="shared" si="422"/>
        <v>1228.8981776068049</v>
      </c>
      <c r="S172" s="3">
        <f t="shared" si="422"/>
        <v>1281.2519378550187</v>
      </c>
      <c r="T172" s="3">
        <f t="shared" si="422"/>
        <v>1345.2135723438039</v>
      </c>
      <c r="U172" s="3">
        <f t="shared" ref="U172:AD172" si="423">U9</f>
        <v>1394.9382023476883</v>
      </c>
      <c r="V172" s="3">
        <f t="shared" si="423"/>
        <v>1427.8753289763156</v>
      </c>
      <c r="W172" s="3">
        <f t="shared" si="423"/>
        <v>1461.3471803811462</v>
      </c>
      <c r="X172" s="3">
        <f t="shared" si="423"/>
        <v>1495.5215655758789</v>
      </c>
      <c r="Y172" s="3">
        <f t="shared" si="423"/>
        <v>1448.205234984724</v>
      </c>
      <c r="Z172" s="3">
        <f t="shared" si="423"/>
        <v>1361.2923101752522</v>
      </c>
      <c r="AA172" s="3">
        <f t="shared" si="423"/>
        <v>1213.6187450216078</v>
      </c>
      <c r="AB172" s="3">
        <f t="shared" si="423"/>
        <v>1186.3623301986202</v>
      </c>
      <c r="AC172" s="3">
        <f t="shared" si="423"/>
        <v>1173.3192396413806</v>
      </c>
      <c r="AD172" s="3">
        <f t="shared" si="423"/>
        <v>1187.2115083736996</v>
      </c>
    </row>
    <row r="173" spans="2:39" hidden="1" outlineLevel="1">
      <c r="B173" s="9" t="s">
        <v>435</v>
      </c>
      <c r="C173" s="3">
        <f t="shared" ref="C173:T173" si="424">C13</f>
        <v>1252.7829999999999</v>
      </c>
      <c r="D173" s="3">
        <f t="shared" si="424"/>
        <v>1525.2249999999999</v>
      </c>
      <c r="E173" s="3">
        <f t="shared" si="424"/>
        <v>1174.396</v>
      </c>
      <c r="F173" s="3">
        <f t="shared" si="424"/>
        <v>1280.385</v>
      </c>
      <c r="G173" s="3">
        <f t="shared" si="424"/>
        <v>1497.383</v>
      </c>
      <c r="H173" s="3">
        <f t="shared" si="424"/>
        <v>1594.7539999999999</v>
      </c>
      <c r="I173" s="3">
        <f t="shared" si="424"/>
        <v>1637.0830000000001</v>
      </c>
      <c r="J173" s="3">
        <f t="shared" si="424"/>
        <v>1641.634</v>
      </c>
      <c r="K173" s="3">
        <f t="shared" si="424"/>
        <v>1571.3869999999999</v>
      </c>
      <c r="L173" s="3">
        <f t="shared" si="424"/>
        <v>1742.2260000000001</v>
      </c>
      <c r="M173" s="3">
        <f t="shared" si="424"/>
        <v>1750.71</v>
      </c>
      <c r="N173" s="3">
        <f t="shared" si="424"/>
        <v>1765.683</v>
      </c>
      <c r="O173" s="3">
        <f t="shared" si="424"/>
        <v>2187.6</v>
      </c>
      <c r="P173" s="3">
        <f t="shared" si="424"/>
        <v>2501.8000000000002</v>
      </c>
      <c r="Q173" s="3">
        <f t="shared" si="424"/>
        <v>3182.4</v>
      </c>
      <c r="R173" s="3">
        <f t="shared" si="424"/>
        <v>3167.6334743597627</v>
      </c>
      <c r="S173" s="3">
        <f t="shared" si="424"/>
        <v>3125.2585572991384</v>
      </c>
      <c r="T173" s="3">
        <f t="shared" si="424"/>
        <v>3057.1561427721394</v>
      </c>
      <c r="U173" s="3">
        <f t="shared" ref="U173:AD173" si="425">U13</f>
        <v>2957.9779546889599</v>
      </c>
      <c r="V173" s="3">
        <f t="shared" si="425"/>
        <v>2821.4321352323154</v>
      </c>
      <c r="W173" s="3">
        <f t="shared" si="425"/>
        <v>2647.6754143852504</v>
      </c>
      <c r="X173" s="3">
        <f t="shared" si="425"/>
        <v>2436.9311662471891</v>
      </c>
      <c r="Y173" s="3">
        <f t="shared" si="425"/>
        <v>2158.8505245048773</v>
      </c>
      <c r="Z173" s="3">
        <f t="shared" si="425"/>
        <v>1798.6727290583335</v>
      </c>
      <c r="AA173" s="3">
        <f t="shared" si="425"/>
        <v>1333.7670319487913</v>
      </c>
      <c r="AB173" s="3">
        <f t="shared" si="425"/>
        <v>808.90391877777017</v>
      </c>
      <c r="AC173" s="3">
        <f t="shared" si="425"/>
        <v>229.34835110746701</v>
      </c>
      <c r="AD173" s="3">
        <f t="shared" si="425"/>
        <v>-394.89984740386967</v>
      </c>
    </row>
    <row r="174" spans="2:39" hidden="1" outlineLevel="1">
      <c r="B174" s="9" t="s">
        <v>436</v>
      </c>
      <c r="C174" s="3">
        <f t="shared" ref="C174:T174" si="426">C16</f>
        <v>120.29300000000001</v>
      </c>
      <c r="D174" s="3">
        <f t="shared" si="426"/>
        <v>155.93299999999999</v>
      </c>
      <c r="E174" s="3">
        <f t="shared" si="426"/>
        <v>264.06099999999998</v>
      </c>
      <c r="F174" s="3">
        <f t="shared" si="426"/>
        <v>245.62</v>
      </c>
      <c r="G174" s="3">
        <f t="shared" si="426"/>
        <v>201.02799999999999</v>
      </c>
      <c r="H174" s="3">
        <f t="shared" si="426"/>
        <v>235.15199999999999</v>
      </c>
      <c r="I174" s="3">
        <f t="shared" si="426"/>
        <v>230.39699999999999</v>
      </c>
      <c r="J174" s="3">
        <f t="shared" si="426"/>
        <v>248.19800000000001</v>
      </c>
      <c r="K174" s="3">
        <f t="shared" si="426"/>
        <v>331.548</v>
      </c>
      <c r="L174" s="3">
        <f t="shared" si="426"/>
        <v>274.05399999999997</v>
      </c>
      <c r="M174" s="3">
        <f t="shared" si="426"/>
        <v>594.35</v>
      </c>
      <c r="N174" s="3">
        <f t="shared" si="426"/>
        <v>618.79499999999996</v>
      </c>
      <c r="O174" s="3">
        <f t="shared" si="426"/>
        <v>1107.5999999999999</v>
      </c>
      <c r="P174" s="3">
        <f t="shared" si="426"/>
        <v>1335.8</v>
      </c>
      <c r="Q174" s="3">
        <f t="shared" si="426"/>
        <v>1027.5</v>
      </c>
      <c r="R174" s="3">
        <f t="shared" si="426"/>
        <v>1335.8</v>
      </c>
      <c r="S174" s="3">
        <f t="shared" si="426"/>
        <v>1335.8</v>
      </c>
      <c r="T174" s="3">
        <f t="shared" si="426"/>
        <v>1335.8</v>
      </c>
      <c r="U174" s="3">
        <f t="shared" ref="U174:AD174" si="427">U16</f>
        <v>1335.8</v>
      </c>
      <c r="V174" s="3">
        <f t="shared" si="427"/>
        <v>1335.8</v>
      </c>
      <c r="W174" s="3">
        <f t="shared" si="427"/>
        <v>1335.8</v>
      </c>
      <c r="X174" s="3">
        <f t="shared" si="427"/>
        <v>1335.8</v>
      </c>
      <c r="Y174" s="3">
        <f t="shared" si="427"/>
        <v>1335.8</v>
      </c>
      <c r="Z174" s="3">
        <f t="shared" si="427"/>
        <v>1335.8</v>
      </c>
      <c r="AA174" s="3">
        <f t="shared" si="427"/>
        <v>1335.8</v>
      </c>
      <c r="AB174" s="3">
        <f t="shared" si="427"/>
        <v>1335.8</v>
      </c>
      <c r="AC174" s="3">
        <f t="shared" si="427"/>
        <v>1335.8</v>
      </c>
      <c r="AD174" s="3">
        <f t="shared" si="427"/>
        <v>1335.8</v>
      </c>
    </row>
    <row r="175" spans="2:39" hidden="1" outlineLevel="1">
      <c r="B175" s="9" t="s">
        <v>437</v>
      </c>
      <c r="C175" s="3">
        <f t="shared" ref="C175:T175" si="428">C14+C15</f>
        <v>4789.8779999999997</v>
      </c>
      <c r="D175" s="3">
        <f t="shared" si="428"/>
        <v>4443.9320000000007</v>
      </c>
      <c r="E175" s="3">
        <f t="shared" si="428"/>
        <v>4106.0309999999999</v>
      </c>
      <c r="F175" s="3">
        <f t="shared" si="428"/>
        <v>3901.998</v>
      </c>
      <c r="G175" s="3">
        <f t="shared" si="428"/>
        <v>3629.7259999999997</v>
      </c>
      <c r="H175" s="3">
        <f t="shared" si="428"/>
        <v>3299.6790000000001</v>
      </c>
      <c r="I175" s="3">
        <f t="shared" si="428"/>
        <v>3009.6990000000001</v>
      </c>
      <c r="J175" s="3">
        <f t="shared" si="428"/>
        <v>2919.1400000000003</v>
      </c>
      <c r="K175" s="3">
        <f t="shared" si="428"/>
        <v>2754.5050000000001</v>
      </c>
      <c r="L175" s="3">
        <f t="shared" si="428"/>
        <v>2832.8429999999998</v>
      </c>
      <c r="M175" s="3">
        <f t="shared" si="428"/>
        <v>5707.5690000000004</v>
      </c>
      <c r="N175" s="3">
        <f t="shared" si="428"/>
        <v>5788.7560000000003</v>
      </c>
      <c r="O175" s="3">
        <f t="shared" si="428"/>
        <v>6748.9</v>
      </c>
      <c r="P175" s="3">
        <f t="shared" si="428"/>
        <v>7477.6</v>
      </c>
      <c r="Q175" s="3">
        <f t="shared" si="428"/>
        <v>8512.1</v>
      </c>
      <c r="R175" s="3">
        <f t="shared" si="428"/>
        <v>8181.9</v>
      </c>
      <c r="S175" s="3">
        <f t="shared" si="428"/>
        <v>7826.7000000000007</v>
      </c>
      <c r="T175" s="3">
        <f t="shared" si="428"/>
        <v>7446.5</v>
      </c>
      <c r="U175" s="3">
        <f t="shared" ref="U175:AD175" si="429">U14+U15</f>
        <v>7041.3000000000011</v>
      </c>
      <c r="V175" s="3">
        <f t="shared" si="429"/>
        <v>6611.1</v>
      </c>
      <c r="W175" s="3">
        <f t="shared" si="429"/>
        <v>6155.9000000000005</v>
      </c>
      <c r="X175" s="3">
        <f t="shared" si="429"/>
        <v>5675.7000000000007</v>
      </c>
      <c r="Y175" s="3">
        <f t="shared" si="429"/>
        <v>5170.5</v>
      </c>
      <c r="Z175" s="3">
        <f t="shared" si="429"/>
        <v>4640.3</v>
      </c>
      <c r="AA175" s="3">
        <f t="shared" si="429"/>
        <v>4085.1000000000004</v>
      </c>
      <c r="AB175" s="3">
        <f t="shared" si="429"/>
        <v>3504.9000000000005</v>
      </c>
      <c r="AC175" s="3">
        <f t="shared" si="429"/>
        <v>2899.7000000000003</v>
      </c>
      <c r="AD175" s="3">
        <f t="shared" si="429"/>
        <v>2269.5</v>
      </c>
    </row>
    <row r="176" spans="2:39" s="34" customFormat="1" hidden="1" outlineLevel="1">
      <c r="B176" s="46" t="s">
        <v>438</v>
      </c>
      <c r="C176" s="34">
        <f>SUM(C170:C175)</f>
        <v>6924.3719999999994</v>
      </c>
      <c r="D176" s="34">
        <f t="shared" ref="D176:P176" si="430">SUM(D170:D175)</f>
        <v>6773.8610000000008</v>
      </c>
      <c r="E176" s="34">
        <f t="shared" si="430"/>
        <v>6144.2849999999999</v>
      </c>
      <c r="F176" s="34">
        <f t="shared" si="430"/>
        <v>6021.9709999999995</v>
      </c>
      <c r="G176" s="34">
        <f t="shared" si="430"/>
        <v>6454.387999999999</v>
      </c>
      <c r="H176" s="34">
        <f t="shared" si="430"/>
        <v>5967.8890000000001</v>
      </c>
      <c r="I176" s="34">
        <f t="shared" si="430"/>
        <v>5811.4609999999993</v>
      </c>
      <c r="J176" s="34">
        <f t="shared" si="430"/>
        <v>5806.9889999999996</v>
      </c>
      <c r="K176" s="34">
        <f t="shared" si="430"/>
        <v>5713.4859999999999</v>
      </c>
      <c r="L176" s="34">
        <f t="shared" si="430"/>
        <v>6119.3549999999996</v>
      </c>
      <c r="M176" s="34">
        <f t="shared" si="430"/>
        <v>9762.1720000000005</v>
      </c>
      <c r="N176" s="34">
        <f t="shared" si="430"/>
        <v>10717.163</v>
      </c>
      <c r="O176" s="34">
        <f t="shared" si="430"/>
        <v>13001.4</v>
      </c>
      <c r="P176" s="34">
        <f t="shared" si="430"/>
        <v>14851.7</v>
      </c>
      <c r="Q176" s="42">
        <f>SUM(Q170:Q175)</f>
        <v>16373.7</v>
      </c>
      <c r="R176" s="42">
        <f>SUM(R170:R175)</f>
        <v>16682.182160354099</v>
      </c>
      <c r="S176" s="42">
        <f>SUM(S170:S175)</f>
        <v>16443.236174980673</v>
      </c>
      <c r="T176" s="42">
        <f>SUM(T170:T175)</f>
        <v>16233.663737918603</v>
      </c>
      <c r="U176" s="42">
        <f t="shared" ref="U176:AD176" si="431">SUM(U170:U175)</f>
        <v>15897.901531184894</v>
      </c>
      <c r="V176" s="42">
        <f t="shared" si="431"/>
        <v>15461.732614171764</v>
      </c>
      <c r="W176" s="42">
        <f t="shared" si="431"/>
        <v>14964.032724087909</v>
      </c>
      <c r="X176" s="42">
        <f t="shared" si="431"/>
        <v>14408.206186077923</v>
      </c>
      <c r="Y176" s="42">
        <f t="shared" si="431"/>
        <v>13527.090969616231</v>
      </c>
      <c r="Z176" s="42">
        <f t="shared" si="431"/>
        <v>12422.59185391</v>
      </c>
      <c r="AA176" s="42">
        <f t="shared" si="431"/>
        <v>10989.480586278938</v>
      </c>
      <c r="AB176" s="42">
        <f t="shared" si="431"/>
        <v>9844.3612212439912</v>
      </c>
      <c r="AC176" s="42">
        <f t="shared" si="431"/>
        <v>8633.9191977130922</v>
      </c>
      <c r="AD176" s="42">
        <f t="shared" si="431"/>
        <v>7433.5859667629211</v>
      </c>
      <c r="AH176"/>
      <c r="AI176"/>
      <c r="AJ176"/>
      <c r="AK176"/>
      <c r="AL176"/>
      <c r="AM176"/>
    </row>
    <row r="177" spans="2:39" hidden="1" outlineLevel="1">
      <c r="B177" s="9" t="s">
        <v>439</v>
      </c>
      <c r="C177" s="3">
        <f t="shared" ref="C177:T177" si="432">C21</f>
        <v>63.363999999999997</v>
      </c>
      <c r="D177" s="3">
        <f t="shared" si="432"/>
        <v>121.471</v>
      </c>
      <c r="E177" s="3">
        <f t="shared" si="432"/>
        <v>99.78</v>
      </c>
      <c r="F177" s="3">
        <f t="shared" si="432"/>
        <v>100.45699999999999</v>
      </c>
      <c r="G177" s="3">
        <f t="shared" si="432"/>
        <v>90.671999999999997</v>
      </c>
      <c r="H177" s="3">
        <f t="shared" si="432"/>
        <v>107.417</v>
      </c>
      <c r="I177" s="3">
        <f t="shared" si="432"/>
        <v>118.53400000000001</v>
      </c>
      <c r="J177" s="3">
        <f t="shared" si="432"/>
        <v>162.529</v>
      </c>
      <c r="K177" s="3">
        <f t="shared" si="432"/>
        <v>186.44800000000001</v>
      </c>
      <c r="L177" s="3">
        <f t="shared" si="432"/>
        <v>203.999</v>
      </c>
      <c r="M177" s="3">
        <f t="shared" si="432"/>
        <v>219.91300000000001</v>
      </c>
      <c r="N177" s="3">
        <f t="shared" si="432"/>
        <v>229.178</v>
      </c>
      <c r="O177" s="3">
        <f t="shared" si="432"/>
        <v>267.39999999999998</v>
      </c>
      <c r="P177" s="3">
        <f t="shared" si="432"/>
        <v>279.8</v>
      </c>
      <c r="Q177" s="3">
        <f t="shared" si="432"/>
        <v>395.5</v>
      </c>
      <c r="R177" s="3">
        <f t="shared" si="432"/>
        <v>320.5726647292048</v>
      </c>
      <c r="S177" s="3">
        <f t="shared" si="432"/>
        <v>330.97653118541098</v>
      </c>
      <c r="T177" s="3">
        <f t="shared" si="432"/>
        <v>356.23843077743692</v>
      </c>
      <c r="U177" s="3">
        <f t="shared" ref="U177:AD177" si="433">U21</f>
        <v>371.13510137288756</v>
      </c>
      <c r="V177" s="3">
        <f t="shared" si="433"/>
        <v>386.27873030722589</v>
      </c>
      <c r="W177" s="3">
        <f t="shared" si="433"/>
        <v>401.26595726184956</v>
      </c>
      <c r="X177" s="3">
        <f t="shared" si="433"/>
        <v>416.87670042230445</v>
      </c>
      <c r="Y177" s="3">
        <f t="shared" si="433"/>
        <v>420.19317154931576</v>
      </c>
      <c r="Z177" s="3">
        <f t="shared" si="433"/>
        <v>416.67135934188718</v>
      </c>
      <c r="AA177" s="3">
        <f t="shared" si="433"/>
        <v>396.9453837856924</v>
      </c>
      <c r="AB177" s="3">
        <f t="shared" si="433"/>
        <v>403.40956799025582</v>
      </c>
      <c r="AC177" s="3">
        <f t="shared" si="433"/>
        <v>404.68200741098394</v>
      </c>
      <c r="AD177" s="3">
        <f t="shared" si="433"/>
        <v>410.80114507263687</v>
      </c>
    </row>
    <row r="178" spans="2:39" hidden="1" outlineLevel="1">
      <c r="B178" s="9" t="s">
        <v>440</v>
      </c>
      <c r="C178" s="3">
        <f t="shared" ref="C178:T178" si="434">C23</f>
        <v>240.13</v>
      </c>
      <c r="D178" s="3">
        <f t="shared" si="434"/>
        <v>247.80199999999999</v>
      </c>
      <c r="E178" s="3">
        <f t="shared" si="434"/>
        <v>297.83300000000003</v>
      </c>
      <c r="F178" s="3">
        <f t="shared" si="434"/>
        <v>336.86900000000003</v>
      </c>
      <c r="G178" s="3">
        <f t="shared" si="434"/>
        <v>576.09400000000005</v>
      </c>
      <c r="H178" s="3">
        <f t="shared" si="434"/>
        <v>564.87799999999993</v>
      </c>
      <c r="I178" s="3">
        <f t="shared" si="434"/>
        <v>500.755</v>
      </c>
      <c r="J178" s="3">
        <f t="shared" si="434"/>
        <v>665.923</v>
      </c>
      <c r="K178" s="3">
        <f t="shared" si="434"/>
        <v>677.21</v>
      </c>
      <c r="L178" s="3">
        <f t="shared" si="434"/>
        <v>979.94500000000005</v>
      </c>
      <c r="M178" s="3">
        <f t="shared" si="434"/>
        <v>1355.1869999999999</v>
      </c>
      <c r="N178" s="3">
        <f t="shared" si="434"/>
        <v>1819.3340000000001</v>
      </c>
      <c r="O178" s="3">
        <f t="shared" si="434"/>
        <v>2096.8000000000002</v>
      </c>
      <c r="P178" s="3">
        <f t="shared" si="434"/>
        <v>2903.5</v>
      </c>
      <c r="Q178" s="3">
        <f t="shared" si="434"/>
        <v>2901.3</v>
      </c>
      <c r="R178" s="3">
        <f t="shared" si="434"/>
        <v>3313.567912883811</v>
      </c>
      <c r="S178" s="3">
        <f t="shared" si="434"/>
        <v>3187.6893552993979</v>
      </c>
      <c r="T178" s="3">
        <f t="shared" si="434"/>
        <v>3347.0738230643678</v>
      </c>
      <c r="U178" s="3">
        <f t="shared" ref="U178:AD178" si="435">U23</f>
        <v>3430.7506686409765</v>
      </c>
      <c r="V178" s="3">
        <f t="shared" si="435"/>
        <v>3516.5194353570009</v>
      </c>
      <c r="W178" s="3">
        <f t="shared" si="435"/>
        <v>3604.4324212409251</v>
      </c>
      <c r="X178" s="3">
        <f t="shared" si="435"/>
        <v>3694.5432317719483</v>
      </c>
      <c r="Y178" s="3">
        <f t="shared" si="435"/>
        <v>3786.9068125662466</v>
      </c>
      <c r="Z178" s="3">
        <f t="shared" si="435"/>
        <v>3831.934058203467</v>
      </c>
      <c r="AA178" s="3">
        <f t="shared" si="435"/>
        <v>3878.0869849816172</v>
      </c>
      <c r="AB178" s="3">
        <f t="shared" si="435"/>
        <v>3878.0869849816172</v>
      </c>
      <c r="AC178" s="3">
        <f t="shared" si="435"/>
        <v>3878.0869849816172</v>
      </c>
      <c r="AD178" s="3">
        <f t="shared" si="435"/>
        <v>3878.0869849816172</v>
      </c>
    </row>
    <row r="179" spans="2:39" hidden="1" outlineLevel="1">
      <c r="B179" s="9" t="s">
        <v>441</v>
      </c>
      <c r="C179" s="3">
        <f t="shared" ref="C179:T179" si="436">C28</f>
        <v>50.204000000000001</v>
      </c>
      <c r="D179" s="3">
        <f t="shared" si="436"/>
        <v>54.959000000000003</v>
      </c>
      <c r="E179" s="3">
        <f t="shared" si="436"/>
        <v>72.308999999999997</v>
      </c>
      <c r="F179" s="3">
        <f t="shared" si="436"/>
        <v>79.835999999999999</v>
      </c>
      <c r="G179" s="3">
        <f t="shared" si="436"/>
        <v>331.97699999999998</v>
      </c>
      <c r="H179" s="3">
        <f t="shared" si="436"/>
        <v>280.36900000000003</v>
      </c>
      <c r="I179" s="3">
        <f t="shared" si="436"/>
        <v>254.20500000000001</v>
      </c>
      <c r="J179" s="3">
        <f t="shared" si="436"/>
        <v>325.59899999999999</v>
      </c>
      <c r="K179" s="3">
        <f t="shared" si="436"/>
        <v>400.27600000000001</v>
      </c>
      <c r="L179" s="3">
        <f t="shared" si="436"/>
        <v>604.26599999999996</v>
      </c>
      <c r="M179" s="3">
        <f t="shared" si="436"/>
        <v>659.23099999999999</v>
      </c>
      <c r="N179" s="3">
        <f t="shared" si="436"/>
        <v>650.096</v>
      </c>
      <c r="O179" s="3">
        <f t="shared" si="436"/>
        <v>905.8</v>
      </c>
      <c r="P179" s="3">
        <f t="shared" si="436"/>
        <v>722.5</v>
      </c>
      <c r="Q179" s="3">
        <f t="shared" si="436"/>
        <v>1628.7</v>
      </c>
      <c r="R179" s="3">
        <f t="shared" si="436"/>
        <v>824.54031929001326</v>
      </c>
      <c r="S179" s="3">
        <f t="shared" si="436"/>
        <v>793.21699989799038</v>
      </c>
      <c r="T179" s="3">
        <f t="shared" si="436"/>
        <v>832.87784989288991</v>
      </c>
      <c r="U179" s="3">
        <f t="shared" ref="U179:AD179" si="437">U28</f>
        <v>853.69979614021202</v>
      </c>
      <c r="V179" s="3">
        <f t="shared" si="437"/>
        <v>875.04229104371723</v>
      </c>
      <c r="W179" s="3">
        <f t="shared" si="437"/>
        <v>896.91834831981009</v>
      </c>
      <c r="X179" s="3">
        <f t="shared" si="437"/>
        <v>919.34130702780521</v>
      </c>
      <c r="Y179" s="3">
        <f t="shared" si="437"/>
        <v>942.32483970350029</v>
      </c>
      <c r="Z179" s="3">
        <f t="shared" si="437"/>
        <v>953.52931188290154</v>
      </c>
      <c r="AA179" s="3">
        <f t="shared" si="437"/>
        <v>965.01389586678783</v>
      </c>
      <c r="AB179" s="3">
        <f t="shared" si="437"/>
        <v>965.01389586678783</v>
      </c>
      <c r="AC179" s="3">
        <f t="shared" si="437"/>
        <v>965.01389586678783</v>
      </c>
      <c r="AD179" s="3">
        <f t="shared" si="437"/>
        <v>965.01389586678783</v>
      </c>
    </row>
    <row r="180" spans="2:39" s="34" customFormat="1" hidden="1" outlineLevel="1">
      <c r="B180" s="46" t="s">
        <v>442</v>
      </c>
      <c r="C180" s="34">
        <f>SUM(C177:C179)</f>
        <v>353.69799999999998</v>
      </c>
      <c r="D180" s="34">
        <f t="shared" ref="D180:P180" si="438">SUM(D177:D179)</f>
        <v>424.23200000000003</v>
      </c>
      <c r="E180" s="34">
        <f t="shared" si="438"/>
        <v>469.92200000000003</v>
      </c>
      <c r="F180" s="34">
        <f t="shared" si="438"/>
        <v>517.16200000000003</v>
      </c>
      <c r="G180" s="34">
        <f t="shared" si="438"/>
        <v>998.74300000000005</v>
      </c>
      <c r="H180" s="34">
        <f t="shared" si="438"/>
        <v>952.66399999999999</v>
      </c>
      <c r="I180" s="34">
        <f t="shared" si="438"/>
        <v>873.49400000000003</v>
      </c>
      <c r="J180" s="34">
        <f t="shared" si="438"/>
        <v>1154.0509999999999</v>
      </c>
      <c r="K180" s="34">
        <f t="shared" si="438"/>
        <v>1263.934</v>
      </c>
      <c r="L180" s="34">
        <f t="shared" si="438"/>
        <v>1788.21</v>
      </c>
      <c r="M180" s="34">
        <f t="shared" si="438"/>
        <v>2234.3310000000001</v>
      </c>
      <c r="N180" s="34">
        <f t="shared" si="438"/>
        <v>2698.6080000000002</v>
      </c>
      <c r="O180" s="34">
        <f t="shared" si="438"/>
        <v>3270</v>
      </c>
      <c r="P180" s="34">
        <f t="shared" si="438"/>
        <v>3905.8</v>
      </c>
      <c r="Q180" s="34">
        <f>SUM(Q177:Q179)</f>
        <v>4925.5</v>
      </c>
      <c r="R180" s="34">
        <f>SUM(R177:R179)</f>
        <v>4458.680896903029</v>
      </c>
      <c r="S180" s="34">
        <f>SUM(S177:S179)</f>
        <v>4311.8828863827994</v>
      </c>
      <c r="T180" s="34">
        <f>SUM(T177:T179)</f>
        <v>4536.1901037346943</v>
      </c>
      <c r="U180" s="34">
        <f t="shared" ref="U180:AD180" si="439">SUM(U177:U179)</f>
        <v>4655.5855661540763</v>
      </c>
      <c r="V180" s="34">
        <f t="shared" si="439"/>
        <v>4777.8404567079442</v>
      </c>
      <c r="W180" s="34">
        <f t="shared" si="439"/>
        <v>4902.6167268225845</v>
      </c>
      <c r="X180" s="34">
        <f t="shared" si="439"/>
        <v>5030.7612392220581</v>
      </c>
      <c r="Y180" s="34">
        <f t="shared" si="439"/>
        <v>5149.424823819063</v>
      </c>
      <c r="Z180" s="34">
        <f t="shared" si="439"/>
        <v>5202.134729428255</v>
      </c>
      <c r="AA180" s="34">
        <f t="shared" si="439"/>
        <v>5240.0462646340975</v>
      </c>
      <c r="AB180" s="34">
        <f t="shared" si="439"/>
        <v>5246.5104488386605</v>
      </c>
      <c r="AC180" s="34">
        <f t="shared" si="439"/>
        <v>5247.7828882593885</v>
      </c>
      <c r="AD180" s="34">
        <f t="shared" si="439"/>
        <v>5253.902025921042</v>
      </c>
      <c r="AH180"/>
      <c r="AI180"/>
      <c r="AJ180"/>
      <c r="AK180"/>
      <c r="AL180"/>
      <c r="AM180"/>
    </row>
    <row r="181" spans="2:39" s="34" customFormat="1" hidden="1" outlineLevel="1">
      <c r="B181" s="46" t="s">
        <v>443</v>
      </c>
      <c r="C181" s="34">
        <f>C176-C180</f>
        <v>6570.6739999999991</v>
      </c>
      <c r="D181" s="34">
        <f t="shared" ref="D181:P181" si="440">D176-D180</f>
        <v>6349.6290000000008</v>
      </c>
      <c r="E181" s="34">
        <f t="shared" si="440"/>
        <v>5674.3629999999994</v>
      </c>
      <c r="F181" s="34">
        <f t="shared" si="440"/>
        <v>5504.8089999999993</v>
      </c>
      <c r="G181" s="34">
        <f t="shared" si="440"/>
        <v>5455.6449999999986</v>
      </c>
      <c r="H181" s="34">
        <f t="shared" si="440"/>
        <v>5015.2250000000004</v>
      </c>
      <c r="I181" s="34">
        <f t="shared" si="440"/>
        <v>4937.9669999999996</v>
      </c>
      <c r="J181" s="34">
        <f t="shared" si="440"/>
        <v>4652.9380000000001</v>
      </c>
      <c r="K181" s="34">
        <f t="shared" si="440"/>
        <v>4449.5519999999997</v>
      </c>
      <c r="L181" s="34">
        <f t="shared" si="440"/>
        <v>4331.1449999999995</v>
      </c>
      <c r="M181" s="34">
        <f t="shared" si="440"/>
        <v>7527.8410000000003</v>
      </c>
      <c r="N181" s="34">
        <f t="shared" si="440"/>
        <v>8018.5550000000003</v>
      </c>
      <c r="O181" s="34">
        <f t="shared" si="440"/>
        <v>9731.4</v>
      </c>
      <c r="P181" s="34">
        <f t="shared" si="440"/>
        <v>10945.900000000001</v>
      </c>
      <c r="Q181" s="42">
        <f>Q176-Q180</f>
        <v>11448.2</v>
      </c>
      <c r="R181" s="42">
        <f>R176-R180</f>
        <v>12223.501263451071</v>
      </c>
      <c r="S181" s="42">
        <f>S176-S180</f>
        <v>12131.353288597875</v>
      </c>
      <c r="T181" s="42">
        <f>T176-T180</f>
        <v>11697.473634183909</v>
      </c>
      <c r="U181" s="42">
        <f t="shared" ref="U181:AD181" si="441">U176-U180</f>
        <v>11242.315965030819</v>
      </c>
      <c r="V181" s="42">
        <f t="shared" si="441"/>
        <v>10683.892157463819</v>
      </c>
      <c r="W181" s="42">
        <f t="shared" si="441"/>
        <v>10061.415997265325</v>
      </c>
      <c r="X181" s="42">
        <f t="shared" si="441"/>
        <v>9377.4449468558651</v>
      </c>
      <c r="Y181" s="42">
        <f t="shared" si="441"/>
        <v>8377.6661457971677</v>
      </c>
      <c r="Z181" s="42">
        <f t="shared" si="441"/>
        <v>7220.4571244817453</v>
      </c>
      <c r="AA181" s="42">
        <f t="shared" si="441"/>
        <v>5749.4343216448406</v>
      </c>
      <c r="AB181" s="42">
        <f t="shared" si="441"/>
        <v>4597.8507724053306</v>
      </c>
      <c r="AC181" s="42">
        <f t="shared" si="441"/>
        <v>3386.1363094537037</v>
      </c>
      <c r="AD181" s="42">
        <f t="shared" si="441"/>
        <v>2179.6839408418791</v>
      </c>
      <c r="AH181"/>
      <c r="AI181"/>
      <c r="AJ181"/>
      <c r="AK181"/>
      <c r="AL181"/>
      <c r="AM181"/>
    </row>
    <row r="182" spans="2:39" hidden="1" outlineLevel="1">
      <c r="B182" s="9" t="s">
        <v>444</v>
      </c>
      <c r="D182" s="3">
        <f t="shared" ref="D182:O182" si="442">D164/C181</f>
        <v>0.33658069172203647</v>
      </c>
      <c r="E182" s="3">
        <f t="shared" si="442"/>
        <v>0.38151835327701816</v>
      </c>
      <c r="F182" s="3">
        <f t="shared" si="442"/>
        <v>0.47283703915311731</v>
      </c>
      <c r="G182" s="3">
        <f t="shared" si="442"/>
        <v>0.57615386837218152</v>
      </c>
      <c r="H182" s="3">
        <f t="shared" si="442"/>
        <v>0.75105821584798871</v>
      </c>
      <c r="I182" s="3">
        <f t="shared" si="442"/>
        <v>0.87281188780164387</v>
      </c>
      <c r="J182" s="3">
        <f t="shared" si="442"/>
        <v>0.95513457258827372</v>
      </c>
      <c r="K182" s="3">
        <f t="shared" si="442"/>
        <v>1.0821165035940732</v>
      </c>
      <c r="L182" s="3">
        <f t="shared" si="442"/>
        <v>1.2502948611455718</v>
      </c>
      <c r="M182" s="3">
        <f>M164/L181</f>
        <v>1.600677188133854</v>
      </c>
      <c r="N182" s="3">
        <f t="shared" si="442"/>
        <v>1.2889916245574262</v>
      </c>
      <c r="O182" s="3">
        <f t="shared" si="442"/>
        <v>1.3423504608997503</v>
      </c>
      <c r="P182" s="3">
        <f>P164/O181</f>
        <v>1.1764802597776269</v>
      </c>
      <c r="Q182" s="3">
        <f>Q164/P181</f>
        <v>1.1213239660512158</v>
      </c>
      <c r="R182" s="3">
        <f>R164/Q181</f>
        <v>1.12408541492994</v>
      </c>
      <c r="S182" s="3">
        <f>S164/R181</f>
        <v>1.0976390117392092</v>
      </c>
      <c r="T182" s="3">
        <f>T164/S181</f>
        <v>1.1611881912659312</v>
      </c>
      <c r="U182" s="3">
        <f t="shared" ref="U182:AD182" si="443">U164/T181</f>
        <v>1.2487730392626992</v>
      </c>
      <c r="V182" s="3">
        <f t="shared" si="443"/>
        <v>1.3300106650979486</v>
      </c>
      <c r="W182" s="3">
        <f t="shared" si="443"/>
        <v>1.4323347579735788</v>
      </c>
      <c r="X182" s="3">
        <f t="shared" si="443"/>
        <v>1.5565181706718787</v>
      </c>
      <c r="Y182" s="3">
        <f t="shared" si="443"/>
        <v>1.6172092267549201</v>
      </c>
      <c r="Z182" s="3">
        <f t="shared" si="443"/>
        <v>1.7015666395618447</v>
      </c>
      <c r="AA182" s="3">
        <f t="shared" si="443"/>
        <v>1.760103485229648</v>
      </c>
      <c r="AB182" s="3">
        <f t="shared" si="443"/>
        <v>2.1607914452418631</v>
      </c>
      <c r="AC182" s="3">
        <f t="shared" si="443"/>
        <v>2.6722798750207546</v>
      </c>
      <c r="AD182" s="3">
        <f t="shared" si="443"/>
        <v>3.6715063335707079</v>
      </c>
    </row>
    <row r="183" spans="2:39" collapsed="1"/>
    <row r="184" spans="2:39" s="38" customFormat="1">
      <c r="B184" s="36"/>
      <c r="AH184"/>
      <c r="AI184"/>
      <c r="AJ184"/>
      <c r="AK184"/>
      <c r="AL184"/>
      <c r="AM184"/>
    </row>
    <row r="185" spans="2:39" customFormat="1"/>
  </sheetData>
  <phoneticPr fontId="16" type="noConversion"/>
  <pageMargins left="0" right="0" top="0" bottom="0" header="0" footer="0"/>
  <pageSetup paperSize="5" scale="64"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AP110"/>
  <sheetViews>
    <sheetView showGridLines="0" zoomScale="85" zoomScaleNormal="85" workbookViewId="0">
      <pane xSplit="2" ySplit="1" topLeftCell="P2" activePane="bottomRight" state="frozen"/>
      <selection pane="topRight" activeCell="C1" sqref="C1"/>
      <selection pane="bottomLeft" activeCell="A7" sqref="A7"/>
      <selection pane="bottomRight" activeCell="B1" sqref="B1"/>
    </sheetView>
  </sheetViews>
  <sheetFormatPr defaultColWidth="8.7109375" defaultRowHeight="15" outlineLevelRow="1" outlineLevelCol="1"/>
  <cols>
    <col min="1" max="1" width="2.140625" style="1" customWidth="1"/>
    <col min="2" max="2" width="48.28515625" style="1" bestFit="1" customWidth="1"/>
    <col min="3" max="8" width="8.7109375" style="1" hidden="1" customWidth="1" outlineLevel="1"/>
    <col min="9" max="9" width="8.7109375" style="1" hidden="1" customWidth="1" outlineLevel="1" collapsed="1"/>
    <col min="10" max="12" width="8.7109375" style="1" hidden="1" customWidth="1" outlineLevel="1"/>
    <col min="13" max="15" width="10.5703125" style="1" hidden="1" customWidth="1" outlineLevel="1"/>
    <col min="16" max="16" width="8.7109375" style="1" hidden="1" customWidth="1" outlineLevel="1" collapsed="1"/>
    <col min="17" max="17" width="9.140625" style="1" customWidth="1" collapsed="1"/>
    <col min="18" max="29" width="9.140625" style="1" customWidth="1"/>
    <col min="30" max="30" width="9.28515625" style="1" customWidth="1"/>
    <col min="31" max="36" width="9.140625" style="1" customWidth="1"/>
    <col min="37" max="37" width="21.85546875" customWidth="1"/>
    <col min="38" max="42" width="9.140625" customWidth="1"/>
    <col min="43" max="258" width="9.140625" style="1" customWidth="1"/>
    <col min="259" max="259" width="3.42578125" style="1" customWidth="1"/>
    <col min="260" max="260" width="34.28515625" style="1" customWidth="1"/>
    <col min="261" max="261" width="0.85546875" style="1" customWidth="1"/>
    <col min="262" max="266" width="0" style="1" hidden="1" customWidth="1"/>
    <col min="267" max="16384" width="8.7109375" style="1"/>
  </cols>
  <sheetData>
    <row r="1" spans="2:34">
      <c r="C1" s="62">
        <v>2003</v>
      </c>
      <c r="D1" s="62">
        <v>2004</v>
      </c>
      <c r="E1" s="62">
        <v>2005</v>
      </c>
      <c r="F1" s="62">
        <v>2006</v>
      </c>
      <c r="G1" s="62">
        <v>2007</v>
      </c>
      <c r="H1" s="62">
        <v>2008</v>
      </c>
      <c r="I1" s="62">
        <v>2009</v>
      </c>
      <c r="J1" s="62">
        <v>2010</v>
      </c>
      <c r="K1" s="62">
        <v>2011</v>
      </c>
      <c r="L1" s="62">
        <v>2012</v>
      </c>
      <c r="M1" s="62">
        <v>2013</v>
      </c>
      <c r="N1" s="62">
        <v>2014</v>
      </c>
      <c r="O1" s="62">
        <v>2015</v>
      </c>
      <c r="P1" s="540">
        <v>2016</v>
      </c>
      <c r="Q1" s="62">
        <v>2017</v>
      </c>
      <c r="R1" s="543" t="s">
        <v>506</v>
      </c>
      <c r="S1" s="62" t="s">
        <v>511</v>
      </c>
      <c r="T1" s="62" t="s">
        <v>516</v>
      </c>
      <c r="U1" s="394" t="s">
        <v>654</v>
      </c>
      <c r="V1" s="394" t="s">
        <v>655</v>
      </c>
      <c r="W1" s="394" t="s">
        <v>656</v>
      </c>
      <c r="X1" s="394" t="s">
        <v>657</v>
      </c>
      <c r="Y1" s="394" t="s">
        <v>658</v>
      </c>
      <c r="Z1" s="394" t="s">
        <v>659</v>
      </c>
      <c r="AA1" s="394" t="s">
        <v>660</v>
      </c>
      <c r="AB1" s="394" t="s">
        <v>661</v>
      </c>
      <c r="AC1" s="394" t="s">
        <v>662</v>
      </c>
      <c r="AD1" s="394" t="s">
        <v>663</v>
      </c>
      <c r="AE1" s="394"/>
      <c r="AF1" s="394"/>
    </row>
    <row r="2" spans="2:34">
      <c r="B2" s="4"/>
      <c r="P2" s="541"/>
      <c r="R2" s="544"/>
      <c r="AE2" s="432"/>
      <c r="AF2" s="432"/>
    </row>
    <row r="3" spans="2:34">
      <c r="B3" s="9" t="s">
        <v>253</v>
      </c>
      <c r="C3" s="34">
        <v>-875.09699999999998</v>
      </c>
      <c r="D3" s="34">
        <v>25.085999999999999</v>
      </c>
      <c r="E3" s="34">
        <v>160.71100000000001</v>
      </c>
      <c r="F3" s="34">
        <v>217.511</v>
      </c>
      <c r="G3" s="34">
        <v>638.17200000000003</v>
      </c>
      <c r="H3" s="34">
        <v>790.10699999999997</v>
      </c>
      <c r="I3" s="64">
        <v>977.06200000000001</v>
      </c>
      <c r="J3" s="64">
        <v>898.57299999999998</v>
      </c>
      <c r="K3" s="64">
        <v>1266.6859999999999</v>
      </c>
      <c r="L3" s="64">
        <v>1380.0329999999999</v>
      </c>
      <c r="M3" s="280">
        <v>1862.3409999999999</v>
      </c>
      <c r="N3" s="280">
        <v>2941.5650000000001</v>
      </c>
      <c r="O3" s="280">
        <v>3593.2</v>
      </c>
      <c r="P3" s="536">
        <v>3695.7</v>
      </c>
      <c r="Q3" s="64">
        <v>2670.1</v>
      </c>
      <c r="R3" s="545">
        <f>IS!CD43+IS!CD100</f>
        <v>4651.8014500630334</v>
      </c>
      <c r="S3" s="64">
        <f>IS!CI43+IS!CI100</f>
        <v>5156.9833053289613</v>
      </c>
      <c r="T3" s="64">
        <f>IS!CN43+IS!CN100</f>
        <v>5419.4422386335636</v>
      </c>
      <c r="U3" s="64">
        <f>IS!CS43+IS!CS100</f>
        <v>5691.6109366533537</v>
      </c>
      <c r="V3" s="64">
        <f>IS!CX43+IS!CX100</f>
        <v>5826.6369332914019</v>
      </c>
      <c r="W3" s="64">
        <f>IS!DC43+IS!DC100</f>
        <v>5917.9418690389566</v>
      </c>
      <c r="X3" s="64">
        <f>IS!DH43+IS!DH100</f>
        <v>6021.6053995441371</v>
      </c>
      <c r="Y3" s="64">
        <f>IS!DM43+IS!DM100</f>
        <v>5514.6203608474189</v>
      </c>
      <c r="Z3" s="64">
        <f>IS!DR43+IS!DR100</f>
        <v>4776.7673130359726</v>
      </c>
      <c r="AA3" s="64">
        <f>IS!DW43+IS!DW100</f>
        <v>3576.8497838534558</v>
      </c>
      <c r="AB3" s="64">
        <f>IS!EB43+IS!EB100</f>
        <v>3306.4660129257973</v>
      </c>
      <c r="AC3" s="64">
        <f>IS!EG43+IS!EG100</f>
        <v>3175.7935674859746</v>
      </c>
      <c r="AD3" s="64">
        <f>IS!EL43+IS!EL100</f>
        <v>3246.2042304382039</v>
      </c>
      <c r="AE3" s="432"/>
      <c r="AF3" s="432"/>
    </row>
    <row r="4" spans="2:34">
      <c r="B4" s="9" t="s">
        <v>254</v>
      </c>
      <c r="C4" s="3">
        <v>61.308</v>
      </c>
      <c r="D4" s="3">
        <v>439.435</v>
      </c>
      <c r="E4" s="3">
        <v>402.20800000000003</v>
      </c>
      <c r="F4" s="3">
        <v>375.87</v>
      </c>
      <c r="G4" s="3">
        <v>380.29300000000001</v>
      </c>
      <c r="H4" s="3">
        <v>462.05900000000003</v>
      </c>
      <c r="I4" s="64">
        <v>427.96100000000001</v>
      </c>
      <c r="J4" s="64">
        <v>354.101</v>
      </c>
      <c r="K4" s="64">
        <v>358.93299999999999</v>
      </c>
      <c r="L4" s="64">
        <v>365.64800000000002</v>
      </c>
      <c r="M4" s="280">
        <v>531.74</v>
      </c>
      <c r="N4" s="280">
        <v>688.15</v>
      </c>
      <c r="O4" s="280">
        <v>600.4</v>
      </c>
      <c r="P4" s="536">
        <v>682.7</v>
      </c>
      <c r="Q4" s="64">
        <v>1081</v>
      </c>
      <c r="R4" s="545">
        <f t="shared" ref="R4:AD4" si="0">R5+R6</f>
        <v>802.11886864729104</v>
      </c>
      <c r="S4" s="64">
        <f t="shared" si="0"/>
        <v>874.20295349681874</v>
      </c>
      <c r="T4" s="64">
        <f t="shared" si="0"/>
        <v>948.72429458826264</v>
      </c>
      <c r="U4" s="64">
        <f>U5+U6</f>
        <v>1023.2977203711748</v>
      </c>
      <c r="V4" s="64">
        <f t="shared" si="0"/>
        <v>1097.9180223764083</v>
      </c>
      <c r="W4" s="64">
        <f t="shared" si="0"/>
        <v>1172.5805129817313</v>
      </c>
      <c r="X4" s="64">
        <f t="shared" si="0"/>
        <v>1247.2809733271345</v>
      </c>
      <c r="Y4" s="64">
        <f t="shared" si="0"/>
        <v>1322.0156064386099</v>
      </c>
      <c r="Z4" s="64">
        <f t="shared" si="0"/>
        <v>1396.7809950395506</v>
      </c>
      <c r="AA4" s="64">
        <f t="shared" si="0"/>
        <v>1471.5740635810098</v>
      </c>
      <c r="AB4" s="64">
        <f t="shared" si="0"/>
        <v>1546.3920440689358</v>
      </c>
      <c r="AC4" s="64">
        <f t="shared" si="0"/>
        <v>1621.2324453086817</v>
      </c>
      <c r="AD4" s="64">
        <f t="shared" si="0"/>
        <v>1696.0930252250657</v>
      </c>
      <c r="AE4" s="432"/>
      <c r="AF4" s="432"/>
    </row>
    <row r="5" spans="2:34">
      <c r="B5" s="11" t="s">
        <v>255</v>
      </c>
      <c r="C5" s="3">
        <f>C4-C6</f>
        <v>28.107999999999997</v>
      </c>
      <c r="D5" s="3">
        <v>92</v>
      </c>
      <c r="E5" s="3">
        <v>135.80000000000001</v>
      </c>
      <c r="F5" s="3">
        <v>108.4</v>
      </c>
      <c r="G5" s="3">
        <v>122.6</v>
      </c>
      <c r="H5" s="3">
        <v>129.1</v>
      </c>
      <c r="I5" s="64">
        <v>137.9</v>
      </c>
      <c r="J5" s="64">
        <v>144.9</v>
      </c>
      <c r="K5" s="64">
        <v>143.9</v>
      </c>
      <c r="L5" s="64">
        <v>164.3</v>
      </c>
      <c r="M5" s="64">
        <f>M4-M6</f>
        <v>188.79200000000003</v>
      </c>
      <c r="N5" s="64">
        <f>N4-N6</f>
        <v>198.38899999999995</v>
      </c>
      <c r="O5" s="64">
        <f>O4-O6</f>
        <v>217.79999999999995</v>
      </c>
      <c r="P5" s="536">
        <f>P4-P6</f>
        <v>360.00000000000006</v>
      </c>
      <c r="Q5" s="536">
        <f>Q4-Q6</f>
        <v>753.5</v>
      </c>
      <c r="R5" s="545">
        <f>BS!R141</f>
        <v>471.91886864729099</v>
      </c>
      <c r="S5" s="64">
        <f>BS!S141</f>
        <v>519.0029534968188</v>
      </c>
      <c r="T5" s="64">
        <f>BS!T141</f>
        <v>568.52429458826271</v>
      </c>
      <c r="U5" s="64">
        <f>BS!U141</f>
        <v>618.09772037117489</v>
      </c>
      <c r="V5" s="64">
        <f>BS!V141</f>
        <v>667.71802237640838</v>
      </c>
      <c r="W5" s="64">
        <f>BS!W141</f>
        <v>717.38051298173127</v>
      </c>
      <c r="X5" s="64">
        <f>BS!X141</f>
        <v>767.08097332713442</v>
      </c>
      <c r="Y5" s="64">
        <f>BS!Y141</f>
        <v>816.81560643860996</v>
      </c>
      <c r="Z5" s="64">
        <f>BS!Z141</f>
        <v>866.58099503955054</v>
      </c>
      <c r="AA5" s="64">
        <f>BS!AA141</f>
        <v>916.37406358100975</v>
      </c>
      <c r="AB5" s="64">
        <f>BS!AB141</f>
        <v>966.19204406893562</v>
      </c>
      <c r="AC5" s="64">
        <f>BS!AC141</f>
        <v>1016.0324453086815</v>
      </c>
      <c r="AD5" s="64">
        <f>BS!AD141</f>
        <v>1065.8930252250657</v>
      </c>
      <c r="AE5" s="432"/>
      <c r="AF5" s="432"/>
    </row>
    <row r="6" spans="2:34">
      <c r="B6" s="11" t="s">
        <v>256</v>
      </c>
      <c r="C6" s="3">
        <v>33.200000000000003</v>
      </c>
      <c r="D6" s="3">
        <f t="shared" ref="D6:L6" si="1">+D4-D5</f>
        <v>347.435</v>
      </c>
      <c r="E6" s="3">
        <f t="shared" si="1"/>
        <v>266.40800000000002</v>
      </c>
      <c r="F6" s="3">
        <f t="shared" si="1"/>
        <v>267.47000000000003</v>
      </c>
      <c r="G6" s="3">
        <f t="shared" si="1"/>
        <v>257.69299999999998</v>
      </c>
      <c r="H6" s="3">
        <f t="shared" si="1"/>
        <v>332.95900000000006</v>
      </c>
      <c r="I6" s="64">
        <f t="shared" si="1"/>
        <v>290.06100000000004</v>
      </c>
      <c r="J6" s="64">
        <f t="shared" si="1"/>
        <v>209.20099999999999</v>
      </c>
      <c r="K6" s="64">
        <f t="shared" si="1"/>
        <v>215.03299999999999</v>
      </c>
      <c r="L6" s="64">
        <f t="shared" si="1"/>
        <v>201.34800000000001</v>
      </c>
      <c r="M6" s="280">
        <v>342.94799999999998</v>
      </c>
      <c r="N6" s="280">
        <v>489.76100000000002</v>
      </c>
      <c r="O6" s="280">
        <v>382.6</v>
      </c>
      <c r="P6" s="536">
        <f>BS!P160</f>
        <v>322.7</v>
      </c>
      <c r="Q6" s="64">
        <f>BS!Q160</f>
        <v>327.5</v>
      </c>
      <c r="R6" s="545">
        <f>BS!R160</f>
        <v>330.2</v>
      </c>
      <c r="S6" s="64">
        <f>BS!S160</f>
        <v>355.2</v>
      </c>
      <c r="T6" s="64">
        <f>BS!T160</f>
        <v>380.2</v>
      </c>
      <c r="U6" s="64">
        <f>BS!U160</f>
        <v>405.2</v>
      </c>
      <c r="V6" s="64">
        <f>BS!V160</f>
        <v>430.2</v>
      </c>
      <c r="W6" s="64">
        <f>BS!W160</f>
        <v>455.2</v>
      </c>
      <c r="X6" s="64">
        <f>BS!X160</f>
        <v>480.2</v>
      </c>
      <c r="Y6" s="64">
        <f>BS!Y160</f>
        <v>505.2</v>
      </c>
      <c r="Z6" s="64">
        <f>BS!Z160</f>
        <v>530.20000000000005</v>
      </c>
      <c r="AA6" s="64">
        <f>BS!AA160</f>
        <v>555.20000000000005</v>
      </c>
      <c r="AB6" s="64">
        <f>BS!AB160</f>
        <v>580.20000000000005</v>
      </c>
      <c r="AC6" s="64">
        <f>BS!AC160</f>
        <v>605.20000000000005</v>
      </c>
      <c r="AD6" s="64">
        <f>BS!AD160</f>
        <v>630.20000000000005</v>
      </c>
      <c r="AE6" s="432"/>
      <c r="AF6" s="432"/>
      <c r="AH6" s="298"/>
    </row>
    <row r="7" spans="2:34">
      <c r="B7" s="9" t="s">
        <v>260</v>
      </c>
      <c r="C7" s="3">
        <v>0</v>
      </c>
      <c r="D7" s="3">
        <v>16.795000000000002</v>
      </c>
      <c r="E7" s="3">
        <v>38.145000000000003</v>
      </c>
      <c r="F7" s="3">
        <v>126.783</v>
      </c>
      <c r="G7" s="3">
        <v>123.129</v>
      </c>
      <c r="H7" s="3">
        <v>146.20699999999999</v>
      </c>
      <c r="I7" s="64">
        <v>160.90199999999999</v>
      </c>
      <c r="J7" s="64">
        <v>167.82599999999999</v>
      </c>
      <c r="K7" s="64">
        <v>113.005</v>
      </c>
      <c r="L7" s="64">
        <v>118.566</v>
      </c>
      <c r="M7" s="280">
        <v>136.29300000000001</v>
      </c>
      <c r="N7" s="280">
        <v>155.30199999999999</v>
      </c>
      <c r="O7" s="280">
        <v>161.4</v>
      </c>
      <c r="P7" s="536">
        <v>154.80000000000001</v>
      </c>
      <c r="Q7" s="64">
        <v>128</v>
      </c>
      <c r="R7" s="545">
        <f>IS!CD50+100</f>
        <v>100</v>
      </c>
      <c r="S7" s="64">
        <f>IS!CI50+100</f>
        <v>100</v>
      </c>
      <c r="T7" s="64">
        <f>IS!CN50+100</f>
        <v>100</v>
      </c>
      <c r="U7" s="64">
        <f>IS!CS50+100</f>
        <v>100</v>
      </c>
      <c r="V7" s="64">
        <f>IS!CX50+100</f>
        <v>100</v>
      </c>
      <c r="W7" s="64">
        <f>IS!DC50+100</f>
        <v>100</v>
      </c>
      <c r="X7" s="64">
        <f>IS!DH50+100</f>
        <v>100</v>
      </c>
      <c r="Y7" s="64">
        <f>IS!DM50+100</f>
        <v>100</v>
      </c>
      <c r="Z7" s="64">
        <f>IS!DR50+100</f>
        <v>100</v>
      </c>
      <c r="AA7" s="64">
        <f>IS!DW50+100</f>
        <v>100</v>
      </c>
      <c r="AB7" s="64">
        <f>IS!EB50+100</f>
        <v>123.33389599236466</v>
      </c>
      <c r="AC7" s="64">
        <f>IS!EG50+100</f>
        <v>123.33389599236466</v>
      </c>
      <c r="AD7" s="64">
        <f>IS!EL50+100</f>
        <v>123.33389599236466</v>
      </c>
      <c r="AE7" s="432"/>
      <c r="AF7" s="432"/>
    </row>
    <row r="8" spans="2:34">
      <c r="B8" s="9" t="s">
        <v>259</v>
      </c>
      <c r="C8" s="3">
        <v>-27.266999999999999</v>
      </c>
      <c r="D8" s="3">
        <v>-135.553</v>
      </c>
      <c r="E8" s="3">
        <v>-115.539</v>
      </c>
      <c r="F8" s="3">
        <v>-106.337</v>
      </c>
      <c r="G8" s="3">
        <v>-81.555000000000007</v>
      </c>
      <c r="H8" s="3">
        <v>-139.54900000000001</v>
      </c>
      <c r="I8" s="64">
        <v>-137.351</v>
      </c>
      <c r="J8" s="64">
        <v>-81.41</v>
      </c>
      <c r="K8" s="64">
        <v>153.57599999999999</v>
      </c>
      <c r="L8" s="64">
        <v>-116.9</v>
      </c>
      <c r="M8" s="280">
        <v>-245.077</v>
      </c>
      <c r="N8" s="280">
        <v>-308.22199999999998</v>
      </c>
      <c r="O8" s="280">
        <v>-145.6</v>
      </c>
      <c r="P8" s="536">
        <v>-175</v>
      </c>
      <c r="Q8" s="64">
        <f>-(BS!Q8-BS!P8)</f>
        <v>0</v>
      </c>
      <c r="R8" s="545">
        <f>-(BS!R8-BS!Q8)</f>
        <v>0</v>
      </c>
      <c r="S8" s="64">
        <f>-(BS!S8-BS!R8)</f>
        <v>0</v>
      </c>
      <c r="T8" s="64">
        <f>-(BS!T8-BS!S8)</f>
        <v>0</v>
      </c>
      <c r="U8" s="64">
        <f>-(BS!U8-BS!T8)</f>
        <v>0</v>
      </c>
      <c r="V8" s="64">
        <f>-(BS!V8-BS!U8)</f>
        <v>0</v>
      </c>
      <c r="W8" s="64">
        <f>-(BS!W8-BS!V8)</f>
        <v>0</v>
      </c>
      <c r="X8" s="64">
        <f>-(BS!X8-BS!W8)</f>
        <v>0</v>
      </c>
      <c r="Y8" s="64">
        <f>-(BS!Y8-BS!X8)</f>
        <v>0</v>
      </c>
      <c r="Z8" s="64">
        <f>-(BS!Z8-BS!Y8)</f>
        <v>0</v>
      </c>
      <c r="AA8" s="64">
        <f>-(BS!AA8-BS!Z8)</f>
        <v>0</v>
      </c>
      <c r="AB8" s="64">
        <f>-(BS!AB8-BS!AA8)</f>
        <v>0</v>
      </c>
      <c r="AC8" s="64">
        <f>-(BS!AC8-BS!AB8)</f>
        <v>0</v>
      </c>
      <c r="AD8" s="64">
        <f>-(BS!AD8-BS!AC8)</f>
        <v>0</v>
      </c>
      <c r="AE8" s="432"/>
      <c r="AF8" s="432"/>
    </row>
    <row r="9" spans="2:34" hidden="1" outlineLevel="1">
      <c r="B9" s="11" t="s">
        <v>75</v>
      </c>
      <c r="C9" s="3">
        <f>173.896+79.097+2.643</f>
        <v>255.636</v>
      </c>
      <c r="D9" s="3">
        <f>43.358+289.505+18.482+2.577+0.83</f>
        <v>354.75200000000001</v>
      </c>
      <c r="E9" s="3">
        <f>84.047+33.724+3.874+118.112</f>
        <v>239.75699999999998</v>
      </c>
      <c r="F9" s="3">
        <f>6.77-6.14+12.989-16.507+34.424</f>
        <v>31.535999999999998</v>
      </c>
      <c r="G9" s="3">
        <f>-58.427+21.599-0.36+24.445</f>
        <v>-12.743000000000002</v>
      </c>
      <c r="H9" s="3">
        <f>29.85+61.644-9.242+53.873</f>
        <v>136.125</v>
      </c>
      <c r="I9" s="64">
        <f>16.924+16.184</f>
        <v>33.108000000000004</v>
      </c>
      <c r="J9" s="64">
        <f>11.808+20.846+1.643</f>
        <v>34.296999999999997</v>
      </c>
      <c r="K9" s="64">
        <f>36.065+25.446+8.619-15.062</f>
        <v>55.067999999999998</v>
      </c>
      <c r="L9" s="64">
        <f>31.537+24.821+27.202</f>
        <v>83.56</v>
      </c>
      <c r="M9" s="280"/>
      <c r="N9" s="64"/>
      <c r="O9" s="64"/>
      <c r="P9" s="536"/>
      <c r="Q9" s="64">
        <f>91.7+62.7+162.1</f>
        <v>316.5</v>
      </c>
      <c r="R9" s="545"/>
      <c r="S9" s="64"/>
      <c r="T9" s="64"/>
      <c r="U9" s="64"/>
      <c r="V9" s="64"/>
      <c r="W9" s="64"/>
      <c r="X9" s="64"/>
      <c r="Y9" s="64"/>
      <c r="Z9" s="64"/>
      <c r="AA9" s="64"/>
      <c r="AB9" s="64"/>
      <c r="AC9" s="64"/>
      <c r="AD9" s="64"/>
      <c r="AE9" s="432"/>
      <c r="AF9" s="432"/>
    </row>
    <row r="10" spans="2:34" hidden="1" outlineLevel="1">
      <c r="B10" s="11" t="s">
        <v>261</v>
      </c>
      <c r="C10" s="3">
        <v>23.373000000000001</v>
      </c>
      <c r="D10" s="3">
        <v>144.55000000000001</v>
      </c>
      <c r="E10" s="3">
        <v>0</v>
      </c>
      <c r="F10" s="3">
        <v>-31.681999999999999</v>
      </c>
      <c r="G10" s="3">
        <v>-69.665999999999997</v>
      </c>
      <c r="H10" s="3">
        <v>-27.99</v>
      </c>
      <c r="I10" s="64">
        <v>-3.4359999999999999</v>
      </c>
      <c r="J10" s="64">
        <v>-13.135999999999999</v>
      </c>
      <c r="K10" s="64">
        <v>-50.585999999999999</v>
      </c>
      <c r="L10" s="64">
        <v>-54.738</v>
      </c>
      <c r="M10" s="64">
        <f>M14</f>
        <v>-27.611999999999998</v>
      </c>
      <c r="N10" s="64">
        <f>N14</f>
        <v>-50.32</v>
      </c>
      <c r="O10" s="64">
        <f t="shared" ref="O10:AD10" si="2">O14</f>
        <v>82.2</v>
      </c>
      <c r="P10" s="536">
        <f t="shared" si="2"/>
        <v>91.2</v>
      </c>
      <c r="Q10" s="64">
        <v>0</v>
      </c>
      <c r="R10" s="545">
        <f t="shared" si="2"/>
        <v>-308.24213957178745</v>
      </c>
      <c r="S10" s="64">
        <f t="shared" si="2"/>
        <v>0</v>
      </c>
      <c r="T10" s="64">
        <f t="shared" si="2"/>
        <v>0</v>
      </c>
      <c r="U10" s="64">
        <f t="shared" si="2"/>
        <v>0</v>
      </c>
      <c r="V10" s="64">
        <f t="shared" si="2"/>
        <v>0</v>
      </c>
      <c r="W10" s="64">
        <f t="shared" si="2"/>
        <v>0</v>
      </c>
      <c r="X10" s="64">
        <f t="shared" si="2"/>
        <v>0</v>
      </c>
      <c r="Y10" s="64">
        <f t="shared" si="2"/>
        <v>0</v>
      </c>
      <c r="Z10" s="64">
        <f t="shared" si="2"/>
        <v>0</v>
      </c>
      <c r="AA10" s="64">
        <f t="shared" si="2"/>
        <v>0</v>
      </c>
      <c r="AB10" s="64">
        <f t="shared" si="2"/>
        <v>0</v>
      </c>
      <c r="AC10" s="64">
        <f t="shared" si="2"/>
        <v>0</v>
      </c>
      <c r="AD10" s="64">
        <f t="shared" si="2"/>
        <v>0</v>
      </c>
      <c r="AE10" s="432"/>
      <c r="AF10" s="432"/>
      <c r="AH10" s="1" t="s">
        <v>624</v>
      </c>
    </row>
    <row r="11" spans="2:34" hidden="1" outlineLevel="1">
      <c r="B11" s="11" t="s">
        <v>262</v>
      </c>
      <c r="C11" s="3">
        <v>-2.153</v>
      </c>
      <c r="D11" s="3">
        <v>4.09</v>
      </c>
      <c r="E11" s="3">
        <v>5.2640000000000002</v>
      </c>
      <c r="F11" s="3">
        <v>-1.169</v>
      </c>
      <c r="G11" s="3">
        <v>-16.731999999999999</v>
      </c>
      <c r="H11" s="3">
        <v>1.0780000000000001</v>
      </c>
      <c r="I11" s="64">
        <v>-23.974</v>
      </c>
      <c r="J11" s="64">
        <v>-16.321000000000002</v>
      </c>
      <c r="K11" s="64">
        <v>0</v>
      </c>
      <c r="L11" s="64">
        <v>0</v>
      </c>
      <c r="M11" s="280"/>
      <c r="N11" s="64"/>
      <c r="O11" s="64"/>
      <c r="P11" s="536"/>
      <c r="Q11" s="64"/>
      <c r="R11" s="545"/>
      <c r="S11" s="64"/>
      <c r="T11" s="64"/>
      <c r="U11" s="64"/>
      <c r="V11" s="64"/>
      <c r="W11" s="64"/>
      <c r="X11" s="64"/>
      <c r="Y11" s="64"/>
      <c r="Z11" s="64"/>
      <c r="AA11" s="64"/>
      <c r="AB11" s="64"/>
      <c r="AC11" s="64"/>
      <c r="AD11" s="64"/>
      <c r="AE11" s="432"/>
      <c r="AF11" s="432"/>
    </row>
    <row r="12" spans="2:34" hidden="1" outlineLevel="1">
      <c r="B12" s="11" t="s">
        <v>257</v>
      </c>
      <c r="C12" s="3">
        <v>823</v>
      </c>
      <c r="D12" s="3">
        <v>0</v>
      </c>
      <c r="E12" s="3">
        <v>0</v>
      </c>
      <c r="F12" s="3">
        <v>330.52</v>
      </c>
      <c r="G12" s="3">
        <v>136.172</v>
      </c>
      <c r="H12" s="3">
        <v>25</v>
      </c>
      <c r="I12" s="64">
        <v>0</v>
      </c>
      <c r="J12" s="64">
        <v>271.37599999999998</v>
      </c>
      <c r="K12" s="64">
        <v>0</v>
      </c>
      <c r="L12" s="64">
        <v>0</v>
      </c>
      <c r="M12" s="280"/>
      <c r="N12" s="64"/>
      <c r="O12" s="64"/>
      <c r="P12" s="536"/>
      <c r="Q12" s="64">
        <v>120</v>
      </c>
      <c r="R12" s="545"/>
      <c r="S12" s="64"/>
      <c r="T12" s="64"/>
      <c r="U12" s="64"/>
      <c r="V12" s="64"/>
      <c r="W12" s="64"/>
      <c r="X12" s="64"/>
      <c r="Y12" s="64"/>
      <c r="Z12" s="64"/>
      <c r="AA12" s="64"/>
      <c r="AB12" s="64"/>
      <c r="AC12" s="64"/>
      <c r="AD12" s="64"/>
      <c r="AE12" s="432"/>
      <c r="AF12" s="432"/>
    </row>
    <row r="13" spans="2:34" hidden="1" outlineLevel="1">
      <c r="B13" s="11" t="s">
        <v>258</v>
      </c>
      <c r="C13" s="3">
        <v>41.225999999999999</v>
      </c>
      <c r="D13" s="3">
        <v>55.002000000000002</v>
      </c>
      <c r="E13" s="3">
        <v>19.181000000000001</v>
      </c>
      <c r="F13" s="3">
        <v>1.5209999999999999</v>
      </c>
      <c r="G13" s="3">
        <v>1.444</v>
      </c>
      <c r="H13" s="3">
        <v>-4.9340000000000002</v>
      </c>
      <c r="I13" s="64">
        <v>-7.8920000000000003</v>
      </c>
      <c r="J13" s="64">
        <v>5.8079999999999998</v>
      </c>
      <c r="K13" s="64">
        <v>15.670999999999999</v>
      </c>
      <c r="L13" s="64">
        <v>0</v>
      </c>
      <c r="M13" s="280"/>
      <c r="N13" s="64"/>
      <c r="O13" s="64"/>
      <c r="P13" s="536"/>
      <c r="Q13" s="64"/>
      <c r="R13" s="545"/>
      <c r="S13" s="64"/>
      <c r="T13" s="64"/>
      <c r="U13" s="64"/>
      <c r="V13" s="64"/>
      <c r="W13" s="64"/>
      <c r="X13" s="64"/>
      <c r="Y13" s="64"/>
      <c r="Z13" s="64"/>
      <c r="AA13" s="64"/>
      <c r="AB13" s="64"/>
      <c r="AC13" s="64"/>
      <c r="AD13" s="64"/>
      <c r="AE13" s="432"/>
      <c r="AF13" s="432"/>
    </row>
    <row r="14" spans="2:34" collapsed="1">
      <c r="B14" s="9" t="s">
        <v>75</v>
      </c>
      <c r="C14" s="64">
        <f t="shared" ref="C14:H14" si="3">SUM(C9:C13)</f>
        <v>1141.0819999999999</v>
      </c>
      <c r="D14" s="64">
        <f t="shared" si="3"/>
        <v>558.39400000000001</v>
      </c>
      <c r="E14" s="64">
        <f t="shared" si="3"/>
        <v>264.202</v>
      </c>
      <c r="F14" s="64">
        <f t="shared" si="3"/>
        <v>330.726</v>
      </c>
      <c r="G14" s="64">
        <f t="shared" si="3"/>
        <v>38.475000000000009</v>
      </c>
      <c r="H14" s="64">
        <f t="shared" si="3"/>
        <v>129.27900000000002</v>
      </c>
      <c r="I14" s="64">
        <f>SUM(I9:I13)</f>
        <v>-2.1939999999999964</v>
      </c>
      <c r="J14" s="64">
        <f t="shared" ref="J14:L14" si="4">SUM(J9:J13)</f>
        <v>282.02399999999994</v>
      </c>
      <c r="K14" s="64">
        <f t="shared" si="4"/>
        <v>20.152999999999999</v>
      </c>
      <c r="L14" s="64">
        <f t="shared" si="4"/>
        <v>28.822000000000003</v>
      </c>
      <c r="M14" s="280">
        <v>-27.611999999999998</v>
      </c>
      <c r="N14" s="280">
        <v>-50.32</v>
      </c>
      <c r="O14" s="280">
        <v>82.2</v>
      </c>
      <c r="P14" s="536">
        <v>91.2</v>
      </c>
      <c r="Q14" s="64">
        <f>SUM(Q9:Q13)</f>
        <v>436.5</v>
      </c>
      <c r="R14" s="545">
        <f>-(BS!R16-BS!Q16)+DEBT!AP40</f>
        <v>-308.24213957178745</v>
      </c>
      <c r="S14" s="64">
        <f>-(BS!S16-BS!R16)+DEBT!AU40</f>
        <v>0</v>
      </c>
      <c r="T14" s="64">
        <f>-(BS!T16-BS!S16)+DEBT!AZ40</f>
        <v>0</v>
      </c>
      <c r="U14" s="64">
        <f>-(BS!U16-BS!T16)+DEBT!BE40</f>
        <v>0</v>
      </c>
      <c r="V14" s="64">
        <f>-(BS!V16-BS!U16)+DEBT!BJ40</f>
        <v>0</v>
      </c>
      <c r="W14" s="64">
        <f>-(BS!W16-BS!V16)+DEBT!BO40</f>
        <v>0</v>
      </c>
      <c r="X14" s="64">
        <f>-(BS!X16-BS!W16)+DEBT!BT40</f>
        <v>0</v>
      </c>
      <c r="Y14" s="64">
        <f>-(BS!Y16-BS!X16)+DEBT!BY40</f>
        <v>0</v>
      </c>
      <c r="Z14" s="64">
        <f>-(BS!Z16-BS!Y16)+DEBT!CD40</f>
        <v>0</v>
      </c>
      <c r="AA14" s="64">
        <f>-(BS!AA16-BS!Z16)+DEBT!CI40</f>
        <v>0</v>
      </c>
      <c r="AB14" s="64">
        <f>-(BS!AB16-BS!AA16)+DEBT!CN40</f>
        <v>0</v>
      </c>
      <c r="AC14" s="64">
        <f>-(BS!AC16-BS!AB16)+DEBT!CS40</f>
        <v>0</v>
      </c>
      <c r="AD14" s="64">
        <f>-(BS!AD16-BS!AC16)+DEBT!CX40</f>
        <v>0</v>
      </c>
      <c r="AE14" s="432"/>
      <c r="AF14" s="432"/>
    </row>
    <row r="15" spans="2:34">
      <c r="B15" s="9" t="s">
        <v>263</v>
      </c>
      <c r="C15" s="3"/>
      <c r="D15" s="3"/>
      <c r="E15" s="3"/>
      <c r="F15" s="3"/>
      <c r="G15" s="3"/>
      <c r="H15" s="3"/>
      <c r="I15" s="64"/>
      <c r="J15" s="64"/>
      <c r="K15" s="64"/>
      <c r="L15" s="64"/>
      <c r="M15" s="64"/>
      <c r="N15" s="64"/>
      <c r="O15" s="64"/>
      <c r="P15" s="536"/>
      <c r="Q15" s="64"/>
      <c r="R15" s="545"/>
      <c r="S15" s="64"/>
      <c r="T15" s="64"/>
      <c r="U15" s="64"/>
      <c r="V15" s="64"/>
      <c r="W15" s="64"/>
      <c r="X15" s="64"/>
      <c r="Y15" s="64"/>
      <c r="Z15" s="64"/>
      <c r="AA15" s="64"/>
      <c r="AB15" s="64"/>
      <c r="AC15" s="64"/>
      <c r="AD15" s="64"/>
      <c r="AE15" s="432"/>
      <c r="AF15" s="432"/>
    </row>
    <row r="16" spans="2:34">
      <c r="B16" s="11" t="s">
        <v>264</v>
      </c>
      <c r="C16" s="3">
        <v>22.617999999999999</v>
      </c>
      <c r="D16" s="3">
        <v>-76.528999999999996</v>
      </c>
      <c r="E16" s="3">
        <v>-8.5180000000000007</v>
      </c>
      <c r="F16" s="3">
        <v>-37.009</v>
      </c>
      <c r="G16" s="3">
        <v>-70.700999999999993</v>
      </c>
      <c r="H16" s="3">
        <v>-57.564999999999998</v>
      </c>
      <c r="I16" s="64">
        <v>-100.44199999999999</v>
      </c>
      <c r="J16" s="64">
        <v>-99.227000000000004</v>
      </c>
      <c r="K16" s="64">
        <v>-73.373999999999995</v>
      </c>
      <c r="L16" s="64">
        <v>3.5710000000000002</v>
      </c>
      <c r="M16" s="280">
        <v>-126.753</v>
      </c>
      <c r="N16" s="280">
        <v>-512.38900000000001</v>
      </c>
      <c r="O16" s="280">
        <v>29</v>
      </c>
      <c r="P16" s="536">
        <v>-241.4</v>
      </c>
      <c r="Q16" s="64">
        <v>-435.6</v>
      </c>
      <c r="R16" s="545">
        <f>-(BS!R5-BS!Q5)</f>
        <v>166.60339080035669</v>
      </c>
      <c r="S16" s="64">
        <f>-(BS!S5-BS!R5)</f>
        <v>-69.032452916697366</v>
      </c>
      <c r="T16" s="64">
        <f>-(BS!T5-BS!S5)</f>
        <v>-84.338326423701346</v>
      </c>
      <c r="U16" s="64">
        <f>-(BS!U5-BS!T5)</f>
        <v>-65.565742809475523</v>
      </c>
      <c r="V16" s="64">
        <f>-(BS!V5-BS!U5)</f>
        <v>-43.43013056601967</v>
      </c>
      <c r="W16" s="64">
        <f>-(BS!W5-BS!V5)</f>
        <v>-44.135206242754748</v>
      </c>
      <c r="X16" s="64">
        <f>-(BS!X5-BS!W5)</f>
        <v>-45.061550989414172</v>
      </c>
      <c r="Y16" s="64">
        <f>-(BS!Y5-BS!X5)</f>
        <v>62.39021511040778</v>
      </c>
      <c r="Z16" s="64">
        <f>-(BS!Z5-BS!Y5)</f>
        <v>114.60136504649654</v>
      </c>
      <c r="AA16" s="64">
        <f>-(BS!AA5-BS!Z5)</f>
        <v>194.71893489938157</v>
      </c>
      <c r="AB16" s="64">
        <f>-(BS!AB5-BS!AA5)</f>
        <v>35.939675851841912</v>
      </c>
      <c r="AC16" s="64">
        <f>-(BS!AC5-BS!AB5)</f>
        <v>17.198316424875657</v>
      </c>
      <c r="AD16" s="64">
        <f>-(BS!AD5-BS!AC5)</f>
        <v>-18.318023053609522</v>
      </c>
      <c r="AE16" s="432"/>
      <c r="AF16" s="432"/>
    </row>
    <row r="17" spans="2:34">
      <c r="B17" s="11" t="s">
        <v>265</v>
      </c>
      <c r="C17" s="3">
        <v>-8.7200000000000006</v>
      </c>
      <c r="D17" s="3">
        <v>-90.804000000000002</v>
      </c>
      <c r="E17" s="3">
        <v>-15.846</v>
      </c>
      <c r="F17" s="3">
        <v>-36.637</v>
      </c>
      <c r="G17" s="3">
        <v>-83.191999999999993</v>
      </c>
      <c r="H17" s="3">
        <v>-54.204000000000001</v>
      </c>
      <c r="I17" s="64">
        <v>-42.771999999999998</v>
      </c>
      <c r="J17" s="64">
        <v>-4.5270000000000001</v>
      </c>
      <c r="K17" s="64">
        <v>-59.219000000000001</v>
      </c>
      <c r="L17" s="64">
        <v>-140.309</v>
      </c>
      <c r="M17" s="280">
        <v>-243.96</v>
      </c>
      <c r="N17" s="280">
        <v>-185.917</v>
      </c>
      <c r="O17" s="280">
        <v>-174.4</v>
      </c>
      <c r="P17" s="536">
        <v>-165.6</v>
      </c>
      <c r="Q17" s="64">
        <v>-94.5</v>
      </c>
      <c r="R17" s="545">
        <f>-(BS!R6-BS!Q6)</f>
        <v>-244.85389918788951</v>
      </c>
      <c r="S17" s="64">
        <f>-(BS!S6-BS!R6)</f>
        <v>-37.24271852228776</v>
      </c>
      <c r="T17" s="64">
        <f>-(BS!T6-BS!S6)</f>
        <v>-90.430016552441884</v>
      </c>
      <c r="U17" s="64">
        <f>-(BS!U6-BS!T6)</f>
        <v>-53.32560853610903</v>
      </c>
      <c r="V17" s="64">
        <f>-(BS!V6-BS!U6)</f>
        <v>-54.209645248868128</v>
      </c>
      <c r="W17" s="64">
        <f>-(BS!W6-BS!V6)</f>
        <v>-53.649773115622111</v>
      </c>
      <c r="X17" s="64">
        <f>-(BS!X6-BS!W6)</f>
        <v>-55.881773943930057</v>
      </c>
      <c r="Y17" s="64">
        <f>-(BS!Y6-BS!X6)</f>
        <v>-11.871970982181892</v>
      </c>
      <c r="Z17" s="64">
        <f>-(BS!Z6-BS!Y6)</f>
        <v>12.607030403718454</v>
      </c>
      <c r="AA17" s="64">
        <f>-(BS!AA6-BS!Z6)</f>
        <v>70.613070468494243</v>
      </c>
      <c r="AB17" s="64">
        <f>-(BS!AB6-BS!AA6)</f>
        <v>-23.139838810903257</v>
      </c>
      <c r="AC17" s="64">
        <f>-(BS!AC6-BS!AB6)</f>
        <v>-4.5549511215197072</v>
      </c>
      <c r="AD17" s="64">
        <f>-(BS!AD6-BS!AC6)</f>
        <v>-21.904675775238047</v>
      </c>
      <c r="AE17" s="432"/>
      <c r="AF17" s="432"/>
    </row>
    <row r="18" spans="2:34" hidden="1" outlineLevel="1">
      <c r="B18" s="81" t="s">
        <v>266</v>
      </c>
      <c r="C18" s="3">
        <v>-17.053999999999998</v>
      </c>
      <c r="D18" s="3">
        <v>-20.109000000000002</v>
      </c>
      <c r="E18" s="3">
        <v>-3.6080000000000001</v>
      </c>
      <c r="F18" s="3">
        <v>-27.649000000000001</v>
      </c>
      <c r="G18" s="3">
        <v>2.0219999999999998</v>
      </c>
      <c r="H18" s="3">
        <v>-40.238999999999997</v>
      </c>
      <c r="I18" s="64">
        <v>13.135999999999999</v>
      </c>
      <c r="J18" s="64">
        <v>-28.67</v>
      </c>
      <c r="K18" s="64">
        <v>-6.2649999999999997</v>
      </c>
      <c r="L18" s="64">
        <v>-39.670999999999999</v>
      </c>
      <c r="M18" s="280">
        <f>-50</f>
        <v>-50</v>
      </c>
      <c r="N18" s="280">
        <v>-50</v>
      </c>
      <c r="O18" s="280">
        <v>-50</v>
      </c>
      <c r="P18" s="536">
        <v>13.9</v>
      </c>
      <c r="Q18" s="344">
        <v>-232</v>
      </c>
      <c r="R18" s="546">
        <f>-(BS!R7-BS!Q7)</f>
        <v>-28.388621748077639</v>
      </c>
      <c r="S18" s="344">
        <f>-(BS!S7-BS!R7)</f>
        <v>-56.985332120885005</v>
      </c>
      <c r="T18" s="344">
        <f>-(BS!T7-BS!S7)</f>
        <v>-65.659207904970458</v>
      </c>
      <c r="U18" s="344">
        <f>-(BS!U7-BS!T7)</f>
        <v>-53.066964239040431</v>
      </c>
      <c r="V18" s="344">
        <f>-(BS!V7-BS!U7)</f>
        <v>-9.4294514037560475</v>
      </c>
      <c r="W18" s="344">
        <f>-(BS!W7-BS!V7)</f>
        <v>-12.361290628023767</v>
      </c>
      <c r="X18" s="344">
        <f>-(BS!X7-BS!W7)</f>
        <v>-4.4595082898696319</v>
      </c>
      <c r="Y18" s="344">
        <f>-(BS!Y7-BS!X7)</f>
        <v>5.401026627924125</v>
      </c>
      <c r="Z18" s="344">
        <f>-(BS!Z7-BS!Y7)</f>
        <v>-9.0911168347281546</v>
      </c>
      <c r="AA18" s="344">
        <f>-(BS!AA7-BS!Z7)</f>
        <v>-17.326278545999685</v>
      </c>
      <c r="AB18" s="344">
        <f>-(BS!AB7-BS!AA7)</f>
        <v>-14.44438089828202</v>
      </c>
      <c r="AC18" s="344">
        <f>-(BS!AC7-BS!AB7)</f>
        <v>-14.190811607422461</v>
      </c>
      <c r="AD18" s="344">
        <f>-(BS!AD7-BS!AC7)</f>
        <v>-13.924597152886008</v>
      </c>
      <c r="AE18" s="432"/>
      <c r="AF18" s="432"/>
      <c r="AH18" s="1" t="s">
        <v>625</v>
      </c>
    </row>
    <row r="19" spans="2:34" hidden="1" outlineLevel="1">
      <c r="B19" s="81" t="s">
        <v>267</v>
      </c>
      <c r="C19" s="3">
        <v>-35.076000000000001</v>
      </c>
      <c r="D19" s="3">
        <v>-63.893999999999998</v>
      </c>
      <c r="E19" s="3">
        <v>32.225000000000001</v>
      </c>
      <c r="F19" s="3">
        <v>-20.736999999999998</v>
      </c>
      <c r="G19" s="3">
        <v>0.23799999999999999</v>
      </c>
      <c r="H19" s="3">
        <v>3.7109999999999999</v>
      </c>
      <c r="I19" s="64">
        <v>22.271000000000001</v>
      </c>
      <c r="J19" s="64">
        <v>-12.584</v>
      </c>
      <c r="K19" s="64">
        <v>-43.241</v>
      </c>
      <c r="L19" s="64">
        <v>-27.347000000000001</v>
      </c>
      <c r="M19" s="280">
        <f>M20-M18</f>
        <v>-110.18799999999999</v>
      </c>
      <c r="N19" s="280">
        <f>N20-N18</f>
        <v>-44.513999999999996</v>
      </c>
      <c r="O19" s="280">
        <f>O20-O18</f>
        <v>-106.6</v>
      </c>
      <c r="P19" s="536">
        <v>59.1</v>
      </c>
      <c r="Q19" s="344">
        <v>-76.599999999999994</v>
      </c>
      <c r="R19" s="546">
        <f>-(BS!R9-BS!Q9)</f>
        <v>-266.89817760680489</v>
      </c>
      <c r="S19" s="344">
        <f>-(BS!S9-BS!R9)</f>
        <v>-52.353760248213803</v>
      </c>
      <c r="T19" s="344">
        <f>-(BS!T9-BS!S9)</f>
        <v>-63.961634488785194</v>
      </c>
      <c r="U19" s="344">
        <f>-(BS!U9-BS!T9)</f>
        <v>-49.724630003884386</v>
      </c>
      <c r="V19" s="344">
        <f>-(BS!V9-BS!U9)</f>
        <v>-32.937126628627311</v>
      </c>
      <c r="W19" s="344">
        <f>-(BS!W9-BS!V9)</f>
        <v>-33.471851404830659</v>
      </c>
      <c r="X19" s="344">
        <f>-(BS!X9-BS!W9)</f>
        <v>-34.174385194732622</v>
      </c>
      <c r="Y19" s="344">
        <f>-(BS!Y9-BS!X9)</f>
        <v>47.316330591154838</v>
      </c>
      <c r="Z19" s="344">
        <f>-(BS!Z9-BS!Y9)</f>
        <v>86.91292480947186</v>
      </c>
      <c r="AA19" s="344">
        <f>-(BS!AA9-BS!Z9)</f>
        <v>147.6735651536444</v>
      </c>
      <c r="AB19" s="344">
        <f>-(BS!AB9-BS!AA9)</f>
        <v>27.256414822987608</v>
      </c>
      <c r="AC19" s="344">
        <f>-(BS!AC9-BS!AB9)</f>
        <v>13.043090557239566</v>
      </c>
      <c r="AD19" s="344">
        <f>-(BS!AD9-BS!AC9)</f>
        <v>-13.892268732319053</v>
      </c>
      <c r="AE19" s="432"/>
      <c r="AF19" s="432"/>
      <c r="AH19" s="1" t="s">
        <v>625</v>
      </c>
    </row>
    <row r="20" spans="2:34" collapsed="1">
      <c r="B20" s="11" t="s">
        <v>588</v>
      </c>
      <c r="C20" s="64">
        <f t="shared" ref="C20:H20" si="5">C19+C18</f>
        <v>-52.129999999999995</v>
      </c>
      <c r="D20" s="64">
        <f t="shared" si="5"/>
        <v>-84.003</v>
      </c>
      <c r="E20" s="64">
        <f t="shared" si="5"/>
        <v>28.617000000000001</v>
      </c>
      <c r="F20" s="64">
        <f t="shared" si="5"/>
        <v>-48.385999999999996</v>
      </c>
      <c r="G20" s="64">
        <f t="shared" si="5"/>
        <v>2.2599999999999998</v>
      </c>
      <c r="H20" s="64">
        <f t="shared" si="5"/>
        <v>-36.527999999999999</v>
      </c>
      <c r="I20" s="64">
        <f>I19+I18</f>
        <v>35.406999999999996</v>
      </c>
      <c r="J20" s="64">
        <f t="shared" ref="J20:L20" si="6">J19+J18</f>
        <v>-41.254000000000005</v>
      </c>
      <c r="K20" s="64">
        <f t="shared" si="6"/>
        <v>-49.506</v>
      </c>
      <c r="L20" s="64">
        <f t="shared" si="6"/>
        <v>-67.018000000000001</v>
      </c>
      <c r="M20" s="280">
        <v>-160.18799999999999</v>
      </c>
      <c r="N20" s="280">
        <v>-94.513999999999996</v>
      </c>
      <c r="O20" s="280">
        <v>-156.6</v>
      </c>
      <c r="P20" s="536">
        <f>P19+P18</f>
        <v>73</v>
      </c>
      <c r="Q20" s="536">
        <f>Q19+Q18</f>
        <v>-308.60000000000002</v>
      </c>
      <c r="R20" s="545">
        <f>-(BS!R7-BS!Q7)-(BS!R9-BS!Q9)</f>
        <v>-295.28679935488253</v>
      </c>
      <c r="S20" s="64">
        <f>-(BS!S7-BS!R7)-(BS!S9-BS!R9)</f>
        <v>-109.33909236909881</v>
      </c>
      <c r="T20" s="64">
        <f>-(BS!T7-BS!S7)-(BS!T9-BS!S9)</f>
        <v>-129.62084239375565</v>
      </c>
      <c r="U20" s="64">
        <f>-(BS!U7-BS!T7)-(BS!U9-BS!T9)</f>
        <v>-102.79159424292482</v>
      </c>
      <c r="V20" s="64">
        <f>-(BS!V7-BS!U7)-(BS!V9-BS!U9)</f>
        <v>-42.366578032383359</v>
      </c>
      <c r="W20" s="64">
        <f>-(BS!W7-BS!V7)-(BS!W9-BS!V9)</f>
        <v>-45.833142032854425</v>
      </c>
      <c r="X20" s="64">
        <f>-(BS!X7-BS!W7)-(BS!X9-BS!W9)</f>
        <v>-38.633893484602254</v>
      </c>
      <c r="Y20" s="64">
        <f>-(BS!Y7-BS!X7)-(BS!Y9-BS!X9)</f>
        <v>52.717357219078963</v>
      </c>
      <c r="Z20" s="64">
        <f>-(BS!Z7-BS!Y7)-(BS!Z9-BS!Y9)</f>
        <v>77.821807974743706</v>
      </c>
      <c r="AA20" s="64">
        <f>-(BS!AA7-BS!Z7)-(BS!AA9-BS!Z9)</f>
        <v>130.34728660764472</v>
      </c>
      <c r="AB20" s="64">
        <f>-(BS!AB7-BS!AA7)-(BS!AB9-BS!AA9)</f>
        <v>12.812033924705588</v>
      </c>
      <c r="AC20" s="64">
        <f>-(BS!AC7-BS!AB7)-(BS!AC9-BS!AB9)</f>
        <v>-1.1477210501828949</v>
      </c>
      <c r="AD20" s="64">
        <f>-(BS!AD7-BS!AC7)-(BS!AD9-BS!AC9)</f>
        <v>-27.816865885205061</v>
      </c>
      <c r="AE20" s="432"/>
      <c r="AF20" s="432"/>
    </row>
    <row r="21" spans="2:34">
      <c r="B21" s="11" t="s">
        <v>589</v>
      </c>
      <c r="C21" s="3">
        <v>-66.775000000000006</v>
      </c>
      <c r="D21" s="3">
        <v>63.87</v>
      </c>
      <c r="E21" s="3">
        <v>128.67599999999999</v>
      </c>
      <c r="F21" s="3">
        <v>13.811999999999999</v>
      </c>
      <c r="G21" s="3">
        <v>32.46</v>
      </c>
      <c r="H21" s="3">
        <v>146.41999999999999</v>
      </c>
      <c r="I21" s="64">
        <v>-48.942</v>
      </c>
      <c r="J21" s="64">
        <v>130.875</v>
      </c>
      <c r="K21" s="64">
        <v>33.722000000000001</v>
      </c>
      <c r="L21" s="64">
        <v>273.37200000000001</v>
      </c>
      <c r="M21" s="280">
        <v>284.04899999999998</v>
      </c>
      <c r="N21" s="280">
        <v>244.37799999999999</v>
      </c>
      <c r="O21" s="280">
        <v>74.2</v>
      </c>
      <c r="P21" s="536">
        <v>570.1</v>
      </c>
      <c r="Q21" s="64">
        <v>-227.4</v>
      </c>
      <c r="R21" s="545">
        <f>(BS!R21+BS!R20+BS!R23)-(BS!Q21+BS!Q20+BS!Q23)</f>
        <v>337.34057761301574</v>
      </c>
      <c r="S21" s="64">
        <f>(BS!S21+BS!S20+BS!S23)-(BS!R21+BS!R20+BS!R23)</f>
        <v>-115.47469112820681</v>
      </c>
      <c r="T21" s="64">
        <f>(BS!T21+BS!T20+BS!T23)-(BS!S21+BS!S20+BS!S23)</f>
        <v>184.6463673569956</v>
      </c>
      <c r="U21" s="64">
        <f>(BS!U21+BS!U20+BS!U23)-(BS!T21+BS!T20+BS!T23)</f>
        <v>98.573516172059499</v>
      </c>
      <c r="V21" s="64">
        <f>(BS!V21+BS!V20+BS!V23)-(BS!U21+BS!U20+BS!U23)</f>
        <v>100.91239565036267</v>
      </c>
      <c r="W21" s="64">
        <f>(BS!W21+BS!W20+BS!W23)-(BS!V21+BS!V20+BS!V23)</f>
        <v>102.90021283854821</v>
      </c>
      <c r="X21" s="64">
        <f>(BS!X21+BS!X20+BS!X23)-(BS!W21+BS!W20+BS!W23)</f>
        <v>105.72155369147822</v>
      </c>
      <c r="Y21" s="64">
        <f>(BS!Y21+BS!Y20+BS!Y23)-(BS!X21+BS!X20+BS!X23)</f>
        <v>95.680051921309314</v>
      </c>
      <c r="Z21" s="64">
        <f>(BS!Z21+BS!Z20+BS!Z23)-(BS!Y21+BS!Y20+BS!Y23)</f>
        <v>41.505433429791992</v>
      </c>
      <c r="AA21" s="64">
        <f>(BS!AA21+BS!AA20+BS!AA23)-(BS!Z21+BS!Z20+BS!Z23)</f>
        <v>26.426951221955278</v>
      </c>
      <c r="AB21" s="64">
        <f>(BS!AB21+BS!AB20+BS!AB23)-(BS!AA21+BS!AA20+BS!AA23)</f>
        <v>6.4641842045630256</v>
      </c>
      <c r="AC21" s="64">
        <f>(BS!AC21+BS!AC20+BS!AC23)-(BS!AB21+BS!AB20+BS!AB23)</f>
        <v>1.2724394207280056</v>
      </c>
      <c r="AD21" s="64">
        <f>(BS!AD21+BS!AD20+BS!AD23)-(BS!AC21+BS!AC20+BS!AC23)</f>
        <v>6.1191376616534399</v>
      </c>
      <c r="AE21" s="432"/>
      <c r="AF21" s="432"/>
    </row>
    <row r="22" spans="2:34">
      <c r="B22" s="11" t="s">
        <v>590</v>
      </c>
      <c r="C22" s="3">
        <f>-27.752+2.7</f>
        <v>-25.052</v>
      </c>
      <c r="D22" s="3">
        <f>6.54+4.755</f>
        <v>11.295</v>
      </c>
      <c r="E22" s="3">
        <v>6.8470000000000004</v>
      </c>
      <c r="F22" s="3">
        <v>4.9349999999999996</v>
      </c>
      <c r="G22" s="3">
        <v>41.293999999999997</v>
      </c>
      <c r="H22" s="3">
        <v>176.21899999999999</v>
      </c>
      <c r="I22" s="64">
        <v>-194.733</v>
      </c>
      <c r="J22" s="64">
        <v>17.692</v>
      </c>
      <c r="K22" s="64">
        <v>-36.234999999999999</v>
      </c>
      <c r="L22" s="64">
        <v>34.112000000000002</v>
      </c>
      <c r="M22" s="280">
        <f>318.512+15.733</f>
        <v>334.245</v>
      </c>
      <c r="N22" s="280">
        <f>94.779-30.697</f>
        <v>64.081999999999994</v>
      </c>
      <c r="O22" s="280">
        <f>-410.2+93.6-31.1</f>
        <v>-347.70000000000005</v>
      </c>
      <c r="P22" s="536">
        <f>-232.6+69.5</f>
        <v>-163.1</v>
      </c>
      <c r="Q22" s="64">
        <f>1303.9-2.4</f>
        <v>1301.5</v>
      </c>
      <c r="R22" s="545">
        <f>BS!R28-BS!Q28</f>
        <v>-804.15968070998679</v>
      </c>
      <c r="S22" s="64">
        <f>BS!S28-BS!R28</f>
        <v>-31.323319392022881</v>
      </c>
      <c r="T22" s="64">
        <f>BS!T28-BS!S28</f>
        <v>39.660849994899536</v>
      </c>
      <c r="U22" s="64">
        <f>BS!U28-BS!T28</f>
        <v>20.821946247322103</v>
      </c>
      <c r="V22" s="64">
        <f>BS!V28-BS!U28</f>
        <v>21.342494903505212</v>
      </c>
      <c r="W22" s="64">
        <f>BS!W28-BS!V28</f>
        <v>21.876057276092865</v>
      </c>
      <c r="X22" s="64">
        <f>BS!X28-BS!W28</f>
        <v>22.422958707995122</v>
      </c>
      <c r="Y22" s="64">
        <f>BS!Y28-BS!X28</f>
        <v>22.983532675695074</v>
      </c>
      <c r="Z22" s="64">
        <f>BS!Z28-BS!Y28</f>
        <v>11.20447217940125</v>
      </c>
      <c r="AA22" s="64">
        <f>BS!AA28-BS!Z28</f>
        <v>11.484583983886296</v>
      </c>
      <c r="AB22" s="64">
        <f>BS!AB28-BS!AA28</f>
        <v>0</v>
      </c>
      <c r="AC22" s="64">
        <f>BS!AC28-BS!AB28</f>
        <v>0</v>
      </c>
      <c r="AD22" s="64">
        <f>BS!AD28-BS!AC28</f>
        <v>0</v>
      </c>
      <c r="AE22" s="432"/>
      <c r="AF22" s="432"/>
    </row>
    <row r="23" spans="2:34">
      <c r="B23" s="301" t="s">
        <v>268</v>
      </c>
      <c r="C23" s="102">
        <f t="shared" ref="C23:AD23" si="7">SUM(C3:C4,C7:C8,C14,C16:C17,C20:C22)</f>
        <v>169.96699999999981</v>
      </c>
      <c r="D23" s="102">
        <f t="shared" si="7"/>
        <v>727.98599999999999</v>
      </c>
      <c r="E23" s="102">
        <f t="shared" si="7"/>
        <v>889.50299999999993</v>
      </c>
      <c r="F23" s="102">
        <f t="shared" si="7"/>
        <v>841.26799999999992</v>
      </c>
      <c r="G23" s="102">
        <f t="shared" si="7"/>
        <v>1020.6349999999999</v>
      </c>
      <c r="H23" s="102">
        <f t="shared" si="7"/>
        <v>1562.4450000000002</v>
      </c>
      <c r="I23" s="102">
        <f t="shared" si="7"/>
        <v>1074.8980000000001</v>
      </c>
      <c r="J23" s="102">
        <f t="shared" si="7"/>
        <v>1624.6729999999998</v>
      </c>
      <c r="K23" s="102">
        <f t="shared" si="7"/>
        <v>1727.7409999999998</v>
      </c>
      <c r="L23" s="102">
        <f t="shared" si="7"/>
        <v>1879.8969999999999</v>
      </c>
      <c r="M23" s="102">
        <f t="shared" si="7"/>
        <v>2345.078</v>
      </c>
      <c r="N23" s="102">
        <f t="shared" si="7"/>
        <v>2942.1149999999998</v>
      </c>
      <c r="O23" s="433">
        <f t="shared" si="7"/>
        <v>3716.0999999999985</v>
      </c>
      <c r="P23" s="539">
        <f t="shared" si="7"/>
        <v>4522.3999999999996</v>
      </c>
      <c r="Q23" s="102">
        <f t="shared" si="7"/>
        <v>4551</v>
      </c>
      <c r="R23" s="547">
        <f t="shared" si="7"/>
        <v>4405.3217682991508</v>
      </c>
      <c r="S23" s="102">
        <f t="shared" si="7"/>
        <v>5768.7739844974667</v>
      </c>
      <c r="T23" s="102">
        <f t="shared" si="7"/>
        <v>6388.0845652038224</v>
      </c>
      <c r="U23" s="102">
        <f t="shared" si="7"/>
        <v>6712.6211738554011</v>
      </c>
      <c r="V23" s="102">
        <f t="shared" si="7"/>
        <v>7006.8034923744081</v>
      </c>
      <c r="W23" s="102">
        <f t="shared" si="7"/>
        <v>7171.6805307440982</v>
      </c>
      <c r="X23" s="102">
        <f t="shared" si="7"/>
        <v>7357.4536668527981</v>
      </c>
      <c r="Y23" s="102">
        <f t="shared" si="7"/>
        <v>7158.5351532303375</v>
      </c>
      <c r="Z23" s="102">
        <f t="shared" si="7"/>
        <v>6531.2884171096748</v>
      </c>
      <c r="AA23" s="102">
        <f t="shared" si="7"/>
        <v>5582.014674615828</v>
      </c>
      <c r="AB23" s="102">
        <f t="shared" si="7"/>
        <v>5008.2680081573062</v>
      </c>
      <c r="AC23" s="102">
        <f t="shared" si="7"/>
        <v>4933.1279924609235</v>
      </c>
      <c r="AD23" s="102">
        <f t="shared" si="7"/>
        <v>5003.7107246032356</v>
      </c>
      <c r="AE23" s="432"/>
      <c r="AF23" s="432"/>
      <c r="AH23" s="64"/>
    </row>
    <row r="24" spans="2:34">
      <c r="C24" s="34"/>
      <c r="D24" s="34"/>
      <c r="E24" s="34"/>
      <c r="F24" s="34"/>
      <c r="G24" s="34"/>
      <c r="H24" s="34"/>
      <c r="I24" s="64"/>
      <c r="J24" s="64"/>
      <c r="K24" s="64"/>
      <c r="L24" s="64"/>
      <c r="M24" s="64"/>
      <c r="N24" s="64"/>
      <c r="O24" s="64"/>
      <c r="P24" s="536"/>
      <c r="Q24" s="64"/>
      <c r="R24" s="545"/>
      <c r="S24" s="64"/>
      <c r="T24" s="64"/>
      <c r="U24" s="64"/>
      <c r="V24" s="64"/>
      <c r="W24" s="64"/>
      <c r="X24" s="64"/>
      <c r="Y24" s="64"/>
      <c r="Z24" s="64"/>
      <c r="AA24" s="64"/>
      <c r="AB24" s="64"/>
      <c r="AC24" s="64"/>
      <c r="AD24" s="64"/>
      <c r="AE24" s="432"/>
      <c r="AF24" s="432"/>
    </row>
    <row r="25" spans="2:34">
      <c r="B25" s="9" t="s">
        <v>269</v>
      </c>
      <c r="C25" s="3">
        <f>-1233.251+1118.775</f>
        <v>-114.47599999999989</v>
      </c>
      <c r="D25" s="3">
        <f>3200.386-3187.717</f>
        <v>12.668999999999869</v>
      </c>
      <c r="E25" s="3">
        <f>1782.134-1334.284+408.13</f>
        <v>855.9799999999999</v>
      </c>
      <c r="F25" s="3">
        <f>-1949.907+1787.139</f>
        <v>-162.76800000000003</v>
      </c>
      <c r="G25" s="3">
        <f>-2945.244+3154.29</f>
        <v>209.04599999999982</v>
      </c>
      <c r="H25" s="3">
        <f>-3163.824+2941.06</f>
        <v>-222.76400000000012</v>
      </c>
      <c r="I25" s="64">
        <f>-3548.119+3319.007</f>
        <v>-229.11200000000008</v>
      </c>
      <c r="J25" s="64">
        <f>2668.694-1988.394</f>
        <v>680.3</v>
      </c>
      <c r="K25" s="64">
        <f>-3696.995+2276.72</f>
        <v>-1420.2750000000001</v>
      </c>
      <c r="L25" s="64">
        <f>2749.558-3334.434</f>
        <v>-584.8760000000002</v>
      </c>
      <c r="M25" s="280">
        <f>5190.052-3278.091</f>
        <v>1911.9609999999998</v>
      </c>
      <c r="N25" s="280">
        <f>2718.923-3583.15</f>
        <v>-864.22700000000032</v>
      </c>
      <c r="O25" s="280">
        <f>4063-6864.9</f>
        <v>-2801.8999999999996</v>
      </c>
      <c r="P25" s="536">
        <f>7378.9-7913.2</f>
        <v>-534.30000000000018</v>
      </c>
      <c r="Q25" s="64">
        <f>5565.9-5355.2</f>
        <v>210.69999999999982</v>
      </c>
      <c r="R25" s="545">
        <f t="shared" ref="R25:AD25" si="8">-0.05*R23</f>
        <v>-220.26608841495755</v>
      </c>
      <c r="S25" s="64">
        <f t="shared" si="8"/>
        <v>-288.43869922487335</v>
      </c>
      <c r="T25" s="64">
        <f t="shared" si="8"/>
        <v>-319.40422826019113</v>
      </c>
      <c r="U25" s="64">
        <f t="shared" si="8"/>
        <v>-335.63105869277007</v>
      </c>
      <c r="V25" s="64">
        <f t="shared" si="8"/>
        <v>-350.34017461872043</v>
      </c>
      <c r="W25" s="64">
        <f t="shared" si="8"/>
        <v>-358.58402653720492</v>
      </c>
      <c r="X25" s="64">
        <f t="shared" si="8"/>
        <v>-367.8726833426399</v>
      </c>
      <c r="Y25" s="64">
        <f t="shared" si="8"/>
        <v>-357.92675766151689</v>
      </c>
      <c r="Z25" s="64">
        <f t="shared" si="8"/>
        <v>-326.56442085548377</v>
      </c>
      <c r="AA25" s="64">
        <f t="shared" si="8"/>
        <v>-279.10073373079143</v>
      </c>
      <c r="AB25" s="64">
        <f t="shared" si="8"/>
        <v>-250.41340040786531</v>
      </c>
      <c r="AC25" s="64">
        <f t="shared" si="8"/>
        <v>-246.65639962304618</v>
      </c>
      <c r="AD25" s="64">
        <f t="shared" si="8"/>
        <v>-250.1855362301618</v>
      </c>
      <c r="AE25" s="432"/>
      <c r="AF25" s="432"/>
    </row>
    <row r="26" spans="2:34">
      <c r="B26" s="9" t="s">
        <v>270</v>
      </c>
      <c r="C26" s="3">
        <v>-301.24799999999999</v>
      </c>
      <c r="D26" s="3">
        <v>-361.01299999999998</v>
      </c>
      <c r="E26" s="3">
        <v>-318.37599999999998</v>
      </c>
      <c r="F26" s="3">
        <f>-198.312+74.216</f>
        <v>-124.09600000000002</v>
      </c>
      <c r="G26" s="3">
        <f>-284.106+16.669</f>
        <v>-267.43700000000001</v>
      </c>
      <c r="H26" s="3">
        <v>-275.95400000000001</v>
      </c>
      <c r="I26" s="64">
        <v>-165.64599999999999</v>
      </c>
      <c r="J26" s="64">
        <v>-173.05500000000001</v>
      </c>
      <c r="K26" s="64">
        <f>-208.02+2.207</f>
        <v>-205.81300000000002</v>
      </c>
      <c r="L26" s="64">
        <v>-254.548</v>
      </c>
      <c r="M26" s="280">
        <v>-246.28100000000001</v>
      </c>
      <c r="N26" s="280">
        <v>-287.75099999999998</v>
      </c>
      <c r="O26" s="280">
        <v>-643</v>
      </c>
      <c r="P26" s="536">
        <v>-616.1</v>
      </c>
      <c r="Q26" s="64">
        <v>-867.4</v>
      </c>
      <c r="R26" s="545">
        <f>-BS!R105+BS!R108</f>
        <v>-457.15234300705339</v>
      </c>
      <c r="S26" s="64">
        <f>-BS!S105+BS!S108</f>
        <v>-476.62803643619463</v>
      </c>
      <c r="T26" s="64">
        <f>-BS!T105+BS!T108</f>
        <v>-500.42188006126389</v>
      </c>
      <c r="U26" s="64">
        <f>-BS!U105+BS!U108</f>
        <v>-518.91953228799525</v>
      </c>
      <c r="V26" s="64">
        <f>-BS!V105+BS!V108</f>
        <v>-531.17220291976389</v>
      </c>
      <c r="W26" s="64">
        <f>-BS!W105+BS!W108</f>
        <v>-543.62379213466647</v>
      </c>
      <c r="X26" s="64">
        <f>-BS!X105+BS!X108</f>
        <v>-556.33672518907304</v>
      </c>
      <c r="Y26" s="64">
        <f>-BS!Y105+BS!Y108</f>
        <v>-538.73496469629788</v>
      </c>
      <c r="Z26" s="64">
        <f>-BS!Z105+BS!Z108</f>
        <v>-506.40319959300666</v>
      </c>
      <c r="AA26" s="64">
        <f>-BS!AA105+BS!AA108</f>
        <v>-451.46836647146762</v>
      </c>
      <c r="AB26" s="64">
        <f>-BS!AB105+BS!AB108</f>
        <v>-441.32893089791457</v>
      </c>
      <c r="AC26" s="64">
        <f>-BS!AC105+BS!AC108</f>
        <v>-436.47687763837837</v>
      </c>
      <c r="AD26" s="64">
        <f>-BS!AD105+BS!AD108</f>
        <v>-441.64482671372906</v>
      </c>
      <c r="AE26" s="432"/>
      <c r="AF26" s="432"/>
    </row>
    <row r="27" spans="2:34">
      <c r="B27" s="9" t="s">
        <v>828</v>
      </c>
      <c r="C27" s="3"/>
      <c r="D27" s="3"/>
      <c r="E27" s="3"/>
      <c r="F27" s="3"/>
      <c r="G27" s="3"/>
      <c r="H27" s="3"/>
      <c r="I27" s="64"/>
      <c r="J27" s="64"/>
      <c r="K27" s="64"/>
      <c r="L27" s="64"/>
      <c r="M27" s="280">
        <v>-15</v>
      </c>
      <c r="N27" s="280">
        <v>-375</v>
      </c>
      <c r="O27" s="280">
        <v>-850</v>
      </c>
      <c r="P27" s="536">
        <v>-1200</v>
      </c>
      <c r="Q27" s="64">
        <v>-1200</v>
      </c>
      <c r="R27" s="545">
        <f>-'BG-12 Milestone and Royalties'!I20</f>
        <v>-1500</v>
      </c>
      <c r="S27" s="64">
        <f>-'BG-12 Milestone and Royalties'!J20</f>
        <v>-300</v>
      </c>
      <c r="T27" s="64">
        <f>-'BG-12 Milestone and Royalties'!K20</f>
        <v>0</v>
      </c>
      <c r="U27" s="64"/>
      <c r="V27" s="64"/>
      <c r="W27" s="64"/>
      <c r="X27" s="64"/>
      <c r="Y27" s="64"/>
      <c r="Z27" s="64"/>
      <c r="AA27" s="64"/>
      <c r="AB27" s="64"/>
      <c r="AC27" s="64"/>
      <c r="AD27" s="64"/>
      <c r="AE27" s="432"/>
      <c r="AF27" s="432"/>
    </row>
    <row r="28" spans="2:34">
      <c r="B28" s="9" t="s">
        <v>271</v>
      </c>
      <c r="C28" s="3">
        <f>136.793+22.5</f>
        <v>159.29300000000001</v>
      </c>
      <c r="D28" s="3">
        <f>-8.75-25.334</f>
        <v>-34.084000000000003</v>
      </c>
      <c r="E28" s="3">
        <v>-119.863</v>
      </c>
      <c r="F28" s="3">
        <f>-363.251+59.8-9.458</f>
        <v>-312.90899999999999</v>
      </c>
      <c r="G28" s="3">
        <f>-95.789+99.489-23.672-208.209</f>
        <v>-228.18100000000001</v>
      </c>
      <c r="H28" s="3">
        <f>-25-20.373+178.218</f>
        <v>132.84499999999997</v>
      </c>
      <c r="I28" s="64">
        <f>13.822-44.086+29.991</f>
        <v>-0.27299999999999969</v>
      </c>
      <c r="J28" s="64">
        <f>-72.476-84.952-4.492</f>
        <v>-161.91999999999999</v>
      </c>
      <c r="K28" s="64">
        <f>-5+41.273-16.324-44.155</f>
        <v>-24.206</v>
      </c>
      <c r="L28" s="64">
        <f>-72.401+10.058-41.941</f>
        <v>-104.28399999999999</v>
      </c>
      <c r="M28" s="280">
        <f>-3262.719</f>
        <v>-3262.7190000000001</v>
      </c>
      <c r="N28" s="280"/>
      <c r="O28" s="280">
        <f>-198.8</f>
        <v>-198.8</v>
      </c>
      <c r="P28" s="536">
        <v>-111.6</v>
      </c>
      <c r="Q28" s="64">
        <v>0</v>
      </c>
      <c r="R28" s="545">
        <f>-BS!R148</f>
        <v>0</v>
      </c>
      <c r="S28" s="64">
        <f>-BS!S148</f>
        <v>0</v>
      </c>
      <c r="T28" s="64">
        <f>-BS!T148</f>
        <v>0</v>
      </c>
      <c r="U28" s="64">
        <f>-BS!U148</f>
        <v>0</v>
      </c>
      <c r="V28" s="64">
        <f>-BS!V148</f>
        <v>0</v>
      </c>
      <c r="W28" s="64">
        <f>-BS!W148</f>
        <v>0</v>
      </c>
      <c r="X28" s="64">
        <f>-BS!X148</f>
        <v>0</v>
      </c>
      <c r="Y28" s="64">
        <f>-BS!Y148</f>
        <v>0</v>
      </c>
      <c r="Z28" s="64">
        <f>-BS!Z148</f>
        <v>0</v>
      </c>
      <c r="AA28" s="64">
        <f>-BS!AA148</f>
        <v>0</v>
      </c>
      <c r="AB28" s="64">
        <f>-BS!AB148</f>
        <v>0</v>
      </c>
      <c r="AC28" s="64">
        <f>-BS!AC148</f>
        <v>0</v>
      </c>
      <c r="AD28" s="64">
        <f>-BS!AD148</f>
        <v>0</v>
      </c>
      <c r="AE28" s="432"/>
      <c r="AF28" s="432"/>
    </row>
    <row r="29" spans="2:34">
      <c r="B29" s="9" t="s">
        <v>272</v>
      </c>
      <c r="C29" s="3">
        <v>0</v>
      </c>
      <c r="D29" s="3">
        <v>0</v>
      </c>
      <c r="E29" s="3">
        <v>0</v>
      </c>
      <c r="F29" s="3">
        <v>0</v>
      </c>
      <c r="G29" s="3">
        <v>0</v>
      </c>
      <c r="H29" s="3">
        <v>0</v>
      </c>
      <c r="I29" s="64">
        <v>0</v>
      </c>
      <c r="J29" s="64">
        <v>0</v>
      </c>
      <c r="K29" s="64">
        <v>0</v>
      </c>
      <c r="L29" s="64">
        <v>-6.6340000000000003</v>
      </c>
      <c r="M29" s="280">
        <v>0</v>
      </c>
      <c r="N29" s="280">
        <v>0</v>
      </c>
      <c r="O29" s="280">
        <f>N29</f>
        <v>0</v>
      </c>
      <c r="P29" s="536">
        <f t="shared" ref="P29:T29" si="9">O29</f>
        <v>0</v>
      </c>
      <c r="Q29" s="64">
        <v>0</v>
      </c>
      <c r="R29" s="545">
        <f t="shared" si="9"/>
        <v>0</v>
      </c>
      <c r="S29" s="64">
        <f t="shared" si="9"/>
        <v>0</v>
      </c>
      <c r="T29" s="64">
        <f t="shared" si="9"/>
        <v>0</v>
      </c>
      <c r="U29" s="64">
        <f t="shared" ref="U29" si="10">T29</f>
        <v>0</v>
      </c>
      <c r="V29" s="64">
        <f t="shared" ref="V29" si="11">U29</f>
        <v>0</v>
      </c>
      <c r="W29" s="64">
        <f t="shared" ref="W29" si="12">V29</f>
        <v>0</v>
      </c>
      <c r="X29" s="64">
        <f t="shared" ref="X29" si="13">W29</f>
        <v>0</v>
      </c>
      <c r="Y29" s="64">
        <f t="shared" ref="Y29" si="14">X29</f>
        <v>0</v>
      </c>
      <c r="Z29" s="64">
        <f t="shared" ref="Z29" si="15">Y29</f>
        <v>0</v>
      </c>
      <c r="AA29" s="64">
        <f t="shared" ref="AA29" si="16">Z29</f>
        <v>0</v>
      </c>
      <c r="AB29" s="64">
        <f t="shared" ref="AB29" si="17">AA29</f>
        <v>0</v>
      </c>
      <c r="AC29" s="64">
        <f t="shared" ref="AC29" si="18">AB29</f>
        <v>0</v>
      </c>
      <c r="AD29" s="64">
        <f t="shared" ref="AD29" si="19">AC29</f>
        <v>0</v>
      </c>
      <c r="AE29" s="432"/>
      <c r="AF29" s="432"/>
    </row>
    <row r="30" spans="2:34">
      <c r="B30" s="9" t="s">
        <v>75</v>
      </c>
      <c r="C30" s="3"/>
      <c r="D30" s="3"/>
      <c r="E30" s="3"/>
      <c r="F30" s="3"/>
      <c r="G30" s="3"/>
      <c r="H30" s="3"/>
      <c r="I30" s="64"/>
      <c r="J30" s="64"/>
      <c r="K30" s="64"/>
      <c r="L30" s="64"/>
      <c r="M30" s="280">
        <v>7.3710000000000004</v>
      </c>
      <c r="N30" s="280">
        <v>-15.997999999999999</v>
      </c>
      <c r="O30" s="280">
        <v>-59.9</v>
      </c>
      <c r="P30" s="536">
        <v>-22.8</v>
      </c>
      <c r="Q30" s="64">
        <f>-11-975.4-120</f>
        <v>-1106.4000000000001</v>
      </c>
      <c r="R30" s="545">
        <v>567</v>
      </c>
      <c r="S30" s="64">
        <v>0</v>
      </c>
      <c r="T30" s="64">
        <v>0</v>
      </c>
      <c r="U30" s="64">
        <v>0</v>
      </c>
      <c r="V30" s="64">
        <v>0</v>
      </c>
      <c r="W30" s="64">
        <v>0</v>
      </c>
      <c r="X30" s="64">
        <v>0</v>
      </c>
      <c r="Y30" s="64">
        <v>0</v>
      </c>
      <c r="Z30" s="64">
        <v>0</v>
      </c>
      <c r="AA30" s="64">
        <v>0</v>
      </c>
      <c r="AB30" s="64">
        <v>0</v>
      </c>
      <c r="AC30" s="64">
        <v>0</v>
      </c>
      <c r="AD30" s="64">
        <v>0</v>
      </c>
      <c r="AE30" s="432"/>
      <c r="AF30" s="432"/>
    </row>
    <row r="31" spans="2:34">
      <c r="B31" s="301" t="s">
        <v>273</v>
      </c>
      <c r="C31" s="39">
        <f>SUM(C25:C29)</f>
        <v>-256.43099999999987</v>
      </c>
      <c r="D31" s="39">
        <f t="shared" ref="D31:K31" si="20">SUM(D25:D29)</f>
        <v>-382.42800000000011</v>
      </c>
      <c r="E31" s="39">
        <f t="shared" si="20"/>
        <v>417.74099999999993</v>
      </c>
      <c r="F31" s="39">
        <f t="shared" si="20"/>
        <v>-599.77300000000002</v>
      </c>
      <c r="G31" s="39">
        <f t="shared" si="20"/>
        <v>-286.57200000000023</v>
      </c>
      <c r="H31" s="39">
        <f t="shared" si="20"/>
        <v>-365.87300000000016</v>
      </c>
      <c r="I31" s="102">
        <f t="shared" si="20"/>
        <v>-395.03100000000006</v>
      </c>
      <c r="J31" s="102">
        <f t="shared" si="20"/>
        <v>345.32499999999993</v>
      </c>
      <c r="K31" s="102">
        <f t="shared" si="20"/>
        <v>-1650.2940000000001</v>
      </c>
      <c r="L31" s="102">
        <f t="shared" ref="L31" si="21">SUM(L25:L29)</f>
        <v>-950.34200000000021</v>
      </c>
      <c r="M31" s="102">
        <f>SUM(M25:M30)</f>
        <v>-1604.6680000000001</v>
      </c>
      <c r="N31" s="102">
        <f>SUM(N25:N30)</f>
        <v>-1542.9760000000003</v>
      </c>
      <c r="O31" s="433">
        <f t="shared" ref="O31:AD31" si="22">SUM(O25:O30)</f>
        <v>-4553.5999999999995</v>
      </c>
      <c r="P31" s="539">
        <f>SUM(P25:P30)</f>
        <v>-2484.8000000000002</v>
      </c>
      <c r="Q31" s="102">
        <f t="shared" si="22"/>
        <v>-2963.1000000000004</v>
      </c>
      <c r="R31" s="547">
        <f t="shared" si="22"/>
        <v>-1610.4184314220111</v>
      </c>
      <c r="S31" s="102">
        <f t="shared" si="22"/>
        <v>-1065.0667356610679</v>
      </c>
      <c r="T31" s="102">
        <f t="shared" si="22"/>
        <v>-819.82610832145497</v>
      </c>
      <c r="U31" s="102">
        <f t="shared" si="22"/>
        <v>-854.55059098076526</v>
      </c>
      <c r="V31" s="102">
        <f t="shared" si="22"/>
        <v>-881.51237753848432</v>
      </c>
      <c r="W31" s="102">
        <f t="shared" si="22"/>
        <v>-902.20781867187134</v>
      </c>
      <c r="X31" s="102">
        <f t="shared" si="22"/>
        <v>-924.20940853171294</v>
      </c>
      <c r="Y31" s="102">
        <f t="shared" si="22"/>
        <v>-896.66172235781482</v>
      </c>
      <c r="Z31" s="102">
        <f t="shared" si="22"/>
        <v>-832.96762044849038</v>
      </c>
      <c r="AA31" s="102">
        <f t="shared" si="22"/>
        <v>-730.56910020225905</v>
      </c>
      <c r="AB31" s="102">
        <f t="shared" si="22"/>
        <v>-691.74233130577989</v>
      </c>
      <c r="AC31" s="102">
        <f t="shared" si="22"/>
        <v>-683.13327726142461</v>
      </c>
      <c r="AD31" s="102">
        <f t="shared" si="22"/>
        <v>-691.8303629438908</v>
      </c>
      <c r="AE31" s="432"/>
      <c r="AF31" s="432"/>
    </row>
    <row r="32" spans="2:34">
      <c r="C32" s="34"/>
      <c r="D32" s="34"/>
      <c r="E32" s="34"/>
      <c r="F32" s="34"/>
      <c r="G32" s="34"/>
      <c r="H32" s="34"/>
      <c r="I32" s="64"/>
      <c r="J32" s="64"/>
      <c r="K32" s="64"/>
      <c r="L32" s="64"/>
      <c r="M32" s="64"/>
      <c r="N32" s="64"/>
      <c r="O32" s="64"/>
      <c r="P32" s="536"/>
      <c r="Q32" s="64"/>
      <c r="R32" s="545"/>
      <c r="S32" s="64"/>
      <c r="T32" s="64"/>
      <c r="U32" s="64"/>
      <c r="V32" s="64"/>
      <c r="W32" s="64"/>
      <c r="X32" s="64"/>
      <c r="Y32" s="64"/>
      <c r="Z32" s="64"/>
      <c r="AA32" s="64"/>
      <c r="AB32" s="64"/>
      <c r="AC32" s="64"/>
      <c r="AD32" s="64"/>
      <c r="AE32" s="432"/>
      <c r="AF32" s="432"/>
    </row>
    <row r="33" spans="2:32">
      <c r="B33" s="9" t="s">
        <v>591</v>
      </c>
      <c r="C33" s="3">
        <v>0</v>
      </c>
      <c r="D33" s="3">
        <v>-734.42700000000002</v>
      </c>
      <c r="E33" s="3">
        <v>-322.58999999999997</v>
      </c>
      <c r="F33" s="3">
        <v>-320.26799999999997</v>
      </c>
      <c r="G33" s="3">
        <v>-2991.1840000000002</v>
      </c>
      <c r="H33" s="3">
        <v>-738.93799999999999</v>
      </c>
      <c r="I33" s="64">
        <v>-751.17</v>
      </c>
      <c r="J33" s="64">
        <f>-2077.579</f>
        <v>-2077.5790000000002</v>
      </c>
      <c r="K33" s="64">
        <v>-497.97500000000002</v>
      </c>
      <c r="L33" s="64">
        <v>-984.71500000000003</v>
      </c>
      <c r="M33" s="280">
        <v>-400.30900000000003</v>
      </c>
      <c r="N33" s="280">
        <v>-886.779</v>
      </c>
      <c r="O33" s="280">
        <v>-5000</v>
      </c>
      <c r="P33" s="536">
        <v>-1000</v>
      </c>
      <c r="Q33" s="64">
        <v>-1365.4</v>
      </c>
      <c r="R33" s="545">
        <f>-CF!R80</f>
        <v>-1974.0847126460487</v>
      </c>
      <c r="S33" s="64">
        <f>-CF!S80</f>
        <v>-2646.072974030636</v>
      </c>
      <c r="T33" s="64">
        <f>-CF!T80</f>
        <v>-2943.8313425712795</v>
      </c>
      <c r="U33" s="64">
        <f>-CF!U80</f>
        <v>-3096.8508207837031</v>
      </c>
      <c r="V33" s="64">
        <f>-CF!V80</f>
        <v>-3237.8156447273223</v>
      </c>
      <c r="W33" s="64">
        <f>-CF!W80</f>
        <v>-3314.0283693047159</v>
      </c>
      <c r="X33" s="64">
        <f>-CF!X80</f>
        <v>-3400.5584708318625</v>
      </c>
      <c r="Y33" s="64">
        <f>-CF!Y80</f>
        <v>-3309.90009426702</v>
      </c>
      <c r="Z33" s="64">
        <f>-CF!Z80</f>
        <v>-3012.4426087583342</v>
      </c>
      <c r="AA33" s="64">
        <f>-CF!AA80</f>
        <v>-2565.2731540721802</v>
      </c>
      <c r="AB33" s="64">
        <f>-CF!AB80</f>
        <v>-2283.4695386296958</v>
      </c>
      <c r="AC33" s="64">
        <f>-CF!AC80</f>
        <v>-2248.3255574112727</v>
      </c>
      <c r="AD33" s="64">
        <f>-CF!AD80</f>
        <v>-2281.0329489447531</v>
      </c>
      <c r="AE33" s="432"/>
      <c r="AF33" s="432"/>
    </row>
    <row r="34" spans="2:32">
      <c r="B34" s="9" t="s">
        <v>593</v>
      </c>
      <c r="C34" s="3">
        <v>24.439</v>
      </c>
      <c r="D34" s="3">
        <f>132.977+140.558</f>
        <v>273.53499999999997</v>
      </c>
      <c r="E34" s="3">
        <v>119.619</v>
      </c>
      <c r="F34" s="3">
        <v>146.959</v>
      </c>
      <c r="G34" s="3">
        <v>489.18</v>
      </c>
      <c r="H34" s="3">
        <v>178.48599999999999</v>
      </c>
      <c r="I34" s="64">
        <v>47.81</v>
      </c>
      <c r="J34" s="64">
        <f>183.486</f>
        <v>183.48599999999999</v>
      </c>
      <c r="K34" s="64">
        <v>314.64999999999998</v>
      </c>
      <c r="L34" s="64">
        <v>67.492999999999995</v>
      </c>
      <c r="M34" s="280">
        <v>66.77</v>
      </c>
      <c r="N34" s="280">
        <v>54.887</v>
      </c>
      <c r="O34" s="280">
        <v>54.2</v>
      </c>
      <c r="P34" s="536">
        <v>43.7</v>
      </c>
      <c r="Q34" s="64">
        <v>0</v>
      </c>
      <c r="R34" s="545">
        <f>CF!R73+R78</f>
        <v>0</v>
      </c>
      <c r="S34" s="64">
        <f>CF!S73+S78</f>
        <v>0</v>
      </c>
      <c r="T34" s="64">
        <f>CF!T73+T78</f>
        <v>0</v>
      </c>
      <c r="U34" s="64">
        <f>CF!U73+U78</f>
        <v>0</v>
      </c>
      <c r="V34" s="64">
        <f>CF!V73+V78</f>
        <v>0</v>
      </c>
      <c r="W34" s="64">
        <f>CF!W73+W78</f>
        <v>0</v>
      </c>
      <c r="X34" s="64">
        <f>CF!X73+X78</f>
        <v>0</v>
      </c>
      <c r="Y34" s="64">
        <f>CF!Y73+Y78</f>
        <v>0</v>
      </c>
      <c r="Z34" s="64">
        <f>CF!Z73+Z78</f>
        <v>0</v>
      </c>
      <c r="AA34" s="64">
        <f>CF!AA73+AA78</f>
        <v>0</v>
      </c>
      <c r="AB34" s="64">
        <f>CF!AB73+AB78</f>
        <v>0</v>
      </c>
      <c r="AC34" s="64">
        <f>CF!AC73+AC78</f>
        <v>0</v>
      </c>
      <c r="AD34" s="64">
        <f>CF!AD73+AD78</f>
        <v>0</v>
      </c>
      <c r="AE34" s="432"/>
      <c r="AF34" s="432"/>
    </row>
    <row r="35" spans="2:32">
      <c r="B35" s="9" t="s">
        <v>592</v>
      </c>
      <c r="C35" s="3">
        <v>0</v>
      </c>
      <c r="D35" s="3">
        <v>0</v>
      </c>
      <c r="E35" s="3">
        <v>0</v>
      </c>
      <c r="F35" s="3">
        <v>31.681999999999999</v>
      </c>
      <c r="G35" s="3">
        <v>69.665999999999997</v>
      </c>
      <c r="H35" s="3">
        <v>27.99</v>
      </c>
      <c r="I35" s="64">
        <v>3.4359999999999999</v>
      </c>
      <c r="J35" s="64">
        <f>13.136</f>
        <v>13.135999999999999</v>
      </c>
      <c r="K35" s="64">
        <v>50.585999999999999</v>
      </c>
      <c r="L35" s="64">
        <v>54.738</v>
      </c>
      <c r="M35" s="280">
        <v>73.466999999999999</v>
      </c>
      <c r="N35" s="280">
        <v>96.376000000000005</v>
      </c>
      <c r="O35" s="280">
        <v>78.2</v>
      </c>
      <c r="P35" s="536">
        <v>12.6</v>
      </c>
      <c r="Q35" s="64">
        <v>-5.3</v>
      </c>
      <c r="R35" s="545">
        <f>CF!R74</f>
        <v>0</v>
      </c>
      <c r="S35" s="64">
        <f>CF!S74</f>
        <v>0</v>
      </c>
      <c r="T35" s="64">
        <f>CF!T74</f>
        <v>0</v>
      </c>
      <c r="U35" s="64">
        <f>CF!U74</f>
        <v>0</v>
      </c>
      <c r="V35" s="64">
        <f>CF!V74</f>
        <v>0</v>
      </c>
      <c r="W35" s="64">
        <f>CF!W74</f>
        <v>0</v>
      </c>
      <c r="X35" s="64">
        <f>CF!X74</f>
        <v>0</v>
      </c>
      <c r="Y35" s="64">
        <f>CF!Y74</f>
        <v>0</v>
      </c>
      <c r="Z35" s="64">
        <f>CF!Z74</f>
        <v>0</v>
      </c>
      <c r="AA35" s="64">
        <f>CF!AA74</f>
        <v>0</v>
      </c>
      <c r="AB35" s="64">
        <f>CF!AB74</f>
        <v>0</v>
      </c>
      <c r="AC35" s="64">
        <f>CF!AC74</f>
        <v>0</v>
      </c>
      <c r="AD35" s="64">
        <f>CF!AD74</f>
        <v>0</v>
      </c>
      <c r="AE35" s="432"/>
      <c r="AF35" s="432"/>
    </row>
    <row r="36" spans="2:32">
      <c r="B36" s="9" t="s">
        <v>274</v>
      </c>
      <c r="C36" s="3">
        <v>0</v>
      </c>
      <c r="D36" s="3">
        <v>0</v>
      </c>
      <c r="E36" s="3">
        <v>0</v>
      </c>
      <c r="F36" s="3">
        <v>17.693999999999999</v>
      </c>
      <c r="G36" s="3">
        <v>1512.913</v>
      </c>
      <c r="H36" s="3">
        <v>986.98</v>
      </c>
      <c r="I36" s="64">
        <v>0</v>
      </c>
      <c r="J36" s="64">
        <f>126.98-1.175</f>
        <v>125.80500000000001</v>
      </c>
      <c r="K36" s="64">
        <v>0</v>
      </c>
      <c r="L36" s="64">
        <v>0</v>
      </c>
      <c r="M36" s="280">
        <v>0</v>
      </c>
      <c r="N36" s="280">
        <f>IF(DEBT!V73&gt;0,DEBT!V73,0)</f>
        <v>0</v>
      </c>
      <c r="O36" s="280">
        <v>5930.5</v>
      </c>
      <c r="P36" s="536">
        <v>0</v>
      </c>
      <c r="Q36" s="64">
        <v>0</v>
      </c>
      <c r="R36" s="545">
        <f>IF(DEBT!AP73&gt;0,DEBT!AP73,0)</f>
        <v>0</v>
      </c>
      <c r="S36" s="64">
        <f>IF(DEBT!AU73&gt;0,DEBT!AU73,0)</f>
        <v>0</v>
      </c>
      <c r="T36" s="64">
        <f>IF(DEBT!AZ73&gt;0,DEBT!AZ73,0)</f>
        <v>0</v>
      </c>
      <c r="U36" s="64">
        <f>IF(DEBT!BE73&gt;0,DEBT!BE73,0)</f>
        <v>0</v>
      </c>
      <c r="V36" s="64">
        <f>IF(DEBT!BJ73&gt;0,DEBT!BJ73,0)</f>
        <v>0</v>
      </c>
      <c r="W36" s="64">
        <f>IF(DEBT!BO73&gt;0,DEBT!BO73,0)</f>
        <v>0</v>
      </c>
      <c r="X36" s="64">
        <f>IF(DEBT!BT73&gt;0,DEBT!BT73,0)</f>
        <v>0</v>
      </c>
      <c r="Y36" s="64">
        <f>IF(DEBT!BY73&gt;0,DEBT!BY73,0)</f>
        <v>0</v>
      </c>
      <c r="Z36" s="64">
        <f>IF(DEBT!CD73&gt;0,DEBT!CD73,0)</f>
        <v>0</v>
      </c>
      <c r="AA36" s="64">
        <f>IF(DEBT!CI73&gt;0,DEBT!CI73,0)</f>
        <v>0</v>
      </c>
      <c r="AB36" s="64">
        <f>IF(DEBT!CN73&gt;0,DEBT!CN73,0)</f>
        <v>0</v>
      </c>
      <c r="AC36" s="64">
        <f>IF(DEBT!CS73&gt;0,DEBT!CS73,0)</f>
        <v>0</v>
      </c>
      <c r="AD36" s="64">
        <f>IF(DEBT!CX73&gt;0,DEBT!CX73,0)</f>
        <v>0</v>
      </c>
      <c r="AE36" s="432"/>
      <c r="AF36" s="432"/>
    </row>
    <row r="37" spans="2:32">
      <c r="B37" s="9" t="s">
        <v>275</v>
      </c>
      <c r="C37" s="3">
        <v>0</v>
      </c>
      <c r="D37" s="3">
        <v>0</v>
      </c>
      <c r="E37" s="3">
        <v>-746.41600000000005</v>
      </c>
      <c r="F37" s="3">
        <v>-12.617000000000001</v>
      </c>
      <c r="G37" s="3">
        <f>-12.042-6.563</f>
        <v>-18.605</v>
      </c>
      <c r="H37" s="3">
        <v>-1512.4739999999999</v>
      </c>
      <c r="I37" s="64">
        <v>-10.867000000000001</v>
      </c>
      <c r="J37" s="64">
        <f>-18.073</f>
        <v>-18.073</v>
      </c>
      <c r="K37" s="64">
        <v>0</v>
      </c>
      <c r="L37" s="64">
        <v>0</v>
      </c>
      <c r="M37" s="280">
        <v>-452.34</v>
      </c>
      <c r="N37" s="280">
        <v>-2.6739999999999999</v>
      </c>
      <c r="O37" s="280">
        <v>-2.1</v>
      </c>
      <c r="P37" s="536">
        <v>-2.7</v>
      </c>
      <c r="Q37" s="64">
        <v>-560.9</v>
      </c>
      <c r="R37" s="545">
        <f>IF(DEBT!AP73&lt;0,DEBT!AP73,0)</f>
        <v>-552.82764548161913</v>
      </c>
      <c r="S37" s="64">
        <f>IF(DEBT!AU73&lt;0,DEBT!AU73,0)</f>
        <v>0</v>
      </c>
      <c r="T37" s="64">
        <f>IF(DEBT!AZ73&lt;0,DEBT!AZ73,0)</f>
        <v>-1485.3</v>
      </c>
      <c r="U37" s="64">
        <f>IF(DEBT!BE73&lt;0,DEBT!BE73,0)</f>
        <v>0</v>
      </c>
      <c r="V37" s="64">
        <f>IF(DEBT!BJ73&lt;0,DEBT!BJ73,0)</f>
        <v>-993.2</v>
      </c>
      <c r="W37" s="64">
        <f>IF(DEBT!BO73&lt;0,DEBT!BO73,0)</f>
        <v>0</v>
      </c>
      <c r="X37" s="64">
        <f>IF(DEBT!BT73&lt;0,DEBT!BT73,0)</f>
        <v>0</v>
      </c>
      <c r="Y37" s="64">
        <f>IF(DEBT!BY73&lt;0,DEBT!BY73,0)</f>
        <v>-1734.8</v>
      </c>
      <c r="Z37" s="64">
        <f>IF(DEBT!CD73&lt;0,DEBT!CD73,0)</f>
        <v>0</v>
      </c>
      <c r="AA37" s="64">
        <f>IF(DEBT!CI73&lt;0,DEBT!CI73,0)</f>
        <v>0</v>
      </c>
      <c r="AB37" s="64">
        <f>IF(DEBT!CN73&lt;0,DEBT!CN73,0)</f>
        <v>0</v>
      </c>
      <c r="AC37" s="64">
        <f>IF(DEBT!CS73&lt;0,DEBT!CS73,0)</f>
        <v>0</v>
      </c>
      <c r="AD37" s="64">
        <f>IF(DEBT!CX73&lt;0,DEBT!CX73,0)</f>
        <v>0</v>
      </c>
      <c r="AE37" s="432"/>
      <c r="AF37" s="432"/>
    </row>
    <row r="38" spans="2:32">
      <c r="B38" s="9" t="s">
        <v>276</v>
      </c>
      <c r="C38" s="3">
        <v>0</v>
      </c>
      <c r="D38" s="3">
        <v>0</v>
      </c>
      <c r="E38" s="3">
        <v>0</v>
      </c>
      <c r="F38" s="3">
        <v>0</v>
      </c>
      <c r="G38" s="3">
        <v>0</v>
      </c>
      <c r="H38" s="3">
        <v>2.0470000000000002</v>
      </c>
      <c r="I38" s="64">
        <v>4.3559999999999999</v>
      </c>
      <c r="J38" s="64">
        <f>-23.475</f>
        <v>-23.475000000000001</v>
      </c>
      <c r="K38" s="64">
        <v>-27.062000000000001</v>
      </c>
      <c r="L38" s="64">
        <v>-2.726</v>
      </c>
      <c r="M38" s="280">
        <v>0</v>
      </c>
      <c r="N38" s="280">
        <v>0</v>
      </c>
      <c r="O38" s="280">
        <v>0</v>
      </c>
      <c r="P38" s="536">
        <v>0</v>
      </c>
      <c r="Q38" s="64">
        <v>-134.1</v>
      </c>
      <c r="R38" s="545">
        <v>0</v>
      </c>
      <c r="S38" s="64">
        <v>0</v>
      </c>
      <c r="T38" s="64">
        <v>0</v>
      </c>
      <c r="U38" s="64">
        <v>0</v>
      </c>
      <c r="V38" s="64">
        <v>0</v>
      </c>
      <c r="W38" s="64">
        <v>0</v>
      </c>
      <c r="X38" s="64">
        <v>0</v>
      </c>
      <c r="Y38" s="64">
        <v>0</v>
      </c>
      <c r="Z38" s="64">
        <v>0</v>
      </c>
      <c r="AA38" s="64">
        <v>0</v>
      </c>
      <c r="AB38" s="64">
        <v>0</v>
      </c>
      <c r="AC38" s="64">
        <v>0</v>
      </c>
      <c r="AD38" s="64">
        <v>0</v>
      </c>
      <c r="AE38" s="432"/>
      <c r="AF38" s="432"/>
    </row>
    <row r="39" spans="2:32">
      <c r="B39" s="9" t="s">
        <v>75</v>
      </c>
      <c r="C39" s="3">
        <v>26.745999999999999</v>
      </c>
      <c r="D39" s="3">
        <v>9.9309999999999992</v>
      </c>
      <c r="E39" s="3">
        <f>-9.639+10.503</f>
        <v>0.86400000000000077</v>
      </c>
      <c r="F39" s="3">
        <v>-11.86</v>
      </c>
      <c r="G39" s="3">
        <f>-5.399+208.209</f>
        <v>202.81</v>
      </c>
      <c r="H39" s="3">
        <f>-0.498-178.218</f>
        <v>-178.71599999999998</v>
      </c>
      <c r="I39" s="64">
        <f>12.275-29.991</f>
        <v>-17.716000000000001</v>
      </c>
      <c r="J39" s="64">
        <f>11.781</f>
        <v>11.781000000000001</v>
      </c>
      <c r="K39" s="64">
        <f>2.823-148.264-3.161-11.459</f>
        <v>-160.06100000000001</v>
      </c>
      <c r="L39" s="64">
        <f>-7.34-2.428-2.5</f>
        <v>-12.268000000000001</v>
      </c>
      <c r="M39" s="280">
        <v>-4.1159999999999997</v>
      </c>
      <c r="N39" s="280">
        <v>-17.683</v>
      </c>
      <c r="O39" s="280">
        <v>-74.400000000000006</v>
      </c>
      <c r="P39" s="536">
        <f>-38.6-2.8</f>
        <v>-41.4</v>
      </c>
      <c r="Q39" s="64">
        <f>-8.6-3-302.7</f>
        <v>-314.3</v>
      </c>
      <c r="R39" s="545">
        <f>BS!R27-BS!Q27</f>
        <v>0</v>
      </c>
      <c r="S39" s="64">
        <f>BS!S27-BS!R27</f>
        <v>0</v>
      </c>
      <c r="T39" s="64">
        <f>BS!T27-BS!S27</f>
        <v>0</v>
      </c>
      <c r="U39" s="64">
        <f>BS!U27-BS!T27</f>
        <v>0</v>
      </c>
      <c r="V39" s="64">
        <f>BS!V27-BS!U27</f>
        <v>0</v>
      </c>
      <c r="W39" s="64">
        <f>BS!W27-BS!V27</f>
        <v>0</v>
      </c>
      <c r="X39" s="64">
        <f>BS!X27-BS!W27</f>
        <v>0</v>
      </c>
      <c r="Y39" s="64">
        <f>BS!Y27-BS!X27</f>
        <v>0</v>
      </c>
      <c r="Z39" s="64">
        <f>BS!Z27-BS!Y27</f>
        <v>0</v>
      </c>
      <c r="AA39" s="64">
        <f>BS!AA27-BS!Z27</f>
        <v>0</v>
      </c>
      <c r="AB39" s="64">
        <f>BS!AB27-BS!AA27</f>
        <v>0</v>
      </c>
      <c r="AC39" s="64">
        <f>BS!AC27-BS!AB27</f>
        <v>0</v>
      </c>
      <c r="AD39" s="64">
        <f>BS!AD27-BS!AC27</f>
        <v>0</v>
      </c>
      <c r="AE39" s="432"/>
      <c r="AF39" s="432"/>
    </row>
    <row r="40" spans="2:32">
      <c r="B40" s="301" t="s">
        <v>277</v>
      </c>
      <c r="C40" s="102">
        <f t="shared" ref="C40" si="23">SUM(C33:C39)</f>
        <v>51.185000000000002</v>
      </c>
      <c r="D40" s="102">
        <f t="shared" ref="D40" si="24">SUM(D33:D39)</f>
        <v>-450.96100000000007</v>
      </c>
      <c r="E40" s="102">
        <f t="shared" ref="E40" si="25">SUM(E33:E39)</f>
        <v>-948.52300000000002</v>
      </c>
      <c r="F40" s="102">
        <f t="shared" ref="F40" si="26">SUM(F33:F39)</f>
        <v>-148.40999999999997</v>
      </c>
      <c r="G40" s="102">
        <f t="shared" ref="G40" si="27">SUM(G33:G39)</f>
        <v>-735.22000000000025</v>
      </c>
      <c r="H40" s="102">
        <f t="shared" ref="H40" si="28">SUM(H33:H39)</f>
        <v>-1234.6249999999998</v>
      </c>
      <c r="I40" s="102">
        <f t="shared" ref="I40" si="29">SUM(I33:I39)</f>
        <v>-724.15099999999984</v>
      </c>
      <c r="J40" s="102">
        <f t="shared" ref="J40:L40" si="30">SUM(J33:J39)</f>
        <v>-1784.9190000000003</v>
      </c>
      <c r="K40" s="102">
        <f t="shared" si="30"/>
        <v>-319.86200000000008</v>
      </c>
      <c r="L40" s="102">
        <f t="shared" si="30"/>
        <v>-877.47799999999995</v>
      </c>
      <c r="M40" s="102">
        <f>SUM(M33:M39)</f>
        <v>-716.52800000000002</v>
      </c>
      <c r="N40" s="102">
        <f>SUM(N33:N39)</f>
        <v>-755.87300000000005</v>
      </c>
      <c r="O40" s="433">
        <f t="shared" ref="O40:S40" si="31">SUM(O33:O39)</f>
        <v>986.39999999999975</v>
      </c>
      <c r="P40" s="539">
        <f t="shared" si="31"/>
        <v>-987.8</v>
      </c>
      <c r="Q40" s="102">
        <f t="shared" si="31"/>
        <v>-2380</v>
      </c>
      <c r="R40" s="547">
        <f t="shared" si="31"/>
        <v>-2526.9123581276681</v>
      </c>
      <c r="S40" s="102">
        <f t="shared" si="31"/>
        <v>-2646.072974030636</v>
      </c>
      <c r="T40" s="102">
        <f>SUM(T33:T39)</f>
        <v>-4429.1313425712797</v>
      </c>
      <c r="U40" s="102">
        <f t="shared" ref="U40:AD40" si="32">SUM(U33:U39)</f>
        <v>-3096.8508207837031</v>
      </c>
      <c r="V40" s="102">
        <f t="shared" si="32"/>
        <v>-4231.0156447273221</v>
      </c>
      <c r="W40" s="102">
        <f t="shared" si="32"/>
        <v>-3314.0283693047159</v>
      </c>
      <c r="X40" s="102">
        <f t="shared" si="32"/>
        <v>-3400.5584708318625</v>
      </c>
      <c r="Y40" s="102">
        <f t="shared" si="32"/>
        <v>-5044.7000942670202</v>
      </c>
      <c r="Z40" s="102">
        <f t="shared" si="32"/>
        <v>-3012.4426087583342</v>
      </c>
      <c r="AA40" s="102">
        <f t="shared" si="32"/>
        <v>-2565.2731540721802</v>
      </c>
      <c r="AB40" s="102">
        <f t="shared" si="32"/>
        <v>-2283.4695386296958</v>
      </c>
      <c r="AC40" s="102">
        <f t="shared" si="32"/>
        <v>-2248.3255574112727</v>
      </c>
      <c r="AD40" s="102">
        <f t="shared" si="32"/>
        <v>-2281.0329489447531</v>
      </c>
      <c r="AE40" s="432"/>
      <c r="AF40" s="432"/>
    </row>
    <row r="41" spans="2:32">
      <c r="B41" s="9"/>
      <c r="C41" s="34"/>
      <c r="D41" s="34"/>
      <c r="E41" s="34"/>
      <c r="F41" s="34"/>
      <c r="G41" s="34"/>
      <c r="H41" s="42"/>
      <c r="I41" s="64"/>
      <c r="J41" s="64"/>
      <c r="K41" s="64"/>
      <c r="L41" s="64"/>
      <c r="M41" s="64"/>
      <c r="N41" s="64"/>
      <c r="O41" s="64"/>
      <c r="P41" s="536"/>
      <c r="Q41" s="64"/>
      <c r="R41" s="545"/>
      <c r="S41" s="64"/>
      <c r="T41" s="64"/>
      <c r="U41" s="64"/>
      <c r="V41" s="64"/>
      <c r="W41" s="64"/>
      <c r="X41" s="64"/>
      <c r="Y41" s="64"/>
      <c r="Z41" s="64"/>
      <c r="AA41" s="64"/>
      <c r="AB41" s="64"/>
      <c r="AC41" s="64"/>
      <c r="AD41" s="64"/>
      <c r="AE41" s="432"/>
      <c r="AF41" s="432"/>
    </row>
    <row r="42" spans="2:32">
      <c r="B42" s="9" t="s">
        <v>279</v>
      </c>
      <c r="C42" s="64">
        <f t="shared" ref="C42:H42" si="33">C23+C31+C40</f>
        <v>-35.279000000000053</v>
      </c>
      <c r="D42" s="64">
        <f t="shared" si="33"/>
        <v>-105.40300000000019</v>
      </c>
      <c r="E42" s="64">
        <f t="shared" si="33"/>
        <v>358.72099999999989</v>
      </c>
      <c r="F42" s="64">
        <f t="shared" si="33"/>
        <v>93.084999999999923</v>
      </c>
      <c r="G42" s="64">
        <f t="shared" si="33"/>
        <v>-1.1570000000006075</v>
      </c>
      <c r="H42" s="64">
        <f t="shared" si="33"/>
        <v>-38.052999999999656</v>
      </c>
      <c r="I42" s="64">
        <f>I23+I31+I40</f>
        <v>-44.283999999999764</v>
      </c>
      <c r="J42" s="64">
        <f t="shared" ref="J42:AD42" si="34">J23+J31+J40</f>
        <v>185.07899999999927</v>
      </c>
      <c r="K42" s="64">
        <f t="shared" si="34"/>
        <v>-242.41500000000042</v>
      </c>
      <c r="L42" s="64">
        <f t="shared" si="34"/>
        <v>52.076999999999771</v>
      </c>
      <c r="M42" s="64">
        <f t="shared" si="34"/>
        <v>23.881999999999834</v>
      </c>
      <c r="N42" s="64">
        <f>N23+N31+N40</f>
        <v>643.26599999999939</v>
      </c>
      <c r="O42" s="64">
        <f t="shared" si="34"/>
        <v>148.89999999999884</v>
      </c>
      <c r="P42" s="536">
        <f t="shared" si="34"/>
        <v>1049.7999999999995</v>
      </c>
      <c r="Q42" s="64">
        <f t="shared" si="34"/>
        <v>-792.10000000000036</v>
      </c>
      <c r="R42" s="545">
        <f t="shared" si="34"/>
        <v>267.99097874947165</v>
      </c>
      <c r="S42" s="64">
        <f t="shared" si="34"/>
        <v>2057.6342748057632</v>
      </c>
      <c r="T42" s="64">
        <f t="shared" si="34"/>
        <v>1139.127114311088</v>
      </c>
      <c r="U42" s="64">
        <f t="shared" si="34"/>
        <v>2761.2197620909328</v>
      </c>
      <c r="V42" s="64">
        <f t="shared" si="34"/>
        <v>1894.2754701086014</v>
      </c>
      <c r="W42" s="64">
        <f t="shared" si="34"/>
        <v>2955.4443427675114</v>
      </c>
      <c r="X42" s="64">
        <f t="shared" si="34"/>
        <v>3032.6857874892225</v>
      </c>
      <c r="Y42" s="64">
        <f t="shared" si="34"/>
        <v>1217.1733366055023</v>
      </c>
      <c r="Z42" s="64">
        <f t="shared" si="34"/>
        <v>2685.8781879028502</v>
      </c>
      <c r="AA42" s="64">
        <f t="shared" si="34"/>
        <v>2286.1724203413883</v>
      </c>
      <c r="AB42" s="64">
        <f t="shared" si="34"/>
        <v>2033.0561382218307</v>
      </c>
      <c r="AC42" s="64">
        <f t="shared" si="34"/>
        <v>2001.6691577882257</v>
      </c>
      <c r="AD42" s="64">
        <f t="shared" si="34"/>
        <v>2030.8474127145919</v>
      </c>
      <c r="AE42" s="432"/>
      <c r="AF42" s="432"/>
    </row>
    <row r="43" spans="2:32">
      <c r="B43" s="9"/>
      <c r="C43" s="64"/>
      <c r="D43" s="64"/>
      <c r="E43" s="64"/>
      <c r="F43" s="64"/>
      <c r="G43" s="64"/>
      <c r="H43" s="64"/>
      <c r="I43" s="64"/>
      <c r="J43" s="64"/>
      <c r="K43" s="64"/>
      <c r="L43" s="64"/>
      <c r="M43" s="64"/>
      <c r="N43" s="64"/>
      <c r="O43" s="64"/>
      <c r="P43" s="536"/>
      <c r="Q43" s="64"/>
      <c r="R43" s="545"/>
      <c r="S43" s="64"/>
      <c r="T43" s="64"/>
      <c r="U43" s="64"/>
      <c r="V43" s="64"/>
      <c r="W43" s="64"/>
      <c r="X43" s="64"/>
      <c r="Y43" s="64"/>
      <c r="Z43" s="64"/>
      <c r="AA43" s="64"/>
      <c r="AB43" s="64"/>
      <c r="AC43" s="64"/>
      <c r="AD43" s="64"/>
      <c r="AE43" s="432"/>
      <c r="AF43" s="432"/>
    </row>
    <row r="44" spans="2:32">
      <c r="B44" s="9" t="s">
        <v>278</v>
      </c>
      <c r="C44" s="3">
        <v>0</v>
      </c>
      <c r="D44" s="3">
        <v>0</v>
      </c>
      <c r="E44" s="3">
        <v>0</v>
      </c>
      <c r="F44" s="3">
        <v>0.124</v>
      </c>
      <c r="G44" s="3">
        <v>-0.55800000000000005</v>
      </c>
      <c r="H44" s="3">
        <v>0.77600000000000002</v>
      </c>
      <c r="I44" s="64">
        <v>3.7879999999999998</v>
      </c>
      <c r="J44" s="64">
        <v>-7.37</v>
      </c>
      <c r="K44" s="64">
        <v>-2.641</v>
      </c>
      <c r="L44" s="64">
        <v>4.1020000000000003</v>
      </c>
      <c r="M44" s="280">
        <v>7.9589999999999996</v>
      </c>
      <c r="N44" s="280">
        <v>-40.904000000000003</v>
      </c>
      <c r="O44" s="280">
        <v>-45.8</v>
      </c>
      <c r="P44" s="536">
        <v>-31.3</v>
      </c>
      <c r="Q44" s="64">
        <v>39.4</v>
      </c>
      <c r="R44" s="545">
        <v>0</v>
      </c>
      <c r="S44" s="64">
        <v>0</v>
      </c>
      <c r="T44" s="64">
        <v>0</v>
      </c>
      <c r="U44" s="64">
        <v>0</v>
      </c>
      <c r="V44" s="64">
        <v>0</v>
      </c>
      <c r="W44" s="64">
        <v>0</v>
      </c>
      <c r="X44" s="64">
        <v>0</v>
      </c>
      <c r="Y44" s="64">
        <v>0</v>
      </c>
      <c r="Z44" s="64">
        <v>0</v>
      </c>
      <c r="AA44" s="64">
        <v>0</v>
      </c>
      <c r="AB44" s="64">
        <v>0</v>
      </c>
      <c r="AC44" s="64">
        <v>0</v>
      </c>
      <c r="AD44" s="64">
        <v>0</v>
      </c>
      <c r="AE44" s="432"/>
      <c r="AF44" s="432"/>
    </row>
    <row r="45" spans="2:32">
      <c r="B45" s="300" t="s">
        <v>280</v>
      </c>
      <c r="C45" s="302">
        <v>350.12900000000002</v>
      </c>
      <c r="D45" s="302">
        <f>C46</f>
        <v>314.84999999999997</v>
      </c>
      <c r="E45" s="302">
        <f t="shared" ref="E45:P45" si="35">D46</f>
        <v>209.44699999999978</v>
      </c>
      <c r="F45" s="302">
        <f t="shared" si="35"/>
        <v>568.16799999999967</v>
      </c>
      <c r="G45" s="302">
        <f t="shared" si="35"/>
        <v>661.37699999999961</v>
      </c>
      <c r="H45" s="302">
        <f t="shared" si="35"/>
        <v>659.66199999999901</v>
      </c>
      <c r="I45" s="284">
        <f t="shared" si="35"/>
        <v>622.38499999999931</v>
      </c>
      <c r="J45" s="284">
        <f t="shared" si="35"/>
        <v>581.88899999999956</v>
      </c>
      <c r="K45" s="284">
        <f t="shared" si="35"/>
        <v>759.59799999999882</v>
      </c>
      <c r="L45" s="284">
        <f t="shared" si="35"/>
        <v>514.54199999999844</v>
      </c>
      <c r="M45" s="284">
        <f t="shared" si="35"/>
        <v>570.72099999999818</v>
      </c>
      <c r="N45" s="284">
        <f t="shared" si="35"/>
        <v>602.56199999999797</v>
      </c>
      <c r="O45" s="284">
        <f t="shared" si="35"/>
        <v>1204.9239999999972</v>
      </c>
      <c r="P45" s="542">
        <f t="shared" si="35"/>
        <v>1308.023999999996</v>
      </c>
      <c r="Q45" s="284">
        <v>2326.5</v>
      </c>
      <c r="R45" s="548">
        <f t="shared" ref="R45:W45" si="36">Q46</f>
        <v>1573.7999999999997</v>
      </c>
      <c r="S45" s="284">
        <f t="shared" si="36"/>
        <v>1841.7909787494714</v>
      </c>
      <c r="T45" s="284">
        <f t="shared" si="36"/>
        <v>3899.4252535552346</v>
      </c>
      <c r="U45" s="284">
        <f t="shared" si="36"/>
        <v>5038.552367866323</v>
      </c>
      <c r="V45" s="284">
        <f t="shared" si="36"/>
        <v>7799.7721299572559</v>
      </c>
      <c r="W45" s="284">
        <f t="shared" si="36"/>
        <v>9694.0476000658564</v>
      </c>
      <c r="X45" s="284">
        <f t="shared" ref="X45:AD45" si="37">W46</f>
        <v>12649.491942833367</v>
      </c>
      <c r="Y45" s="284">
        <f t="shared" si="37"/>
        <v>15682.17773032259</v>
      </c>
      <c r="Z45" s="284">
        <f t="shared" si="37"/>
        <v>16899.351066928091</v>
      </c>
      <c r="AA45" s="284">
        <f t="shared" si="37"/>
        <v>19585.229254830941</v>
      </c>
      <c r="AB45" s="284">
        <f t="shared" si="37"/>
        <v>21871.401675172328</v>
      </c>
      <c r="AC45" s="284">
        <f t="shared" si="37"/>
        <v>23904.457813394158</v>
      </c>
      <c r="AD45" s="284">
        <f t="shared" si="37"/>
        <v>25906.126971182384</v>
      </c>
      <c r="AE45" s="432"/>
      <c r="AF45" s="432"/>
    </row>
    <row r="46" spans="2:32" ht="15.75" thickBot="1">
      <c r="B46" s="303" t="s">
        <v>281</v>
      </c>
      <c r="C46" s="283">
        <f t="shared" ref="C46:L46" si="38">C45+C42+C44</f>
        <v>314.84999999999997</v>
      </c>
      <c r="D46" s="283">
        <f t="shared" si="38"/>
        <v>209.44699999999978</v>
      </c>
      <c r="E46" s="283">
        <f t="shared" si="38"/>
        <v>568.16799999999967</v>
      </c>
      <c r="F46" s="283">
        <f t="shared" si="38"/>
        <v>661.37699999999961</v>
      </c>
      <c r="G46" s="283">
        <f t="shared" si="38"/>
        <v>659.66199999999901</v>
      </c>
      <c r="H46" s="283">
        <f t="shared" si="38"/>
        <v>622.38499999999931</v>
      </c>
      <c r="I46" s="283">
        <f t="shared" si="38"/>
        <v>581.88899999999956</v>
      </c>
      <c r="J46" s="283">
        <f t="shared" si="38"/>
        <v>759.59799999999882</v>
      </c>
      <c r="K46" s="283">
        <f t="shared" si="38"/>
        <v>514.54199999999844</v>
      </c>
      <c r="L46" s="283">
        <f t="shared" si="38"/>
        <v>570.72099999999818</v>
      </c>
      <c r="M46" s="283">
        <f>M45+M42+M44</f>
        <v>602.56199999999797</v>
      </c>
      <c r="N46" s="283">
        <f>N45+N42+N44</f>
        <v>1204.9239999999972</v>
      </c>
      <c r="O46" s="283">
        <f>O45+O42+O44</f>
        <v>1308.023999999996</v>
      </c>
      <c r="P46" s="538">
        <f>P45+P42+P44</f>
        <v>2326.5239999999953</v>
      </c>
      <c r="Q46" s="283">
        <f t="shared" ref="Q46:AD46" si="39">Q45+Q42+Q44</f>
        <v>1573.7999999999997</v>
      </c>
      <c r="R46" s="549">
        <f t="shared" si="39"/>
        <v>1841.7909787494714</v>
      </c>
      <c r="S46" s="283">
        <f t="shared" si="39"/>
        <v>3899.4252535552346</v>
      </c>
      <c r="T46" s="283">
        <f t="shared" si="39"/>
        <v>5038.552367866323</v>
      </c>
      <c r="U46" s="283">
        <f t="shared" si="39"/>
        <v>7799.7721299572559</v>
      </c>
      <c r="V46" s="283">
        <f t="shared" si="39"/>
        <v>9694.0476000658564</v>
      </c>
      <c r="W46" s="283">
        <f t="shared" si="39"/>
        <v>12649.491942833367</v>
      </c>
      <c r="X46" s="283">
        <f t="shared" si="39"/>
        <v>15682.17773032259</v>
      </c>
      <c r="Y46" s="283">
        <f t="shared" si="39"/>
        <v>16899.351066928091</v>
      </c>
      <c r="Z46" s="283">
        <f t="shared" si="39"/>
        <v>19585.229254830941</v>
      </c>
      <c r="AA46" s="283">
        <f t="shared" si="39"/>
        <v>21871.401675172328</v>
      </c>
      <c r="AB46" s="283">
        <f t="shared" si="39"/>
        <v>23904.457813394158</v>
      </c>
      <c r="AC46" s="283">
        <f t="shared" si="39"/>
        <v>25906.126971182384</v>
      </c>
      <c r="AD46" s="283">
        <f t="shared" si="39"/>
        <v>27936.974383896977</v>
      </c>
      <c r="AE46" s="432"/>
      <c r="AF46" s="432"/>
    </row>
    <row r="47" spans="2:32" ht="15.75" thickTop="1">
      <c r="B47" s="11" t="s">
        <v>282</v>
      </c>
      <c r="C47" s="3">
        <f>+BS!C3+BS!C4+BS!C12</f>
        <v>2338.2860000000001</v>
      </c>
      <c r="D47" s="3">
        <f>+BS!D3+BS!D4+BS!D12</f>
        <v>2167.5659999999998</v>
      </c>
      <c r="E47" s="3">
        <f>+BS!E3+BS!E4+BS!E12</f>
        <v>2055.1309999999999</v>
      </c>
      <c r="F47" s="3">
        <f>+BS!F3+BS!F4+BS!F12</f>
        <v>2314.9290000000001</v>
      </c>
      <c r="G47" s="3">
        <f>+BS!G3+BS!G4+BS!G12</f>
        <v>1911.3409999999999</v>
      </c>
      <c r="H47" s="3">
        <f>+BS!H3+BS!H4+BS!H12</f>
        <v>2233.377</v>
      </c>
      <c r="I47" s="64">
        <f>+BS!I3+BS!I4+BS!I12</f>
        <v>2457.8040000000001</v>
      </c>
      <c r="J47" s="64">
        <f>+BS!J3+BS!J4+BS!J12</f>
        <v>1950.8449999999998</v>
      </c>
      <c r="K47" s="64">
        <f>+BS!K3+BS!K4+BS!K12</f>
        <v>3107.3940000000002</v>
      </c>
      <c r="L47" s="64">
        <f>+BS!L3+BS!L4+BS!L12</f>
        <v>3742.3679999999999</v>
      </c>
      <c r="M47" s="64">
        <f>+BS!M3+BS!M4+BS!M12</f>
        <v>1848.5010000000002</v>
      </c>
      <c r="N47" s="64">
        <f>BS!N3+BS!N4+BS!N12</f>
        <v>3316.0360000000001</v>
      </c>
      <c r="O47" s="64">
        <f>BS!O3+BS!O4+BS!O12</f>
        <v>6188.9</v>
      </c>
      <c r="P47" s="64">
        <f>BS!P3+BS!P4+BS!P12</f>
        <v>7724.5</v>
      </c>
      <c r="Q47" s="64">
        <f>BS!Q3+BS!Q4+BS!Q12</f>
        <v>6746.3</v>
      </c>
      <c r="R47" s="545">
        <f>BS!R3+BS!R4+BS!R12</f>
        <v>7234.5570671644291</v>
      </c>
      <c r="S47" s="64">
        <f>BS!S3+BS!S4+BS!S12</f>
        <v>9580.6300411950651</v>
      </c>
      <c r="T47" s="64">
        <f>BS!T3+BS!T4+BS!T12</f>
        <v>11039.161383766344</v>
      </c>
      <c r="U47" s="64">
        <f>BS!U3+BS!U4+BS!U12</f>
        <v>14136.012204550047</v>
      </c>
      <c r="V47" s="64">
        <f>BS!V3+BS!V4+BS!V12</f>
        <v>16380.627849277371</v>
      </c>
      <c r="W47" s="64">
        <f>BS!W3+BS!W4+BS!W12</f>
        <v>19694.656218582084</v>
      </c>
      <c r="X47" s="64">
        <f>BS!X3+BS!X4+BS!X12</f>
        <v>23095.214689413951</v>
      </c>
      <c r="Y47" s="64">
        <f>BS!Y3+BS!Y4+BS!Y12</f>
        <v>24670.314783680966</v>
      </c>
      <c r="Z47" s="64">
        <f>BS!Z3+BS!Z4+BS!Z12</f>
        <v>27682.7573924393</v>
      </c>
      <c r="AA47" s="64">
        <f>BS!AA3+BS!AA4+BS!AA12</f>
        <v>30248.030546511476</v>
      </c>
      <c r="AB47" s="64">
        <f>BS!AB3+BS!AB4+BS!AB12</f>
        <v>32531.500085141171</v>
      </c>
      <c r="AC47" s="64">
        <f>BS!AC3+BS!AC4+BS!AC12</f>
        <v>34779.825642552445</v>
      </c>
      <c r="AD47" s="64">
        <f>BS!AD3+BS!AD4+BS!AD12</f>
        <v>37060.858591497199</v>
      </c>
      <c r="AE47" s="432"/>
      <c r="AF47" s="432"/>
    </row>
    <row r="48" spans="2:32">
      <c r="B48" s="32" t="s">
        <v>283</v>
      </c>
      <c r="C48" s="86">
        <f>IF((C46-BS!C3)&lt;0.000000000001,0,(C46-BS!C3))</f>
        <v>0</v>
      </c>
      <c r="D48" s="86">
        <f>IF((D46-BS!D3)&lt;0.000000000001,0,(D46-BS!D3))</f>
        <v>0</v>
      </c>
      <c r="E48" s="86">
        <f>IF((E46-BS!E3)&lt;0.000000000001,0,(E46-BS!E3))</f>
        <v>0</v>
      </c>
      <c r="F48" s="86">
        <f>IF((F46-BS!F3)&lt;0.000000000001,0,(F46-BS!F3))</f>
        <v>0</v>
      </c>
      <c r="G48" s="86">
        <f>IF((G46-BS!G3)&lt;0.000000000001,0,(G46-BS!G3))</f>
        <v>0</v>
      </c>
      <c r="H48" s="86">
        <f>IF((H46-BS!H3)&lt;0.000000000001,0,(H46-BS!H3))</f>
        <v>0</v>
      </c>
      <c r="I48" s="86">
        <f>IF((I46-BS!I3)&lt;0.000000000001,0,(I46-BS!I3))</f>
        <v>0</v>
      </c>
      <c r="J48" s="86">
        <f>IF((J46-BS!J3)&lt;0.000000000001,0,(J46-BS!J3))</f>
        <v>0</v>
      </c>
      <c r="K48" s="86">
        <f>IF((K46-BS!K3)&lt;0.000000000001,0,(K46-BS!K3))</f>
        <v>0</v>
      </c>
      <c r="L48" s="86">
        <f>IF((L46-BS!L3)&lt;0.000000000001,0,(L46-BS!L3))</f>
        <v>0</v>
      </c>
      <c r="M48" s="281">
        <f>IF((M46-BS!M3)&lt;0.000000000001,0,(M46-BS!M3))</f>
        <v>0</v>
      </c>
      <c r="N48" s="281">
        <f>IF((N46-BS!N3)&lt;0.000000000001,0,(N46-BS!N3))</f>
        <v>0</v>
      </c>
      <c r="O48" s="281">
        <f>IF((O46-BS!O3)&lt;0.000000000001,0,(O46-BS!O3))</f>
        <v>2.399999999602187E-2</v>
      </c>
      <c r="P48" s="509">
        <f>IF((P46-BS!P3)&lt;0.000000000001,0,(P46-BS!P3))</f>
        <v>2.3999999995339749E-2</v>
      </c>
      <c r="Q48" s="550">
        <f>IF((Q46-BS!Q3)&lt;0.000000000001,0,(Q46-BS!Q3))</f>
        <v>0</v>
      </c>
      <c r="R48" s="86">
        <f>IF((R46-BS!R3)&lt;0.000000000001,0,(R46-BS!R3))</f>
        <v>0</v>
      </c>
      <c r="S48" s="86">
        <f>IF((S46-BS!S3)&lt;0.000000000001,0,(S46-BS!S3))</f>
        <v>0</v>
      </c>
      <c r="T48" s="86">
        <f>IF((T46-BS!T3)&lt;0.000000000001,0,(T46-BS!T3))</f>
        <v>0</v>
      </c>
      <c r="U48" s="86">
        <f>IF((U46-BS!U3)&lt;0.000000000001,0,(U46-BS!U3))</f>
        <v>0</v>
      </c>
      <c r="V48" s="86">
        <f>IF((V46-BS!V3)&lt;0.000000000001,0,(V46-BS!V3))</f>
        <v>0</v>
      </c>
      <c r="W48" s="86">
        <f>IF((W46-BS!W3)&lt;0.000000000001,0,(W46-BS!W3))</f>
        <v>0</v>
      </c>
      <c r="X48" s="86">
        <f>IF((X46-BS!X3)&lt;0.000000000001,0,(X46-BS!X3))</f>
        <v>0</v>
      </c>
      <c r="Y48" s="86">
        <f>IF((Y46-BS!Y3)&lt;0.000000000001,0,(Y46-BS!Y3))</f>
        <v>0</v>
      </c>
      <c r="Z48" s="86">
        <f>IF((Z46-BS!Z3)&lt;0.000000000001,0,(Z46-BS!Z3))</f>
        <v>0</v>
      </c>
      <c r="AA48" s="86">
        <f>IF((AA46-BS!AA3)&lt;0.000000000001,0,(AA46-BS!AA3))</f>
        <v>0</v>
      </c>
      <c r="AB48" s="86">
        <f>IF((AB46-BS!AB3)&lt;0.000000000001,0,(AB46-BS!AB3))</f>
        <v>0</v>
      </c>
      <c r="AC48" s="86">
        <f>IF((AC46-BS!AC3)&lt;0.000000000001,0,(AC46-BS!AC3))</f>
        <v>0</v>
      </c>
      <c r="AD48" s="86">
        <f>IF((AD46-BS!AD3)&lt;0.000000000001,0,(AD46-BS!AD3))</f>
        <v>0</v>
      </c>
      <c r="AE48" s="86"/>
      <c r="AF48" s="86"/>
    </row>
    <row r="49" spans="2:33">
      <c r="C49" s="86"/>
      <c r="D49" s="86"/>
      <c r="E49" s="86"/>
      <c r="F49" s="86"/>
      <c r="G49" s="86"/>
      <c r="H49" s="86"/>
      <c r="I49" s="281"/>
      <c r="J49" s="281"/>
      <c r="K49" s="281"/>
      <c r="L49" s="281"/>
      <c r="M49" s="281"/>
      <c r="N49" s="281"/>
      <c r="O49" s="281"/>
      <c r="P49" s="281"/>
      <c r="Q49" s="281"/>
      <c r="R49" s="281"/>
      <c r="S49" s="281"/>
      <c r="T49" s="281"/>
      <c r="U49" s="281"/>
      <c r="V49" s="281"/>
      <c r="W49" s="281"/>
      <c r="X49" s="281"/>
      <c r="Y49" s="281"/>
      <c r="Z49" s="281"/>
      <c r="AA49" s="281"/>
      <c r="AB49" s="281"/>
      <c r="AC49" s="281"/>
      <c r="AD49" s="281"/>
      <c r="AE49" s="281"/>
      <c r="AF49" s="281"/>
    </row>
    <row r="50" spans="2:33">
      <c r="B50" s="4" t="s">
        <v>284</v>
      </c>
      <c r="C50" s="87"/>
      <c r="D50" s="86"/>
      <c r="E50" s="86"/>
      <c r="F50" s="86"/>
      <c r="G50" s="85"/>
      <c r="H50" s="84"/>
      <c r="I50" s="281"/>
      <c r="J50" s="281"/>
      <c r="K50" s="281"/>
      <c r="L50" s="281"/>
      <c r="M50" s="281"/>
      <c r="N50" s="281"/>
      <c r="O50" s="281"/>
      <c r="P50" s="281"/>
      <c r="Q50" s="281"/>
      <c r="R50" s="281"/>
      <c r="S50" s="281"/>
      <c r="T50" s="281"/>
      <c r="U50" s="281"/>
      <c r="V50" s="281"/>
      <c r="W50" s="281"/>
      <c r="X50" s="281"/>
      <c r="Y50" s="281"/>
      <c r="Z50" s="281"/>
      <c r="AA50" s="281"/>
      <c r="AB50" s="281"/>
      <c r="AC50" s="281"/>
      <c r="AD50" s="281"/>
      <c r="AE50" s="281"/>
      <c r="AF50" s="281"/>
    </row>
    <row r="51" spans="2:33" hidden="1" outlineLevel="1">
      <c r="B51" s="73" t="s">
        <v>285</v>
      </c>
      <c r="C51" s="3"/>
      <c r="D51" s="3"/>
      <c r="E51" s="3"/>
      <c r="F51" s="3"/>
      <c r="G51" s="3"/>
      <c r="H51" s="3"/>
      <c r="I51" s="64"/>
      <c r="J51" s="64"/>
      <c r="K51" s="64"/>
      <c r="L51" s="64"/>
      <c r="M51" s="64"/>
      <c r="N51" s="64"/>
      <c r="O51" s="64"/>
      <c r="P51" s="64"/>
      <c r="Q51" s="64"/>
      <c r="R51" s="64"/>
      <c r="S51" s="64"/>
      <c r="T51" s="64"/>
      <c r="U51" s="64"/>
      <c r="V51" s="64"/>
      <c r="W51" s="64"/>
      <c r="X51" s="64"/>
      <c r="Y51" s="64"/>
      <c r="Z51" s="64"/>
      <c r="AA51" s="64"/>
      <c r="AB51" s="64"/>
      <c r="AC51" s="64"/>
      <c r="AD51" s="64"/>
      <c r="AE51" s="64"/>
      <c r="AF51" s="64"/>
    </row>
    <row r="52" spans="2:33" hidden="1" outlineLevel="1">
      <c r="B52" s="1" t="s">
        <v>286</v>
      </c>
      <c r="C52" s="3">
        <f t="shared" ref="C52:S52" si="40">C23</f>
        <v>169.96699999999981</v>
      </c>
      <c r="D52" s="3">
        <f t="shared" si="40"/>
        <v>727.98599999999999</v>
      </c>
      <c r="E52" s="3">
        <f t="shared" si="40"/>
        <v>889.50299999999993</v>
      </c>
      <c r="F52" s="3">
        <f t="shared" si="40"/>
        <v>841.26799999999992</v>
      </c>
      <c r="G52" s="3">
        <f t="shared" si="40"/>
        <v>1020.6349999999999</v>
      </c>
      <c r="H52" s="3">
        <f t="shared" si="40"/>
        <v>1562.4450000000002</v>
      </c>
      <c r="I52" s="64">
        <f t="shared" si="40"/>
        <v>1074.8980000000001</v>
      </c>
      <c r="J52" s="64">
        <f t="shared" si="40"/>
        <v>1624.6729999999998</v>
      </c>
      <c r="K52" s="64">
        <f t="shared" si="40"/>
        <v>1727.7409999999998</v>
      </c>
      <c r="L52" s="64">
        <f>L23</f>
        <v>1879.8969999999999</v>
      </c>
      <c r="M52" s="64">
        <f t="shared" si="40"/>
        <v>2345.078</v>
      </c>
      <c r="N52" s="64">
        <f t="shared" si="40"/>
        <v>2942.1149999999998</v>
      </c>
      <c r="O52" s="64">
        <f t="shared" si="40"/>
        <v>3716.0999999999985</v>
      </c>
      <c r="P52" s="64">
        <f t="shared" si="40"/>
        <v>4522.3999999999996</v>
      </c>
      <c r="Q52" s="64">
        <f t="shared" si="40"/>
        <v>4551</v>
      </c>
      <c r="R52" s="64">
        <f t="shared" si="40"/>
        <v>4405.3217682991508</v>
      </c>
      <c r="S52" s="64">
        <f t="shared" si="40"/>
        <v>5768.7739844974667</v>
      </c>
      <c r="T52" s="64">
        <f>T23</f>
        <v>6388.0845652038224</v>
      </c>
      <c r="U52" s="64">
        <f t="shared" ref="U52:AD52" si="41">U23</f>
        <v>6712.6211738554011</v>
      </c>
      <c r="V52" s="64">
        <f t="shared" si="41"/>
        <v>7006.8034923744081</v>
      </c>
      <c r="W52" s="64">
        <f t="shared" si="41"/>
        <v>7171.6805307440982</v>
      </c>
      <c r="X52" s="64">
        <f t="shared" si="41"/>
        <v>7357.4536668527981</v>
      </c>
      <c r="Y52" s="64">
        <f t="shared" si="41"/>
        <v>7158.5351532303375</v>
      </c>
      <c r="Z52" s="64">
        <f t="shared" si="41"/>
        <v>6531.2884171096748</v>
      </c>
      <c r="AA52" s="64">
        <f t="shared" si="41"/>
        <v>5582.014674615828</v>
      </c>
      <c r="AB52" s="64">
        <f t="shared" si="41"/>
        <v>5008.2680081573062</v>
      </c>
      <c r="AC52" s="64">
        <f t="shared" si="41"/>
        <v>4933.1279924609235</v>
      </c>
      <c r="AD52" s="64">
        <f t="shared" si="41"/>
        <v>5003.7107246032356</v>
      </c>
      <c r="AE52" s="64"/>
      <c r="AF52" s="64"/>
    </row>
    <row r="53" spans="2:33" hidden="1" outlineLevel="1">
      <c r="B53" s="72" t="s">
        <v>287</v>
      </c>
      <c r="C53" s="70">
        <f t="shared" ref="C53:S53" si="42">C26</f>
        <v>-301.24799999999999</v>
      </c>
      <c r="D53" s="70">
        <f t="shared" si="42"/>
        <v>-361.01299999999998</v>
      </c>
      <c r="E53" s="70">
        <f t="shared" si="42"/>
        <v>-318.37599999999998</v>
      </c>
      <c r="F53" s="70">
        <f t="shared" si="42"/>
        <v>-124.09600000000002</v>
      </c>
      <c r="G53" s="70">
        <f t="shared" si="42"/>
        <v>-267.43700000000001</v>
      </c>
      <c r="H53" s="70">
        <f t="shared" si="42"/>
        <v>-275.95400000000001</v>
      </c>
      <c r="I53" s="281">
        <f t="shared" si="42"/>
        <v>-165.64599999999999</v>
      </c>
      <c r="J53" s="281">
        <f t="shared" si="42"/>
        <v>-173.05500000000001</v>
      </c>
      <c r="K53" s="281">
        <f t="shared" si="42"/>
        <v>-205.81300000000002</v>
      </c>
      <c r="L53" s="281">
        <f t="shared" si="42"/>
        <v>-254.548</v>
      </c>
      <c r="M53" s="281">
        <f t="shared" si="42"/>
        <v>-246.28100000000001</v>
      </c>
      <c r="N53" s="281">
        <f t="shared" si="42"/>
        <v>-287.75099999999998</v>
      </c>
      <c r="O53" s="281">
        <f t="shared" si="42"/>
        <v>-643</v>
      </c>
      <c r="P53" s="281">
        <f t="shared" si="42"/>
        <v>-616.1</v>
      </c>
      <c r="Q53" s="281">
        <f t="shared" si="42"/>
        <v>-867.4</v>
      </c>
      <c r="R53" s="281">
        <f t="shared" si="42"/>
        <v>-457.15234300705339</v>
      </c>
      <c r="S53" s="281">
        <f t="shared" si="42"/>
        <v>-476.62803643619463</v>
      </c>
      <c r="T53" s="281">
        <f>T26</f>
        <v>-500.42188006126389</v>
      </c>
      <c r="U53" s="281">
        <f t="shared" ref="U53:AD53" si="43">U26</f>
        <v>-518.91953228799525</v>
      </c>
      <c r="V53" s="281">
        <f t="shared" si="43"/>
        <v>-531.17220291976389</v>
      </c>
      <c r="W53" s="281">
        <f t="shared" si="43"/>
        <v>-543.62379213466647</v>
      </c>
      <c r="X53" s="281">
        <f t="shared" si="43"/>
        <v>-556.33672518907304</v>
      </c>
      <c r="Y53" s="281">
        <f t="shared" si="43"/>
        <v>-538.73496469629788</v>
      </c>
      <c r="Z53" s="281">
        <f t="shared" si="43"/>
        <v>-506.40319959300666</v>
      </c>
      <c r="AA53" s="281">
        <f t="shared" si="43"/>
        <v>-451.46836647146762</v>
      </c>
      <c r="AB53" s="281">
        <f t="shared" si="43"/>
        <v>-441.32893089791457</v>
      </c>
      <c r="AC53" s="281">
        <f t="shared" si="43"/>
        <v>-436.47687763837837</v>
      </c>
      <c r="AD53" s="281">
        <f t="shared" si="43"/>
        <v>-441.64482671372906</v>
      </c>
      <c r="AE53" s="281"/>
      <c r="AF53" s="281"/>
    </row>
    <row r="54" spans="2:33" hidden="1" outlineLevel="1">
      <c r="B54" s="9" t="s">
        <v>288</v>
      </c>
      <c r="C54" s="3">
        <f>+C10</f>
        <v>23.373000000000001</v>
      </c>
      <c r="D54" s="3">
        <f>+D10</f>
        <v>144.55000000000001</v>
      </c>
      <c r="E54" s="3">
        <f t="shared" ref="E54:T54" si="44">+E35</f>
        <v>0</v>
      </c>
      <c r="F54" s="3">
        <f t="shared" si="44"/>
        <v>31.681999999999999</v>
      </c>
      <c r="G54" s="3">
        <f t="shared" si="44"/>
        <v>69.665999999999997</v>
      </c>
      <c r="H54" s="3">
        <f t="shared" si="44"/>
        <v>27.99</v>
      </c>
      <c r="I54" s="64">
        <f t="shared" si="44"/>
        <v>3.4359999999999999</v>
      </c>
      <c r="J54" s="64">
        <f t="shared" si="44"/>
        <v>13.135999999999999</v>
      </c>
      <c r="K54" s="64">
        <f t="shared" si="44"/>
        <v>50.585999999999999</v>
      </c>
      <c r="L54" s="64">
        <f t="shared" si="44"/>
        <v>54.738</v>
      </c>
      <c r="M54" s="64">
        <f t="shared" si="44"/>
        <v>73.466999999999999</v>
      </c>
      <c r="N54" s="64">
        <f t="shared" si="44"/>
        <v>96.376000000000005</v>
      </c>
      <c r="O54" s="64">
        <f t="shared" si="44"/>
        <v>78.2</v>
      </c>
      <c r="P54" s="64">
        <f t="shared" si="44"/>
        <v>12.6</v>
      </c>
      <c r="Q54" s="64">
        <f t="shared" si="44"/>
        <v>-5.3</v>
      </c>
      <c r="R54" s="64">
        <f t="shared" si="44"/>
        <v>0</v>
      </c>
      <c r="S54" s="64">
        <f t="shared" si="44"/>
        <v>0</v>
      </c>
      <c r="T54" s="64">
        <f t="shared" si="44"/>
        <v>0</v>
      </c>
      <c r="U54" s="64">
        <f t="shared" ref="U54:AD54" si="45">+U35</f>
        <v>0</v>
      </c>
      <c r="V54" s="64">
        <f t="shared" si="45"/>
        <v>0</v>
      </c>
      <c r="W54" s="64">
        <f t="shared" si="45"/>
        <v>0</v>
      </c>
      <c r="X54" s="64">
        <f t="shared" si="45"/>
        <v>0</v>
      </c>
      <c r="Y54" s="64">
        <f t="shared" si="45"/>
        <v>0</v>
      </c>
      <c r="Z54" s="64">
        <f t="shared" si="45"/>
        <v>0</v>
      </c>
      <c r="AA54" s="64">
        <f t="shared" si="45"/>
        <v>0</v>
      </c>
      <c r="AB54" s="64">
        <f t="shared" si="45"/>
        <v>0</v>
      </c>
      <c r="AC54" s="64">
        <f t="shared" si="45"/>
        <v>0</v>
      </c>
      <c r="AD54" s="64">
        <f t="shared" si="45"/>
        <v>0</v>
      </c>
      <c r="AE54" s="64"/>
      <c r="AF54" s="64"/>
    </row>
    <row r="55" spans="2:33" hidden="1" outlineLevel="1">
      <c r="B55" s="1" t="s">
        <v>289</v>
      </c>
      <c r="C55" s="34">
        <f>SUM(C52:C54)</f>
        <v>-107.90800000000017</v>
      </c>
      <c r="D55" s="34">
        <f t="shared" ref="D55:K55" si="46">SUM(D52:D54)</f>
        <v>511.52300000000002</v>
      </c>
      <c r="E55" s="34">
        <f t="shared" si="46"/>
        <v>571.12699999999995</v>
      </c>
      <c r="F55" s="34">
        <f t="shared" si="46"/>
        <v>748.85399999999993</v>
      </c>
      <c r="G55" s="34">
        <f t="shared" si="46"/>
        <v>822.86399999999981</v>
      </c>
      <c r="H55" s="34">
        <f t="shared" si="46"/>
        <v>1314.4810000000002</v>
      </c>
      <c r="I55" s="64">
        <f t="shared" si="46"/>
        <v>912.68800000000022</v>
      </c>
      <c r="J55" s="64">
        <f t="shared" si="46"/>
        <v>1464.7539999999997</v>
      </c>
      <c r="K55" s="64">
        <f t="shared" si="46"/>
        <v>1572.5139999999997</v>
      </c>
      <c r="L55" s="64">
        <f t="shared" ref="L55:T55" si="47">SUM(L52:L54)</f>
        <v>1680.087</v>
      </c>
      <c r="M55" s="64">
        <f t="shared" si="47"/>
        <v>2172.2640000000001</v>
      </c>
      <c r="N55" s="64">
        <f t="shared" si="47"/>
        <v>2750.74</v>
      </c>
      <c r="O55" s="64">
        <f t="shared" si="47"/>
        <v>3151.2999999999984</v>
      </c>
      <c r="P55" s="64">
        <f t="shared" si="47"/>
        <v>3918.8999999999996</v>
      </c>
      <c r="Q55" s="64">
        <f t="shared" si="47"/>
        <v>3678.2999999999997</v>
      </c>
      <c r="R55" s="64">
        <f t="shared" si="47"/>
        <v>3948.1694252920975</v>
      </c>
      <c r="S55" s="64">
        <f t="shared" si="47"/>
        <v>5292.1459480612721</v>
      </c>
      <c r="T55" s="64">
        <f t="shared" si="47"/>
        <v>5887.662685142559</v>
      </c>
      <c r="U55" s="64">
        <f t="shared" ref="U55:AD55" si="48">SUM(U52:U54)</f>
        <v>6193.7016415674061</v>
      </c>
      <c r="V55" s="64">
        <f t="shared" si="48"/>
        <v>6475.6312894546445</v>
      </c>
      <c r="W55" s="64">
        <f t="shared" si="48"/>
        <v>6628.0567386094317</v>
      </c>
      <c r="X55" s="64">
        <f t="shared" si="48"/>
        <v>6801.1169416637249</v>
      </c>
      <c r="Y55" s="64">
        <f t="shared" si="48"/>
        <v>6619.80018853404</v>
      </c>
      <c r="Z55" s="64">
        <f t="shared" si="48"/>
        <v>6024.8852175166685</v>
      </c>
      <c r="AA55" s="64">
        <f t="shared" si="48"/>
        <v>5130.5463081443604</v>
      </c>
      <c r="AB55" s="64">
        <f t="shared" si="48"/>
        <v>4566.9390772593915</v>
      </c>
      <c r="AC55" s="64">
        <f t="shared" si="48"/>
        <v>4496.6511148225454</v>
      </c>
      <c r="AD55" s="64">
        <f t="shared" si="48"/>
        <v>4562.0658978895062</v>
      </c>
      <c r="AE55" s="64"/>
      <c r="AF55" s="64"/>
    </row>
    <row r="56" spans="2:33" hidden="1" outlineLevel="1">
      <c r="B56" s="1" t="s">
        <v>290</v>
      </c>
      <c r="C56" s="3">
        <f>IS!G106</f>
        <v>355.964</v>
      </c>
      <c r="D56" s="3">
        <f>IS!L106</f>
        <v>343.47500000000002</v>
      </c>
      <c r="E56" s="3">
        <f>IS!Q106</f>
        <v>346.16300000000001</v>
      </c>
      <c r="F56" s="3">
        <f>IS!V106</f>
        <v>345.28100000000001</v>
      </c>
      <c r="G56" s="3">
        <f>IS!AA106</f>
        <v>320.17099999999999</v>
      </c>
      <c r="H56" s="3">
        <f>IS!AF106</f>
        <v>294.98399999999998</v>
      </c>
      <c r="I56" s="64">
        <f>IS!AK106</f>
        <v>289.476</v>
      </c>
      <c r="J56" s="64">
        <f>IS!AP106</f>
        <v>254.86699999999999</v>
      </c>
      <c r="K56" s="64">
        <f>IS!AU106</f>
        <v>245.03299999999999</v>
      </c>
      <c r="L56" s="64">
        <f>IS!AZ106</f>
        <v>239.74</v>
      </c>
      <c r="M56" s="64">
        <f>IS!BE106</f>
        <v>238.25574999999998</v>
      </c>
      <c r="N56" s="64">
        <f>IS!BJ106</f>
        <v>237.17599999999999</v>
      </c>
      <c r="O56" s="64">
        <f>IS!BO106</f>
        <v>231.2</v>
      </c>
      <c r="P56" s="64">
        <f>IS!BT106</f>
        <v>218.8</v>
      </c>
      <c r="Q56" s="64">
        <f>IS!BY106</f>
        <v>212.97500000000002</v>
      </c>
      <c r="R56" s="64">
        <f>IS!CD106</f>
        <v>211.14822611163672</v>
      </c>
      <c r="S56" s="64">
        <f>IS!CI106</f>
        <v>204.7352414050311</v>
      </c>
      <c r="T56" s="64">
        <f>IS!CN106</f>
        <v>197.5346929559141</v>
      </c>
      <c r="U56" s="64">
        <f>IS!CS106</f>
        <v>190.36226695697295</v>
      </c>
      <c r="V56" s="64">
        <f>IS!CX106</f>
        <v>183.44338960335236</v>
      </c>
      <c r="W56" s="64">
        <f>IS!DC106</f>
        <v>176.85996328186076</v>
      </c>
      <c r="X56" s="64">
        <f>IS!DH106</f>
        <v>170.65573962076922</v>
      </c>
      <c r="Y56" s="64">
        <f>IS!DM106</f>
        <v>164.93904039282805</v>
      </c>
      <c r="Z56" s="64">
        <f>IS!DR106</f>
        <v>159.94746320505558</v>
      </c>
      <c r="AA56" s="64">
        <f>IS!DW106</f>
        <v>155.83039228989605</v>
      </c>
      <c r="AB56" s="64">
        <f>IS!EB106</f>
        <v>152.4654175919936</v>
      </c>
      <c r="AC56" s="64">
        <f>IS!EG106</f>
        <v>149.52184420860584</v>
      </c>
      <c r="AD56" s="64">
        <f>IS!EL106</f>
        <v>146.78551926224361</v>
      </c>
      <c r="AE56" s="64"/>
      <c r="AF56" s="64"/>
    </row>
    <row r="57" spans="2:33" hidden="1" outlineLevel="1">
      <c r="B57" s="1" t="s">
        <v>291</v>
      </c>
      <c r="C57" s="38">
        <v>36.700000000000003</v>
      </c>
      <c r="D57" s="38">
        <v>66.61</v>
      </c>
      <c r="E57" s="38">
        <v>44.75</v>
      </c>
      <c r="F57" s="38">
        <v>49.19</v>
      </c>
      <c r="G57" s="38">
        <v>56.92</v>
      </c>
      <c r="H57" s="38">
        <v>47.63</v>
      </c>
      <c r="I57" s="64">
        <v>53.5</v>
      </c>
      <c r="J57" s="64">
        <v>67.05</v>
      </c>
      <c r="K57" s="64">
        <v>95</v>
      </c>
      <c r="L57" s="64">
        <v>146.37</v>
      </c>
      <c r="M57" s="64">
        <v>215.28</v>
      </c>
      <c r="N57" s="64">
        <v>325</v>
      </c>
      <c r="O57" s="64">
        <f>O62</f>
        <v>352.59</v>
      </c>
      <c r="P57" s="64">
        <f t="shared" ref="P57:AD57" si="49">O57*1.1</f>
        <v>387.84899999999999</v>
      </c>
      <c r="Q57" s="64">
        <f t="shared" si="49"/>
        <v>426.63390000000004</v>
      </c>
      <c r="R57" s="64">
        <f t="shared" si="49"/>
        <v>469.29729000000009</v>
      </c>
      <c r="S57" s="64">
        <f t="shared" si="49"/>
        <v>516.22701900000015</v>
      </c>
      <c r="T57" s="64">
        <f t="shared" si="49"/>
        <v>567.84972090000019</v>
      </c>
      <c r="U57" s="64">
        <f t="shared" si="49"/>
        <v>624.6346929900003</v>
      </c>
      <c r="V57" s="64">
        <f t="shared" si="49"/>
        <v>687.09816228900036</v>
      </c>
      <c r="W57" s="64">
        <f t="shared" si="49"/>
        <v>755.80797851790044</v>
      </c>
      <c r="X57" s="64">
        <f t="shared" si="49"/>
        <v>831.3887763696905</v>
      </c>
      <c r="Y57" s="64">
        <f t="shared" si="49"/>
        <v>914.52765400665965</v>
      </c>
      <c r="Z57" s="64">
        <f t="shared" si="49"/>
        <v>1005.9804194073257</v>
      </c>
      <c r="AA57" s="64">
        <f t="shared" si="49"/>
        <v>1106.5784613480585</v>
      </c>
      <c r="AB57" s="64">
        <f t="shared" si="49"/>
        <v>1217.2363074828645</v>
      </c>
      <c r="AC57" s="64">
        <f t="shared" si="49"/>
        <v>1338.959938231151</v>
      </c>
      <c r="AD57" s="64">
        <f t="shared" si="49"/>
        <v>1472.8559320542663</v>
      </c>
      <c r="AE57" s="64"/>
      <c r="AF57" s="64"/>
      <c r="AG57" s="91">
        <v>0.1</v>
      </c>
    </row>
    <row r="58" spans="2:33" hidden="1" outlineLevel="1">
      <c r="B58" s="1" t="s">
        <v>292</v>
      </c>
      <c r="C58" s="42">
        <f>+C56*C57</f>
        <v>13063.8788</v>
      </c>
      <c r="D58" s="42">
        <f t="shared" ref="D58:P58" si="50">+D56*D57</f>
        <v>22878.869750000002</v>
      </c>
      <c r="E58" s="42">
        <f t="shared" si="50"/>
        <v>15490.794250000001</v>
      </c>
      <c r="F58" s="42">
        <f t="shared" si="50"/>
        <v>16984.37239</v>
      </c>
      <c r="G58" s="42">
        <f t="shared" si="50"/>
        <v>18224.133320000001</v>
      </c>
      <c r="H58" s="42">
        <f t="shared" si="50"/>
        <v>14050.08792</v>
      </c>
      <c r="I58" s="64">
        <f t="shared" si="50"/>
        <v>15486.966</v>
      </c>
      <c r="J58" s="64">
        <f t="shared" si="50"/>
        <v>17088.832349999997</v>
      </c>
      <c r="K58" s="64">
        <f t="shared" si="50"/>
        <v>23278.134999999998</v>
      </c>
      <c r="L58" s="64">
        <f t="shared" si="50"/>
        <v>35090.743800000004</v>
      </c>
      <c r="M58" s="64">
        <f t="shared" si="50"/>
        <v>51291.697859999993</v>
      </c>
      <c r="N58" s="64">
        <f t="shared" si="50"/>
        <v>77082.2</v>
      </c>
      <c r="O58" s="64">
        <f t="shared" si="50"/>
        <v>81518.80799999999</v>
      </c>
      <c r="P58" s="64">
        <f t="shared" si="50"/>
        <v>84861.361199999999</v>
      </c>
      <c r="Q58" s="64">
        <f>+Q56*Q57</f>
        <v>90862.354852500022</v>
      </c>
      <c r="R58" s="64">
        <f>+R56*R57</f>
        <v>99091.290302498368</v>
      </c>
      <c r="S58" s="64">
        <f>+S56*S57</f>
        <v>105689.86335476462</v>
      </c>
      <c r="T58" s="64">
        <f>+T56*T57</f>
        <v>112170.02026308306</v>
      </c>
      <c r="U58" s="64">
        <f t="shared" ref="U58:AD58" si="51">+U56*U57</f>
        <v>118906.87617754927</v>
      </c>
      <c r="V58" s="64">
        <f t="shared" si="51"/>
        <v>126043.61588052852</v>
      </c>
      <c r="W58" s="64">
        <f t="shared" si="51"/>
        <v>133672.17132881327</v>
      </c>
      <c r="X58" s="64">
        <f t="shared" si="51"/>
        <v>141881.26654377583</v>
      </c>
      <c r="Y58" s="64">
        <f t="shared" si="51"/>
        <v>150841.31366456271</v>
      </c>
      <c r="Z58" s="64">
        <f t="shared" si="51"/>
        <v>160904.0161181596</v>
      </c>
      <c r="AA58" s="64">
        <f t="shared" si="51"/>
        <v>172438.55573141752</v>
      </c>
      <c r="AB58" s="64">
        <f t="shared" si="51"/>
        <v>185586.44192851125</v>
      </c>
      <c r="AC58" s="64">
        <f t="shared" si="51"/>
        <v>200203.75928576267</v>
      </c>
      <c r="AD58" s="64">
        <f t="shared" si="51"/>
        <v>216193.92278506127</v>
      </c>
      <c r="AE58" s="64"/>
      <c r="AF58" s="64"/>
    </row>
    <row r="59" spans="2:33" hidden="1" outlineLevel="1">
      <c r="B59" s="1" t="s">
        <v>293</v>
      </c>
      <c r="C59" s="71">
        <f>+C55/C58</f>
        <v>-8.2600276420200843E-3</v>
      </c>
      <c r="D59" s="71">
        <f t="shared" ref="D59:P59" si="52">+D55/D58</f>
        <v>2.2357878933245815E-2</v>
      </c>
      <c r="E59" s="71">
        <f t="shared" si="52"/>
        <v>3.6868800319906123E-2</v>
      </c>
      <c r="F59" s="71">
        <f t="shared" si="52"/>
        <v>4.4090766665061322E-2</v>
      </c>
      <c r="G59" s="71">
        <f t="shared" si="52"/>
        <v>4.5152435265437343E-2</v>
      </c>
      <c r="H59" s="71">
        <f t="shared" si="52"/>
        <v>9.3556781102334924E-2</v>
      </c>
      <c r="I59" s="71">
        <f t="shared" si="52"/>
        <v>5.8932653432570342E-2</v>
      </c>
      <c r="J59" s="71">
        <f t="shared" si="52"/>
        <v>8.5714106733570938E-2</v>
      </c>
      <c r="K59" s="71">
        <f t="shared" si="52"/>
        <v>6.7553264039408645E-2</v>
      </c>
      <c r="L59" s="71">
        <f t="shared" si="52"/>
        <v>4.7878352467410505E-2</v>
      </c>
      <c r="M59" s="71">
        <f t="shared" si="52"/>
        <v>4.2351181392535804E-2</v>
      </c>
      <c r="N59" s="71">
        <f t="shared" si="52"/>
        <v>3.5685800353388981E-2</v>
      </c>
      <c r="O59" s="71">
        <f t="shared" si="52"/>
        <v>3.8657336598935534E-2</v>
      </c>
      <c r="P59" s="71">
        <f t="shared" si="52"/>
        <v>4.6180027571841489E-2</v>
      </c>
      <c r="Q59" s="71">
        <f>+Q55/Q58</f>
        <v>4.0482111716905314E-2</v>
      </c>
      <c r="R59" s="71">
        <f>+R55/R58</f>
        <v>3.984375834888642E-2</v>
      </c>
      <c r="S59" s="71">
        <f>+S55/S58</f>
        <v>5.0072407893057384E-2</v>
      </c>
      <c r="T59" s="71">
        <f>+T55/T58</f>
        <v>5.248873693107714E-2</v>
      </c>
      <c r="U59" s="71">
        <f t="shared" ref="U59:AD59" si="53">+U55/U58</f>
        <v>5.2088675110084463E-2</v>
      </c>
      <c r="V59" s="71">
        <f t="shared" si="53"/>
        <v>5.1376114880682451E-2</v>
      </c>
      <c r="W59" s="71">
        <f t="shared" si="53"/>
        <v>4.9584417405066437E-2</v>
      </c>
      <c r="X59" s="71">
        <f t="shared" si="53"/>
        <v>4.7935270859492354E-2</v>
      </c>
      <c r="Y59" s="71">
        <f t="shared" si="53"/>
        <v>4.3885856120657984E-2</v>
      </c>
      <c r="Z59" s="71">
        <f t="shared" si="53"/>
        <v>3.7443970404643624E-2</v>
      </c>
      <c r="AA59" s="71">
        <f t="shared" si="53"/>
        <v>2.9752895379937343E-2</v>
      </c>
      <c r="AB59" s="71">
        <f t="shared" si="53"/>
        <v>2.4608150411216986E-2</v>
      </c>
      <c r="AC59" s="71">
        <f t="shared" si="53"/>
        <v>2.2460373026283734E-2</v>
      </c>
      <c r="AD59" s="71">
        <f t="shared" si="53"/>
        <v>2.1101730516380358E-2</v>
      </c>
      <c r="AE59" s="71"/>
      <c r="AF59" s="71"/>
    </row>
    <row r="60" spans="2:33" collapsed="1">
      <c r="L60" s="68"/>
      <c r="M60" s="68"/>
      <c r="N60" s="68"/>
      <c r="O60" s="68"/>
      <c r="P60" s="68"/>
      <c r="Q60" s="68"/>
      <c r="R60" s="68"/>
      <c r="S60" s="68"/>
      <c r="T60" s="68"/>
      <c r="U60" s="68"/>
      <c r="V60" s="68"/>
      <c r="W60" s="68"/>
      <c r="X60" s="68"/>
      <c r="Y60" s="68"/>
      <c r="Z60" s="68"/>
      <c r="AA60" s="68"/>
      <c r="AB60" s="68"/>
      <c r="AC60" s="68"/>
      <c r="AD60" s="68"/>
      <c r="AE60" s="68"/>
      <c r="AF60" s="68"/>
    </row>
    <row r="61" spans="2:33">
      <c r="B61" s="23" t="s">
        <v>497</v>
      </c>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row>
    <row r="62" spans="2:33" outlineLevel="1">
      <c r="B62" s="1" t="s">
        <v>294</v>
      </c>
      <c r="C62" s="38">
        <v>36.699997000000003</v>
      </c>
      <c r="D62" s="38">
        <v>66.609984999999995</v>
      </c>
      <c r="E62" s="38">
        <v>45.279998999999997</v>
      </c>
      <c r="F62" s="38">
        <v>49.189987000000002</v>
      </c>
      <c r="G62" s="38">
        <v>56.919998999999997</v>
      </c>
      <c r="H62" s="38">
        <v>47.629989999999999</v>
      </c>
      <c r="I62" s="38">
        <v>53.5</v>
      </c>
      <c r="J62" s="38">
        <v>67.049987999999999</v>
      </c>
      <c r="K62" s="38">
        <v>100</v>
      </c>
      <c r="L62" s="38">
        <v>136.51504896</v>
      </c>
      <c r="M62" s="304">
        <v>215.28</v>
      </c>
      <c r="N62" s="304">
        <v>317.98</v>
      </c>
      <c r="O62" s="304">
        <v>352.59</v>
      </c>
      <c r="P62" s="38">
        <v>280.2</v>
      </c>
      <c r="Q62" s="38">
        <f t="shared" ref="Q62:AD62" si="54">P62*1.1</f>
        <v>308.22000000000003</v>
      </c>
      <c r="R62" s="38">
        <f t="shared" si="54"/>
        <v>339.04200000000003</v>
      </c>
      <c r="S62" s="38">
        <f t="shared" si="54"/>
        <v>372.94620000000009</v>
      </c>
      <c r="T62" s="38">
        <f t="shared" si="54"/>
        <v>410.24082000000016</v>
      </c>
      <c r="U62" s="38">
        <f t="shared" si="54"/>
        <v>451.26490200000023</v>
      </c>
      <c r="V62" s="38">
        <f t="shared" si="54"/>
        <v>496.39139220000033</v>
      </c>
      <c r="W62" s="38">
        <f t="shared" si="54"/>
        <v>546.03053142000044</v>
      </c>
      <c r="X62" s="38">
        <f t="shared" si="54"/>
        <v>600.63358456200058</v>
      </c>
      <c r="Y62" s="38">
        <f t="shared" si="54"/>
        <v>660.69694301820073</v>
      </c>
      <c r="Z62" s="38">
        <f t="shared" si="54"/>
        <v>726.76663732002089</v>
      </c>
      <c r="AA62" s="38">
        <f t="shared" si="54"/>
        <v>799.443301052023</v>
      </c>
      <c r="AB62" s="38">
        <f t="shared" si="54"/>
        <v>879.38763115722543</v>
      </c>
      <c r="AC62" s="38">
        <f t="shared" si="54"/>
        <v>967.32639427294805</v>
      </c>
      <c r="AD62" s="38">
        <f t="shared" si="54"/>
        <v>1064.0590337002429</v>
      </c>
      <c r="AE62" s="38"/>
      <c r="AF62" s="38"/>
    </row>
    <row r="63" spans="2:33" outlineLevel="1">
      <c r="B63" s="1" t="s">
        <v>295</v>
      </c>
      <c r="C63" s="3">
        <v>21.113</v>
      </c>
      <c r="D63" s="3">
        <v>43.523000000000003</v>
      </c>
      <c r="E63" s="3">
        <v>35.122999999999998</v>
      </c>
      <c r="F63" s="3">
        <v>31.306000000000001</v>
      </c>
      <c r="G63" s="3">
        <v>25.106000000000002</v>
      </c>
      <c r="H63" s="3">
        <v>14.9</v>
      </c>
      <c r="I63" s="3">
        <v>12.1</v>
      </c>
      <c r="J63" s="3">
        <v>10.83</v>
      </c>
      <c r="K63" s="3">
        <f t="shared" ref="K63" si="55">+J63+J75-J67-J69</f>
        <v>7.1669999999999998</v>
      </c>
      <c r="L63" s="3">
        <v>1.6910000000000001</v>
      </c>
      <c r="M63" s="279">
        <v>0.90700000000000003</v>
      </c>
      <c r="N63" s="279">
        <v>0.38400000000000001</v>
      </c>
      <c r="O63" s="279">
        <v>0.221</v>
      </c>
      <c r="P63" s="3">
        <f>O64</f>
        <v>0.107</v>
      </c>
      <c r="Q63" s="3">
        <v>6.6000000000000003E-2</v>
      </c>
      <c r="R63" s="3">
        <f>+Q63+Q75-Q67-Q69</f>
        <v>5.6000000000000001E-2</v>
      </c>
      <c r="S63" s="3">
        <f>+R63+R75-R67-R69</f>
        <v>4.7515151515151517E-2</v>
      </c>
      <c r="T63" s="3">
        <f>+S63+S75-S67-S69</f>
        <v>4.0315886134067953E-2</v>
      </c>
      <c r="U63" s="3">
        <f t="shared" ref="U63:AD63" si="56">+T63+T75-T67-T69</f>
        <v>3.4207418537997053E-2</v>
      </c>
      <c r="V63" s="3">
        <f t="shared" si="56"/>
        <v>2.9024476335270229E-2</v>
      </c>
      <c r="W63" s="3">
        <f t="shared" si="56"/>
        <v>2.462682840568383E-2</v>
      </c>
      <c r="X63" s="3">
        <f t="shared" si="56"/>
        <v>2.0895490768459007E-2</v>
      </c>
      <c r="Y63" s="3">
        <f t="shared" si="56"/>
        <v>1.7729507318692491E-2</v>
      </c>
      <c r="Z63" s="3">
        <f t="shared" si="56"/>
        <v>1.5043218331011811E-2</v>
      </c>
      <c r="AA63" s="3">
        <f t="shared" si="56"/>
        <v>1.2763942826313051E-2</v>
      </c>
      <c r="AB63" s="3">
        <f t="shared" si="56"/>
        <v>1.0830012095053498E-2</v>
      </c>
      <c r="AC63" s="3">
        <f t="shared" si="56"/>
        <v>9.1891011715605434E-3</v>
      </c>
      <c r="AD63" s="3">
        <f t="shared" si="56"/>
        <v>7.7968131152634911E-3</v>
      </c>
      <c r="AE63" s="3"/>
      <c r="AF63" s="3"/>
    </row>
    <row r="64" spans="2:33" outlineLevel="1">
      <c r="B64" s="1" t="s">
        <v>296</v>
      </c>
      <c r="C64" s="3">
        <f>((1564+1274)/2)/1000</f>
        <v>1.419</v>
      </c>
      <c r="D64" s="3">
        <v>22.805</v>
      </c>
      <c r="E64" s="3">
        <v>26.824999999999999</v>
      </c>
      <c r="F64" s="3">
        <v>21.8</v>
      </c>
      <c r="G64" s="3">
        <v>12.3</v>
      </c>
      <c r="H64" s="3">
        <v>9.1999999999999993</v>
      </c>
      <c r="I64" s="3">
        <v>8.3000000000000007</v>
      </c>
      <c r="J64" s="3">
        <v>6</v>
      </c>
      <c r="K64" s="3">
        <v>3.2</v>
      </c>
      <c r="L64" s="3">
        <v>0.8</v>
      </c>
      <c r="M64" s="279">
        <v>0.38400000000000001</v>
      </c>
      <c r="N64" s="279">
        <v>0.221</v>
      </c>
      <c r="O64" s="279">
        <v>0.107</v>
      </c>
      <c r="P64" s="3">
        <v>6.6000000000000003E-2</v>
      </c>
      <c r="Q64" s="3">
        <f>((Q63+R63)/2)*Q65</f>
        <v>3.9798780487804872E-2</v>
      </c>
      <c r="R64" s="3">
        <f>((R63+S63)/2)*R65</f>
        <v>3.3768662232076863E-2</v>
      </c>
      <c r="S64" s="3">
        <f>((S63+T63)/2)*S65</f>
        <v>2.8652198257519763E-2</v>
      </c>
      <c r="T64" s="3">
        <f>((T63+AG63)/2)*T65</f>
        <v>1.3151828708369727E-2</v>
      </c>
      <c r="U64" s="3">
        <f t="shared" ref="U64:AD64" si="57">((U63+AH63)/2)*U65</f>
        <v>1.1159127388919769E-2</v>
      </c>
      <c r="V64" s="3">
        <f t="shared" si="57"/>
        <v>9.468350511810714E-3</v>
      </c>
      <c r="W64" s="3">
        <f t="shared" si="57"/>
        <v>8.0337519494151511E-3</v>
      </c>
      <c r="X64" s="3">
        <f t="shared" si="57"/>
        <v>6.8165168055643703E-3</v>
      </c>
      <c r="Y64" s="3">
        <f t="shared" si="57"/>
        <v>5.7837112289637078E-3</v>
      </c>
      <c r="Z64" s="3">
        <f t="shared" si="57"/>
        <v>4.9073913457873888E-3</v>
      </c>
      <c r="AA64" s="3">
        <f t="shared" si="57"/>
        <v>4.1638472024862691E-3</v>
      </c>
      <c r="AB64" s="3">
        <f t="shared" si="57"/>
        <v>3.5329612627156225E-3</v>
      </c>
      <c r="AC64" s="3">
        <f t="shared" si="57"/>
        <v>2.9976641016981036E-3</v>
      </c>
      <c r="AD64" s="3">
        <f t="shared" si="57"/>
        <v>2.5434725711377848E-3</v>
      </c>
      <c r="AE64" s="3"/>
      <c r="AF64" s="3"/>
    </row>
    <row r="65" spans="2:42" outlineLevel="1">
      <c r="B65" s="9" t="s">
        <v>297</v>
      </c>
      <c r="C65" s="71">
        <f>C64/((C63+D63)/2)</f>
        <v>4.3907420013614709E-2</v>
      </c>
      <c r="D65" s="71">
        <f t="shared" ref="D65:O65" si="58">D64/((D63+E63)/2)</f>
        <v>0.57994049284133964</v>
      </c>
      <c r="E65" s="71">
        <f t="shared" si="58"/>
        <v>0.80762919809119504</v>
      </c>
      <c r="F65" s="71">
        <f t="shared" si="58"/>
        <v>0.77288520173012831</v>
      </c>
      <c r="G65" s="71">
        <f t="shared" si="58"/>
        <v>0.61490776383542467</v>
      </c>
      <c r="H65" s="71">
        <f t="shared" si="58"/>
        <v>0.68148148148148147</v>
      </c>
      <c r="I65" s="71">
        <f t="shared" si="58"/>
        <v>0.72394243349324039</v>
      </c>
      <c r="J65" s="71">
        <f t="shared" si="58"/>
        <v>0.66677779629938327</v>
      </c>
      <c r="K65" s="71">
        <f t="shared" si="58"/>
        <v>0.72251072476857081</v>
      </c>
      <c r="L65" s="71">
        <f t="shared" si="58"/>
        <v>0.61585835257890686</v>
      </c>
      <c r="M65" s="71">
        <f t="shared" si="58"/>
        <v>0.59488768396591796</v>
      </c>
      <c r="N65" s="71">
        <f t="shared" si="58"/>
        <v>0.73057851239669425</v>
      </c>
      <c r="O65" s="71">
        <f t="shared" si="58"/>
        <v>0.65243902439024382</v>
      </c>
      <c r="P65" s="71">
        <f t="shared" ref="P65" si="59">+O65</f>
        <v>0.65243902439024382</v>
      </c>
      <c r="Q65" s="71">
        <f>+P65</f>
        <v>0.65243902439024382</v>
      </c>
      <c r="R65" s="71">
        <f>+Q65</f>
        <v>0.65243902439024382</v>
      </c>
      <c r="S65" s="71">
        <f>+R65</f>
        <v>0.65243902439024382</v>
      </c>
      <c r="T65" s="71">
        <f>+S65</f>
        <v>0.65243902439024382</v>
      </c>
      <c r="U65" s="71">
        <f t="shared" ref="U65:AD65" si="60">+T65</f>
        <v>0.65243902439024382</v>
      </c>
      <c r="V65" s="71">
        <f t="shared" si="60"/>
        <v>0.65243902439024382</v>
      </c>
      <c r="W65" s="71">
        <f t="shared" si="60"/>
        <v>0.65243902439024382</v>
      </c>
      <c r="X65" s="71">
        <f t="shared" si="60"/>
        <v>0.65243902439024382</v>
      </c>
      <c r="Y65" s="71">
        <f t="shared" si="60"/>
        <v>0.65243902439024382</v>
      </c>
      <c r="Z65" s="71">
        <f t="shared" si="60"/>
        <v>0.65243902439024382</v>
      </c>
      <c r="AA65" s="71">
        <f t="shared" si="60"/>
        <v>0.65243902439024382</v>
      </c>
      <c r="AB65" s="71">
        <f t="shared" si="60"/>
        <v>0.65243902439024382</v>
      </c>
      <c r="AC65" s="71">
        <f t="shared" si="60"/>
        <v>0.65243902439024382</v>
      </c>
      <c r="AD65" s="71">
        <f t="shared" si="60"/>
        <v>0.65243902439024382</v>
      </c>
      <c r="AE65" s="71"/>
      <c r="AF65" s="71"/>
    </row>
    <row r="66" spans="2:42" outlineLevel="1">
      <c r="B66" s="1" t="s">
        <v>298</v>
      </c>
      <c r="C66" s="38"/>
      <c r="D66" s="38">
        <v>39.58</v>
      </c>
      <c r="E66" s="38">
        <v>46.53</v>
      </c>
      <c r="F66" s="38">
        <v>48.66</v>
      </c>
      <c r="G66" s="38">
        <v>50.54</v>
      </c>
      <c r="H66" s="38">
        <v>53.48</v>
      </c>
      <c r="I66" s="38">
        <v>52.8</v>
      </c>
      <c r="J66" s="38">
        <v>55.68</v>
      </c>
      <c r="K66" s="38">
        <v>52.35</v>
      </c>
      <c r="L66" s="38">
        <v>54.87</v>
      </c>
      <c r="M66" s="304">
        <v>53.73</v>
      </c>
      <c r="N66" s="304">
        <v>56.98</v>
      </c>
      <c r="O66" s="304">
        <v>53.94</v>
      </c>
      <c r="P66" s="38">
        <v>54.06</v>
      </c>
      <c r="Q66" s="38">
        <f>+P66*(1+AH57)</f>
        <v>54.06</v>
      </c>
      <c r="R66" s="38">
        <f>+Q66*(1+AI57)</f>
        <v>54.06</v>
      </c>
      <c r="S66" s="38">
        <f>+R66*(1+AJ57)</f>
        <v>54.06</v>
      </c>
      <c r="T66" s="38">
        <f>+S66*(1+AK57)</f>
        <v>54.06</v>
      </c>
      <c r="U66" s="38">
        <f t="shared" ref="U66:AD66" si="61">+T66*(1+AL57)</f>
        <v>54.06</v>
      </c>
      <c r="V66" s="38">
        <f t="shared" si="61"/>
        <v>54.06</v>
      </c>
      <c r="W66" s="38">
        <f t="shared" si="61"/>
        <v>54.06</v>
      </c>
      <c r="X66" s="38">
        <f t="shared" si="61"/>
        <v>54.06</v>
      </c>
      <c r="Y66" s="38">
        <f t="shared" si="61"/>
        <v>54.06</v>
      </c>
      <c r="Z66" s="38">
        <f t="shared" si="61"/>
        <v>54.06</v>
      </c>
      <c r="AA66" s="38">
        <f t="shared" si="61"/>
        <v>54.06</v>
      </c>
      <c r="AB66" s="38">
        <f t="shared" si="61"/>
        <v>54.06</v>
      </c>
      <c r="AC66" s="38">
        <f t="shared" si="61"/>
        <v>54.06</v>
      </c>
      <c r="AD66" s="38">
        <f t="shared" si="61"/>
        <v>54.06</v>
      </c>
      <c r="AE66" s="38"/>
      <c r="AF66" s="38"/>
    </row>
    <row r="67" spans="2:42" outlineLevel="1">
      <c r="B67" s="1" t="s">
        <v>299</v>
      </c>
      <c r="C67" s="3">
        <v>0.93600000000000005</v>
      </c>
      <c r="D67" s="3">
        <v>3.1909999999999998</v>
      </c>
      <c r="E67" s="3">
        <v>5.7960000000000003</v>
      </c>
      <c r="F67" s="3">
        <v>3.403</v>
      </c>
      <c r="G67" s="3">
        <v>1.1519999999999999</v>
      </c>
      <c r="H67" s="3">
        <v>0.50600000000000001</v>
      </c>
      <c r="I67" s="3">
        <v>1.6639999999999999</v>
      </c>
      <c r="J67" s="3">
        <v>0.33200000000000002</v>
      </c>
      <c r="K67" s="3">
        <v>0.24099999999999999</v>
      </c>
      <c r="L67" s="3">
        <v>1.9E-2</v>
      </c>
      <c r="M67" s="279">
        <v>0</v>
      </c>
      <c r="N67" s="279">
        <v>0</v>
      </c>
      <c r="O67" s="279">
        <v>0</v>
      </c>
      <c r="P67" s="3">
        <v>0</v>
      </c>
      <c r="Q67" s="3">
        <v>0.01</v>
      </c>
      <c r="R67" s="3">
        <f t="shared" ref="R67:AD67" si="62">R63*R68</f>
        <v>8.4848484848484857E-3</v>
      </c>
      <c r="S67" s="3">
        <f t="shared" si="62"/>
        <v>7.1992653810835638E-3</v>
      </c>
      <c r="T67" s="3">
        <f t="shared" si="62"/>
        <v>6.1084675960709021E-3</v>
      </c>
      <c r="U67" s="3">
        <f t="shared" si="62"/>
        <v>5.1829422027268261E-3</v>
      </c>
      <c r="V67" s="3">
        <f t="shared" si="62"/>
        <v>4.3976479295863985E-3</v>
      </c>
      <c r="W67" s="3">
        <f t="shared" si="62"/>
        <v>3.7313376372248228E-3</v>
      </c>
      <c r="X67" s="3">
        <f t="shared" si="62"/>
        <v>3.1659834497665164E-3</v>
      </c>
      <c r="Y67" s="3">
        <f t="shared" si="62"/>
        <v>2.6862889876806805E-3</v>
      </c>
      <c r="Z67" s="3">
        <f t="shared" si="62"/>
        <v>2.2792755046987592E-3</v>
      </c>
      <c r="AA67" s="3">
        <f t="shared" si="62"/>
        <v>1.9339307312595533E-3</v>
      </c>
      <c r="AB67" s="3">
        <f t="shared" si="62"/>
        <v>1.6409109234929544E-3</v>
      </c>
      <c r="AC67" s="3">
        <f t="shared" si="62"/>
        <v>1.3922880562970521E-3</v>
      </c>
      <c r="AD67" s="3">
        <f t="shared" si="62"/>
        <v>1.1813353204944684E-3</v>
      </c>
      <c r="AE67" s="3"/>
      <c r="AF67" s="3"/>
    </row>
    <row r="68" spans="2:42" outlineLevel="1">
      <c r="B68" s="9" t="s">
        <v>300</v>
      </c>
      <c r="C68" s="71">
        <f>C67/C63</f>
        <v>4.4332875479562356E-2</v>
      </c>
      <c r="D68" s="71">
        <f t="shared" ref="D68:P68" si="63">D67/D63</f>
        <v>7.3317556234634554E-2</v>
      </c>
      <c r="E68" s="71">
        <f t="shared" si="63"/>
        <v>0.16502007231728499</v>
      </c>
      <c r="F68" s="71">
        <f t="shared" si="63"/>
        <v>0.10870120743627419</v>
      </c>
      <c r="G68" s="71">
        <f t="shared" si="63"/>
        <v>4.5885445710188794E-2</v>
      </c>
      <c r="H68" s="71">
        <f t="shared" si="63"/>
        <v>3.395973154362416E-2</v>
      </c>
      <c r="I68" s="71">
        <f t="shared" si="63"/>
        <v>0.1375206611570248</v>
      </c>
      <c r="J68" s="71">
        <f t="shared" si="63"/>
        <v>3.0655586334256697E-2</v>
      </c>
      <c r="K68" s="71">
        <f t="shared" si="63"/>
        <v>3.3626342960792518E-2</v>
      </c>
      <c r="L68" s="71">
        <f t="shared" si="63"/>
        <v>1.1235955056179775E-2</v>
      </c>
      <c r="M68" s="292">
        <f t="shared" si="63"/>
        <v>0</v>
      </c>
      <c r="N68" s="292">
        <f t="shared" si="63"/>
        <v>0</v>
      </c>
      <c r="O68" s="292">
        <f t="shared" si="63"/>
        <v>0</v>
      </c>
      <c r="P68" s="71">
        <f t="shared" si="63"/>
        <v>0</v>
      </c>
      <c r="Q68" s="71">
        <f>Q67/Q63</f>
        <v>0.15151515151515152</v>
      </c>
      <c r="R68" s="71">
        <f t="shared" ref="R68:T68" si="64">Q68</f>
        <v>0.15151515151515152</v>
      </c>
      <c r="S68" s="71">
        <f t="shared" si="64"/>
        <v>0.15151515151515152</v>
      </c>
      <c r="T68" s="71">
        <f t="shared" si="64"/>
        <v>0.15151515151515152</v>
      </c>
      <c r="U68" s="71">
        <f t="shared" ref="U68" si="65">T68</f>
        <v>0.15151515151515152</v>
      </c>
      <c r="V68" s="71">
        <f t="shared" ref="V68" si="66">U68</f>
        <v>0.15151515151515152</v>
      </c>
      <c r="W68" s="71">
        <f t="shared" ref="W68" si="67">V68</f>
        <v>0.15151515151515152</v>
      </c>
      <c r="X68" s="71">
        <f t="shared" ref="X68" si="68">W68</f>
        <v>0.15151515151515152</v>
      </c>
      <c r="Y68" s="71">
        <f t="shared" ref="Y68" si="69">X68</f>
        <v>0.15151515151515152</v>
      </c>
      <c r="Z68" s="71">
        <f t="shared" ref="Z68" si="70">Y68</f>
        <v>0.15151515151515152</v>
      </c>
      <c r="AA68" s="71">
        <f t="shared" ref="AA68" si="71">Z68</f>
        <v>0.15151515151515152</v>
      </c>
      <c r="AB68" s="71">
        <f t="shared" ref="AB68" si="72">AA68</f>
        <v>0.15151515151515152</v>
      </c>
      <c r="AC68" s="71">
        <f t="shared" ref="AC68" si="73">AB68</f>
        <v>0.15151515151515152</v>
      </c>
      <c r="AD68" s="71">
        <f t="shared" ref="AD68" si="74">AC68</f>
        <v>0.15151515151515152</v>
      </c>
      <c r="AE68" s="71"/>
      <c r="AF68" s="71"/>
    </row>
    <row r="69" spans="2:42" outlineLevel="1">
      <c r="B69" s="1" t="s">
        <v>301</v>
      </c>
      <c r="C69" s="3">
        <v>2.254</v>
      </c>
      <c r="D69" s="3">
        <v>12.263</v>
      </c>
      <c r="E69" s="3">
        <v>4.0330000000000004</v>
      </c>
      <c r="F69" s="3">
        <v>4.7249999999999996</v>
      </c>
      <c r="G69" s="3">
        <v>10.523999999999999</v>
      </c>
      <c r="H69" s="3">
        <v>3.7690000000000001</v>
      </c>
      <c r="I69" s="3">
        <v>0.63700000000000001</v>
      </c>
      <c r="J69" s="3">
        <v>3.4550000000000001</v>
      </c>
      <c r="K69" s="3">
        <v>5.2350000000000003</v>
      </c>
      <c r="L69" s="3">
        <v>0.76500000000000001</v>
      </c>
      <c r="M69" s="279">
        <v>0.52300000000000002</v>
      </c>
      <c r="N69" s="279">
        <v>0.16300000000000001</v>
      </c>
      <c r="O69" s="279">
        <v>0.114</v>
      </c>
      <c r="P69" s="3">
        <v>4.1000000000000002E-2</v>
      </c>
      <c r="Q69" s="3">
        <v>0</v>
      </c>
      <c r="R69" s="3">
        <f t="shared" ref="R69:S69" si="75">R70*R63</f>
        <v>0</v>
      </c>
      <c r="S69" s="3">
        <f t="shared" si="75"/>
        <v>0</v>
      </c>
      <c r="T69" s="3">
        <f>T70*T63</f>
        <v>0</v>
      </c>
      <c r="U69" s="3">
        <f t="shared" ref="U69:AD69" si="76">U70*U63</f>
        <v>0</v>
      </c>
      <c r="V69" s="3">
        <f t="shared" si="76"/>
        <v>0</v>
      </c>
      <c r="W69" s="3">
        <f t="shared" si="76"/>
        <v>0</v>
      </c>
      <c r="X69" s="3">
        <f t="shared" si="76"/>
        <v>0</v>
      </c>
      <c r="Y69" s="3">
        <f t="shared" si="76"/>
        <v>0</v>
      </c>
      <c r="Z69" s="3">
        <f t="shared" si="76"/>
        <v>0</v>
      </c>
      <c r="AA69" s="3">
        <f t="shared" si="76"/>
        <v>0</v>
      </c>
      <c r="AB69" s="3">
        <f t="shared" si="76"/>
        <v>0</v>
      </c>
      <c r="AC69" s="3">
        <f t="shared" si="76"/>
        <v>0</v>
      </c>
      <c r="AD69" s="3">
        <f t="shared" si="76"/>
        <v>0</v>
      </c>
      <c r="AE69" s="3"/>
      <c r="AF69" s="3"/>
    </row>
    <row r="70" spans="2:42" outlineLevel="1">
      <c r="B70" s="9" t="s">
        <v>297</v>
      </c>
      <c r="C70" s="71">
        <f>C69/C63</f>
        <v>0.10675886894330508</v>
      </c>
      <c r="D70" s="71">
        <f t="shared" ref="D70:P70" si="77">D69/D63</f>
        <v>0.28175906991705535</v>
      </c>
      <c r="E70" s="71">
        <f t="shared" si="77"/>
        <v>0.11482504341884238</v>
      </c>
      <c r="F70" s="71">
        <f t="shared" si="77"/>
        <v>0.15092953427457995</v>
      </c>
      <c r="G70" s="71">
        <f t="shared" si="77"/>
        <v>0.4191826654982872</v>
      </c>
      <c r="H70" s="71">
        <f t="shared" si="77"/>
        <v>0.25295302013422821</v>
      </c>
      <c r="I70" s="71">
        <f t="shared" si="77"/>
        <v>5.2644628099173557E-2</v>
      </c>
      <c r="J70" s="71">
        <f t="shared" si="77"/>
        <v>0.31902123730378579</v>
      </c>
      <c r="K70" s="71">
        <f t="shared" si="77"/>
        <v>0.73043114273754717</v>
      </c>
      <c r="L70" s="71">
        <f t="shared" si="77"/>
        <v>0.45239503252513302</v>
      </c>
      <c r="M70" s="292">
        <f t="shared" si="77"/>
        <v>0.57662624035281151</v>
      </c>
      <c r="N70" s="292">
        <f t="shared" si="77"/>
        <v>0.42447916666666669</v>
      </c>
      <c r="O70" s="292">
        <f t="shared" si="77"/>
        <v>0.51583710407239824</v>
      </c>
      <c r="P70" s="71">
        <f t="shared" si="77"/>
        <v>0.38317757009345799</v>
      </c>
      <c r="Q70" s="71">
        <f>Q69/Q63</f>
        <v>0</v>
      </c>
      <c r="R70" s="71">
        <f t="shared" ref="R70:T70" si="78">Q70</f>
        <v>0</v>
      </c>
      <c r="S70" s="71">
        <f t="shared" si="78"/>
        <v>0</v>
      </c>
      <c r="T70" s="71">
        <f t="shared" si="78"/>
        <v>0</v>
      </c>
      <c r="U70" s="71">
        <f t="shared" ref="U70" si="79">T70</f>
        <v>0</v>
      </c>
      <c r="V70" s="71">
        <f t="shared" ref="V70" si="80">U70</f>
        <v>0</v>
      </c>
      <c r="W70" s="71">
        <f t="shared" ref="W70" si="81">V70</f>
        <v>0</v>
      </c>
      <c r="X70" s="71">
        <f t="shared" ref="X70" si="82">W70</f>
        <v>0</v>
      </c>
      <c r="Y70" s="71">
        <f t="shared" ref="Y70" si="83">X70</f>
        <v>0</v>
      </c>
      <c r="Z70" s="71">
        <f t="shared" ref="Z70" si="84">Y70</f>
        <v>0</v>
      </c>
      <c r="AA70" s="71">
        <f t="shared" ref="AA70" si="85">Z70</f>
        <v>0</v>
      </c>
      <c r="AB70" s="71">
        <f t="shared" ref="AB70" si="86">AA70</f>
        <v>0</v>
      </c>
      <c r="AC70" s="71">
        <f t="shared" ref="AC70" si="87">AB70</f>
        <v>0</v>
      </c>
      <c r="AD70" s="71">
        <f t="shared" ref="AD70" si="88">AC70</f>
        <v>0</v>
      </c>
      <c r="AE70" s="71"/>
      <c r="AF70" s="71"/>
    </row>
    <row r="71" spans="2:42" outlineLevel="1">
      <c r="B71" s="1" t="s">
        <v>302</v>
      </c>
      <c r="C71" s="38">
        <v>9.0399999999999991</v>
      </c>
      <c r="D71" s="38">
        <v>21.28</v>
      </c>
      <c r="E71" s="38">
        <v>25.45</v>
      </c>
      <c r="F71" s="38">
        <v>27.9</v>
      </c>
      <c r="G71" s="38">
        <v>44.84</v>
      </c>
      <c r="H71" s="38">
        <v>41.99</v>
      </c>
      <c r="I71" s="38">
        <v>40.159999999999997</v>
      </c>
      <c r="J71" s="38">
        <v>46.86</v>
      </c>
      <c r="K71" s="38">
        <v>56.4</v>
      </c>
      <c r="L71" s="38">
        <v>50.72</v>
      </c>
      <c r="M71" s="304">
        <v>53.73</v>
      </c>
      <c r="N71" s="304">
        <v>53.46</v>
      </c>
      <c r="O71" s="304">
        <v>59.82</v>
      </c>
      <c r="P71" s="38">
        <v>53.75</v>
      </c>
      <c r="Q71" s="38">
        <f>+P71*(1+AH57)</f>
        <v>53.75</v>
      </c>
      <c r="R71" s="38">
        <f>+Q71*(1+AI57)</f>
        <v>53.75</v>
      </c>
      <c r="S71" s="38">
        <f>+R71*(1+AJ57)</f>
        <v>53.75</v>
      </c>
      <c r="T71" s="38">
        <f>+S71*(1+AK57)</f>
        <v>53.75</v>
      </c>
      <c r="U71" s="38">
        <f t="shared" ref="U71:AD71" si="89">+T71*(1+AL57)</f>
        <v>53.75</v>
      </c>
      <c r="V71" s="38">
        <f t="shared" si="89"/>
        <v>53.75</v>
      </c>
      <c r="W71" s="38">
        <f t="shared" si="89"/>
        <v>53.75</v>
      </c>
      <c r="X71" s="38">
        <f t="shared" si="89"/>
        <v>53.75</v>
      </c>
      <c r="Y71" s="38">
        <f t="shared" si="89"/>
        <v>53.75</v>
      </c>
      <c r="Z71" s="38">
        <f t="shared" si="89"/>
        <v>53.75</v>
      </c>
      <c r="AA71" s="38">
        <f t="shared" si="89"/>
        <v>53.75</v>
      </c>
      <c r="AB71" s="38">
        <f t="shared" si="89"/>
        <v>53.75</v>
      </c>
      <c r="AC71" s="38">
        <f t="shared" si="89"/>
        <v>53.75</v>
      </c>
      <c r="AD71" s="38">
        <f t="shared" si="89"/>
        <v>53.75</v>
      </c>
      <c r="AE71" s="38"/>
      <c r="AF71" s="38"/>
    </row>
    <row r="72" spans="2:42" outlineLevel="1">
      <c r="B72" s="9" t="s">
        <v>303</v>
      </c>
      <c r="C72" s="71">
        <f>IS!G40</f>
        <v>0.31708860759493673</v>
      </c>
      <c r="D72" s="71">
        <f>IS!L40</f>
        <v>0.32006635990005039</v>
      </c>
      <c r="E72" s="71">
        <f>IS!Q40</f>
        <v>0.30762269938650294</v>
      </c>
      <c r="F72" s="71">
        <f>IS!V40</f>
        <v>0.30983604226971379</v>
      </c>
      <c r="G72" s="71">
        <f>IS!AA40</f>
        <v>0.27766840153097533</v>
      </c>
      <c r="H72" s="71">
        <f>IS!AF40</f>
        <v>0.29055040738947513</v>
      </c>
      <c r="I72" s="71">
        <f>IS!AK40</f>
        <v>0.27219231393873045</v>
      </c>
      <c r="J72" s="71">
        <f>IS!AP40</f>
        <v>0.24797283030077644</v>
      </c>
      <c r="K72" s="71">
        <f>IS!AU40</f>
        <v>0.25635915501156958</v>
      </c>
      <c r="L72" s="71">
        <f>IS!AZ40</f>
        <v>0.24996217062789136</v>
      </c>
      <c r="M72" s="71">
        <f>IS!BE40</f>
        <v>0.24400254545071007</v>
      </c>
      <c r="N72" s="71">
        <f>IS!BJ40</f>
        <v>0.25449207323777218</v>
      </c>
      <c r="O72" s="71">
        <f>IS!BO40</f>
        <v>0.24081978889471448</v>
      </c>
      <c r="P72" s="71">
        <f>IS!BT40</f>
        <v>0.24876654530606693</v>
      </c>
      <c r="Q72" s="71">
        <f>IS!BY40</f>
        <v>0.24301141558318701</v>
      </c>
      <c r="R72" s="71">
        <f>IS!CD40</f>
        <v>0.23</v>
      </c>
      <c r="S72" s="71">
        <f>IS!CI40</f>
        <v>0.22500000000000001</v>
      </c>
      <c r="T72" s="71">
        <f>IS!CN40</f>
        <v>0.22</v>
      </c>
      <c r="U72" s="71">
        <f>IS!CS40</f>
        <v>0.215</v>
      </c>
      <c r="V72" s="71">
        <f>IS!CX40</f>
        <v>0.21</v>
      </c>
      <c r="W72" s="71">
        <f>IS!DC40</f>
        <v>0.21</v>
      </c>
      <c r="X72" s="71">
        <f>IS!DH40</f>
        <v>0.21</v>
      </c>
      <c r="Y72" s="71">
        <f>IS!DM40</f>
        <v>0.21</v>
      </c>
      <c r="Z72" s="71">
        <f>IS!DR40</f>
        <v>0.21</v>
      </c>
      <c r="AA72" s="71">
        <f>IS!DW40</f>
        <v>0.21</v>
      </c>
      <c r="AB72" s="71">
        <f>IS!EB40</f>
        <v>0.21</v>
      </c>
      <c r="AC72" s="71">
        <f>IS!EG40</f>
        <v>0.21</v>
      </c>
      <c r="AD72" s="71">
        <f>IS!EL40</f>
        <v>0.21</v>
      </c>
      <c r="AE72" s="71"/>
      <c r="AF72" s="71"/>
    </row>
    <row r="73" spans="2:42" outlineLevel="1">
      <c r="B73" s="1" t="s">
        <v>304</v>
      </c>
      <c r="C73" s="3">
        <v>0</v>
      </c>
      <c r="D73" s="3">
        <v>0</v>
      </c>
      <c r="E73" s="3">
        <v>0</v>
      </c>
      <c r="F73" s="3">
        <v>0</v>
      </c>
      <c r="G73" s="3">
        <v>0</v>
      </c>
      <c r="H73" s="3">
        <v>0</v>
      </c>
      <c r="I73" s="3">
        <v>0</v>
      </c>
      <c r="J73" s="3">
        <v>0</v>
      </c>
      <c r="K73" s="3">
        <v>314.64999999999998</v>
      </c>
      <c r="L73" s="3">
        <v>67.492999999999995</v>
      </c>
      <c r="M73" s="279">
        <v>66.77</v>
      </c>
      <c r="N73" s="279">
        <v>54.887</v>
      </c>
      <c r="O73" s="279">
        <v>43.7</v>
      </c>
      <c r="P73" s="3">
        <f t="shared" ref="P73:AD73" si="90">P69*P71</f>
        <v>2.2037499999999999</v>
      </c>
      <c r="Q73" s="3">
        <f t="shared" si="90"/>
        <v>0</v>
      </c>
      <c r="R73" s="3">
        <f t="shared" si="90"/>
        <v>0</v>
      </c>
      <c r="S73" s="3">
        <f t="shared" si="90"/>
        <v>0</v>
      </c>
      <c r="T73" s="3">
        <f t="shared" si="90"/>
        <v>0</v>
      </c>
      <c r="U73" s="3">
        <f t="shared" si="90"/>
        <v>0</v>
      </c>
      <c r="V73" s="3">
        <f t="shared" si="90"/>
        <v>0</v>
      </c>
      <c r="W73" s="3">
        <f t="shared" si="90"/>
        <v>0</v>
      </c>
      <c r="X73" s="3">
        <f t="shared" si="90"/>
        <v>0</v>
      </c>
      <c r="Y73" s="3">
        <f t="shared" si="90"/>
        <v>0</v>
      </c>
      <c r="Z73" s="3">
        <f t="shared" si="90"/>
        <v>0</v>
      </c>
      <c r="AA73" s="3">
        <f t="shared" si="90"/>
        <v>0</v>
      </c>
      <c r="AB73" s="3">
        <f t="shared" si="90"/>
        <v>0</v>
      </c>
      <c r="AC73" s="3">
        <f t="shared" si="90"/>
        <v>0</v>
      </c>
      <c r="AD73" s="3">
        <f t="shared" si="90"/>
        <v>0</v>
      </c>
      <c r="AE73" s="3"/>
      <c r="AF73" s="3"/>
    </row>
    <row r="74" spans="2:42" outlineLevel="1">
      <c r="B74" s="1" t="s">
        <v>305</v>
      </c>
      <c r="C74" s="3">
        <v>23.373000000000001</v>
      </c>
      <c r="D74" s="3">
        <v>144.55000000000001</v>
      </c>
      <c r="E74" s="3">
        <v>25.364999999999998</v>
      </c>
      <c r="F74" s="3">
        <v>42.807000000000002</v>
      </c>
      <c r="G74" s="3">
        <v>67.227000000000004</v>
      </c>
      <c r="H74" s="3">
        <v>29.844999999999999</v>
      </c>
      <c r="I74" s="3">
        <v>-36.829000000000001</v>
      </c>
      <c r="J74" s="3">
        <v>19.306999999999999</v>
      </c>
      <c r="K74" s="3">
        <v>50.585999999999999</v>
      </c>
      <c r="L74" s="3">
        <v>49.387</v>
      </c>
      <c r="M74" s="279">
        <v>45.893000000000001</v>
      </c>
      <c r="N74" s="279">
        <v>49.387</v>
      </c>
      <c r="O74" s="279">
        <v>-0.6</v>
      </c>
      <c r="P74" s="3">
        <f t="shared" ref="P74:AD74" si="91">+((P62-P71)*P69)*P72</f>
        <v>2.3096605515669131</v>
      </c>
      <c r="Q74" s="3">
        <f t="shared" si="91"/>
        <v>0</v>
      </c>
      <c r="R74" s="3">
        <f t="shared" si="91"/>
        <v>0</v>
      </c>
      <c r="S74" s="3">
        <f t="shared" si="91"/>
        <v>0</v>
      </c>
      <c r="T74" s="3">
        <f t="shared" si="91"/>
        <v>0</v>
      </c>
      <c r="U74" s="3">
        <f t="shared" si="91"/>
        <v>0</v>
      </c>
      <c r="V74" s="3">
        <f t="shared" si="91"/>
        <v>0</v>
      </c>
      <c r="W74" s="3">
        <f t="shared" si="91"/>
        <v>0</v>
      </c>
      <c r="X74" s="3">
        <f t="shared" si="91"/>
        <v>0</v>
      </c>
      <c r="Y74" s="3">
        <f t="shared" si="91"/>
        <v>0</v>
      </c>
      <c r="Z74" s="3">
        <f t="shared" si="91"/>
        <v>0</v>
      </c>
      <c r="AA74" s="3">
        <f t="shared" si="91"/>
        <v>0</v>
      </c>
      <c r="AB74" s="3">
        <f t="shared" si="91"/>
        <v>0</v>
      </c>
      <c r="AC74" s="3">
        <f t="shared" si="91"/>
        <v>0</v>
      </c>
      <c r="AD74" s="3">
        <f t="shared" si="91"/>
        <v>0</v>
      </c>
      <c r="AE74" s="3"/>
      <c r="AF74" s="3"/>
    </row>
    <row r="75" spans="2:42" outlineLevel="1">
      <c r="B75" s="1" t="s">
        <v>306</v>
      </c>
      <c r="C75" s="3">
        <f>4.872+20.728</f>
        <v>25.6</v>
      </c>
      <c r="D75" s="3">
        <v>7.0540000000000003</v>
      </c>
      <c r="E75" s="3">
        <v>6.0119999999999996</v>
      </c>
      <c r="F75" s="3">
        <v>1.9279999999999999</v>
      </c>
      <c r="G75" s="3">
        <v>1.47</v>
      </c>
      <c r="H75" s="3">
        <v>1.4750000000000001</v>
      </c>
      <c r="I75" s="3">
        <v>1.0309999999999999</v>
      </c>
      <c r="J75" s="3">
        <v>0.124</v>
      </c>
      <c r="K75" s="3">
        <v>0</v>
      </c>
      <c r="L75" s="3">
        <v>0</v>
      </c>
      <c r="M75" s="3">
        <v>0</v>
      </c>
      <c r="N75" s="3">
        <f t="shared" ref="N75:AD75" si="92">N76*N63</f>
        <v>0</v>
      </c>
      <c r="O75" s="3">
        <f t="shared" si="92"/>
        <v>0</v>
      </c>
      <c r="P75" s="3">
        <f t="shared" si="92"/>
        <v>0</v>
      </c>
      <c r="Q75" s="3">
        <v>0</v>
      </c>
      <c r="R75" s="3">
        <f t="shared" si="92"/>
        <v>0</v>
      </c>
      <c r="S75" s="3">
        <f t="shared" si="92"/>
        <v>0</v>
      </c>
      <c r="T75" s="3">
        <f t="shared" si="92"/>
        <v>0</v>
      </c>
      <c r="U75" s="3">
        <f t="shared" si="92"/>
        <v>0</v>
      </c>
      <c r="V75" s="3">
        <f t="shared" si="92"/>
        <v>0</v>
      </c>
      <c r="W75" s="3">
        <f t="shared" si="92"/>
        <v>0</v>
      </c>
      <c r="X75" s="3">
        <f t="shared" si="92"/>
        <v>0</v>
      </c>
      <c r="Y75" s="3">
        <f t="shared" si="92"/>
        <v>0</v>
      </c>
      <c r="Z75" s="3">
        <f t="shared" si="92"/>
        <v>0</v>
      </c>
      <c r="AA75" s="3">
        <f t="shared" si="92"/>
        <v>0</v>
      </c>
      <c r="AB75" s="3">
        <f t="shared" si="92"/>
        <v>0</v>
      </c>
      <c r="AC75" s="3">
        <f t="shared" si="92"/>
        <v>0</v>
      </c>
      <c r="AD75" s="3">
        <f t="shared" si="92"/>
        <v>0</v>
      </c>
      <c r="AE75" s="3"/>
      <c r="AF75" s="3"/>
    </row>
    <row r="76" spans="2:42" outlineLevel="1">
      <c r="B76" s="9" t="s">
        <v>307</v>
      </c>
      <c r="C76" s="71">
        <f>C75/C63</f>
        <v>1.2125230900393125</v>
      </c>
      <c r="D76" s="71">
        <f t="shared" ref="D76:L76" si="93">D75/D63</f>
        <v>0.16207522459389287</v>
      </c>
      <c r="E76" s="71">
        <f t="shared" si="93"/>
        <v>0.17116988867693533</v>
      </c>
      <c r="F76" s="71">
        <f t="shared" si="93"/>
        <v>6.158563853574394E-2</v>
      </c>
      <c r="G76" s="71">
        <f t="shared" si="93"/>
        <v>5.8551740619772162E-2</v>
      </c>
      <c r="H76" s="71">
        <f t="shared" si="93"/>
        <v>9.8993288590604037E-2</v>
      </c>
      <c r="I76" s="71">
        <f t="shared" si="93"/>
        <v>8.5206611570247934E-2</v>
      </c>
      <c r="J76" s="71">
        <f t="shared" si="93"/>
        <v>1.1449676823638042E-2</v>
      </c>
      <c r="K76" s="71">
        <v>0</v>
      </c>
      <c r="L76" s="71">
        <f t="shared" si="93"/>
        <v>0</v>
      </c>
      <c r="M76" s="71">
        <f t="shared" ref="M76:T76" si="94">L76</f>
        <v>0</v>
      </c>
      <c r="N76" s="71">
        <f t="shared" si="94"/>
        <v>0</v>
      </c>
      <c r="O76" s="71">
        <f t="shared" si="94"/>
        <v>0</v>
      </c>
      <c r="P76" s="71">
        <f t="shared" si="94"/>
        <v>0</v>
      </c>
      <c r="Q76" s="71">
        <f>Q75/Q63</f>
        <v>0</v>
      </c>
      <c r="R76" s="71">
        <f t="shared" si="94"/>
        <v>0</v>
      </c>
      <c r="S76" s="71">
        <f t="shared" si="94"/>
        <v>0</v>
      </c>
      <c r="T76" s="71">
        <f t="shared" si="94"/>
        <v>0</v>
      </c>
      <c r="U76" s="71">
        <f t="shared" ref="U76" si="95">T76</f>
        <v>0</v>
      </c>
      <c r="V76" s="71">
        <f t="shared" ref="V76" si="96">U76</f>
        <v>0</v>
      </c>
      <c r="W76" s="71">
        <f t="shared" ref="W76" si="97">V76</f>
        <v>0</v>
      </c>
      <c r="X76" s="71">
        <f t="shared" ref="X76" si="98">W76</f>
        <v>0</v>
      </c>
      <c r="Y76" s="71">
        <f t="shared" ref="Y76" si="99">X76</f>
        <v>0</v>
      </c>
      <c r="Z76" s="71">
        <f t="shared" ref="Z76" si="100">Y76</f>
        <v>0</v>
      </c>
      <c r="AA76" s="71">
        <f t="shared" ref="AA76" si="101">Z76</f>
        <v>0</v>
      </c>
      <c r="AB76" s="71">
        <f t="shared" ref="AB76" si="102">AA76</f>
        <v>0</v>
      </c>
      <c r="AC76" s="71">
        <f t="shared" ref="AC76" si="103">AB76</f>
        <v>0</v>
      </c>
      <c r="AD76" s="71">
        <f t="shared" ref="AD76" si="104">AC76</f>
        <v>0</v>
      </c>
      <c r="AE76" s="71"/>
      <c r="AF76" s="71"/>
    </row>
    <row r="77" spans="2:42" outlineLevel="1">
      <c r="B77" s="1" t="s">
        <v>308</v>
      </c>
      <c r="C77" s="3">
        <f>2.401+171.938+1.68</f>
        <v>176.01900000000001</v>
      </c>
      <c r="D77" s="3">
        <f>6.604+1.266+5.078+6.048</f>
        <v>18.996000000000002</v>
      </c>
      <c r="E77" s="3">
        <f>0.001+0.73</f>
        <v>0.73099999999999998</v>
      </c>
      <c r="F77" s="3">
        <v>0</v>
      </c>
      <c r="G77" s="3">
        <f>0.182+8.017</f>
        <v>8.1989999999999998</v>
      </c>
      <c r="H77" s="3">
        <f>0.016+0.852+0.688</f>
        <v>1.556</v>
      </c>
      <c r="I77" s="3">
        <v>0</v>
      </c>
      <c r="J77" s="3">
        <v>0</v>
      </c>
      <c r="K77" s="3">
        <v>0</v>
      </c>
      <c r="L77" s="3">
        <f>1.039+1.239</f>
        <v>2.278</v>
      </c>
      <c r="M77" s="3">
        <v>0</v>
      </c>
      <c r="N77" s="3">
        <v>0</v>
      </c>
      <c r="O77" s="3">
        <v>0</v>
      </c>
      <c r="P77" s="3">
        <v>0</v>
      </c>
      <c r="Q77" s="3">
        <v>0</v>
      </c>
      <c r="R77" s="3">
        <v>0</v>
      </c>
      <c r="S77" s="3">
        <v>0</v>
      </c>
      <c r="T77" s="3">
        <v>0</v>
      </c>
      <c r="U77" s="3">
        <v>0</v>
      </c>
      <c r="V77" s="3">
        <v>0</v>
      </c>
      <c r="W77" s="3">
        <v>0</v>
      </c>
      <c r="X77" s="3">
        <v>0</v>
      </c>
      <c r="Y77" s="3">
        <v>0</v>
      </c>
      <c r="Z77" s="3">
        <v>0</v>
      </c>
      <c r="AA77" s="3">
        <v>0</v>
      </c>
      <c r="AB77" s="3">
        <v>0</v>
      </c>
      <c r="AC77" s="3">
        <v>0</v>
      </c>
      <c r="AD77" s="3">
        <v>0</v>
      </c>
      <c r="AE77" s="3"/>
      <c r="AF77" s="3"/>
    </row>
    <row r="78" spans="2:42" outlineLevel="1">
      <c r="B78" s="1" t="s">
        <v>309</v>
      </c>
      <c r="C78" s="3">
        <f>24.438+6775.652</f>
        <v>6800.09</v>
      </c>
      <c r="D78" s="3">
        <f>132.974+55.491+55.351</f>
        <v>243.81599999999997</v>
      </c>
      <c r="E78" s="3">
        <f>8.425+0.023</f>
        <v>8.4480000000000004</v>
      </c>
      <c r="F78" s="3">
        <v>0</v>
      </c>
      <c r="G78" s="3">
        <f>2.371+386.928</f>
        <v>389.29899999999998</v>
      </c>
      <c r="H78" s="3">
        <f>0.227+34.297</f>
        <v>34.523999999999994</v>
      </c>
      <c r="I78" s="3">
        <v>0</v>
      </c>
      <c r="J78" s="3">
        <v>0</v>
      </c>
      <c r="K78" s="3">
        <f t="shared" ref="K78:P78" si="105">K62*K77</f>
        <v>0</v>
      </c>
      <c r="L78" s="3">
        <v>1E-3</v>
      </c>
      <c r="M78" s="3">
        <f t="shared" si="105"/>
        <v>0</v>
      </c>
      <c r="N78" s="3">
        <f t="shared" si="105"/>
        <v>0</v>
      </c>
      <c r="O78" s="3">
        <f t="shared" si="105"/>
        <v>0</v>
      </c>
      <c r="P78" s="3">
        <f t="shared" si="105"/>
        <v>0</v>
      </c>
      <c r="Q78" s="3">
        <f>Q62*Q77</f>
        <v>0</v>
      </c>
      <c r="R78" s="3">
        <f>R62*R77</f>
        <v>0</v>
      </c>
      <c r="S78" s="3">
        <f>S62*S77</f>
        <v>0</v>
      </c>
      <c r="T78" s="3">
        <f>T62*T77</f>
        <v>0</v>
      </c>
      <c r="U78" s="3">
        <f t="shared" ref="U78:AD78" si="106">U62*U77</f>
        <v>0</v>
      </c>
      <c r="V78" s="3">
        <f t="shared" si="106"/>
        <v>0</v>
      </c>
      <c r="W78" s="3">
        <f t="shared" si="106"/>
        <v>0</v>
      </c>
      <c r="X78" s="3">
        <f t="shared" si="106"/>
        <v>0</v>
      </c>
      <c r="Y78" s="3">
        <f t="shared" si="106"/>
        <v>0</v>
      </c>
      <c r="Z78" s="3">
        <f t="shared" si="106"/>
        <v>0</v>
      </c>
      <c r="AA78" s="3">
        <f t="shared" si="106"/>
        <v>0</v>
      </c>
      <c r="AB78" s="3">
        <f t="shared" si="106"/>
        <v>0</v>
      </c>
      <c r="AC78" s="3">
        <f t="shared" si="106"/>
        <v>0</v>
      </c>
      <c r="AD78" s="3">
        <f t="shared" si="106"/>
        <v>0</v>
      </c>
      <c r="AE78" s="3"/>
      <c r="AF78" s="3"/>
    </row>
    <row r="79" spans="2:42" outlineLevel="1">
      <c r="B79" s="1" t="s">
        <v>310</v>
      </c>
      <c r="C79" s="3">
        <v>0</v>
      </c>
      <c r="D79" s="3">
        <v>12.603999999999999</v>
      </c>
      <c r="E79" s="3">
        <v>0</v>
      </c>
      <c r="F79" s="3">
        <v>0</v>
      </c>
      <c r="G79" s="3">
        <v>56.423999999999999</v>
      </c>
      <c r="H79" s="3">
        <v>0</v>
      </c>
      <c r="I79" s="3">
        <v>8.7590000000000003</v>
      </c>
      <c r="J79" s="3">
        <v>40.293999999999997</v>
      </c>
      <c r="K79" s="3">
        <v>6</v>
      </c>
      <c r="L79" s="3">
        <v>7.8109999999999999</v>
      </c>
      <c r="M79" s="279">
        <v>1.986</v>
      </c>
      <c r="N79" s="279">
        <v>2.9209999999999998</v>
      </c>
      <c r="O79" s="279">
        <v>16.8</v>
      </c>
      <c r="P79" s="3">
        <v>0.5</v>
      </c>
      <c r="Q79" s="3">
        <f t="shared" ref="Q79:AD79" si="107">Q80/Q62</f>
        <v>4.1769028615923682</v>
      </c>
      <c r="R79" s="3">
        <f t="shared" si="107"/>
        <v>5.822537363058407</v>
      </c>
      <c r="S79" s="3">
        <f t="shared" si="107"/>
        <v>7.095052782494192</v>
      </c>
      <c r="T79" s="3">
        <f t="shared" si="107"/>
        <v>7.1758615892277087</v>
      </c>
      <c r="U79" s="3">
        <f t="shared" si="107"/>
        <v>6.8626006743677603</v>
      </c>
      <c r="V79" s="3">
        <f t="shared" si="107"/>
        <v>6.5227070726939171</v>
      </c>
      <c r="W79" s="3">
        <f t="shared" si="107"/>
        <v>6.069309642239773</v>
      </c>
      <c r="X79" s="3">
        <f t="shared" si="107"/>
        <v>5.6616189274724764</v>
      </c>
      <c r="Y79" s="3">
        <f t="shared" si="107"/>
        <v>5.0097100179496969</v>
      </c>
      <c r="Z79" s="3">
        <f t="shared" si="107"/>
        <v>4.1449929785808948</v>
      </c>
      <c r="AA79" s="3">
        <f t="shared" si="107"/>
        <v>3.2088243790352902</v>
      </c>
      <c r="AB79" s="3">
        <f t="shared" si="107"/>
        <v>2.5966586948974668</v>
      </c>
      <c r="AC79" s="3">
        <f t="shared" si="107"/>
        <v>2.3242677660017086</v>
      </c>
      <c r="AD79" s="3">
        <f t="shared" si="107"/>
        <v>2.1437090205535956</v>
      </c>
      <c r="AE79" s="3"/>
      <c r="AF79" s="3"/>
    </row>
    <row r="80" spans="2:42" s="3" customFormat="1" outlineLevel="1">
      <c r="B80" s="3" t="s">
        <v>311</v>
      </c>
      <c r="C80" s="3">
        <v>-1E-3</v>
      </c>
      <c r="D80" s="3">
        <v>0</v>
      </c>
      <c r="E80" s="3">
        <v>0</v>
      </c>
      <c r="F80" s="3">
        <v>30.36</v>
      </c>
      <c r="G80" s="3">
        <f>2991.155+48.292+2.744</f>
        <v>3042.1910000000003</v>
      </c>
      <c r="H80" s="3">
        <v>29.8</v>
      </c>
      <c r="I80" s="3">
        <v>422.41500000000002</v>
      </c>
      <c r="J80" s="3">
        <v>2077.5590000000002</v>
      </c>
      <c r="K80" s="3">
        <f>-K33</f>
        <v>497.97500000000002</v>
      </c>
      <c r="L80" s="3">
        <v>984.71500000000003</v>
      </c>
      <c r="M80" s="279">
        <v>400.30900000000003</v>
      </c>
      <c r="N80" s="279">
        <v>886.779</v>
      </c>
      <c r="O80" s="279">
        <v>5000</v>
      </c>
      <c r="P80" s="3">
        <f>P55*0.15</f>
        <v>587.83499999999992</v>
      </c>
      <c r="Q80" s="3">
        <f>Q55*0.35</f>
        <v>1287.4049999999997</v>
      </c>
      <c r="R80" s="3">
        <f t="shared" ref="R80:AD80" si="108">R55*0.5</f>
        <v>1974.0847126460487</v>
      </c>
      <c r="S80" s="3">
        <f t="shared" si="108"/>
        <v>2646.072974030636</v>
      </c>
      <c r="T80" s="3">
        <f t="shared" si="108"/>
        <v>2943.8313425712795</v>
      </c>
      <c r="U80" s="3">
        <f t="shared" si="108"/>
        <v>3096.8508207837031</v>
      </c>
      <c r="V80" s="3">
        <f t="shared" si="108"/>
        <v>3237.8156447273223</v>
      </c>
      <c r="W80" s="3">
        <f t="shared" si="108"/>
        <v>3314.0283693047159</v>
      </c>
      <c r="X80" s="3">
        <f t="shared" si="108"/>
        <v>3400.5584708318625</v>
      </c>
      <c r="Y80" s="3">
        <f t="shared" si="108"/>
        <v>3309.90009426702</v>
      </c>
      <c r="Z80" s="3">
        <f t="shared" si="108"/>
        <v>3012.4426087583342</v>
      </c>
      <c r="AA80" s="3">
        <f t="shared" si="108"/>
        <v>2565.2731540721802</v>
      </c>
      <c r="AB80" s="3">
        <f t="shared" si="108"/>
        <v>2283.4695386296958</v>
      </c>
      <c r="AC80" s="3">
        <f t="shared" si="108"/>
        <v>2248.3255574112727</v>
      </c>
      <c r="AD80" s="3">
        <f t="shared" si="108"/>
        <v>2281.0329489447531</v>
      </c>
      <c r="AK80"/>
      <c r="AL80"/>
      <c r="AM80"/>
      <c r="AN80"/>
      <c r="AO80"/>
      <c r="AP80"/>
    </row>
    <row r="81" spans="2:32" outlineLevel="1">
      <c r="B81" s="1" t="s">
        <v>312</v>
      </c>
      <c r="C81" s="3">
        <v>3.5999999999999997E-2</v>
      </c>
      <c r="D81" s="3">
        <v>0</v>
      </c>
      <c r="E81" s="3">
        <v>14.259</v>
      </c>
      <c r="F81" s="3">
        <v>131.53899999999999</v>
      </c>
      <c r="G81" s="3">
        <v>128.101</v>
      </c>
      <c r="H81" s="3">
        <v>153.74799999999999</v>
      </c>
      <c r="I81" s="3">
        <v>167.20699999999999</v>
      </c>
      <c r="J81" s="3">
        <v>171.435</v>
      </c>
      <c r="K81" s="3">
        <f>+K7</f>
        <v>113.005</v>
      </c>
      <c r="L81" s="3">
        <v>123.956</v>
      </c>
      <c r="M81" s="279">
        <v>89.747</v>
      </c>
      <c r="N81" s="279">
        <v>140.30000000000001</v>
      </c>
      <c r="O81" s="279">
        <v>125.1</v>
      </c>
      <c r="P81" s="3">
        <f t="shared" ref="P81:AD81" si="109">+P7</f>
        <v>154.80000000000001</v>
      </c>
      <c r="Q81" s="3">
        <f t="shared" si="109"/>
        <v>128</v>
      </c>
      <c r="R81" s="3">
        <f t="shared" si="109"/>
        <v>100</v>
      </c>
      <c r="S81" s="3">
        <f t="shared" si="109"/>
        <v>100</v>
      </c>
      <c r="T81" s="3">
        <f t="shared" si="109"/>
        <v>100</v>
      </c>
      <c r="U81" s="3">
        <f t="shared" si="109"/>
        <v>100</v>
      </c>
      <c r="V81" s="3">
        <f t="shared" si="109"/>
        <v>100</v>
      </c>
      <c r="W81" s="3">
        <f t="shared" si="109"/>
        <v>100</v>
      </c>
      <c r="X81" s="3">
        <f t="shared" si="109"/>
        <v>100</v>
      </c>
      <c r="Y81" s="3">
        <f t="shared" si="109"/>
        <v>100</v>
      </c>
      <c r="Z81" s="3">
        <f t="shared" si="109"/>
        <v>100</v>
      </c>
      <c r="AA81" s="3">
        <f t="shared" si="109"/>
        <v>100</v>
      </c>
      <c r="AB81" s="3">
        <f t="shared" si="109"/>
        <v>123.33389599236466</v>
      </c>
      <c r="AC81" s="3">
        <f t="shared" si="109"/>
        <v>123.33389599236466</v>
      </c>
      <c r="AD81" s="3">
        <f t="shared" si="109"/>
        <v>123.33389599236466</v>
      </c>
      <c r="AE81" s="3"/>
      <c r="AF81" s="3"/>
    </row>
    <row r="82" spans="2:32" outlineLevel="1">
      <c r="B82" s="1" t="s">
        <v>313</v>
      </c>
      <c r="C82" s="3">
        <v>0</v>
      </c>
      <c r="D82" s="3">
        <v>-4.5570000000000004</v>
      </c>
      <c r="E82" s="3">
        <v>-26.14</v>
      </c>
      <c r="F82" s="3">
        <v>-42.664999999999999</v>
      </c>
      <c r="G82" s="3">
        <f>-10.583-33.014</f>
        <v>-43.597000000000001</v>
      </c>
      <c r="H82" s="3">
        <v>78.569000000000003</v>
      </c>
      <c r="I82" s="3">
        <v>0</v>
      </c>
      <c r="J82" s="3">
        <v>0</v>
      </c>
      <c r="K82" s="3">
        <v>0</v>
      </c>
      <c r="L82" s="3">
        <v>0</v>
      </c>
      <c r="M82" s="3">
        <f>CF!M27</f>
        <v>-15</v>
      </c>
      <c r="N82" s="3">
        <f>CF!N27</f>
        <v>-375</v>
      </c>
      <c r="O82" s="3">
        <f>CF!O27</f>
        <v>-850</v>
      </c>
      <c r="P82" s="3">
        <f>CF!P27</f>
        <v>-1200</v>
      </c>
      <c r="Q82" s="3">
        <f>CF!Q27</f>
        <v>-1200</v>
      </c>
      <c r="R82" s="3">
        <f>CF!R27</f>
        <v>-1500</v>
      </c>
      <c r="S82" s="3">
        <f>CF!S27</f>
        <v>-300</v>
      </c>
      <c r="T82" s="3">
        <f>CF!T27</f>
        <v>0</v>
      </c>
      <c r="U82" s="3">
        <f>CF!U27</f>
        <v>0</v>
      </c>
      <c r="V82" s="3">
        <f>CF!V27</f>
        <v>0</v>
      </c>
      <c r="W82" s="3">
        <f>CF!W27</f>
        <v>0</v>
      </c>
      <c r="X82" s="3">
        <f>CF!X27</f>
        <v>0</v>
      </c>
      <c r="Y82" s="3">
        <f>CF!Y27</f>
        <v>0</v>
      </c>
      <c r="Z82" s="3">
        <f>CF!Z27</f>
        <v>0</v>
      </c>
      <c r="AA82" s="3">
        <f>CF!AA27</f>
        <v>0</v>
      </c>
      <c r="AB82" s="3">
        <f>CF!AB27</f>
        <v>0</v>
      </c>
      <c r="AC82" s="3">
        <f>CF!AC27</f>
        <v>0</v>
      </c>
      <c r="AD82" s="3">
        <f>CF!AD27</f>
        <v>0</v>
      </c>
      <c r="AE82" s="3"/>
      <c r="AF82" s="3"/>
    </row>
    <row r="83" spans="2:32" outlineLevel="1">
      <c r="B83" s="1" t="s">
        <v>314</v>
      </c>
      <c r="C83" s="34">
        <f>+C78-C80+C73+C74+C81+C82</f>
        <v>6823.5</v>
      </c>
      <c r="D83" s="34">
        <f t="shared" ref="D83:P83" si="110">+D78-D80+D73+D74+D81+D82</f>
        <v>383.80899999999997</v>
      </c>
      <c r="E83" s="34">
        <f t="shared" si="110"/>
        <v>21.932000000000002</v>
      </c>
      <c r="F83" s="34">
        <f t="shared" si="110"/>
        <v>101.321</v>
      </c>
      <c r="G83" s="42">
        <f t="shared" si="110"/>
        <v>-2501.1610000000005</v>
      </c>
      <c r="H83" s="34">
        <f t="shared" si="110"/>
        <v>266.88599999999997</v>
      </c>
      <c r="I83" s="34">
        <f t="shared" si="110"/>
        <v>-292.03700000000003</v>
      </c>
      <c r="J83" s="42">
        <f t="shared" si="110"/>
        <v>-1886.8170000000005</v>
      </c>
      <c r="K83" s="34">
        <f t="shared" si="110"/>
        <v>-19.734000000000037</v>
      </c>
      <c r="L83" s="34">
        <f t="shared" si="110"/>
        <v>-743.87800000000004</v>
      </c>
      <c r="M83" s="34">
        <f t="shared" si="110"/>
        <v>-212.89900000000006</v>
      </c>
      <c r="N83" s="42">
        <f t="shared" si="110"/>
        <v>-1017.2050000000002</v>
      </c>
      <c r="O83" s="42">
        <f t="shared" si="110"/>
        <v>-5681.8</v>
      </c>
      <c r="P83" s="42">
        <f t="shared" si="110"/>
        <v>-1628.5215894484329</v>
      </c>
      <c r="Q83" s="42">
        <f>+Q78-Q80+Q73+Q74+Q81+Q82</f>
        <v>-2359.4049999999997</v>
      </c>
      <c r="R83" s="42">
        <f>+R78-R80+R73+R74+R81+R82</f>
        <v>-3374.0847126460485</v>
      </c>
      <c r="S83" s="42">
        <f>+S78-S80+S73+S74+S81+S82</f>
        <v>-2846.072974030636</v>
      </c>
      <c r="T83" s="42">
        <f>+T78-T80+T73+T74+T81+T82</f>
        <v>-2843.8313425712795</v>
      </c>
      <c r="U83" s="42">
        <f t="shared" ref="U83:AD83" si="111">+U78-U80+U73+U74+U81+U82</f>
        <v>-2996.8508207837031</v>
      </c>
      <c r="V83" s="42">
        <f t="shared" si="111"/>
        <v>-3137.8156447273223</v>
      </c>
      <c r="W83" s="42">
        <f t="shared" si="111"/>
        <v>-3214.0283693047159</v>
      </c>
      <c r="X83" s="42">
        <f t="shared" si="111"/>
        <v>-3300.5584708318625</v>
      </c>
      <c r="Y83" s="42">
        <f t="shared" si="111"/>
        <v>-3209.90009426702</v>
      </c>
      <c r="Z83" s="42">
        <f t="shared" si="111"/>
        <v>-2912.4426087583342</v>
      </c>
      <c r="AA83" s="42">
        <f t="shared" si="111"/>
        <v>-2465.2731540721802</v>
      </c>
      <c r="AB83" s="42">
        <f t="shared" si="111"/>
        <v>-2160.1356426373313</v>
      </c>
      <c r="AC83" s="42">
        <f t="shared" si="111"/>
        <v>-2124.9916614189078</v>
      </c>
      <c r="AD83" s="42">
        <f t="shared" si="111"/>
        <v>-2157.6990529523882</v>
      </c>
      <c r="AE83" s="42"/>
      <c r="AF83" s="42"/>
    </row>
    <row r="84" spans="2:32" outlineLevel="1">
      <c r="B84" s="1" t="s">
        <v>315</v>
      </c>
      <c r="C84" s="3">
        <f>154.391-2.209</f>
        <v>152.18199999999999</v>
      </c>
      <c r="D84" s="3">
        <f>C85</f>
        <v>328.20100000000002</v>
      </c>
      <c r="E84" s="3">
        <f t="shared" ref="E84:P84" si="112">D85</f>
        <v>327.93399999999997</v>
      </c>
      <c r="F84" s="3">
        <f t="shared" si="112"/>
        <v>339.96100000000001</v>
      </c>
      <c r="G84" s="3">
        <f t="shared" si="112"/>
        <v>338.17399999999998</v>
      </c>
      <c r="H84" s="3">
        <f t="shared" si="112"/>
        <v>295.69799999999998</v>
      </c>
      <c r="I84" s="3">
        <f t="shared" si="112"/>
        <v>288.04599999999999</v>
      </c>
      <c r="J84" s="3">
        <f t="shared" si="112"/>
        <v>274.85500000000002</v>
      </c>
      <c r="K84" s="3">
        <f t="shared" si="112"/>
        <v>240.53799999999998</v>
      </c>
      <c r="L84" s="3">
        <f t="shared" si="112"/>
        <v>242.11500000000001</v>
      </c>
      <c r="M84" s="3">
        <f t="shared" si="112"/>
        <v>236.58199999999999</v>
      </c>
      <c r="N84" s="3">
        <f t="shared" si="112"/>
        <v>236.33200000000002</v>
      </c>
      <c r="O84" s="3">
        <f>N85</f>
        <v>234.56399999999996</v>
      </c>
      <c r="P84" s="3">
        <f t="shared" si="112"/>
        <v>218.6</v>
      </c>
      <c r="Q84" s="3">
        <f>P85</f>
        <v>215.9</v>
      </c>
      <c r="R84" s="3">
        <f>Q85</f>
        <v>212.01546668006588</v>
      </c>
      <c r="S84" s="3">
        <f>R85</f>
        <v>206.35426480989094</v>
      </c>
      <c r="T84" s="3">
        <f>S85</f>
        <v>199.30875945756119</v>
      </c>
      <c r="U84" s="3">
        <f t="shared" ref="U84:AD84" si="113">T85</f>
        <v>192.08707641473586</v>
      </c>
      <c r="V84" s="3">
        <f t="shared" si="113"/>
        <v>185.09729296992862</v>
      </c>
      <c r="W84" s="3">
        <f t="shared" si="113"/>
        <v>178.37799197698288</v>
      </c>
      <c r="X84" s="3">
        <f t="shared" si="113"/>
        <v>172.05287221808149</v>
      </c>
      <c r="Y84" s="3">
        <f t="shared" si="113"/>
        <v>166.08492451913867</v>
      </c>
      <c r="Z84" s="3">
        <f t="shared" si="113"/>
        <v>160.7257871411835</v>
      </c>
      <c r="AA84" s="3">
        <f t="shared" si="113"/>
        <v>156.1945984377079</v>
      </c>
      <c r="AB84" s="3">
        <f t="shared" si="113"/>
        <v>152.56821042353815</v>
      </c>
      <c r="AC84" s="3">
        <f t="shared" si="113"/>
        <v>149.52722743129644</v>
      </c>
      <c r="AD84" s="3">
        <f t="shared" si="113"/>
        <v>146.73580525155339</v>
      </c>
      <c r="AE84" s="3"/>
      <c r="AF84" s="3"/>
    </row>
    <row r="85" spans="2:32" outlineLevel="1">
      <c r="B85" s="1" t="s">
        <v>316</v>
      </c>
      <c r="C85" s="3">
        <f>330.41-2.209</f>
        <v>328.20100000000002</v>
      </c>
      <c r="D85" s="3">
        <f>336.7-8.766</f>
        <v>327.93399999999997</v>
      </c>
      <c r="E85" s="3">
        <f>345.712-5.751</f>
        <v>339.96100000000001</v>
      </c>
      <c r="F85" s="3">
        <f>345.637-7.463</f>
        <v>338.17399999999998</v>
      </c>
      <c r="G85" s="3">
        <f>295.698</f>
        <v>295.69799999999998</v>
      </c>
      <c r="H85" s="3">
        <f>297.253-9.207</f>
        <v>288.04599999999999</v>
      </c>
      <c r="I85" s="3">
        <f>288.494-13.639</f>
        <v>274.85500000000002</v>
      </c>
      <c r="J85" s="3">
        <f>248.2-7.662</f>
        <v>240.53799999999998</v>
      </c>
      <c r="K85" s="3">
        <f>255.633-13.518</f>
        <v>242.11500000000001</v>
      </c>
      <c r="L85" s="3">
        <f>254.237-17.655</f>
        <v>236.58199999999999</v>
      </c>
      <c r="M85" s="3">
        <f>255.973-19.641</f>
        <v>236.33200000000002</v>
      </c>
      <c r="N85" s="3">
        <f>257.126-22.562</f>
        <v>234.56399999999996</v>
      </c>
      <c r="O85" s="3">
        <f>241.2-22.6</f>
        <v>218.6</v>
      </c>
      <c r="P85" s="3">
        <f>238.5-22.6</f>
        <v>215.9</v>
      </c>
      <c r="Q85" s="3">
        <f t="shared" ref="Q85:AD85" si="114">+Q84+Q69+Q77-Q79+Q94</f>
        <v>212.01546668006588</v>
      </c>
      <c r="R85" s="3">
        <f t="shared" si="114"/>
        <v>206.35426480989094</v>
      </c>
      <c r="S85" s="3">
        <f t="shared" si="114"/>
        <v>199.30875945756119</v>
      </c>
      <c r="T85" s="3">
        <f t="shared" si="114"/>
        <v>192.08707641473586</v>
      </c>
      <c r="U85" s="3">
        <f t="shared" si="114"/>
        <v>185.09729296992862</v>
      </c>
      <c r="V85" s="3">
        <f t="shared" si="114"/>
        <v>178.37799197698288</v>
      </c>
      <c r="W85" s="3">
        <f t="shared" si="114"/>
        <v>172.05287221808149</v>
      </c>
      <c r="X85" s="3">
        <f t="shared" si="114"/>
        <v>166.08492451913867</v>
      </c>
      <c r="Y85" s="3">
        <f t="shared" si="114"/>
        <v>160.7257871411835</v>
      </c>
      <c r="Z85" s="3">
        <f t="shared" si="114"/>
        <v>156.1945984377079</v>
      </c>
      <c r="AA85" s="3">
        <f t="shared" si="114"/>
        <v>152.56821042353815</v>
      </c>
      <c r="AB85" s="3">
        <f t="shared" si="114"/>
        <v>149.52722743129644</v>
      </c>
      <c r="AC85" s="3">
        <f t="shared" si="114"/>
        <v>146.73580525155339</v>
      </c>
      <c r="AD85" s="3">
        <f t="shared" si="114"/>
        <v>144.10546493695483</v>
      </c>
      <c r="AE85" s="3"/>
      <c r="AF85" s="3"/>
    </row>
    <row r="86" spans="2:32" outlineLevel="1">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row>
    <row r="87" spans="2:32" outlineLevel="1">
      <c r="B87" s="1" t="s">
        <v>317</v>
      </c>
      <c r="C87" s="3">
        <f>IS!G105</f>
        <v>355.964</v>
      </c>
      <c r="D87" s="3">
        <f>IS!L105</f>
        <v>334.99599999999998</v>
      </c>
      <c r="E87" s="3">
        <f>IS!Q105</f>
        <v>335.58600000000001</v>
      </c>
      <c r="F87" s="3">
        <f>IS!V105</f>
        <v>338.58499999999998</v>
      </c>
      <c r="G87" s="3">
        <f>IS!AA105</f>
        <v>315.83600000000001</v>
      </c>
      <c r="H87" s="3">
        <f>IS!AF105</f>
        <v>292.33199999999999</v>
      </c>
      <c r="I87" s="3">
        <f>IS!AK105</f>
        <v>287.35599999999999</v>
      </c>
      <c r="J87" s="3">
        <f>IS!AP105</f>
        <v>252.30699999999999</v>
      </c>
      <c r="K87" s="3">
        <f>IS!AU105</f>
        <v>242.39500000000001</v>
      </c>
      <c r="L87" s="3">
        <f>IS!AZ105</f>
        <v>237.93799999999999</v>
      </c>
      <c r="M87" s="3">
        <f>IS!BE105</f>
        <v>236.45699999999999</v>
      </c>
      <c r="N87" s="3">
        <f>IS!BJ105</f>
        <v>236.35900000000001</v>
      </c>
      <c r="O87" s="3">
        <f>IS!BO105</f>
        <v>230.7</v>
      </c>
      <c r="P87" s="3">
        <f>IS!BT105</f>
        <v>218.4</v>
      </c>
      <c r="Q87" s="3">
        <f>IS!BY105</f>
        <v>212.6</v>
      </c>
      <c r="R87" s="3">
        <f>IS!CD105</f>
        <v>209.18486574497842</v>
      </c>
      <c r="S87" s="3">
        <f>IS!CI105</f>
        <v>202.83151213372605</v>
      </c>
      <c r="T87" s="3">
        <f>IS!CN105</f>
        <v>195.69791793614854</v>
      </c>
      <c r="U87" s="3">
        <f>IS!CS105</f>
        <v>188.59218469233224</v>
      </c>
      <c r="V87" s="3">
        <f>IS!CX105</f>
        <v>181.73764247345576</v>
      </c>
      <c r="W87" s="3">
        <f>IS!DC105</f>
        <v>175.21543209753219</v>
      </c>
      <c r="X87" s="3">
        <f>IS!DH105</f>
        <v>169.06889836861006</v>
      </c>
      <c r="Y87" s="3">
        <f>IS!DM105</f>
        <v>163.40535583016108</v>
      </c>
      <c r="Z87" s="3">
        <f>IS!DR105</f>
        <v>158.4601927894457</v>
      </c>
      <c r="AA87" s="3">
        <f>IS!DW105</f>
        <v>154.38140443062304</v>
      </c>
      <c r="AB87" s="3">
        <f>IS!EB105</f>
        <v>151.04771892741729</v>
      </c>
      <c r="AC87" s="3">
        <f>IS!EG105</f>
        <v>148.13151634142491</v>
      </c>
      <c r="AD87" s="3">
        <f>IS!EL105</f>
        <v>145.42063509425412</v>
      </c>
      <c r="AE87" s="3"/>
      <c r="AF87" s="3"/>
    </row>
    <row r="88" spans="2:32" outlineLevel="1">
      <c r="B88" s="1" t="s">
        <v>318</v>
      </c>
      <c r="C88" s="3">
        <f>IS!G106</f>
        <v>355.964</v>
      </c>
      <c r="D88" s="3">
        <f>IS!L106</f>
        <v>343.47500000000002</v>
      </c>
      <c r="E88" s="3">
        <f>IS!Q106</f>
        <v>346.16300000000001</v>
      </c>
      <c r="F88" s="3">
        <f>IS!V106</f>
        <v>345.28100000000001</v>
      </c>
      <c r="G88" s="3">
        <f>IS!AA106</f>
        <v>320.17099999999999</v>
      </c>
      <c r="H88" s="3">
        <f>IS!AF106</f>
        <v>294.98399999999998</v>
      </c>
      <c r="I88" s="3">
        <f>IS!AK106</f>
        <v>289.476</v>
      </c>
      <c r="J88" s="3">
        <f>IS!AP106</f>
        <v>254.86699999999999</v>
      </c>
      <c r="K88" s="3">
        <f>IS!AU106</f>
        <v>245.03299999999999</v>
      </c>
      <c r="L88" s="3">
        <f>IS!AZ106</f>
        <v>239.74</v>
      </c>
      <c r="M88" s="3">
        <f>IS!BE106</f>
        <v>238.25574999999998</v>
      </c>
      <c r="N88" s="3">
        <f>IS!BJ106</f>
        <v>237.17599999999999</v>
      </c>
      <c r="O88" s="3">
        <f>IS!BO106</f>
        <v>231.2</v>
      </c>
      <c r="P88" s="3">
        <f>IS!BT106</f>
        <v>218.8</v>
      </c>
      <c r="Q88" s="3">
        <f>IS!BY106</f>
        <v>212.97500000000002</v>
      </c>
      <c r="R88" s="3">
        <f>IS!CD106</f>
        <v>211.14822611163672</v>
      </c>
      <c r="S88" s="3">
        <f>IS!CI106</f>
        <v>204.7352414050311</v>
      </c>
      <c r="T88" s="3">
        <f>IS!CN106</f>
        <v>197.5346929559141</v>
      </c>
      <c r="U88" s="3">
        <f>IS!CS106</f>
        <v>190.36226695697295</v>
      </c>
      <c r="V88" s="3">
        <f>IS!CX106</f>
        <v>183.44338960335236</v>
      </c>
      <c r="W88" s="3">
        <f>IS!DC106</f>
        <v>176.85996328186076</v>
      </c>
      <c r="X88" s="3">
        <f>IS!DH106</f>
        <v>170.65573962076922</v>
      </c>
      <c r="Y88" s="3">
        <f>IS!DM106</f>
        <v>164.93904039282805</v>
      </c>
      <c r="Z88" s="3">
        <f>IS!DR106</f>
        <v>159.94746320505558</v>
      </c>
      <c r="AA88" s="3">
        <f>IS!DW106</f>
        <v>155.83039228989605</v>
      </c>
      <c r="AB88" s="3">
        <f>IS!EB106</f>
        <v>152.4654175919936</v>
      </c>
      <c r="AC88" s="3">
        <f>IS!EG106</f>
        <v>149.52184420860584</v>
      </c>
      <c r="AD88" s="3">
        <f>IS!EL106</f>
        <v>146.78551926224361</v>
      </c>
      <c r="AE88" s="3"/>
      <c r="AF88" s="3"/>
    </row>
    <row r="90" spans="2:32">
      <c r="B90" s="4" t="s">
        <v>319</v>
      </c>
    </row>
    <row r="91" spans="2:32" hidden="1" outlineLevel="1">
      <c r="B91" s="1" t="s">
        <v>320</v>
      </c>
      <c r="C91" s="3">
        <v>21.113</v>
      </c>
      <c r="D91" s="3">
        <v>43.523000000000003</v>
      </c>
      <c r="E91" s="3">
        <v>35.122999999999998</v>
      </c>
      <c r="F91" s="3">
        <v>31.306000000000001</v>
      </c>
      <c r="G91" s="3">
        <v>25.106000000000002</v>
      </c>
      <c r="H91" s="3">
        <v>4.5919999999999996</v>
      </c>
      <c r="I91" s="3">
        <f>+H91+H96-H92-H94</f>
        <v>5.5760000000000005</v>
      </c>
      <c r="J91" s="3">
        <f t="shared" ref="J91:P91" si="115">+I91+I96-I92-I94</f>
        <v>5.3840000000000003</v>
      </c>
      <c r="K91" s="3">
        <f t="shared" si="115"/>
        <v>4.2219999999999995</v>
      </c>
      <c r="L91" s="3">
        <v>2.9239999999999999</v>
      </c>
      <c r="M91" s="279">
        <v>2.1869999999999998</v>
      </c>
      <c r="N91" s="279">
        <v>1.66</v>
      </c>
      <c r="O91" s="279">
        <v>1.137</v>
      </c>
      <c r="P91" s="3">
        <f t="shared" si="115"/>
        <v>0.81000000000000016</v>
      </c>
      <c r="Q91" s="3">
        <f t="shared" ref="Q91:V91" si="116">+P91+P96-P92-P94</f>
        <v>0.53102902374670191</v>
      </c>
      <c r="R91" s="3">
        <f t="shared" si="116"/>
        <v>0.29303267637141678</v>
      </c>
      <c r="S91" s="3">
        <f t="shared" si="116"/>
        <v>8.9992696640522729E-2</v>
      </c>
      <c r="T91" s="3">
        <f t="shared" si="116"/>
        <v>-8.322522801995863E-2</v>
      </c>
      <c r="U91" s="3">
        <f t="shared" si="116"/>
        <v>-0.23100129391324531</v>
      </c>
      <c r="V91" s="3">
        <f t="shared" si="116"/>
        <v>-0.35707234397172205</v>
      </c>
      <c r="W91" s="3">
        <f t="shared" ref="W91:AD91" si="117">+V91+V96-V92-V94</f>
        <v>-0.46462636205151309</v>
      </c>
      <c r="X91" s="3">
        <f t="shared" si="117"/>
        <v>-0.55638308811782566</v>
      </c>
      <c r="Y91" s="3">
        <f t="shared" si="117"/>
        <v>-0.63466279285337812</v>
      </c>
      <c r="Z91" s="3">
        <f t="shared" si="117"/>
        <v>-0.7014449508071916</v>
      </c>
      <c r="AA91" s="3">
        <f t="shared" si="117"/>
        <v>-0.75841829576339126</v>
      </c>
      <c r="AB91" s="3">
        <f t="shared" si="117"/>
        <v>-0.80702352409014022</v>
      </c>
      <c r="AC91" s="3">
        <f t="shared" si="117"/>
        <v>-0.84848972591683025</v>
      </c>
      <c r="AD91" s="3">
        <f t="shared" si="117"/>
        <v>-0.88386546538199218</v>
      </c>
      <c r="AE91" s="3"/>
      <c r="AF91" s="3"/>
    </row>
    <row r="92" spans="2:32" hidden="1" outlineLevel="1">
      <c r="B92" s="1" t="s">
        <v>321</v>
      </c>
      <c r="C92" s="3">
        <v>0.93600000000000005</v>
      </c>
      <c r="D92" s="3">
        <v>3.1909999999999998</v>
      </c>
      <c r="E92" s="3">
        <v>5.7960000000000003</v>
      </c>
      <c r="F92" s="3">
        <v>3.403</v>
      </c>
      <c r="G92" s="3">
        <v>1.1519999999999999</v>
      </c>
      <c r="H92" s="3">
        <v>0.5</v>
      </c>
      <c r="I92" s="3">
        <v>0.44500000000000001</v>
      </c>
      <c r="J92" s="3">
        <v>0.4</v>
      </c>
      <c r="K92" s="3">
        <f t="shared" ref="K92:P92" si="118">J92</f>
        <v>0.4</v>
      </c>
      <c r="L92" s="3">
        <v>0.21</v>
      </c>
      <c r="M92" s="279">
        <v>0.104</v>
      </c>
      <c r="N92" s="279">
        <v>0.10199999999999999</v>
      </c>
      <c r="O92" s="279">
        <v>0.16</v>
      </c>
      <c r="P92" s="3">
        <f t="shared" si="118"/>
        <v>0.16</v>
      </c>
      <c r="Q92" s="3">
        <f>P92</f>
        <v>0.16</v>
      </c>
      <c r="R92" s="3">
        <f>Q92</f>
        <v>0.16</v>
      </c>
      <c r="S92" s="3">
        <f>R92</f>
        <v>0.16</v>
      </c>
      <c r="T92" s="3">
        <f>S92</f>
        <v>0.16</v>
      </c>
      <c r="U92" s="3">
        <f t="shared" ref="U92:AD92" si="119">T92</f>
        <v>0.16</v>
      </c>
      <c r="V92" s="3">
        <f t="shared" si="119"/>
        <v>0.16</v>
      </c>
      <c r="W92" s="3">
        <f t="shared" si="119"/>
        <v>0.16</v>
      </c>
      <c r="X92" s="3">
        <f t="shared" si="119"/>
        <v>0.16</v>
      </c>
      <c r="Y92" s="3">
        <f t="shared" si="119"/>
        <v>0.16</v>
      </c>
      <c r="Z92" s="3">
        <f t="shared" si="119"/>
        <v>0.16</v>
      </c>
      <c r="AA92" s="3">
        <f t="shared" si="119"/>
        <v>0.16</v>
      </c>
      <c r="AB92" s="3">
        <f t="shared" si="119"/>
        <v>0.16</v>
      </c>
      <c r="AC92" s="3">
        <f t="shared" si="119"/>
        <v>0.16</v>
      </c>
      <c r="AD92" s="3">
        <f t="shared" si="119"/>
        <v>0.16</v>
      </c>
      <c r="AE92" s="3"/>
      <c r="AF92" s="3"/>
    </row>
    <row r="93" spans="2:32" hidden="1" outlineLevel="1">
      <c r="B93" s="9" t="s">
        <v>300</v>
      </c>
      <c r="C93" s="71">
        <f>C92/C91</f>
        <v>4.4332875479562356E-2</v>
      </c>
      <c r="D93" s="71">
        <f t="shared" ref="D93:P93" si="120">D92/D91</f>
        <v>7.3317556234634554E-2</v>
      </c>
      <c r="E93" s="71">
        <f t="shared" si="120"/>
        <v>0.16502007231728499</v>
      </c>
      <c r="F93" s="71">
        <f t="shared" si="120"/>
        <v>0.10870120743627419</v>
      </c>
      <c r="G93" s="71">
        <f t="shared" si="120"/>
        <v>4.5885445710188794E-2</v>
      </c>
      <c r="H93" s="71">
        <f t="shared" si="120"/>
        <v>0.10888501742160279</v>
      </c>
      <c r="I93" s="71">
        <f t="shared" si="120"/>
        <v>7.980631276901004E-2</v>
      </c>
      <c r="J93" s="71">
        <f t="shared" si="120"/>
        <v>7.4294205052005943E-2</v>
      </c>
      <c r="K93" s="71">
        <f t="shared" si="120"/>
        <v>9.4741828517290405E-2</v>
      </c>
      <c r="L93" s="71">
        <f t="shared" si="120"/>
        <v>7.1819425444596435E-2</v>
      </c>
      <c r="M93" s="292">
        <f t="shared" si="120"/>
        <v>4.7553726566072249E-2</v>
      </c>
      <c r="N93" s="292">
        <f t="shared" si="120"/>
        <v>6.1445783132530123E-2</v>
      </c>
      <c r="O93" s="292">
        <f t="shared" si="120"/>
        <v>0.14072119613016712</v>
      </c>
      <c r="P93" s="71">
        <f t="shared" si="120"/>
        <v>0.19753086419753083</v>
      </c>
      <c r="Q93" s="71">
        <f>Q92/Q91</f>
        <v>0.30130179866838913</v>
      </c>
      <c r="R93" s="71">
        <f>R92/R91</f>
        <v>0.54601419193674217</v>
      </c>
      <c r="S93" s="71">
        <f>S92/S91</f>
        <v>1.7779220533764264</v>
      </c>
      <c r="T93" s="71">
        <f>T92/T91</f>
        <v>-1.9224939817723257</v>
      </c>
      <c r="U93" s="71">
        <f t="shared" ref="U93:AD93" si="121">U92/U91</f>
        <v>-0.69263681293529678</v>
      </c>
      <c r="V93" s="71">
        <f t="shared" si="121"/>
        <v>-0.44808846918895245</v>
      </c>
      <c r="W93" s="71">
        <f t="shared" si="121"/>
        <v>-0.34436272469245044</v>
      </c>
      <c r="X93" s="71">
        <f t="shared" si="121"/>
        <v>-0.28757164517933131</v>
      </c>
      <c r="Y93" s="71">
        <f t="shared" si="121"/>
        <v>-0.25210237909277239</v>
      </c>
      <c r="Z93" s="71">
        <f t="shared" si="121"/>
        <v>-0.22810057983292792</v>
      </c>
      <c r="AA93" s="71">
        <f t="shared" si="121"/>
        <v>-0.21096537477244121</v>
      </c>
      <c r="AB93" s="71">
        <f t="shared" si="121"/>
        <v>-0.1982594004064358</v>
      </c>
      <c r="AC93" s="71">
        <f t="shared" si="121"/>
        <v>-0.18857034459328662</v>
      </c>
      <c r="AD93" s="71">
        <f t="shared" si="121"/>
        <v>-0.18102302473244683</v>
      </c>
      <c r="AE93" s="71"/>
      <c r="AF93" s="71"/>
    </row>
    <row r="94" spans="2:32" hidden="1" outlineLevel="1">
      <c r="B94" s="1" t="s">
        <v>322</v>
      </c>
      <c r="C94" s="3">
        <v>2.254</v>
      </c>
      <c r="D94" s="3">
        <v>12.263</v>
      </c>
      <c r="E94" s="3">
        <v>4.0330000000000004</v>
      </c>
      <c r="F94" s="3">
        <v>4.7249999999999996</v>
      </c>
      <c r="G94" s="3">
        <v>10.523999999999999</v>
      </c>
      <c r="H94" s="3">
        <v>1.645</v>
      </c>
      <c r="I94" s="3">
        <v>2.4209999999999998</v>
      </c>
      <c r="J94" s="3">
        <v>2.8290000000000002</v>
      </c>
      <c r="K94" s="3">
        <f t="shared" ref="K94:P94" si="122">K95*K91</f>
        <v>3.1664999999999996</v>
      </c>
      <c r="L94" s="3">
        <v>1.54</v>
      </c>
      <c r="M94" s="279">
        <v>1.181</v>
      </c>
      <c r="N94" s="279">
        <v>0.88549999999999995</v>
      </c>
      <c r="O94" s="279">
        <v>0.626</v>
      </c>
      <c r="P94" s="3">
        <f t="shared" si="122"/>
        <v>0.44596306068601593</v>
      </c>
      <c r="Q94" s="3">
        <f>Q95*Q91</f>
        <v>0.29236954165825452</v>
      </c>
      <c r="R94" s="3">
        <f>R95*R91</f>
        <v>0.16133549288347132</v>
      </c>
      <c r="S94" s="3">
        <f>S95*S91</f>
        <v>4.9547430164439077E-2</v>
      </c>
      <c r="T94" s="3">
        <f>T95*T91</f>
        <v>-4.5821453597620139E-2</v>
      </c>
      <c r="U94" s="3">
        <f t="shared" ref="U94:AD94" si="123">U95*U91</f>
        <v>-0.12718277043948245</v>
      </c>
      <c r="V94" s="3">
        <f t="shared" si="123"/>
        <v>-0.19659392025180122</v>
      </c>
      <c r="W94" s="3">
        <f t="shared" si="123"/>
        <v>-0.25581011666160702</v>
      </c>
      <c r="X94" s="3">
        <f t="shared" si="123"/>
        <v>-0.30632877147032439</v>
      </c>
      <c r="Y94" s="3">
        <f t="shared" si="123"/>
        <v>-0.34942736000546587</v>
      </c>
      <c r="Z94" s="3">
        <f t="shared" si="123"/>
        <v>-0.38619572489472465</v>
      </c>
      <c r="AA94" s="3">
        <f t="shared" si="123"/>
        <v>-0.41756363513446165</v>
      </c>
      <c r="AB94" s="3">
        <f t="shared" si="123"/>
        <v>-0.44432429734426365</v>
      </c>
      <c r="AC94" s="3">
        <f t="shared" si="123"/>
        <v>-0.46715441374136829</v>
      </c>
      <c r="AD94" s="3">
        <f t="shared" si="123"/>
        <v>-0.48663129404496669</v>
      </c>
      <c r="AE94" s="3"/>
      <c r="AF94" s="3"/>
    </row>
    <row r="95" spans="2:32" hidden="1" outlineLevel="1">
      <c r="B95" s="9" t="s">
        <v>323</v>
      </c>
      <c r="C95" s="71"/>
      <c r="D95" s="71"/>
      <c r="E95" s="71"/>
      <c r="F95" s="71"/>
      <c r="G95" s="71"/>
      <c r="H95" s="71">
        <f>H94/H91</f>
        <v>0.35823170731707321</v>
      </c>
      <c r="I95" s="71">
        <f>I94/I91</f>
        <v>0.43418220946915342</v>
      </c>
      <c r="J95" s="71">
        <f>J94/J91</f>
        <v>0.52544576523031206</v>
      </c>
      <c r="K95" s="71">
        <v>0.75</v>
      </c>
      <c r="L95" s="71">
        <f>L94/L91</f>
        <v>0.52667578659370728</v>
      </c>
      <c r="M95" s="292">
        <f>M94/M91</f>
        <v>0.54000914494741659</v>
      </c>
      <c r="N95" s="292">
        <f>N94/N91</f>
        <v>0.53343373493975899</v>
      </c>
      <c r="O95" s="292">
        <f>O94/O91</f>
        <v>0.5505716798592788</v>
      </c>
      <c r="P95" s="71">
        <f t="shared" ref="P95:T95" si="124">O95</f>
        <v>0.5505716798592788</v>
      </c>
      <c r="Q95" s="71">
        <f t="shared" si="124"/>
        <v>0.5505716798592788</v>
      </c>
      <c r="R95" s="71">
        <f t="shared" si="124"/>
        <v>0.5505716798592788</v>
      </c>
      <c r="S95" s="71">
        <f t="shared" si="124"/>
        <v>0.5505716798592788</v>
      </c>
      <c r="T95" s="71">
        <f t="shared" si="124"/>
        <v>0.5505716798592788</v>
      </c>
      <c r="U95" s="71">
        <f t="shared" ref="U95" si="125">T95</f>
        <v>0.5505716798592788</v>
      </c>
      <c r="V95" s="71">
        <f t="shared" ref="V95" si="126">U95</f>
        <v>0.5505716798592788</v>
      </c>
      <c r="W95" s="71">
        <f t="shared" ref="W95" si="127">V95</f>
        <v>0.5505716798592788</v>
      </c>
      <c r="X95" s="71">
        <f t="shared" ref="X95" si="128">W95</f>
        <v>0.5505716798592788</v>
      </c>
      <c r="Y95" s="71">
        <f t="shared" ref="Y95" si="129">X95</f>
        <v>0.5505716798592788</v>
      </c>
      <c r="Z95" s="71">
        <f t="shared" ref="Z95" si="130">Y95</f>
        <v>0.5505716798592788</v>
      </c>
      <c r="AA95" s="71">
        <f t="shared" ref="AA95" si="131">Z95</f>
        <v>0.5505716798592788</v>
      </c>
      <c r="AB95" s="71">
        <f t="shared" ref="AB95" si="132">AA95</f>
        <v>0.5505716798592788</v>
      </c>
      <c r="AC95" s="71">
        <f t="shared" ref="AC95" si="133">AB95</f>
        <v>0.5505716798592788</v>
      </c>
      <c r="AD95" s="71">
        <f t="shared" ref="AD95" si="134">AC95</f>
        <v>0.5505716798592788</v>
      </c>
      <c r="AE95" s="71"/>
      <c r="AF95" s="71"/>
    </row>
    <row r="96" spans="2:32" hidden="1" outlineLevel="1">
      <c r="B96" s="1" t="s">
        <v>324</v>
      </c>
      <c r="C96" s="3">
        <f>4.872+20.728</f>
        <v>25.6</v>
      </c>
      <c r="D96" s="3">
        <v>7.0540000000000003</v>
      </c>
      <c r="E96" s="3">
        <v>6.0119999999999996</v>
      </c>
      <c r="F96" s="3">
        <v>1.9279999999999999</v>
      </c>
      <c r="G96" s="3">
        <v>1.47</v>
      </c>
      <c r="H96" s="3">
        <v>3.129</v>
      </c>
      <c r="I96" s="3">
        <v>2.6739999999999999</v>
      </c>
      <c r="J96" s="3">
        <v>2.0670000000000002</v>
      </c>
      <c r="K96" s="3">
        <f t="shared" ref="K96:P96" si="135">K97*K91</f>
        <v>3.1664999999999996</v>
      </c>
      <c r="L96" s="3">
        <v>1.0129999999999999</v>
      </c>
      <c r="M96" s="279">
        <v>0.75800000000000001</v>
      </c>
      <c r="N96" s="279">
        <v>0.46400000000000002</v>
      </c>
      <c r="O96" s="279">
        <v>0.45900000000000002</v>
      </c>
      <c r="P96" s="3">
        <f t="shared" si="135"/>
        <v>0.32699208443271777</v>
      </c>
      <c r="Q96" s="3">
        <f>Q97*Q91</f>
        <v>0.21437319428296939</v>
      </c>
      <c r="R96" s="3">
        <f>R97*R91</f>
        <v>0.11829551315257723</v>
      </c>
      <c r="S96" s="3">
        <f>S97*S91</f>
        <v>3.6329505503957728E-2</v>
      </c>
      <c r="T96" s="3">
        <f>T97*T91</f>
        <v>-3.3597519490906787E-2</v>
      </c>
      <c r="U96" s="3">
        <f t="shared" ref="U96:AD96" si="136">U97*U91</f>
        <v>-9.3253820497959189E-2</v>
      </c>
      <c r="V96" s="3">
        <f t="shared" si="136"/>
        <v>-0.14414793833159228</v>
      </c>
      <c r="W96" s="3">
        <f t="shared" si="136"/>
        <v>-0.18756684272791954</v>
      </c>
      <c r="X96" s="3">
        <f t="shared" si="136"/>
        <v>-0.22460847620587687</v>
      </c>
      <c r="Y96" s="3">
        <f t="shared" si="136"/>
        <v>-0.25620951795927932</v>
      </c>
      <c r="Z96" s="3">
        <f t="shared" si="136"/>
        <v>-0.28316906985092433</v>
      </c>
      <c r="AA96" s="3">
        <f t="shared" si="136"/>
        <v>-0.30616886346121075</v>
      </c>
      <c r="AB96" s="3">
        <f t="shared" si="136"/>
        <v>-0.32579049917095371</v>
      </c>
      <c r="AC96" s="3">
        <f t="shared" si="136"/>
        <v>-0.34253015320653046</v>
      </c>
      <c r="AD96" s="3">
        <f t="shared" si="136"/>
        <v>-0.35681112454734781</v>
      </c>
      <c r="AE96" s="3"/>
      <c r="AF96" s="3"/>
    </row>
    <row r="97" spans="2:32" hidden="1" outlineLevel="1">
      <c r="B97" s="9" t="s">
        <v>325</v>
      </c>
      <c r="C97" s="71">
        <f t="shared" ref="C97:J97" si="137">C96/C91</f>
        <v>1.2125230900393125</v>
      </c>
      <c r="D97" s="71">
        <f t="shared" si="137"/>
        <v>0.16207522459389287</v>
      </c>
      <c r="E97" s="71">
        <f t="shared" si="137"/>
        <v>0.17116988867693533</v>
      </c>
      <c r="F97" s="71">
        <f t="shared" si="137"/>
        <v>6.158563853574394E-2</v>
      </c>
      <c r="G97" s="71">
        <f t="shared" si="137"/>
        <v>5.8551740619772162E-2</v>
      </c>
      <c r="H97" s="71">
        <f t="shared" si="137"/>
        <v>0.68140243902439035</v>
      </c>
      <c r="I97" s="71">
        <f t="shared" si="137"/>
        <v>0.47955523672883782</v>
      </c>
      <c r="J97" s="71">
        <f t="shared" si="137"/>
        <v>0.38391530460624074</v>
      </c>
      <c r="K97" s="71">
        <v>0.75</v>
      </c>
      <c r="L97" s="71">
        <f>L96/L91</f>
        <v>0.34644322845417236</v>
      </c>
      <c r="M97" s="292">
        <f>M96/M91</f>
        <v>0.34659350708733427</v>
      </c>
      <c r="N97" s="292">
        <f>N96/N91</f>
        <v>0.27951807228915665</v>
      </c>
      <c r="O97" s="292">
        <f>O96/O91</f>
        <v>0.40369393139841692</v>
      </c>
      <c r="P97" s="71">
        <f t="shared" ref="P97:R97" si="138">O97</f>
        <v>0.40369393139841692</v>
      </c>
      <c r="Q97" s="71">
        <f t="shared" si="138"/>
        <v>0.40369393139841692</v>
      </c>
      <c r="R97" s="71">
        <f t="shared" si="138"/>
        <v>0.40369393139841692</v>
      </c>
      <c r="S97" s="71">
        <f>R97</f>
        <v>0.40369393139841692</v>
      </c>
      <c r="T97" s="71">
        <f>S97</f>
        <v>0.40369393139841692</v>
      </c>
      <c r="U97" s="71">
        <f t="shared" ref="U97:Z97" si="139">T97</f>
        <v>0.40369393139841692</v>
      </c>
      <c r="V97" s="71">
        <f t="shared" si="139"/>
        <v>0.40369393139841692</v>
      </c>
      <c r="W97" s="71">
        <f t="shared" si="139"/>
        <v>0.40369393139841692</v>
      </c>
      <c r="X97" s="71">
        <f t="shared" si="139"/>
        <v>0.40369393139841692</v>
      </c>
      <c r="Y97" s="71">
        <f t="shared" si="139"/>
        <v>0.40369393139841692</v>
      </c>
      <c r="Z97" s="71">
        <f t="shared" si="139"/>
        <v>0.40369393139841692</v>
      </c>
      <c r="AA97" s="71">
        <f>Z97</f>
        <v>0.40369393139841692</v>
      </c>
      <c r="AB97" s="71">
        <f t="shared" ref="AB97:AD97" si="140">AA97</f>
        <v>0.40369393139841692</v>
      </c>
      <c r="AC97" s="71">
        <f t="shared" si="140"/>
        <v>0.40369393139841692</v>
      </c>
      <c r="AD97" s="71">
        <f t="shared" si="140"/>
        <v>0.40369393139841692</v>
      </c>
      <c r="AE97" s="71"/>
      <c r="AF97" s="71"/>
    </row>
    <row r="98" spans="2:32" collapsed="1">
      <c r="O98" s="1">
        <f>SUM(O89:T89)</f>
        <v>0</v>
      </c>
      <c r="T98" s="64">
        <f>SUM(O23:T23)</f>
        <v>29351.680318000439</v>
      </c>
    </row>
    <row r="99" spans="2:32">
      <c r="O99" s="68">
        <v>0.11650000000000001</v>
      </c>
    </row>
    <row r="101" spans="2:32" customFormat="1"/>
    <row r="104" spans="2:32">
      <c r="O104" s="17">
        <f>IS!BO107</f>
        <v>231.19</v>
      </c>
      <c r="P104" s="17">
        <f>IS!BT107</f>
        <v>218.8</v>
      </c>
      <c r="Q104" s="17">
        <f>IS!BY107</f>
        <v>212.97500000000002</v>
      </c>
      <c r="R104" s="17">
        <f>IS!CD107</f>
        <v>211.14822611163672</v>
      </c>
      <c r="S104" s="17">
        <f>IS!CI107</f>
        <v>204.7352414050311</v>
      </c>
      <c r="T104" s="17">
        <f>IS!CN107</f>
        <v>197.5346929559141</v>
      </c>
      <c r="U104" s="17"/>
    </row>
    <row r="105" spans="2:32">
      <c r="O105" s="66">
        <f>O89/O104</f>
        <v>0</v>
      </c>
      <c r="P105" s="66">
        <f t="shared" ref="P105:T105" si="141">P89/P104</f>
        <v>0</v>
      </c>
      <c r="Q105" s="66">
        <f t="shared" si="141"/>
        <v>0</v>
      </c>
      <c r="R105" s="66">
        <f t="shared" si="141"/>
        <v>0</v>
      </c>
      <c r="S105" s="66">
        <f t="shared" si="141"/>
        <v>0</v>
      </c>
      <c r="T105" s="66">
        <f t="shared" si="141"/>
        <v>0</v>
      </c>
    </row>
    <row r="106" spans="2:32">
      <c r="O106" s="64">
        <f>O89+O53+O54</f>
        <v>-564.79999999999995</v>
      </c>
      <c r="P106" s="64">
        <f t="shared" ref="P106:T106" si="142">P89+P53+P54</f>
        <v>-603.5</v>
      </c>
      <c r="Q106" s="64">
        <f t="shared" si="142"/>
        <v>-872.69999999999993</v>
      </c>
      <c r="R106" s="64">
        <f t="shared" si="142"/>
        <v>-457.15234300705339</v>
      </c>
      <c r="S106" s="64">
        <f t="shared" si="142"/>
        <v>-476.62803643619463</v>
      </c>
      <c r="T106" s="64">
        <f t="shared" si="142"/>
        <v>-500.42188006126389</v>
      </c>
    </row>
    <row r="107" spans="2:32">
      <c r="O107" s="66">
        <f>O106/O104</f>
        <v>-2.4430122410138844</v>
      </c>
      <c r="P107" s="66">
        <f t="shared" ref="P107:T107" si="143">P106/P104</f>
        <v>-2.7582266910420472</v>
      </c>
      <c r="Q107" s="66">
        <f t="shared" si="143"/>
        <v>-4.097664045075712</v>
      </c>
      <c r="R107" s="66">
        <f t="shared" si="143"/>
        <v>-2.165077829095051</v>
      </c>
      <c r="S107" s="66">
        <f t="shared" si="143"/>
        <v>-2.3280214640393715</v>
      </c>
      <c r="T107" s="66">
        <f t="shared" si="143"/>
        <v>-2.5333366639193264</v>
      </c>
    </row>
    <row r="109" spans="2:32">
      <c r="O109" s="108"/>
      <c r="P109" s="108"/>
      <c r="Q109" s="108"/>
      <c r="R109" s="108"/>
      <c r="S109" s="108"/>
      <c r="T109" s="108"/>
    </row>
    <row r="110" spans="2:32">
      <c r="O110" s="108">
        <f>300/O107</f>
        <v>-122.79922096317281</v>
      </c>
      <c r="P110" s="108">
        <f t="shared" ref="P110:T110" si="144">300/P107</f>
        <v>-108.7655343827672</v>
      </c>
      <c r="Q110" s="108">
        <f t="shared" si="144"/>
        <v>-73.212444138879363</v>
      </c>
      <c r="R110" s="108">
        <f t="shared" si="144"/>
        <v>-138.56314815499846</v>
      </c>
      <c r="S110" s="108">
        <f t="shared" si="144"/>
        <v>-128.86479125474523</v>
      </c>
      <c r="T110" s="108">
        <f t="shared" si="144"/>
        <v>-118.42089694303395</v>
      </c>
    </row>
  </sheetData>
  <phoneticPr fontId="16" type="noConversion"/>
  <pageMargins left="0" right="0" top="0" bottom="0" header="0" footer="0"/>
  <pageSetup paperSize="5" scale="58"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Y90"/>
  <sheetViews>
    <sheetView zoomScale="85" zoomScaleNormal="85" workbookViewId="0">
      <pane xSplit="2" topLeftCell="P1" activePane="topRight" state="frozen"/>
      <selection pane="topRight" activeCell="AL2" sqref="AL2"/>
    </sheetView>
  </sheetViews>
  <sheetFormatPr defaultColWidth="0" defaultRowHeight="12.75" outlineLevelRow="1" outlineLevelCol="1"/>
  <cols>
    <col min="1" max="1" width="7.7109375" style="1" bestFit="1" customWidth="1"/>
    <col min="2" max="2" width="27.7109375" style="1" bestFit="1" customWidth="1"/>
    <col min="3" max="11" width="9.140625" style="1" hidden="1" customWidth="1" outlineLevel="1"/>
    <col min="12" max="12" width="9.140625" style="1" customWidth="1" collapsed="1"/>
    <col min="13" max="16" width="9.140625" style="1" hidden="1" customWidth="1" outlineLevel="1"/>
    <col min="17" max="17" width="9.140625" style="1" customWidth="1" collapsed="1"/>
    <col min="18" max="21" width="9.140625" style="1" hidden="1" customWidth="1" outlineLevel="1"/>
    <col min="22" max="22" width="9.140625" style="1" customWidth="1" collapsed="1"/>
    <col min="23" max="26" width="9.140625" style="1" hidden="1" customWidth="1" outlineLevel="1"/>
    <col min="27" max="27" width="9.140625" style="1" customWidth="1" collapsed="1"/>
    <col min="28" max="31" width="9.140625" style="1" hidden="1" customWidth="1" outlineLevel="1"/>
    <col min="32" max="32" width="9.140625" style="1" customWidth="1" collapsed="1"/>
    <col min="33" max="36" width="9.140625" style="1" hidden="1" customWidth="1" outlineLevel="1"/>
    <col min="37" max="37" width="9.140625" style="1" customWidth="1" collapsed="1"/>
    <col min="38" max="41" width="9.140625" style="1" hidden="1" customWidth="1" outlineLevel="1"/>
    <col min="42" max="42" width="9.140625" style="1" customWidth="1" collapsed="1"/>
    <col min="43" max="46" width="9.140625" style="1" hidden="1" customWidth="1" outlineLevel="1"/>
    <col min="47" max="47" width="9.140625" style="1" customWidth="1" collapsed="1"/>
    <col min="48" max="51" width="9.140625" style="1" hidden="1" customWidth="1" outlineLevel="1"/>
    <col min="52" max="52" width="9.140625" style="1" customWidth="1" collapsed="1"/>
    <col min="53" max="56" width="9.140625" style="1" hidden="1" customWidth="1" outlineLevel="1"/>
    <col min="57" max="57" width="9.140625" style="1" customWidth="1" collapsed="1"/>
    <col min="58" max="61" width="9.140625" style="1" hidden="1" customWidth="1" outlineLevel="1"/>
    <col min="62" max="62" width="9.140625" style="1" customWidth="1" collapsed="1"/>
    <col min="63" max="66" width="9.140625" style="1" hidden="1" customWidth="1" outlineLevel="1"/>
    <col min="67" max="67" width="9.140625" style="1" customWidth="1" collapsed="1"/>
    <col min="68" max="71" width="9.140625" style="1" hidden="1" customWidth="1" outlineLevel="1"/>
    <col min="72" max="72" width="9.140625" style="1" customWidth="1" collapsed="1"/>
    <col min="73" max="76" width="9.140625" style="1" hidden="1" customWidth="1" outlineLevel="1"/>
    <col min="77" max="77" width="9.140625" style="1" customWidth="1" collapsed="1"/>
    <col min="78" max="81" width="9.140625" style="1" hidden="1" customWidth="1" outlineLevel="1"/>
    <col min="82" max="82" width="9.140625" style="1" customWidth="1" collapsed="1"/>
    <col min="83" max="86" width="9.140625" style="1" hidden="1" customWidth="1" outlineLevel="1"/>
    <col min="87" max="87" width="9.140625" style="1" customWidth="1" collapsed="1"/>
    <col min="88" max="91" width="9.140625" style="1" hidden="1" customWidth="1" outlineLevel="1"/>
    <col min="92" max="92" width="9.140625" style="1" customWidth="1" collapsed="1"/>
    <col min="93" max="96" width="9.140625" style="1" hidden="1" customWidth="1" outlineLevel="1"/>
    <col min="97" max="97" width="9.140625" style="1" customWidth="1" collapsed="1"/>
    <col min="98" max="101" width="9.140625" style="1" hidden="1" customWidth="1" outlineLevel="1"/>
    <col min="102" max="102" width="9.140625" style="1" customWidth="1" collapsed="1"/>
    <col min="103" max="177" width="9.140625" style="1" customWidth="1"/>
    <col min="178" max="178" width="0.85546875" style="1" customWidth="1"/>
    <col min="179" max="182" width="0" style="1" hidden="1" customWidth="1"/>
    <col min="183" max="183" width="9.140625" style="1" customWidth="1"/>
    <col min="184" max="184" width="0.85546875" style="1" customWidth="1"/>
    <col min="185" max="188" width="0" style="1" hidden="1" customWidth="1"/>
    <col min="189" max="189" width="9.140625" style="1" customWidth="1"/>
    <col min="190" max="190" width="0.85546875" style="1" customWidth="1"/>
    <col min="191" max="194" width="0" style="1" hidden="1" customWidth="1"/>
    <col min="195" max="195" width="9.140625" style="1" customWidth="1"/>
    <col min="196" max="196" width="0.85546875" style="1" customWidth="1"/>
    <col min="197" max="16384" width="0" style="1" hidden="1"/>
  </cols>
  <sheetData>
    <row r="1" spans="2:181">
      <c r="C1" s="61" t="s">
        <v>0</v>
      </c>
      <c r="D1" s="61" t="s">
        <v>1</v>
      </c>
      <c r="E1" s="61" t="s">
        <v>2</v>
      </c>
      <c r="F1" s="61" t="s">
        <v>3</v>
      </c>
      <c r="G1" s="61" t="s">
        <v>4</v>
      </c>
      <c r="H1" s="61" t="s">
        <v>5</v>
      </c>
      <c r="I1" s="61" t="s">
        <v>6</v>
      </c>
      <c r="J1" s="61" t="s">
        <v>7</v>
      </c>
      <c r="K1" s="61" t="s">
        <v>8</v>
      </c>
      <c r="L1" s="74" t="s">
        <v>9</v>
      </c>
      <c r="M1" s="561" t="s">
        <v>10</v>
      </c>
      <c r="N1" s="561"/>
      <c r="O1" s="561"/>
      <c r="P1" s="561"/>
      <c r="Q1" s="561"/>
      <c r="R1" s="561" t="s">
        <v>11</v>
      </c>
      <c r="S1" s="561"/>
      <c r="T1" s="561"/>
      <c r="U1" s="561"/>
      <c r="V1" s="561"/>
      <c r="W1" s="561" t="s">
        <v>12</v>
      </c>
      <c r="X1" s="561"/>
      <c r="Y1" s="561"/>
      <c r="Z1" s="561"/>
      <c r="AA1" s="561"/>
      <c r="AB1" s="561" t="s">
        <v>13</v>
      </c>
      <c r="AC1" s="561"/>
      <c r="AD1" s="561"/>
      <c r="AE1" s="561"/>
      <c r="AF1" s="561"/>
      <c r="AG1" s="561" t="s">
        <v>501</v>
      </c>
      <c r="AH1" s="561"/>
      <c r="AI1" s="561"/>
      <c r="AJ1" s="561"/>
      <c r="AK1" s="561"/>
      <c r="AL1" s="561" t="s">
        <v>506</v>
      </c>
      <c r="AM1" s="561"/>
      <c r="AN1" s="561"/>
      <c r="AO1" s="561"/>
      <c r="AP1" s="561"/>
      <c r="AQ1" s="561" t="s">
        <v>511</v>
      </c>
      <c r="AR1" s="561"/>
      <c r="AS1" s="561"/>
      <c r="AT1" s="561"/>
      <c r="AU1" s="561"/>
      <c r="AV1" s="561" t="s">
        <v>516</v>
      </c>
      <c r="AW1" s="561"/>
      <c r="AX1" s="561"/>
      <c r="AY1" s="561"/>
      <c r="AZ1" s="561"/>
      <c r="BA1" s="561" t="s">
        <v>654</v>
      </c>
      <c r="BB1" s="561"/>
      <c r="BC1" s="561"/>
      <c r="BD1" s="561"/>
      <c r="BE1" s="561"/>
      <c r="BF1" s="561" t="s">
        <v>655</v>
      </c>
      <c r="BG1" s="561"/>
      <c r="BH1" s="561"/>
      <c r="BI1" s="561"/>
      <c r="BJ1" s="561"/>
      <c r="BK1" s="561" t="s">
        <v>656</v>
      </c>
      <c r="BL1" s="561"/>
      <c r="BM1" s="561"/>
      <c r="BN1" s="561"/>
      <c r="BO1" s="561"/>
      <c r="BP1" s="561" t="s">
        <v>657</v>
      </c>
      <c r="BQ1" s="561"/>
      <c r="BR1" s="561"/>
      <c r="BS1" s="561"/>
      <c r="BT1" s="561"/>
      <c r="BU1" s="561" t="s">
        <v>658</v>
      </c>
      <c r="BV1" s="561"/>
      <c r="BW1" s="561"/>
      <c r="BX1" s="561"/>
      <c r="BY1" s="561"/>
      <c r="BZ1" s="561" t="s">
        <v>659</v>
      </c>
      <c r="CA1" s="561"/>
      <c r="CB1" s="561"/>
      <c r="CC1" s="561"/>
      <c r="CD1" s="561"/>
      <c r="CE1" s="561" t="s">
        <v>660</v>
      </c>
      <c r="CF1" s="561"/>
      <c r="CG1" s="561"/>
      <c r="CH1" s="561"/>
      <c r="CI1" s="561"/>
      <c r="CJ1" s="561" t="s">
        <v>661</v>
      </c>
      <c r="CK1" s="561"/>
      <c r="CL1" s="561"/>
      <c r="CM1" s="561"/>
      <c r="CN1" s="561"/>
      <c r="CO1" s="561" t="s">
        <v>662</v>
      </c>
      <c r="CP1" s="561"/>
      <c r="CQ1" s="561"/>
      <c r="CR1" s="561"/>
      <c r="CS1" s="561"/>
      <c r="CT1" s="561" t="s">
        <v>663</v>
      </c>
      <c r="CU1" s="561"/>
      <c r="CV1" s="561"/>
      <c r="CW1" s="561"/>
      <c r="CX1" s="561"/>
      <c r="CY1" s="561" t="s">
        <v>730</v>
      </c>
      <c r="CZ1" s="561"/>
      <c r="DA1" s="561"/>
      <c r="DB1" s="561"/>
      <c r="DC1" s="561"/>
      <c r="DD1" s="561" t="s">
        <v>735</v>
      </c>
      <c r="DE1" s="561"/>
      <c r="DF1" s="561"/>
      <c r="DG1" s="561"/>
      <c r="DH1" s="561"/>
      <c r="DI1" s="561" t="s">
        <v>740</v>
      </c>
      <c r="DJ1" s="561"/>
      <c r="DK1" s="561"/>
      <c r="DL1" s="561"/>
      <c r="DM1" s="561"/>
      <c r="DN1" s="561" t="s">
        <v>745</v>
      </c>
      <c r="DO1" s="561"/>
      <c r="DP1" s="561"/>
      <c r="DQ1" s="561"/>
      <c r="DR1" s="561"/>
      <c r="DS1" s="561" t="s">
        <v>750</v>
      </c>
      <c r="DT1" s="561"/>
      <c r="DU1" s="561"/>
      <c r="DV1" s="561"/>
      <c r="DW1" s="561"/>
      <c r="DX1" s="561" t="s">
        <v>755</v>
      </c>
      <c r="DY1" s="561"/>
      <c r="DZ1" s="561"/>
      <c r="EA1" s="561"/>
      <c r="EB1" s="561"/>
      <c r="EC1" s="561" t="s">
        <v>760</v>
      </c>
      <c r="ED1" s="561"/>
      <c r="EE1" s="561"/>
      <c r="EF1" s="561"/>
      <c r="EG1" s="561"/>
      <c r="EH1" s="561" t="s">
        <v>766</v>
      </c>
      <c r="EI1" s="561"/>
      <c r="EJ1" s="561"/>
      <c r="EK1" s="561"/>
      <c r="EL1" s="561"/>
      <c r="EM1" s="561" t="s">
        <v>770</v>
      </c>
      <c r="EN1" s="561"/>
      <c r="EO1" s="561"/>
      <c r="EP1" s="561"/>
      <c r="EQ1" s="561"/>
      <c r="ER1" s="561" t="s">
        <v>775</v>
      </c>
      <c r="ES1" s="561"/>
      <c r="ET1" s="561"/>
      <c r="EU1" s="561"/>
      <c r="EV1" s="561"/>
      <c r="EW1" s="561" t="s">
        <v>780</v>
      </c>
      <c r="EX1" s="561"/>
      <c r="EY1" s="561"/>
      <c r="EZ1" s="561"/>
      <c r="FA1" s="561"/>
      <c r="FB1" s="561" t="s">
        <v>785</v>
      </c>
      <c r="FC1" s="561"/>
      <c r="FD1" s="561"/>
      <c r="FE1" s="561"/>
      <c r="FF1" s="561"/>
      <c r="FG1" s="561" t="s">
        <v>790</v>
      </c>
      <c r="FH1" s="561"/>
      <c r="FI1" s="561"/>
      <c r="FJ1" s="561"/>
      <c r="FK1" s="561"/>
      <c r="FL1" s="561" t="s">
        <v>795</v>
      </c>
      <c r="FM1" s="561"/>
      <c r="FN1" s="561"/>
      <c r="FO1" s="561"/>
      <c r="FP1" s="561"/>
      <c r="FQ1" s="561" t="s">
        <v>800</v>
      </c>
      <c r="FR1" s="561"/>
      <c r="FS1" s="561"/>
      <c r="FT1" s="561"/>
      <c r="FU1" s="561"/>
      <c r="FV1" s="561"/>
      <c r="FW1" s="561"/>
      <c r="FX1" s="561"/>
      <c r="FY1" s="561"/>
    </row>
    <row r="2" spans="2:181">
      <c r="M2" s="7" t="s">
        <v>54</v>
      </c>
      <c r="N2" s="7" t="s">
        <v>55</v>
      </c>
      <c r="O2" s="7" t="s">
        <v>56</v>
      </c>
      <c r="P2" s="7" t="s">
        <v>57</v>
      </c>
      <c r="R2" s="7" t="s">
        <v>58</v>
      </c>
      <c r="S2" s="7" t="s">
        <v>59</v>
      </c>
      <c r="T2" s="7" t="s">
        <v>60</v>
      </c>
      <c r="U2" s="7" t="s">
        <v>61</v>
      </c>
      <c r="W2" s="7" t="s">
        <v>62</v>
      </c>
      <c r="X2" s="7" t="s">
        <v>63</v>
      </c>
      <c r="Y2" s="7" t="s">
        <v>64</v>
      </c>
      <c r="Z2" s="7" t="s">
        <v>65</v>
      </c>
      <c r="AB2" s="7" t="s">
        <v>66</v>
      </c>
      <c r="AC2" s="7" t="s">
        <v>67</v>
      </c>
      <c r="AD2" s="7" t="s">
        <v>68</v>
      </c>
      <c r="AE2" s="7" t="s">
        <v>69</v>
      </c>
      <c r="AG2" s="7" t="s">
        <v>502</v>
      </c>
      <c r="AH2" s="7" t="s">
        <v>503</v>
      </c>
      <c r="AI2" s="7" t="s">
        <v>504</v>
      </c>
      <c r="AJ2" s="7" t="s">
        <v>505</v>
      </c>
      <c r="AL2" s="7" t="s">
        <v>507</v>
      </c>
      <c r="AM2" s="7" t="s">
        <v>508</v>
      </c>
      <c r="AN2" s="7" t="s">
        <v>509</v>
      </c>
      <c r="AO2" s="7" t="s">
        <v>510</v>
      </c>
      <c r="AQ2" s="7" t="s">
        <v>512</v>
      </c>
      <c r="AR2" s="7" t="s">
        <v>513</v>
      </c>
      <c r="AS2" s="7" t="s">
        <v>514</v>
      </c>
      <c r="AT2" s="7" t="s">
        <v>515</v>
      </c>
      <c r="AV2" s="7" t="s">
        <v>517</v>
      </c>
      <c r="AW2" s="7" t="s">
        <v>518</v>
      </c>
      <c r="AX2" s="7" t="s">
        <v>519</v>
      </c>
      <c r="AY2" s="7" t="s">
        <v>520</v>
      </c>
      <c r="BA2" s="7" t="s">
        <v>664</v>
      </c>
      <c r="BB2" s="7" t="s">
        <v>665</v>
      </c>
      <c r="BC2" s="7" t="s">
        <v>666</v>
      </c>
      <c r="BD2" s="7" t="s">
        <v>667</v>
      </c>
      <c r="BF2" s="7" t="s">
        <v>668</v>
      </c>
      <c r="BG2" s="7" t="s">
        <v>669</v>
      </c>
      <c r="BH2" s="7" t="s">
        <v>670</v>
      </c>
      <c r="BI2" s="7" t="s">
        <v>671</v>
      </c>
      <c r="BK2" s="7" t="s">
        <v>672</v>
      </c>
      <c r="BL2" s="7" t="s">
        <v>673</v>
      </c>
      <c r="BM2" s="7" t="s">
        <v>674</v>
      </c>
      <c r="BN2" s="7" t="s">
        <v>675</v>
      </c>
      <c r="BP2" s="7" t="s">
        <v>676</v>
      </c>
      <c r="BQ2" s="7" t="s">
        <v>677</v>
      </c>
      <c r="BR2" s="7" t="s">
        <v>678</v>
      </c>
      <c r="BS2" s="7" t="s">
        <v>679</v>
      </c>
      <c r="BU2" s="7" t="s">
        <v>680</v>
      </c>
      <c r="BV2" s="7" t="s">
        <v>681</v>
      </c>
      <c r="BW2" s="7" t="s">
        <v>682</v>
      </c>
      <c r="BX2" s="7" t="s">
        <v>683</v>
      </c>
      <c r="BZ2" s="7" t="s">
        <v>684</v>
      </c>
      <c r="CA2" s="7" t="s">
        <v>685</v>
      </c>
      <c r="CB2" s="7" t="s">
        <v>686</v>
      </c>
      <c r="CC2" s="7" t="s">
        <v>687</v>
      </c>
      <c r="CE2" s="7" t="s">
        <v>688</v>
      </c>
      <c r="CF2" s="7" t="s">
        <v>689</v>
      </c>
      <c r="CG2" s="7" t="s">
        <v>690</v>
      </c>
      <c r="CH2" s="7" t="s">
        <v>691</v>
      </c>
      <c r="CJ2" s="7" t="s">
        <v>692</v>
      </c>
      <c r="CK2" s="7" t="s">
        <v>693</v>
      </c>
      <c r="CL2" s="7" t="s">
        <v>694</v>
      </c>
      <c r="CM2" s="7" t="s">
        <v>695</v>
      </c>
      <c r="CO2" s="7" t="s">
        <v>696</v>
      </c>
      <c r="CP2" s="7" t="s">
        <v>697</v>
      </c>
      <c r="CQ2" s="7" t="s">
        <v>698</v>
      </c>
      <c r="CR2" s="7" t="s">
        <v>699</v>
      </c>
      <c r="CT2" s="7" t="s">
        <v>700</v>
      </c>
      <c r="CU2" s="7" t="s">
        <v>701</v>
      </c>
      <c r="CV2" s="7" t="s">
        <v>702</v>
      </c>
      <c r="CW2" s="7" t="s">
        <v>703</v>
      </c>
      <c r="CY2" s="7" t="s">
        <v>731</v>
      </c>
      <c r="CZ2" s="7" t="s">
        <v>732</v>
      </c>
      <c r="DA2" s="7" t="s">
        <v>733</v>
      </c>
      <c r="DB2" s="7" t="s">
        <v>734</v>
      </c>
      <c r="DD2" s="7" t="s">
        <v>736</v>
      </c>
      <c r="DE2" s="7" t="s">
        <v>737</v>
      </c>
      <c r="DF2" s="7" t="s">
        <v>738</v>
      </c>
      <c r="DG2" s="7" t="s">
        <v>739</v>
      </c>
      <c r="DI2" s="7" t="s">
        <v>741</v>
      </c>
      <c r="DJ2" s="7" t="s">
        <v>742</v>
      </c>
      <c r="DK2" s="7" t="s">
        <v>743</v>
      </c>
      <c r="DL2" s="7" t="s">
        <v>744</v>
      </c>
      <c r="DN2" s="7" t="s">
        <v>746</v>
      </c>
      <c r="DO2" s="7" t="s">
        <v>747</v>
      </c>
      <c r="DP2" s="7" t="s">
        <v>748</v>
      </c>
      <c r="DQ2" s="7" t="s">
        <v>749</v>
      </c>
      <c r="DS2" s="7" t="s">
        <v>751</v>
      </c>
      <c r="DT2" s="7" t="s">
        <v>752</v>
      </c>
      <c r="DU2" s="7" t="s">
        <v>753</v>
      </c>
      <c r="DV2" s="7" t="s">
        <v>754</v>
      </c>
      <c r="DX2" s="7" t="s">
        <v>756</v>
      </c>
      <c r="DY2" s="7" t="s">
        <v>757</v>
      </c>
      <c r="DZ2" s="7" t="s">
        <v>758</v>
      </c>
      <c r="EA2" s="7" t="s">
        <v>759</v>
      </c>
      <c r="EC2" s="7" t="s">
        <v>761</v>
      </c>
      <c r="ED2" s="7" t="s">
        <v>762</v>
      </c>
      <c r="EE2" s="7" t="s">
        <v>763</v>
      </c>
      <c r="EF2" s="7" t="s">
        <v>765</v>
      </c>
      <c r="EH2" s="7" t="s">
        <v>767</v>
      </c>
      <c r="EI2" s="7" t="s">
        <v>768</v>
      </c>
      <c r="EJ2" s="7" t="s">
        <v>769</v>
      </c>
      <c r="EK2" s="7" t="s">
        <v>764</v>
      </c>
      <c r="EM2" s="7" t="s">
        <v>771</v>
      </c>
      <c r="EN2" s="7" t="s">
        <v>772</v>
      </c>
      <c r="EO2" s="7" t="s">
        <v>773</v>
      </c>
      <c r="EP2" s="7" t="s">
        <v>774</v>
      </c>
      <c r="ER2" s="7" t="s">
        <v>776</v>
      </c>
      <c r="ES2" s="7" t="s">
        <v>777</v>
      </c>
      <c r="ET2" s="7" t="s">
        <v>778</v>
      </c>
      <c r="EU2" s="7" t="s">
        <v>779</v>
      </c>
      <c r="EW2" s="7" t="s">
        <v>781</v>
      </c>
      <c r="EX2" s="7" t="s">
        <v>782</v>
      </c>
      <c r="EY2" s="7" t="s">
        <v>783</v>
      </c>
      <c r="EZ2" s="7" t="s">
        <v>784</v>
      </c>
      <c r="FB2" s="7" t="s">
        <v>786</v>
      </c>
      <c r="FC2" s="7" t="s">
        <v>787</v>
      </c>
      <c r="FD2" s="7" t="s">
        <v>788</v>
      </c>
      <c r="FE2" s="7" t="s">
        <v>789</v>
      </c>
      <c r="FG2" s="7" t="s">
        <v>791</v>
      </c>
      <c r="FH2" s="7" t="s">
        <v>792</v>
      </c>
      <c r="FI2" s="7" t="s">
        <v>793</v>
      </c>
      <c r="FJ2" s="7" t="s">
        <v>794</v>
      </c>
      <c r="FL2" s="7" t="s">
        <v>796</v>
      </c>
      <c r="FM2" s="7" t="s">
        <v>797</v>
      </c>
      <c r="FN2" s="7" t="s">
        <v>798</v>
      </c>
      <c r="FO2" s="7" t="s">
        <v>799</v>
      </c>
      <c r="FQ2" s="7" t="s">
        <v>801</v>
      </c>
      <c r="FR2" s="7" t="s">
        <v>802</v>
      </c>
      <c r="FS2" s="7" t="s">
        <v>803</v>
      </c>
      <c r="FT2" s="7" t="s">
        <v>804</v>
      </c>
      <c r="FV2" s="7"/>
      <c r="FW2" s="7"/>
      <c r="FX2" s="7"/>
    </row>
    <row r="3" spans="2:181" hidden="1" outlineLevel="1">
      <c r="B3" s="1" t="s">
        <v>457</v>
      </c>
      <c r="M3" s="7"/>
      <c r="N3" s="7"/>
      <c r="O3" s="7"/>
      <c r="P3" s="7"/>
      <c r="R3" s="7"/>
      <c r="S3" s="7"/>
      <c r="T3" s="7"/>
      <c r="U3" s="7"/>
      <c r="W3" s="7"/>
      <c r="X3" s="7"/>
      <c r="Y3" s="7"/>
      <c r="Z3" s="7"/>
      <c r="AB3" s="7"/>
      <c r="AC3" s="7"/>
      <c r="AD3" s="7"/>
      <c r="AE3" s="7"/>
      <c r="AG3" s="7"/>
      <c r="AH3" s="7"/>
      <c r="AI3" s="7"/>
      <c r="AJ3" s="7"/>
      <c r="AL3" s="7"/>
      <c r="AM3" s="7"/>
      <c r="AN3" s="7"/>
      <c r="AO3" s="7"/>
      <c r="AQ3" s="7"/>
      <c r="AR3" s="7"/>
      <c r="AS3" s="7"/>
      <c r="AT3" s="7"/>
      <c r="AV3" s="7"/>
      <c r="AW3" s="7"/>
      <c r="AX3" s="7"/>
      <c r="AY3" s="7"/>
      <c r="BA3" s="7"/>
      <c r="BB3" s="7"/>
      <c r="BC3" s="7"/>
      <c r="BD3" s="7"/>
      <c r="BF3" s="7"/>
      <c r="BG3" s="7"/>
      <c r="BH3" s="7"/>
      <c r="BI3" s="7"/>
      <c r="BK3" s="7"/>
      <c r="BL3" s="7"/>
      <c r="BM3" s="7"/>
      <c r="BN3" s="7"/>
      <c r="BP3" s="7"/>
      <c r="BQ3" s="7"/>
      <c r="BR3" s="7"/>
      <c r="BS3" s="7"/>
      <c r="BU3" s="7"/>
      <c r="BV3" s="7"/>
      <c r="BW3" s="7"/>
      <c r="BX3" s="7"/>
      <c r="BZ3" s="7"/>
      <c r="CA3" s="7"/>
      <c r="CB3" s="7"/>
      <c r="CC3" s="7"/>
      <c r="CE3" s="7"/>
      <c r="CF3" s="7"/>
      <c r="CG3" s="7"/>
      <c r="CH3" s="7"/>
      <c r="CJ3" s="7"/>
      <c r="CK3" s="7"/>
      <c r="CL3" s="7"/>
      <c r="CM3" s="7"/>
      <c r="CO3" s="7"/>
      <c r="CP3" s="7"/>
      <c r="CQ3" s="7"/>
      <c r="CR3" s="7"/>
      <c r="CT3" s="7"/>
      <c r="CU3" s="7"/>
      <c r="CV3" s="7"/>
      <c r="CW3" s="7"/>
    </row>
    <row r="4" spans="2:181" hidden="1" outlineLevel="1">
      <c r="M4" s="7"/>
      <c r="N4" s="7"/>
      <c r="O4" s="7"/>
      <c r="P4" s="7"/>
      <c r="R4" s="7"/>
      <c r="S4" s="7"/>
      <c r="T4" s="7"/>
      <c r="U4" s="7"/>
      <c r="W4" s="7"/>
      <c r="X4" s="7"/>
      <c r="Y4" s="7"/>
      <c r="Z4" s="7"/>
      <c r="AB4" s="7"/>
      <c r="AC4" s="7"/>
      <c r="AD4" s="7"/>
      <c r="AE4" s="7"/>
      <c r="AG4" s="7"/>
      <c r="AH4" s="7"/>
      <c r="AI4" s="7"/>
      <c r="AJ4" s="7"/>
      <c r="AL4" s="7"/>
      <c r="AM4" s="7"/>
      <c r="AN4" s="7"/>
      <c r="AO4" s="7"/>
      <c r="AQ4" s="7"/>
      <c r="AR4" s="7"/>
      <c r="AS4" s="7"/>
      <c r="AT4" s="7"/>
      <c r="AV4" s="7"/>
      <c r="AW4" s="7"/>
      <c r="AX4" s="7"/>
      <c r="AY4" s="7"/>
      <c r="BA4" s="7"/>
      <c r="BB4" s="7"/>
      <c r="BC4" s="7"/>
      <c r="BD4" s="7"/>
      <c r="BF4" s="7"/>
      <c r="BG4" s="7"/>
      <c r="BH4" s="7"/>
      <c r="BI4" s="7"/>
      <c r="BK4" s="7"/>
      <c r="BL4" s="7"/>
      <c r="BM4" s="7"/>
      <c r="BN4" s="7"/>
      <c r="BP4" s="7"/>
      <c r="BQ4" s="7"/>
      <c r="BR4" s="7"/>
      <c r="BS4" s="7"/>
      <c r="BU4" s="7"/>
      <c r="BV4" s="7"/>
      <c r="BW4" s="7"/>
      <c r="BX4" s="7"/>
      <c r="BZ4" s="7"/>
      <c r="CA4" s="7"/>
      <c r="CB4" s="7"/>
      <c r="CC4" s="7"/>
      <c r="CE4" s="7"/>
      <c r="CF4" s="7"/>
      <c r="CG4" s="7"/>
      <c r="CH4" s="7"/>
      <c r="CJ4" s="7"/>
      <c r="CK4" s="7"/>
      <c r="CL4" s="7"/>
      <c r="CM4" s="7"/>
      <c r="CO4" s="7"/>
      <c r="CP4" s="7"/>
      <c r="CQ4" s="7"/>
      <c r="CR4" s="7"/>
      <c r="CT4" s="7"/>
      <c r="CU4" s="7"/>
      <c r="CV4" s="7"/>
      <c r="CW4" s="7"/>
    </row>
    <row r="5" spans="2:181" s="3" customFormat="1" hidden="1" outlineLevel="1">
      <c r="B5" s="3" t="s">
        <v>458</v>
      </c>
      <c r="C5" s="3">
        <v>735.49800000000005</v>
      </c>
      <c r="D5" s="3">
        <v>748.43</v>
      </c>
      <c r="E5" s="3">
        <v>6.4279999999999999</v>
      </c>
      <c r="F5" s="3">
        <v>6.5</v>
      </c>
    </row>
    <row r="6" spans="2:181" s="5" customFormat="1" hidden="1" outlineLevel="1">
      <c r="B6" s="5" t="s">
        <v>459</v>
      </c>
      <c r="C6" s="5">
        <v>1.7500000000000002E-2</v>
      </c>
      <c r="D6" s="5">
        <v>1.7500000000000002E-2</v>
      </c>
      <c r="E6" s="5">
        <v>1.7500000000000002E-2</v>
      </c>
      <c r="F6" s="5">
        <v>1.7500000000000002E-2</v>
      </c>
    </row>
    <row r="7" spans="2:181" s="3" customFormat="1" hidden="1" outlineLevel="1">
      <c r="B7" s="3" t="s">
        <v>116</v>
      </c>
      <c r="D7" s="3">
        <f>D6*C5</f>
        <v>12.871215000000001</v>
      </c>
      <c r="E7" s="3">
        <f>E6*D5</f>
        <v>13.097525000000001</v>
      </c>
      <c r="F7" s="3">
        <f>F6*E5</f>
        <v>0.11249000000000001</v>
      </c>
    </row>
    <row r="8" spans="2:181" hidden="1" outlineLevel="1">
      <c r="B8" s="1" t="s">
        <v>460</v>
      </c>
      <c r="D8" s="3"/>
      <c r="E8" s="3"/>
      <c r="F8" s="3"/>
      <c r="G8" s="3"/>
      <c r="H8" s="3"/>
      <c r="I8" s="3"/>
      <c r="J8" s="3"/>
      <c r="K8" s="3"/>
      <c r="L8" s="3"/>
      <c r="Q8" s="3"/>
      <c r="V8" s="3"/>
      <c r="AA8" s="3"/>
      <c r="AF8" s="3"/>
      <c r="AK8" s="3"/>
      <c r="AP8" s="3"/>
      <c r="AU8" s="3"/>
      <c r="AZ8" s="3"/>
      <c r="BE8" s="3"/>
      <c r="BJ8" s="3"/>
      <c r="BO8" s="3"/>
      <c r="BT8" s="3"/>
      <c r="BY8" s="3"/>
      <c r="CD8" s="3"/>
      <c r="CI8" s="3"/>
      <c r="CN8" s="3"/>
      <c r="CS8" s="3"/>
      <c r="CX8" s="3"/>
    </row>
    <row r="9" spans="2:181" hidden="1" outlineLevel="1">
      <c r="B9" s="1" t="s">
        <v>461</v>
      </c>
      <c r="D9" s="3">
        <f>D7-D8</f>
        <v>12.871215000000001</v>
      </c>
      <c r="E9" s="3">
        <f>E7-E8</f>
        <v>13.097525000000001</v>
      </c>
      <c r="F9" s="3">
        <f>F7-F8</f>
        <v>0.11249000000000001</v>
      </c>
      <c r="G9" s="3"/>
      <c r="H9" s="3"/>
      <c r="I9" s="3"/>
      <c r="J9" s="3"/>
      <c r="K9" s="3"/>
      <c r="L9" s="3"/>
      <c r="Q9" s="3"/>
      <c r="V9" s="3"/>
      <c r="AA9" s="3"/>
      <c r="AF9" s="3"/>
      <c r="AK9" s="3"/>
      <c r="AP9" s="3"/>
      <c r="AU9" s="3"/>
      <c r="AZ9" s="3"/>
      <c r="BE9" s="3"/>
      <c r="BJ9" s="3"/>
      <c r="BO9" s="3"/>
      <c r="BT9" s="3"/>
      <c r="BY9" s="3"/>
      <c r="CD9" s="3"/>
      <c r="CI9" s="3"/>
      <c r="CN9" s="3"/>
      <c r="CS9" s="3"/>
      <c r="CX9" s="3"/>
    </row>
    <row r="10" spans="2:181" hidden="1" outlineLevel="1">
      <c r="B10" s="1" t="s">
        <v>462</v>
      </c>
      <c r="D10" s="3">
        <f>+D5-C5</f>
        <v>12.931999999999903</v>
      </c>
      <c r="E10" s="3">
        <f>+E5-D5</f>
        <v>-742.00199999999995</v>
      </c>
      <c r="F10" s="3">
        <f>+F5-E5</f>
        <v>7.2000000000000064E-2</v>
      </c>
      <c r="G10" s="3">
        <f>+G5-F5</f>
        <v>-6.5</v>
      </c>
      <c r="H10" s="3"/>
      <c r="I10" s="3"/>
      <c r="J10" s="3"/>
      <c r="K10" s="3"/>
      <c r="L10" s="3"/>
      <c r="Q10" s="3"/>
      <c r="V10" s="3"/>
      <c r="AA10" s="3"/>
      <c r="AF10" s="3"/>
      <c r="AK10" s="3"/>
      <c r="AP10" s="3"/>
      <c r="AU10" s="3"/>
      <c r="AZ10" s="3"/>
      <c r="BE10" s="3"/>
      <c r="BJ10" s="3"/>
      <c r="BO10" s="3"/>
      <c r="BT10" s="3"/>
      <c r="BY10" s="3"/>
      <c r="CD10" s="3"/>
      <c r="CI10" s="3"/>
      <c r="CN10" s="3"/>
      <c r="CS10" s="3"/>
      <c r="CX10" s="3"/>
    </row>
    <row r="11" spans="2:181" collapsed="1"/>
    <row r="12" spans="2:181">
      <c r="B12" s="1" t="s">
        <v>463</v>
      </c>
    </row>
    <row r="14" spans="2:181" hidden="1" outlineLevel="1">
      <c r="B14" s="1" t="s">
        <v>464</v>
      </c>
      <c r="C14" s="3">
        <v>151.77199999999999</v>
      </c>
      <c r="D14" s="3">
        <v>101.879</v>
      </c>
      <c r="E14" s="3">
        <v>37.015999999999998</v>
      </c>
      <c r="F14" s="3">
        <v>39.1</v>
      </c>
      <c r="G14" s="3"/>
      <c r="H14" s="3"/>
      <c r="I14" s="3"/>
      <c r="J14" s="3"/>
      <c r="K14" s="3"/>
      <c r="L14" s="3"/>
      <c r="Q14" s="3"/>
      <c r="V14" s="3"/>
      <c r="AA14" s="3"/>
      <c r="AF14" s="3"/>
      <c r="AK14" s="3"/>
      <c r="AP14" s="3"/>
      <c r="AU14" s="3"/>
      <c r="AZ14" s="3"/>
      <c r="BE14" s="3"/>
      <c r="BJ14" s="3"/>
      <c r="BO14" s="3"/>
      <c r="BT14" s="3"/>
      <c r="BY14" s="3"/>
      <c r="CD14" s="3"/>
      <c r="CI14" s="3"/>
      <c r="CN14" s="3"/>
      <c r="CS14" s="3"/>
      <c r="CX14" s="3"/>
    </row>
    <row r="15" spans="2:181" s="5" customFormat="1" hidden="1" outlineLevel="1">
      <c r="B15" s="5" t="s">
        <v>459</v>
      </c>
      <c r="C15" s="5">
        <v>5.5E-2</v>
      </c>
      <c r="D15" s="5">
        <v>5.5E-2</v>
      </c>
      <c r="E15" s="5">
        <v>5.5E-2</v>
      </c>
      <c r="F15" s="5">
        <v>5.5E-2</v>
      </c>
    </row>
    <row r="16" spans="2:181" hidden="1" outlineLevel="1">
      <c r="B16" s="1" t="s">
        <v>116</v>
      </c>
      <c r="D16" s="3">
        <f>D15*C14</f>
        <v>8.3474599999999999</v>
      </c>
      <c r="E16" s="3">
        <f>E15*D14</f>
        <v>5.603345</v>
      </c>
      <c r="F16" s="3">
        <f>F15*E14</f>
        <v>2.0358800000000001</v>
      </c>
      <c r="G16" s="3"/>
      <c r="H16" s="3"/>
      <c r="I16" s="3"/>
      <c r="J16" s="3"/>
      <c r="K16" s="3"/>
      <c r="L16" s="3"/>
      <c r="Q16" s="3"/>
      <c r="V16" s="3"/>
      <c r="AA16" s="3"/>
      <c r="AF16" s="3"/>
      <c r="AK16" s="3"/>
      <c r="AP16" s="3"/>
      <c r="AU16" s="3"/>
      <c r="AZ16" s="3"/>
      <c r="BE16" s="3"/>
      <c r="BJ16" s="3"/>
      <c r="BO16" s="3"/>
      <c r="BT16" s="3"/>
      <c r="BY16" s="3"/>
      <c r="CD16" s="3"/>
      <c r="CI16" s="3"/>
      <c r="CN16" s="3"/>
      <c r="CS16" s="3"/>
      <c r="CX16" s="3"/>
    </row>
    <row r="17" spans="2:102" hidden="1" outlineLevel="1">
      <c r="B17" s="1" t="s">
        <v>460</v>
      </c>
      <c r="D17" s="3"/>
      <c r="E17" s="3"/>
      <c r="F17" s="3"/>
      <c r="G17" s="3"/>
      <c r="H17" s="3"/>
      <c r="I17" s="3"/>
      <c r="J17" s="3"/>
      <c r="K17" s="3"/>
      <c r="L17" s="3"/>
      <c r="Q17" s="3"/>
      <c r="V17" s="3"/>
      <c r="AA17" s="3"/>
      <c r="AF17" s="3"/>
      <c r="AK17" s="3"/>
      <c r="AP17" s="3"/>
      <c r="AU17" s="3"/>
      <c r="AZ17" s="3"/>
      <c r="BE17" s="3"/>
      <c r="BJ17" s="3"/>
      <c r="BO17" s="3"/>
      <c r="BT17" s="3"/>
      <c r="BY17" s="3"/>
      <c r="CD17" s="3"/>
      <c r="CI17" s="3"/>
      <c r="CN17" s="3"/>
      <c r="CS17" s="3"/>
      <c r="CX17" s="3"/>
    </row>
    <row r="18" spans="2:102" hidden="1" outlineLevel="1">
      <c r="B18" s="1" t="s">
        <v>461</v>
      </c>
      <c r="D18" s="3">
        <f>D16-D17</f>
        <v>8.3474599999999999</v>
      </c>
      <c r="E18" s="3">
        <f>E16-E17</f>
        <v>5.603345</v>
      </c>
      <c r="F18" s="3">
        <f>F16-F17</f>
        <v>2.0358800000000001</v>
      </c>
      <c r="G18" s="3"/>
      <c r="H18" s="3"/>
      <c r="I18" s="3"/>
      <c r="J18" s="3"/>
      <c r="K18" s="3"/>
      <c r="L18" s="3"/>
      <c r="Q18" s="3"/>
      <c r="V18" s="3"/>
      <c r="AA18" s="3"/>
      <c r="AF18" s="3"/>
      <c r="AK18" s="3"/>
      <c r="AP18" s="3"/>
      <c r="AU18" s="3"/>
      <c r="AZ18" s="3"/>
      <c r="BE18" s="3"/>
      <c r="BJ18" s="3"/>
      <c r="BO18" s="3"/>
      <c r="BT18" s="3"/>
      <c r="BY18" s="3"/>
      <c r="CD18" s="3"/>
      <c r="CI18" s="3"/>
      <c r="CN18" s="3"/>
      <c r="CS18" s="3"/>
      <c r="CX18" s="3"/>
    </row>
    <row r="19" spans="2:102" hidden="1" outlineLevel="1">
      <c r="B19" s="1" t="s">
        <v>462</v>
      </c>
      <c r="D19" s="3">
        <f>+D14-C14</f>
        <v>-49.892999999999986</v>
      </c>
      <c r="E19" s="3">
        <f>+E14-D14</f>
        <v>-64.863</v>
      </c>
      <c r="F19" s="3">
        <f>+F14-E14</f>
        <v>2.0840000000000032</v>
      </c>
      <c r="G19" s="3">
        <f>+G14-F14</f>
        <v>-39.1</v>
      </c>
      <c r="H19" s="3"/>
      <c r="I19" s="3"/>
      <c r="J19" s="3"/>
      <c r="K19" s="3"/>
      <c r="L19" s="3"/>
      <c r="Q19" s="3"/>
      <c r="V19" s="3"/>
      <c r="AA19" s="3"/>
      <c r="AF19" s="3"/>
      <c r="AK19" s="3"/>
      <c r="AP19" s="3"/>
      <c r="AU19" s="3"/>
      <c r="AZ19" s="3"/>
      <c r="BE19" s="3"/>
      <c r="BJ19" s="3"/>
      <c r="BO19" s="3"/>
      <c r="BT19" s="3"/>
      <c r="BY19" s="3"/>
      <c r="CD19" s="3"/>
      <c r="CI19" s="3"/>
      <c r="CN19" s="3"/>
      <c r="CS19" s="3"/>
      <c r="CX19" s="3"/>
    </row>
    <row r="20" spans="2:102" hidden="1" outlineLevel="1">
      <c r="D20" s="3"/>
      <c r="E20" s="3"/>
      <c r="F20" s="3"/>
      <c r="G20" s="3"/>
      <c r="H20" s="3"/>
      <c r="I20" s="3"/>
      <c r="J20" s="3"/>
      <c r="K20" s="3"/>
      <c r="L20" s="3"/>
      <c r="Q20" s="80"/>
      <c r="V20" s="3"/>
      <c r="AA20" s="3"/>
      <c r="AF20" s="3"/>
      <c r="AK20" s="3"/>
      <c r="AP20" s="3"/>
      <c r="AU20" s="3"/>
      <c r="AZ20" s="3"/>
      <c r="BE20" s="3"/>
      <c r="BJ20" s="3"/>
      <c r="BO20" s="3"/>
      <c r="BT20" s="3"/>
      <c r="BY20" s="3"/>
      <c r="CD20" s="3"/>
      <c r="CI20" s="3"/>
      <c r="CN20" s="3"/>
      <c r="CS20" s="3"/>
      <c r="CX20" s="3"/>
    </row>
    <row r="21" spans="2:102" hidden="1" outlineLevel="1">
      <c r="B21" s="1" t="s">
        <v>465</v>
      </c>
      <c r="G21" s="17">
        <v>1500</v>
      </c>
      <c r="H21" s="3"/>
      <c r="I21" s="3"/>
      <c r="J21" s="3"/>
      <c r="K21" s="3"/>
      <c r="L21" s="15"/>
      <c r="Q21" s="3"/>
      <c r="V21" s="3"/>
      <c r="AA21" s="3"/>
      <c r="AF21" s="3"/>
      <c r="AK21" s="3"/>
      <c r="AP21" s="3"/>
      <c r="AU21" s="3"/>
      <c r="AZ21" s="3"/>
      <c r="BE21" s="3"/>
      <c r="BJ21" s="3"/>
      <c r="BO21" s="3"/>
      <c r="BT21" s="3"/>
      <c r="BY21" s="3"/>
      <c r="CD21" s="3"/>
      <c r="CI21" s="3"/>
      <c r="CN21" s="3"/>
      <c r="CS21" s="3"/>
      <c r="CX21" s="3"/>
    </row>
    <row r="22" spans="2:102" s="5" customFormat="1" hidden="1" outlineLevel="1">
      <c r="B22" s="5" t="s">
        <v>459</v>
      </c>
      <c r="G22" s="5">
        <v>5.5399999999999998E-2</v>
      </c>
      <c r="H22" s="5">
        <v>5.5399999999999998E-2</v>
      </c>
      <c r="L22" s="15"/>
    </row>
    <row r="23" spans="2:102" hidden="1" outlineLevel="1">
      <c r="B23" s="1" t="s">
        <v>116</v>
      </c>
      <c r="G23" s="66">
        <f>+G21*G22*6/12</f>
        <v>41.55</v>
      </c>
      <c r="H23" s="66">
        <f>+H22*G21*3/2</f>
        <v>124.64999999999999</v>
      </c>
      <c r="I23" s="66"/>
      <c r="J23" s="66"/>
      <c r="K23" s="66"/>
      <c r="L23" s="66"/>
      <c r="Q23" s="66"/>
      <c r="V23" s="66"/>
      <c r="AA23" s="66"/>
      <c r="AF23" s="66"/>
      <c r="AK23" s="66"/>
      <c r="AP23" s="66"/>
      <c r="AU23" s="66"/>
      <c r="AZ23" s="66"/>
      <c r="BE23" s="66"/>
      <c r="BJ23" s="66"/>
      <c r="BO23" s="66"/>
      <c r="BT23" s="66"/>
      <c r="BY23" s="66"/>
      <c r="CD23" s="66"/>
      <c r="CI23" s="66"/>
      <c r="CN23" s="66"/>
      <c r="CS23" s="66"/>
      <c r="CX23" s="66"/>
    </row>
    <row r="24" spans="2:102" hidden="1" outlineLevel="1">
      <c r="B24" s="1" t="s">
        <v>462</v>
      </c>
      <c r="H24" s="3">
        <f>+H21-G21</f>
        <v>-1500</v>
      </c>
      <c r="I24" s="3"/>
      <c r="J24" s="3"/>
      <c r="K24" s="3"/>
      <c r="L24" s="3"/>
      <c r="Q24" s="3"/>
      <c r="V24" s="3"/>
      <c r="AA24" s="3"/>
      <c r="AF24" s="3"/>
      <c r="AK24" s="3"/>
      <c r="AP24" s="3"/>
      <c r="AU24" s="3"/>
      <c r="AZ24" s="3"/>
      <c r="BE24" s="3"/>
      <c r="BJ24" s="3"/>
      <c r="BO24" s="3"/>
      <c r="BT24" s="3"/>
      <c r="BY24" s="3"/>
      <c r="CD24" s="3"/>
      <c r="CI24" s="3"/>
      <c r="CN24" s="3"/>
      <c r="CS24" s="3"/>
      <c r="CX24" s="3"/>
    </row>
    <row r="25" spans="2:102" hidden="1" outlineLevel="1">
      <c r="H25" s="3"/>
      <c r="I25" s="3"/>
      <c r="J25" s="3"/>
      <c r="K25" s="3"/>
      <c r="L25" s="3"/>
      <c r="Q25" s="3"/>
      <c r="V25" s="3"/>
      <c r="AA25" s="3"/>
      <c r="AF25" s="3"/>
      <c r="AK25" s="3"/>
      <c r="AP25" s="3"/>
      <c r="AU25" s="3"/>
      <c r="AZ25" s="3"/>
      <c r="BE25" s="3"/>
      <c r="BJ25" s="3"/>
      <c r="BO25" s="3"/>
      <c r="BT25" s="3"/>
      <c r="BY25" s="3"/>
      <c r="CD25" s="3"/>
      <c r="CI25" s="3"/>
      <c r="CN25" s="3"/>
      <c r="CS25" s="3"/>
      <c r="CX25" s="3"/>
    </row>
    <row r="26" spans="2:102" hidden="1" outlineLevel="1">
      <c r="B26" s="1" t="s">
        <v>466</v>
      </c>
      <c r="H26" s="3">
        <v>449.6</v>
      </c>
      <c r="I26" s="3">
        <v>449.6</v>
      </c>
      <c r="J26" s="3">
        <v>449.8</v>
      </c>
      <c r="K26" s="3">
        <v>449.9</v>
      </c>
      <c r="L26" s="3">
        <v>450</v>
      </c>
      <c r="M26" s="3">
        <v>450</v>
      </c>
      <c r="N26" s="17">
        <f>M26+M29</f>
        <v>0</v>
      </c>
      <c r="O26" s="17">
        <f>N26</f>
        <v>0</v>
      </c>
      <c r="P26" s="17">
        <f>O26</f>
        <v>0</v>
      </c>
      <c r="Q26" s="17">
        <f>L26+Q29</f>
        <v>0</v>
      </c>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row>
    <row r="27" spans="2:102" s="5" customFormat="1" hidden="1" outlineLevel="1">
      <c r="B27" s="5" t="s">
        <v>459</v>
      </c>
      <c r="H27" s="5">
        <v>0.06</v>
      </c>
      <c r="I27" s="5">
        <v>0.06</v>
      </c>
      <c r="J27" s="5">
        <v>0.06</v>
      </c>
      <c r="K27" s="5">
        <v>0.06</v>
      </c>
      <c r="L27" s="5">
        <v>0.06</v>
      </c>
      <c r="M27" s="5">
        <v>0.06</v>
      </c>
    </row>
    <row r="28" spans="2:102" hidden="1" outlineLevel="1">
      <c r="B28" s="1" t="s">
        <v>116</v>
      </c>
      <c r="I28" s="3">
        <f>I27*H26</f>
        <v>26.975999999999999</v>
      </c>
      <c r="J28" s="3">
        <f>J27*I26</f>
        <v>26.975999999999999</v>
      </c>
      <c r="K28" s="3">
        <f>K27*J26</f>
        <v>26.988</v>
      </c>
      <c r="L28" s="3">
        <f>L27*K26</f>
        <v>26.993999999999996</v>
      </c>
      <c r="Q28" s="3"/>
      <c r="V28" s="3"/>
      <c r="AA28" s="3"/>
      <c r="AF28" s="3"/>
      <c r="AK28" s="3"/>
      <c r="AP28" s="3"/>
      <c r="AU28" s="3"/>
      <c r="AZ28" s="3"/>
      <c r="BE28" s="3"/>
      <c r="BJ28" s="3"/>
      <c r="BO28" s="3"/>
      <c r="BT28" s="3"/>
      <c r="BY28" s="3"/>
      <c r="CD28" s="3"/>
      <c r="CI28" s="3"/>
      <c r="CN28" s="3"/>
      <c r="CS28" s="3"/>
      <c r="CX28" s="3"/>
    </row>
    <row r="29" spans="2:102" hidden="1" outlineLevel="1">
      <c r="B29" s="1" t="s">
        <v>462</v>
      </c>
      <c r="I29" s="3"/>
      <c r="J29" s="3">
        <f>+J26-I26</f>
        <v>0.19999999999998863</v>
      </c>
      <c r="K29" s="3">
        <f>+K26-J26</f>
        <v>9.9999999999965894E-2</v>
      </c>
      <c r="L29" s="3">
        <f>+L26-K26</f>
        <v>0.10000000000002274</v>
      </c>
      <c r="M29" s="3">
        <v>-450</v>
      </c>
      <c r="O29" s="3"/>
      <c r="Q29" s="3">
        <f>M29</f>
        <v>-450</v>
      </c>
      <c r="V29" s="3"/>
      <c r="AA29" s="3"/>
      <c r="AF29" s="3"/>
      <c r="AK29" s="3"/>
      <c r="AP29" s="3"/>
      <c r="AU29" s="3"/>
      <c r="AZ29" s="3"/>
      <c r="BE29" s="3"/>
      <c r="BJ29" s="3"/>
      <c r="BO29" s="3"/>
      <c r="BT29" s="3"/>
      <c r="BY29" s="3"/>
      <c r="CD29" s="3"/>
      <c r="CI29" s="3"/>
      <c r="CN29" s="3"/>
      <c r="CS29" s="3"/>
      <c r="CX29" s="3"/>
    </row>
    <row r="30" spans="2:102" collapsed="1">
      <c r="I30" s="3"/>
      <c r="J30" s="3"/>
      <c r="K30" s="3"/>
      <c r="L30" s="3"/>
      <c r="Q30" s="3"/>
      <c r="V30" s="3"/>
      <c r="AA30" s="3"/>
      <c r="AF30" s="3"/>
      <c r="AG30" s="3"/>
      <c r="AK30" s="3"/>
      <c r="AP30" s="3"/>
      <c r="AU30" s="3"/>
      <c r="AZ30" s="3"/>
      <c r="BE30" s="3"/>
      <c r="BJ30" s="3"/>
      <c r="BO30" s="3"/>
      <c r="BT30" s="3"/>
      <c r="BY30" s="3"/>
      <c r="CD30" s="3"/>
      <c r="CI30" s="3"/>
      <c r="CN30" s="3"/>
      <c r="CS30" s="3"/>
      <c r="CX30" s="3"/>
    </row>
    <row r="31" spans="2:102">
      <c r="B31" s="1" t="s">
        <v>467</v>
      </c>
      <c r="H31" s="3">
        <v>608.20000000000005</v>
      </c>
      <c r="I31" s="3">
        <v>603.20000000000005</v>
      </c>
      <c r="J31" s="3">
        <v>597.9</v>
      </c>
      <c r="K31" s="3">
        <v>592.29999999999995</v>
      </c>
      <c r="L31" s="3">
        <v>586.4</v>
      </c>
      <c r="M31" s="1">
        <v>584.79999999999995</v>
      </c>
      <c r="N31" s="1">
        <v>583.29999999999995</v>
      </c>
      <c r="O31" s="1">
        <v>581.70000000000005</v>
      </c>
      <c r="P31" s="3">
        <v>580.1</v>
      </c>
      <c r="Q31" s="3">
        <f>L31+Q34</f>
        <v>580.10000000000014</v>
      </c>
      <c r="R31" s="3">
        <f>P31+R34</f>
        <v>578.5</v>
      </c>
      <c r="S31" s="3">
        <v>576.9</v>
      </c>
      <c r="T31" s="3">
        <v>575.20000000000005</v>
      </c>
      <c r="U31" s="3">
        <v>573.6</v>
      </c>
      <c r="V31" s="3">
        <v>573.5</v>
      </c>
      <c r="W31" s="3">
        <v>571.79999999999995</v>
      </c>
      <c r="X31" s="3">
        <v>570.1</v>
      </c>
      <c r="Y31" s="3">
        <v>566.9</v>
      </c>
      <c r="Z31" s="3">
        <f>Y31+Z34</f>
        <v>565.29999999999995</v>
      </c>
      <c r="AA31" s="3">
        <v>565.29999999999995</v>
      </c>
      <c r="AB31" s="3">
        <f>Z31+AB34</f>
        <v>563.59999999999991</v>
      </c>
      <c r="AC31" s="3">
        <f>AB31+AC34</f>
        <v>561.9</v>
      </c>
      <c r="AD31" s="3">
        <f>AC31+AD34</f>
        <v>558.69999999999993</v>
      </c>
      <c r="AE31" s="3">
        <f>AD31+AE34</f>
        <v>557.09999999999991</v>
      </c>
      <c r="AF31" s="3">
        <v>558.5</v>
      </c>
      <c r="AG31" s="3">
        <f>AE31+AG34</f>
        <v>555.39999999999986</v>
      </c>
      <c r="AH31" s="3">
        <f>AG31+AH34</f>
        <v>553.69999999999993</v>
      </c>
      <c r="AI31" s="3">
        <f>AH31+AI34</f>
        <v>550.49999999999989</v>
      </c>
      <c r="AJ31" s="3">
        <f>AI31+AJ34</f>
        <v>548.89999999999986</v>
      </c>
      <c r="AK31" s="3">
        <f>AF31+AK34</f>
        <v>550.29999999999995</v>
      </c>
      <c r="AL31" s="3">
        <f>AK31+AL34+AL36</f>
        <v>1.5552882135493984</v>
      </c>
      <c r="AM31" s="3">
        <f>AL31+AM34</f>
        <v>1.5552882135493984</v>
      </c>
      <c r="AN31" s="3">
        <f>AM31+AN34</f>
        <v>1.5552882135493984</v>
      </c>
      <c r="AO31" s="3">
        <f>AN31+AO34</f>
        <v>1.5552882135493984</v>
      </c>
      <c r="AP31" s="3">
        <f>AK31+AP34</f>
        <v>0</v>
      </c>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row>
    <row r="32" spans="2:102" s="5" customFormat="1">
      <c r="B32" s="5" t="s">
        <v>459</v>
      </c>
      <c r="H32" s="5">
        <v>6.8750000000000006E-2</v>
      </c>
      <c r="I32" s="5">
        <v>6.8750000000000006E-2</v>
      </c>
      <c r="J32" s="5">
        <v>6.8750000000000006E-2</v>
      </c>
      <c r="K32" s="5">
        <v>6.8750000000000006E-2</v>
      </c>
      <c r="L32" s="5">
        <v>6.8750000000000006E-2</v>
      </c>
      <c r="M32" s="5">
        <v>6.8750000000000006E-2</v>
      </c>
      <c r="N32" s="5">
        <v>6.8750000000000006E-2</v>
      </c>
      <c r="O32" s="5">
        <v>6.8750000000000006E-2</v>
      </c>
      <c r="P32" s="5">
        <v>6.8750000000000006E-2</v>
      </c>
      <c r="Q32" s="5">
        <f t="shared" ref="Q32:AP32" si="0">L32</f>
        <v>6.8750000000000006E-2</v>
      </c>
      <c r="R32" s="5">
        <f t="shared" si="0"/>
        <v>6.8750000000000006E-2</v>
      </c>
      <c r="S32" s="5">
        <f t="shared" si="0"/>
        <v>6.8750000000000006E-2</v>
      </c>
      <c r="T32" s="5">
        <f t="shared" si="0"/>
        <v>6.8750000000000006E-2</v>
      </c>
      <c r="U32" s="5">
        <f t="shared" si="0"/>
        <v>6.8750000000000006E-2</v>
      </c>
      <c r="V32" s="5">
        <f t="shared" si="0"/>
        <v>6.8750000000000006E-2</v>
      </c>
      <c r="W32" s="5">
        <f t="shared" si="0"/>
        <v>6.8750000000000006E-2</v>
      </c>
      <c r="X32" s="5">
        <f t="shared" si="0"/>
        <v>6.8750000000000006E-2</v>
      </c>
      <c r="Y32" s="5">
        <f t="shared" si="0"/>
        <v>6.8750000000000006E-2</v>
      </c>
      <c r="Z32" s="5">
        <f>U32</f>
        <v>6.8750000000000006E-2</v>
      </c>
      <c r="AA32" s="5">
        <f t="shared" si="0"/>
        <v>6.8750000000000006E-2</v>
      </c>
      <c r="AB32" s="5">
        <f t="shared" si="0"/>
        <v>6.8750000000000006E-2</v>
      </c>
      <c r="AC32" s="5">
        <f t="shared" si="0"/>
        <v>6.8750000000000006E-2</v>
      </c>
      <c r="AD32" s="5">
        <f t="shared" si="0"/>
        <v>6.8750000000000006E-2</v>
      </c>
      <c r="AE32" s="5">
        <f t="shared" si="0"/>
        <v>6.8750000000000006E-2</v>
      </c>
      <c r="AF32" s="5">
        <f t="shared" si="0"/>
        <v>6.8750000000000006E-2</v>
      </c>
      <c r="AG32" s="5">
        <f t="shared" si="0"/>
        <v>6.8750000000000006E-2</v>
      </c>
      <c r="AH32" s="5">
        <f t="shared" si="0"/>
        <v>6.8750000000000006E-2</v>
      </c>
      <c r="AI32" s="5">
        <f t="shared" si="0"/>
        <v>6.8750000000000006E-2</v>
      </c>
      <c r="AJ32" s="5">
        <f t="shared" si="0"/>
        <v>6.8750000000000006E-2</v>
      </c>
      <c r="AK32" s="5">
        <f t="shared" si="0"/>
        <v>6.8750000000000006E-2</v>
      </c>
      <c r="AL32" s="93">
        <f t="shared" si="0"/>
        <v>6.8750000000000006E-2</v>
      </c>
      <c r="AM32" s="93">
        <f>AH32</f>
        <v>6.8750000000000006E-2</v>
      </c>
      <c r="AN32" s="93">
        <f t="shared" si="0"/>
        <v>6.8750000000000006E-2</v>
      </c>
      <c r="AO32" s="93">
        <f t="shared" si="0"/>
        <v>6.8750000000000006E-2</v>
      </c>
      <c r="AP32" s="93">
        <f t="shared" si="0"/>
        <v>6.8750000000000006E-2</v>
      </c>
    </row>
    <row r="33" spans="2:102">
      <c r="B33" s="1" t="s">
        <v>116</v>
      </c>
      <c r="I33" s="3">
        <f>I32*H31</f>
        <v>41.813750000000006</v>
      </c>
      <c r="J33" s="3">
        <f>J32*I31</f>
        <v>41.470000000000006</v>
      </c>
      <c r="K33" s="3">
        <f>K32*J31</f>
        <v>41.105625000000003</v>
      </c>
      <c r="L33" s="3">
        <f>L32*K31</f>
        <v>40.720624999999998</v>
      </c>
      <c r="M33" s="3">
        <f>M32*L31/4</f>
        <v>10.078750000000001</v>
      </c>
      <c r="N33" s="3">
        <f>N32*M31/4</f>
        <v>10.05125</v>
      </c>
      <c r="O33" s="3">
        <f>O32*N31/4</f>
        <v>10.02546875</v>
      </c>
      <c r="P33" s="3">
        <f>P32*O31/4</f>
        <v>9.9979687500000018</v>
      </c>
      <c r="Q33" s="3">
        <f>SUM(M33:P33)</f>
        <v>40.15343750000001</v>
      </c>
      <c r="R33" s="3">
        <f>R32*Q31/4</f>
        <v>9.9704687500000038</v>
      </c>
      <c r="S33" s="3">
        <f>S32*R31/4</f>
        <v>9.9429687500000004</v>
      </c>
      <c r="T33" s="3">
        <f>T32*S31/4</f>
        <v>9.9154687500000005</v>
      </c>
      <c r="U33" s="3">
        <f>U32*T31/4</f>
        <v>9.8862500000000022</v>
      </c>
      <c r="V33" s="3">
        <f>SUM(R33:U33)</f>
        <v>39.715156250000007</v>
      </c>
      <c r="W33" s="3">
        <f>W32*V31/4</f>
        <v>9.8570312500000004</v>
      </c>
      <c r="X33" s="3">
        <f>X32*W31/4</f>
        <v>9.8278125000000003</v>
      </c>
      <c r="Y33" s="3">
        <f>Y32*X31/4</f>
        <v>9.798593750000002</v>
      </c>
      <c r="Z33" s="3">
        <f>Z32*Y31/4</f>
        <v>9.7435937500000005</v>
      </c>
      <c r="AA33" s="3">
        <f>SUM(W33:Z33)</f>
        <v>39.227031250000003</v>
      </c>
      <c r="AB33" s="3">
        <f>AB32*AA31/4</f>
        <v>9.7160937500000006</v>
      </c>
      <c r="AC33" s="3">
        <f>AC32*AB31/4</f>
        <v>9.6868749999999988</v>
      </c>
      <c r="AD33" s="3">
        <f>AD32*AC31/4</f>
        <v>9.6576562500000005</v>
      </c>
      <c r="AE33" s="3">
        <f>AE32*AD31/4</f>
        <v>9.602656249999999</v>
      </c>
      <c r="AF33" s="3">
        <f>SUM(AB33:AE33)</f>
        <v>38.663281249999997</v>
      </c>
      <c r="AG33" s="3">
        <f>AG32*AF31/4</f>
        <v>9.5992187500000004</v>
      </c>
      <c r="AH33" s="3">
        <f>AH32*AG31/4</f>
        <v>9.5459374999999991</v>
      </c>
      <c r="AI33" s="3">
        <f>AI32*AH31/4</f>
        <v>9.516718749999999</v>
      </c>
      <c r="AJ33" s="3">
        <f>AJ32*AI31/4</f>
        <v>9.4617187499999993</v>
      </c>
      <c r="AK33" s="3">
        <f>SUM(AG33:AJ33)</f>
        <v>38.123593749999998</v>
      </c>
      <c r="AL33" s="3">
        <f>AL32*AK31/(2*4)</f>
        <v>4.7291406250000003</v>
      </c>
      <c r="AM33" s="3">
        <f>AM32*AL31/4</f>
        <v>2.6731516170380287E-2</v>
      </c>
      <c r="AN33" s="3">
        <f>AN32*AM31/4</f>
        <v>2.6731516170380287E-2</v>
      </c>
      <c r="AO33" s="3">
        <f>AO32*AN31/4</f>
        <v>2.6731516170380287E-2</v>
      </c>
      <c r="AP33" s="3">
        <f>SUM(AL33:AO33)</f>
        <v>4.8093351735111405</v>
      </c>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row>
    <row r="34" spans="2:102">
      <c r="B34" s="1" t="s">
        <v>462</v>
      </c>
      <c r="I34" s="3">
        <f t="shared" ref="I34:O34" si="1">+I31-H31</f>
        <v>-5</v>
      </c>
      <c r="J34" s="3">
        <f t="shared" si="1"/>
        <v>-5.3000000000000682</v>
      </c>
      <c r="K34" s="3">
        <f t="shared" si="1"/>
        <v>-5.6000000000000227</v>
      </c>
      <c r="L34" s="3">
        <f t="shared" si="1"/>
        <v>-5.8999999999999773</v>
      </c>
      <c r="M34" s="3">
        <f t="shared" si="1"/>
        <v>-1.6000000000000227</v>
      </c>
      <c r="N34" s="3">
        <f t="shared" si="1"/>
        <v>-1.5</v>
      </c>
      <c r="O34" s="3">
        <f t="shared" si="1"/>
        <v>-1.5999999999999091</v>
      </c>
      <c r="P34" s="3">
        <f>O34</f>
        <v>-1.5999999999999091</v>
      </c>
      <c r="Q34" s="3">
        <f>SUM(M34:P34)</f>
        <v>-6.2999999999998408</v>
      </c>
      <c r="R34" s="3">
        <f>M34</f>
        <v>-1.6000000000000227</v>
      </c>
      <c r="S34" s="3">
        <f>S31-R31</f>
        <v>-1.6000000000000227</v>
      </c>
      <c r="T34" s="3">
        <f t="shared" ref="T34:Y34" si="2">T31-S31</f>
        <v>-1.6999999999999318</v>
      </c>
      <c r="U34" s="3">
        <f t="shared" si="2"/>
        <v>-1.6000000000000227</v>
      </c>
      <c r="V34" s="3">
        <f>SUM(R34:U34)</f>
        <v>-6.5</v>
      </c>
      <c r="W34" s="3">
        <f t="shared" si="2"/>
        <v>-1.7000000000000455</v>
      </c>
      <c r="X34" s="3">
        <f t="shared" si="2"/>
        <v>-1.6999999999999318</v>
      </c>
      <c r="Y34" s="3">
        <f t="shared" si="2"/>
        <v>-3.2000000000000455</v>
      </c>
      <c r="Z34" s="3">
        <f>U34</f>
        <v>-1.6000000000000227</v>
      </c>
      <c r="AA34" s="3">
        <f>SUM(W34:Z34)</f>
        <v>-8.2000000000000455</v>
      </c>
      <c r="AB34" s="3">
        <f>W34</f>
        <v>-1.7000000000000455</v>
      </c>
      <c r="AC34" s="3">
        <f>X34</f>
        <v>-1.6999999999999318</v>
      </c>
      <c r="AD34" s="3">
        <f>Y34</f>
        <v>-3.2000000000000455</v>
      </c>
      <c r="AE34" s="3">
        <f>Z34</f>
        <v>-1.6000000000000227</v>
      </c>
      <c r="AF34" s="3">
        <f>SUM(AB34:AE34)</f>
        <v>-8.2000000000000455</v>
      </c>
      <c r="AG34" s="3">
        <f>AB34</f>
        <v>-1.7000000000000455</v>
      </c>
      <c r="AH34" s="3">
        <f>AC34</f>
        <v>-1.6999999999999318</v>
      </c>
      <c r="AI34" s="3">
        <f>AD34</f>
        <v>-3.2000000000000455</v>
      </c>
      <c r="AJ34" s="3">
        <f>AE34</f>
        <v>-1.6000000000000227</v>
      </c>
      <c r="AK34" s="3">
        <f>SUM(AG34:AJ34)</f>
        <v>-8.2000000000000455</v>
      </c>
      <c r="AL34" s="3">
        <f>-AK31</f>
        <v>-550.29999999999995</v>
      </c>
      <c r="AM34" s="3">
        <v>0</v>
      </c>
      <c r="AN34" s="3">
        <v>0</v>
      </c>
      <c r="AO34" s="3">
        <v>0</v>
      </c>
      <c r="AP34" s="3">
        <f>SUM(AL34:AO34)</f>
        <v>-550.29999999999995</v>
      </c>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row>
    <row r="35" spans="2:102">
      <c r="I35" s="3"/>
      <c r="J35" s="3"/>
      <c r="K35" s="3"/>
      <c r="L35" s="3"/>
      <c r="Q35" s="3"/>
      <c r="V35" s="3"/>
      <c r="AA35" s="3"/>
      <c r="AF35" s="3"/>
      <c r="AK35" s="3"/>
      <c r="AL35" s="3"/>
      <c r="AM35" s="3"/>
      <c r="AN35" s="3"/>
      <c r="AO35" s="3"/>
      <c r="AP35" s="3"/>
      <c r="AU35" s="3"/>
      <c r="AZ35" s="3"/>
      <c r="BE35" s="3"/>
      <c r="BJ35" s="3"/>
      <c r="BO35" s="3"/>
      <c r="BT35" s="3"/>
      <c r="BY35" s="3"/>
      <c r="CD35" s="3"/>
      <c r="CI35" s="3"/>
      <c r="CN35" s="3"/>
      <c r="CS35" s="3"/>
      <c r="CX35" s="3"/>
    </row>
    <row r="36" spans="2:102">
      <c r="B36" s="1" t="s">
        <v>468</v>
      </c>
      <c r="F36" s="3">
        <v>39.200000000000003</v>
      </c>
      <c r="G36" s="3">
        <f>34.3+10.3</f>
        <v>44.599999999999994</v>
      </c>
      <c r="H36" s="3">
        <f>27.6+10.9</f>
        <v>38.5</v>
      </c>
      <c r="I36" s="3">
        <f>18.8+11.2</f>
        <v>30</v>
      </c>
      <c r="J36" s="3">
        <f>18.7+3.3</f>
        <v>22</v>
      </c>
      <c r="K36" s="3">
        <f>16.4+3.3</f>
        <v>19.7</v>
      </c>
      <c r="L36" s="3">
        <f>L90-L31-L70+L84</f>
        <v>17.875</v>
      </c>
      <c r="M36" s="1">
        <v>17.5</v>
      </c>
      <c r="N36" s="1">
        <v>14.4</v>
      </c>
      <c r="O36" s="1">
        <v>15.3</v>
      </c>
      <c r="P36" s="3">
        <v>12.3</v>
      </c>
      <c r="Q36" s="3">
        <f>12.3+3.5</f>
        <v>15.8</v>
      </c>
      <c r="R36" s="3">
        <v>16.100000000000001</v>
      </c>
      <c r="S36" s="3">
        <v>12.6</v>
      </c>
      <c r="T36" s="3">
        <v>12</v>
      </c>
      <c r="U36" s="3">
        <f>T36+U38+U41</f>
        <v>11.2225</v>
      </c>
      <c r="V36" s="3">
        <f>8.6+3.1</f>
        <v>11.7</v>
      </c>
      <c r="W36" s="3">
        <v>12.1</v>
      </c>
      <c r="X36" s="3">
        <v>9.4</v>
      </c>
      <c r="Y36" s="3">
        <v>9.1</v>
      </c>
      <c r="Z36" s="3">
        <f>Y36-Z38</f>
        <v>8.9691875000000003</v>
      </c>
      <c r="AA36" s="3">
        <f>5.9+3.1</f>
        <v>9</v>
      </c>
      <c r="AB36" s="3">
        <f>AA36+AB38+AB41</f>
        <v>8.1793750000000003</v>
      </c>
      <c r="AC36" s="3">
        <f>AB36+AC38+AC41</f>
        <v>7.3469535156250005</v>
      </c>
      <c r="AD36" s="3">
        <f>AC36+AD38+AD41</f>
        <v>6.5025659724121097</v>
      </c>
      <c r="AE36" s="3">
        <f>AD36+AE38+AE41</f>
        <v>5.6460403582655339</v>
      </c>
      <c r="AF36" s="3">
        <v>6</v>
      </c>
      <c r="AG36" s="3">
        <f>AF36+AG38+AG41</f>
        <v>5.1362499999999995</v>
      </c>
      <c r="AH36" s="3">
        <f>AG36+AH38+AH41</f>
        <v>4.2600835937499992</v>
      </c>
      <c r="AI36" s="3">
        <f>AH36+AI38+AI41</f>
        <v>3.3713222954101552</v>
      </c>
      <c r="AJ36" s="3">
        <f>AI36+AJ38+AJ41</f>
        <v>2.4697850534066763</v>
      </c>
      <c r="AK36" s="3">
        <f>AF36+AK41+AK38</f>
        <v>2.4697850534066772</v>
      </c>
      <c r="AL36" s="3">
        <f>AK36+AL38+AL41</f>
        <v>1.5552882135493984</v>
      </c>
      <c r="AM36" s="3">
        <f>AL36+AM38+AM41</f>
        <v>0.627645481619171</v>
      </c>
      <c r="AN36" s="3">
        <f>AM36+AN38+AN41</f>
        <v>0</v>
      </c>
      <c r="AO36" s="3">
        <f>AN36+AO38+AO41</f>
        <v>0</v>
      </c>
      <c r="AP36" s="3">
        <f>AK36+AP41+AP38</f>
        <v>-1.1796119636642288E-16</v>
      </c>
      <c r="AQ36" s="79"/>
      <c r="AR36" s="79"/>
      <c r="AS36" s="79"/>
      <c r="AT36" s="79"/>
      <c r="AU36" s="79"/>
      <c r="AV36" s="79"/>
      <c r="AW36" s="79"/>
      <c r="AX36" s="79"/>
      <c r="AY36" s="79"/>
      <c r="AZ36" s="79"/>
      <c r="BA36" s="7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c r="CN36" s="79"/>
      <c r="CO36" s="79"/>
      <c r="CP36" s="79"/>
      <c r="CQ36" s="79"/>
      <c r="CR36" s="79"/>
      <c r="CS36" s="79"/>
      <c r="CT36" s="79"/>
      <c r="CU36" s="79"/>
      <c r="CV36" s="79"/>
      <c r="CW36" s="79"/>
      <c r="CX36" s="79"/>
    </row>
    <row r="37" spans="2:102" s="5" customFormat="1">
      <c r="B37" s="5" t="s">
        <v>459</v>
      </c>
      <c r="F37" s="5">
        <v>5.7500000000000002E-2</v>
      </c>
      <c r="G37" s="5">
        <v>5.7500000000000002E-2</v>
      </c>
      <c r="H37" s="5">
        <v>5.7500000000000002E-2</v>
      </c>
      <c r="I37" s="5">
        <v>5.7500000000000002E-2</v>
      </c>
      <c r="J37" s="5">
        <v>5.7500000000000002E-2</v>
      </c>
      <c r="K37" s="5">
        <v>5.7500000000000002E-2</v>
      </c>
      <c r="L37" s="5">
        <v>5.7500000000000002E-2</v>
      </c>
      <c r="M37" s="5">
        <v>5.7500000000000002E-2</v>
      </c>
      <c r="N37" s="5">
        <v>5.7500000000000002E-2</v>
      </c>
      <c r="O37" s="5">
        <v>5.7500000000000002E-2</v>
      </c>
      <c r="P37" s="5">
        <v>5.7500000000000002E-2</v>
      </c>
      <c r="Q37" s="5">
        <f>L37</f>
        <v>5.7500000000000002E-2</v>
      </c>
      <c r="R37" s="5">
        <f t="shared" ref="R37:AF37" si="3">M37</f>
        <v>5.7500000000000002E-2</v>
      </c>
      <c r="S37" s="5">
        <f t="shared" si="3"/>
        <v>5.7500000000000002E-2</v>
      </c>
      <c r="T37" s="5">
        <f t="shared" si="3"/>
        <v>5.7500000000000002E-2</v>
      </c>
      <c r="U37" s="5">
        <f t="shared" si="3"/>
        <v>5.7500000000000002E-2</v>
      </c>
      <c r="V37" s="5">
        <f t="shared" si="3"/>
        <v>5.7500000000000002E-2</v>
      </c>
      <c r="W37" s="5">
        <f t="shared" si="3"/>
        <v>5.7500000000000002E-2</v>
      </c>
      <c r="X37" s="5">
        <f t="shared" si="3"/>
        <v>5.7500000000000002E-2</v>
      </c>
      <c r="Y37" s="5">
        <f t="shared" si="3"/>
        <v>5.7500000000000002E-2</v>
      </c>
      <c r="Z37" s="5">
        <f t="shared" si="3"/>
        <v>5.7500000000000002E-2</v>
      </c>
      <c r="AA37" s="5">
        <f t="shared" si="3"/>
        <v>5.7500000000000002E-2</v>
      </c>
      <c r="AB37" s="5">
        <f t="shared" si="3"/>
        <v>5.7500000000000002E-2</v>
      </c>
      <c r="AC37" s="5">
        <f t="shared" si="3"/>
        <v>5.7500000000000002E-2</v>
      </c>
      <c r="AD37" s="5">
        <f t="shared" si="3"/>
        <v>5.7500000000000002E-2</v>
      </c>
      <c r="AE37" s="5">
        <f t="shared" si="3"/>
        <v>5.7500000000000002E-2</v>
      </c>
      <c r="AF37" s="5">
        <f t="shared" si="3"/>
        <v>5.7500000000000002E-2</v>
      </c>
      <c r="AG37" s="5">
        <f t="shared" ref="AG37:AP37" si="4">AB37</f>
        <v>5.7500000000000002E-2</v>
      </c>
      <c r="AH37" s="5">
        <f t="shared" si="4"/>
        <v>5.7500000000000002E-2</v>
      </c>
      <c r="AI37" s="5">
        <f t="shared" si="4"/>
        <v>5.7500000000000002E-2</v>
      </c>
      <c r="AJ37" s="5">
        <f t="shared" si="4"/>
        <v>5.7500000000000002E-2</v>
      </c>
      <c r="AK37" s="5">
        <f t="shared" si="4"/>
        <v>5.7500000000000002E-2</v>
      </c>
      <c r="AL37" s="93">
        <f t="shared" si="4"/>
        <v>5.7500000000000002E-2</v>
      </c>
      <c r="AM37" s="93">
        <f t="shared" si="4"/>
        <v>5.7500000000000002E-2</v>
      </c>
      <c r="AN37" s="93">
        <f t="shared" si="4"/>
        <v>5.7500000000000002E-2</v>
      </c>
      <c r="AO37" s="93">
        <f t="shared" si="4"/>
        <v>5.7500000000000002E-2</v>
      </c>
      <c r="AP37" s="93">
        <f t="shared" si="4"/>
        <v>5.7500000000000002E-2</v>
      </c>
      <c r="AQ37" s="92"/>
      <c r="AR37" s="92"/>
      <c r="AS37" s="92"/>
      <c r="AT37" s="92"/>
      <c r="AU37" s="92"/>
      <c r="AV37" s="92"/>
      <c r="AW37" s="92"/>
      <c r="AX37" s="92"/>
      <c r="AY37" s="92"/>
      <c r="AZ37" s="92"/>
      <c r="BA37" s="92"/>
      <c r="BB37" s="92"/>
      <c r="BC37" s="92"/>
      <c r="BD37" s="92"/>
      <c r="BE37" s="92"/>
      <c r="BF37" s="92"/>
      <c r="BG37" s="92"/>
      <c r="BH37" s="92"/>
      <c r="BI37" s="92"/>
      <c r="BJ37" s="92"/>
      <c r="BK37" s="92"/>
      <c r="BL37" s="92"/>
      <c r="BM37" s="92"/>
      <c r="BN37" s="92"/>
      <c r="BO37" s="92"/>
      <c r="BP37" s="92"/>
      <c r="BQ37" s="92"/>
      <c r="BR37" s="92"/>
      <c r="BS37" s="92"/>
      <c r="BT37" s="92"/>
      <c r="BU37" s="92"/>
      <c r="BV37" s="92"/>
      <c r="BW37" s="92"/>
      <c r="BX37" s="92"/>
      <c r="BY37" s="92"/>
      <c r="BZ37" s="92"/>
      <c r="CA37" s="92"/>
      <c r="CB37" s="92"/>
      <c r="CC37" s="92"/>
      <c r="CD37" s="92"/>
      <c r="CE37" s="92"/>
      <c r="CF37" s="92"/>
      <c r="CG37" s="92"/>
      <c r="CH37" s="92"/>
      <c r="CI37" s="92"/>
      <c r="CJ37" s="92"/>
      <c r="CK37" s="92"/>
      <c r="CL37" s="92"/>
      <c r="CM37" s="92"/>
      <c r="CN37" s="92"/>
      <c r="CO37" s="92"/>
      <c r="CP37" s="92"/>
      <c r="CQ37" s="92"/>
      <c r="CR37" s="92"/>
      <c r="CS37" s="92"/>
      <c r="CT37" s="92"/>
      <c r="CU37" s="92"/>
      <c r="CV37" s="92"/>
      <c r="CW37" s="92"/>
      <c r="CX37" s="92"/>
    </row>
    <row r="38" spans="2:102">
      <c r="B38" s="1" t="s">
        <v>116</v>
      </c>
      <c r="F38" s="3"/>
      <c r="G38" s="3">
        <f t="shared" ref="G38:L38" si="5">G37*F36</f>
        <v>2.2540000000000004</v>
      </c>
      <c r="H38" s="3">
        <f t="shared" si="5"/>
        <v>2.5644999999999998</v>
      </c>
      <c r="I38" s="3">
        <f t="shared" si="5"/>
        <v>2.2137500000000001</v>
      </c>
      <c r="J38" s="3">
        <f t="shared" si="5"/>
        <v>1.7250000000000001</v>
      </c>
      <c r="K38" s="3">
        <f t="shared" si="5"/>
        <v>1.2650000000000001</v>
      </c>
      <c r="L38" s="3">
        <f t="shared" si="5"/>
        <v>1.1327499999999999</v>
      </c>
      <c r="M38" s="3">
        <f>M37*L36/4</f>
        <v>0.256953125</v>
      </c>
      <c r="N38" s="3">
        <f>N37*M36/4</f>
        <v>0.25156250000000002</v>
      </c>
      <c r="O38" s="3">
        <f>O37*N36/4</f>
        <v>0.20700000000000002</v>
      </c>
      <c r="P38" s="3">
        <f>P37*O36/4</f>
        <v>0.21993750000000001</v>
      </c>
      <c r="Q38" s="3">
        <f>SUM(M38:P38)</f>
        <v>0.93545312500000011</v>
      </c>
      <c r="R38" s="3">
        <f>R37*Q36/4</f>
        <v>0.22712500000000002</v>
      </c>
      <c r="S38" s="3">
        <f>S37*R36/4</f>
        <v>0.23143750000000002</v>
      </c>
      <c r="T38" s="3">
        <f>T37*S36/4</f>
        <v>0.18112500000000001</v>
      </c>
      <c r="U38" s="3">
        <f>U37*T36/4</f>
        <v>0.17250000000000001</v>
      </c>
      <c r="V38" s="3">
        <f>SUM(R38:U38)</f>
        <v>0.81218750000000006</v>
      </c>
      <c r="W38" s="3">
        <f>W37*V36/4</f>
        <v>0.16818749999999999</v>
      </c>
      <c r="X38" s="3">
        <f>X37*W36/4</f>
        <v>0.17393749999999999</v>
      </c>
      <c r="Y38" s="3">
        <f>Y37*X36/4</f>
        <v>0.13512500000000002</v>
      </c>
      <c r="Z38" s="3">
        <f>Z37*Y36/4</f>
        <v>0.1308125</v>
      </c>
      <c r="AA38" s="3">
        <f>SUM(W38:Z38)</f>
        <v>0.60806250000000006</v>
      </c>
      <c r="AB38" s="3">
        <f>AB37*AA36/4</f>
        <v>0.12937500000000002</v>
      </c>
      <c r="AC38" s="3">
        <f>AC37*AB36/4</f>
        <v>0.117578515625</v>
      </c>
      <c r="AD38" s="3">
        <f>AD37*AC36/4</f>
        <v>0.10561245678710939</v>
      </c>
      <c r="AE38" s="3">
        <f>AE37*AD36/4</f>
        <v>9.3474385853424075E-2</v>
      </c>
      <c r="AF38" s="3">
        <f>SUM(AB38:AE38)</f>
        <v>0.44604035826553345</v>
      </c>
      <c r="AG38" s="3">
        <f>AG37*AF36/4</f>
        <v>8.6250000000000007E-2</v>
      </c>
      <c r="AH38" s="3">
        <f>AH37*AG36/4</f>
        <v>7.3833593749999996E-2</v>
      </c>
      <c r="AI38" s="3">
        <f>AI37*AH36/4</f>
        <v>6.1238701660156242E-2</v>
      </c>
      <c r="AJ38" s="3">
        <f>AJ37*AI36/4</f>
        <v>4.8462757996520986E-2</v>
      </c>
      <c r="AK38" s="3">
        <f>SUM(AG38:AJ38)</f>
        <v>0.26978505340667724</v>
      </c>
      <c r="AL38" s="3">
        <f>AL37*AK36/4</f>
        <v>3.5503160142720987E-2</v>
      </c>
      <c r="AM38" s="3">
        <f>AM37*AL36/4</f>
        <v>2.2357268069772604E-2</v>
      </c>
      <c r="AN38" s="3">
        <v>0</v>
      </c>
      <c r="AO38" s="3">
        <v>0</v>
      </c>
      <c r="AP38" s="3">
        <f>SUM(AL38:AO38)</f>
        <v>5.7860428212493591E-2</v>
      </c>
      <c r="AQ38" s="79"/>
      <c r="AR38" s="79"/>
      <c r="AS38" s="79"/>
      <c r="AT38" s="79"/>
      <c r="AU38" s="79"/>
      <c r="AV38" s="79"/>
      <c r="AW38" s="79"/>
      <c r="AX38" s="79"/>
      <c r="AY38" s="79"/>
      <c r="AZ38" s="79"/>
      <c r="BA38" s="7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c r="CN38" s="79"/>
      <c r="CO38" s="79"/>
      <c r="CP38" s="79"/>
      <c r="CQ38" s="79"/>
      <c r="CR38" s="79"/>
      <c r="CS38" s="79"/>
      <c r="CT38" s="79"/>
      <c r="CU38" s="79"/>
      <c r="CV38" s="79"/>
      <c r="CW38" s="79"/>
      <c r="CX38" s="79"/>
    </row>
    <row r="39" spans="2:102">
      <c r="B39" s="1" t="s">
        <v>460</v>
      </c>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79"/>
      <c r="AR39" s="79"/>
      <c r="AS39" s="79"/>
      <c r="AT39" s="79"/>
      <c r="AU39" s="79"/>
      <c r="AV39" s="79"/>
      <c r="AW39" s="79"/>
      <c r="AX39" s="79"/>
      <c r="AY39" s="79"/>
      <c r="AZ39" s="79"/>
      <c r="BA39" s="79"/>
      <c r="BB39" s="79"/>
      <c r="BC39" s="79"/>
      <c r="BD39" s="79"/>
      <c r="BE39" s="79"/>
      <c r="BF39" s="79"/>
      <c r="BG39" s="79"/>
      <c r="BH39" s="79"/>
      <c r="BI39" s="79"/>
      <c r="BJ39" s="79"/>
      <c r="BK39" s="79"/>
      <c r="BL39" s="79"/>
      <c r="BM39" s="79"/>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c r="CN39" s="79"/>
      <c r="CO39" s="79"/>
      <c r="CP39" s="79"/>
      <c r="CQ39" s="79"/>
      <c r="CR39" s="79"/>
      <c r="CS39" s="79"/>
      <c r="CT39" s="79"/>
      <c r="CU39" s="79"/>
      <c r="CV39" s="79"/>
      <c r="CW39" s="79"/>
      <c r="CX39" s="79"/>
    </row>
    <row r="40" spans="2:102">
      <c r="B40" s="1" t="s">
        <v>461</v>
      </c>
      <c r="F40" s="3"/>
      <c r="G40" s="3">
        <f>G38-G39</f>
        <v>2.2540000000000004</v>
      </c>
      <c r="H40" s="3">
        <f t="shared" ref="H40:AF40" si="6">H38-H39</f>
        <v>2.5644999999999998</v>
      </c>
      <c r="I40" s="3">
        <f t="shared" si="6"/>
        <v>2.2137500000000001</v>
      </c>
      <c r="J40" s="3">
        <f t="shared" si="6"/>
        <v>1.7250000000000001</v>
      </c>
      <c r="K40" s="3">
        <f t="shared" si="6"/>
        <v>1.2650000000000001</v>
      </c>
      <c r="L40" s="3">
        <f t="shared" si="6"/>
        <v>1.1327499999999999</v>
      </c>
      <c r="M40" s="3">
        <f t="shared" si="6"/>
        <v>0.256953125</v>
      </c>
      <c r="N40" s="3">
        <f t="shared" si="6"/>
        <v>0.25156250000000002</v>
      </c>
      <c r="O40" s="3">
        <f t="shared" si="6"/>
        <v>0.20700000000000002</v>
      </c>
      <c r="P40" s="3">
        <f t="shared" si="6"/>
        <v>0.21993750000000001</v>
      </c>
      <c r="Q40" s="3">
        <f t="shared" si="6"/>
        <v>0.93545312500000011</v>
      </c>
      <c r="R40" s="3">
        <f t="shared" si="6"/>
        <v>0.22712500000000002</v>
      </c>
      <c r="S40" s="3">
        <f t="shared" si="6"/>
        <v>0.23143750000000002</v>
      </c>
      <c r="T40" s="3">
        <f t="shared" si="6"/>
        <v>0.18112500000000001</v>
      </c>
      <c r="U40" s="3">
        <f t="shared" si="6"/>
        <v>0.17250000000000001</v>
      </c>
      <c r="V40" s="3">
        <f t="shared" si="6"/>
        <v>0.81218750000000006</v>
      </c>
      <c r="W40" s="3">
        <f t="shared" si="6"/>
        <v>0.16818749999999999</v>
      </c>
      <c r="X40" s="3">
        <f t="shared" si="6"/>
        <v>0.17393749999999999</v>
      </c>
      <c r="Y40" s="3">
        <f t="shared" si="6"/>
        <v>0.13512500000000002</v>
      </c>
      <c r="Z40" s="3">
        <f t="shared" si="6"/>
        <v>0.1308125</v>
      </c>
      <c r="AA40" s="3">
        <f t="shared" si="6"/>
        <v>0.60806250000000006</v>
      </c>
      <c r="AB40" s="3">
        <f t="shared" si="6"/>
        <v>0.12937500000000002</v>
      </c>
      <c r="AC40" s="3">
        <f t="shared" si="6"/>
        <v>0.117578515625</v>
      </c>
      <c r="AD40" s="3">
        <f t="shared" si="6"/>
        <v>0.10561245678710939</v>
      </c>
      <c r="AE40" s="3">
        <f t="shared" si="6"/>
        <v>9.3474385853424075E-2</v>
      </c>
      <c r="AF40" s="3">
        <f t="shared" si="6"/>
        <v>0.44604035826553345</v>
      </c>
      <c r="AG40" s="3">
        <f t="shared" ref="AG40:AP40" si="7">AG38-AG39</f>
        <v>8.6250000000000007E-2</v>
      </c>
      <c r="AH40" s="3">
        <f t="shared" si="7"/>
        <v>7.3833593749999996E-2</v>
      </c>
      <c r="AI40" s="3">
        <f t="shared" si="7"/>
        <v>6.1238701660156242E-2</v>
      </c>
      <c r="AJ40" s="3">
        <f t="shared" si="7"/>
        <v>4.8462757996520986E-2</v>
      </c>
      <c r="AK40" s="3">
        <f t="shared" si="7"/>
        <v>0.26978505340667724</v>
      </c>
      <c r="AL40" s="3">
        <f t="shared" si="7"/>
        <v>3.5503160142720987E-2</v>
      </c>
      <c r="AM40" s="3">
        <f t="shared" si="7"/>
        <v>2.2357268069772604E-2</v>
      </c>
      <c r="AN40" s="3">
        <f t="shared" si="7"/>
        <v>0</v>
      </c>
      <c r="AO40" s="3">
        <f t="shared" si="7"/>
        <v>0</v>
      </c>
      <c r="AP40" s="3">
        <f t="shared" si="7"/>
        <v>5.7860428212493591E-2</v>
      </c>
      <c r="AQ40" s="79"/>
      <c r="AR40" s="79"/>
      <c r="AS40" s="79"/>
      <c r="AT40" s="79"/>
      <c r="AU40" s="79"/>
      <c r="AV40" s="79"/>
      <c r="AW40" s="79"/>
      <c r="AX40" s="79"/>
      <c r="AY40" s="79"/>
      <c r="AZ40" s="79"/>
      <c r="BA40" s="79"/>
      <c r="BB40" s="79"/>
      <c r="BC40" s="79"/>
      <c r="BD40" s="79"/>
      <c r="BE40" s="79"/>
      <c r="BF40" s="79"/>
      <c r="BG40" s="79"/>
      <c r="BH40" s="79"/>
      <c r="BI40" s="79"/>
      <c r="BJ40" s="79"/>
      <c r="BK40" s="79"/>
      <c r="BL40" s="79"/>
      <c r="BM40" s="79"/>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c r="CN40" s="79"/>
      <c r="CO40" s="79"/>
      <c r="CP40" s="79"/>
      <c r="CQ40" s="79"/>
      <c r="CR40" s="79"/>
      <c r="CS40" s="79"/>
      <c r="CT40" s="79"/>
      <c r="CU40" s="79"/>
      <c r="CV40" s="79"/>
      <c r="CW40" s="79"/>
      <c r="CX40" s="79"/>
    </row>
    <row r="41" spans="2:102">
      <c r="B41" s="1" t="s">
        <v>462</v>
      </c>
      <c r="F41" s="3"/>
      <c r="G41" s="3">
        <f t="shared" ref="G41:L41" si="8">+G36-F36</f>
        <v>5.3999999999999915</v>
      </c>
      <c r="H41" s="3">
        <f t="shared" si="8"/>
        <v>-6.0999999999999943</v>
      </c>
      <c r="I41" s="3">
        <f t="shared" si="8"/>
        <v>-8.5</v>
      </c>
      <c r="J41" s="3">
        <f t="shared" si="8"/>
        <v>-8</v>
      </c>
      <c r="K41" s="3">
        <f t="shared" si="8"/>
        <v>-2.3000000000000007</v>
      </c>
      <c r="L41" s="3">
        <f t="shared" si="8"/>
        <v>-1.8249999999999993</v>
      </c>
      <c r="M41" s="3">
        <f>Q41/4</f>
        <v>-0.84475000000000477</v>
      </c>
      <c r="N41" s="3">
        <f>Q41/4</f>
        <v>-0.84475000000000477</v>
      </c>
      <c r="O41" s="3">
        <f>Q41/4</f>
        <v>-0.84475000000000477</v>
      </c>
      <c r="P41" s="3">
        <f>Q41/4</f>
        <v>-0.84475000000000477</v>
      </c>
      <c r="Q41" s="3">
        <f>-L84</f>
        <v>-3.3790000000000191</v>
      </c>
      <c r="R41" s="3">
        <v>-0.95</v>
      </c>
      <c r="S41" s="3">
        <f>R41</f>
        <v>-0.95</v>
      </c>
      <c r="T41" s="3">
        <f>R41</f>
        <v>-0.95</v>
      </c>
      <c r="U41" s="3">
        <f>R41</f>
        <v>-0.95</v>
      </c>
      <c r="V41" s="3">
        <f>SUM(R41:U41)</f>
        <v>-3.8</v>
      </c>
      <c r="W41" s="3">
        <f>R41</f>
        <v>-0.95</v>
      </c>
      <c r="X41" s="3">
        <f>S41</f>
        <v>-0.95</v>
      </c>
      <c r="Y41" s="3">
        <f>T41</f>
        <v>-0.95</v>
      </c>
      <c r="Z41" s="3">
        <f>U41</f>
        <v>-0.95</v>
      </c>
      <c r="AA41" s="3">
        <f>SUM(W41:Z41)</f>
        <v>-3.8</v>
      </c>
      <c r="AB41" s="3">
        <f>W41</f>
        <v>-0.95</v>
      </c>
      <c r="AC41" s="3">
        <f>X41</f>
        <v>-0.95</v>
      </c>
      <c r="AD41" s="3">
        <f>Y41</f>
        <v>-0.95</v>
      </c>
      <c r="AE41" s="3">
        <f>Z41</f>
        <v>-0.95</v>
      </c>
      <c r="AF41" s="3">
        <f>SUM(AB41:AE41)</f>
        <v>-3.8</v>
      </c>
      <c r="AG41" s="3">
        <f>AB41</f>
        <v>-0.95</v>
      </c>
      <c r="AH41" s="3">
        <f>AC41</f>
        <v>-0.95</v>
      </c>
      <c r="AI41" s="3">
        <f>AD41</f>
        <v>-0.95</v>
      </c>
      <c r="AJ41" s="3">
        <f>AE41</f>
        <v>-0.95</v>
      </c>
      <c r="AK41" s="3">
        <f>SUM(AG41:AJ41)</f>
        <v>-3.8</v>
      </c>
      <c r="AL41" s="3">
        <f>AG41</f>
        <v>-0.95</v>
      </c>
      <c r="AM41" s="3">
        <f>AH41</f>
        <v>-0.95</v>
      </c>
      <c r="AN41" s="3">
        <f>-AM36</f>
        <v>-0.627645481619171</v>
      </c>
      <c r="AO41" s="3">
        <v>0</v>
      </c>
      <c r="AP41" s="3">
        <f>SUM(AL41:AO41)</f>
        <v>-2.5276454816191709</v>
      </c>
      <c r="AQ41" s="79"/>
      <c r="AR41" s="79"/>
      <c r="AS41" s="79"/>
      <c r="AT41" s="79"/>
      <c r="AU41" s="79"/>
      <c r="AV41" s="79"/>
      <c r="AW41" s="79"/>
      <c r="AX41" s="79"/>
      <c r="AY41" s="79"/>
      <c r="AZ41" s="79"/>
      <c r="BA41" s="7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c r="CN41" s="79"/>
      <c r="CO41" s="79"/>
      <c r="CP41" s="79"/>
      <c r="CQ41" s="79"/>
      <c r="CR41" s="79"/>
      <c r="CS41" s="79"/>
      <c r="CT41" s="79"/>
      <c r="CU41" s="79"/>
      <c r="CV41" s="79"/>
      <c r="CW41" s="79"/>
      <c r="CX41" s="79"/>
    </row>
    <row r="42" spans="2:102">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79"/>
      <c r="AR42" s="79"/>
      <c r="AS42" s="79"/>
      <c r="AT42" s="79"/>
      <c r="AU42" s="79"/>
      <c r="AV42" s="79"/>
      <c r="AW42" s="79"/>
      <c r="AX42" s="79"/>
      <c r="AY42" s="79"/>
      <c r="AZ42" s="79"/>
      <c r="BA42" s="79"/>
      <c r="BB42" s="79"/>
      <c r="BC42" s="79"/>
      <c r="BD42" s="79"/>
      <c r="BE42" s="79"/>
      <c r="BF42" s="79"/>
      <c r="BG42" s="79"/>
      <c r="BH42" s="79"/>
      <c r="BI42" s="79"/>
      <c r="BJ42" s="79"/>
      <c r="BK42" s="79"/>
      <c r="BL42" s="79"/>
      <c r="BM42" s="79"/>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c r="CN42" s="79"/>
      <c r="CO42" s="79"/>
      <c r="CP42" s="79"/>
      <c r="CQ42" s="79"/>
      <c r="CR42" s="79"/>
      <c r="CS42" s="79"/>
      <c r="CT42" s="79"/>
      <c r="CU42" s="79"/>
      <c r="CV42" s="79"/>
      <c r="CW42" s="79"/>
      <c r="CX42" s="79"/>
    </row>
    <row r="43" spans="2:102">
      <c r="B43" s="1" t="s">
        <v>726</v>
      </c>
      <c r="F43" s="3"/>
      <c r="G43" s="3"/>
      <c r="H43" s="3"/>
      <c r="I43" s="3"/>
      <c r="J43" s="3"/>
      <c r="K43" s="3"/>
      <c r="L43" s="3"/>
      <c r="M43" s="3"/>
      <c r="N43" s="3"/>
      <c r="O43" s="3"/>
      <c r="P43" s="3"/>
      <c r="Q43" s="3"/>
      <c r="R43" s="3"/>
      <c r="S43" s="3"/>
      <c r="T43" s="3"/>
      <c r="U43" s="3"/>
      <c r="V43" s="3"/>
      <c r="W43" s="3"/>
      <c r="X43" s="3"/>
      <c r="Y43" s="17">
        <v>1492.3</v>
      </c>
      <c r="Z43" s="3">
        <f>AA43</f>
        <v>1485.5</v>
      </c>
      <c r="AA43" s="3">
        <v>1485.5</v>
      </c>
      <c r="AB43" s="3">
        <f t="shared" ref="AB43:AX43" si="9">AA43+AB46</f>
        <v>1485.5</v>
      </c>
      <c r="AC43" s="3">
        <f t="shared" si="9"/>
        <v>1485.5</v>
      </c>
      <c r="AD43" s="3">
        <f t="shared" si="9"/>
        <v>1485.5</v>
      </c>
      <c r="AE43" s="3">
        <f t="shared" si="9"/>
        <v>1485.5</v>
      </c>
      <c r="AF43" s="3">
        <v>1485.3</v>
      </c>
      <c r="AG43" s="3">
        <f t="shared" si="9"/>
        <v>1485.3</v>
      </c>
      <c r="AH43" s="3">
        <f t="shared" si="9"/>
        <v>1485.3</v>
      </c>
      <c r="AI43" s="3">
        <f t="shared" si="9"/>
        <v>1485.3</v>
      </c>
      <c r="AJ43" s="3">
        <f t="shared" si="9"/>
        <v>1485.3</v>
      </c>
      <c r="AK43" s="3">
        <f t="shared" si="9"/>
        <v>1485.3</v>
      </c>
      <c r="AL43" s="3">
        <f t="shared" si="9"/>
        <v>1485.3</v>
      </c>
      <c r="AM43" s="3">
        <f t="shared" si="9"/>
        <v>1485.3</v>
      </c>
      <c r="AN43" s="3">
        <f t="shared" si="9"/>
        <v>1485.3</v>
      </c>
      <c r="AO43" s="3">
        <f t="shared" si="9"/>
        <v>1485.3</v>
      </c>
      <c r="AP43" s="3">
        <f t="shared" si="9"/>
        <v>1485.3</v>
      </c>
      <c r="AQ43" s="3">
        <f t="shared" si="9"/>
        <v>1485.3</v>
      </c>
      <c r="AR43" s="3">
        <f t="shared" si="9"/>
        <v>1485.3</v>
      </c>
      <c r="AS43" s="3">
        <f t="shared" si="9"/>
        <v>1485.3</v>
      </c>
      <c r="AT43" s="3">
        <f t="shared" si="9"/>
        <v>1485.3</v>
      </c>
      <c r="AU43" s="3">
        <f t="shared" si="9"/>
        <v>1485.3</v>
      </c>
      <c r="AV43" s="3">
        <f t="shared" si="9"/>
        <v>1485.3</v>
      </c>
      <c r="AW43" s="3">
        <f t="shared" si="9"/>
        <v>1485.3</v>
      </c>
      <c r="AX43" s="3">
        <f t="shared" si="9"/>
        <v>0</v>
      </c>
      <c r="AY43" s="79"/>
      <c r="AZ43" s="79"/>
      <c r="BA43" s="79"/>
      <c r="BB43" s="79"/>
      <c r="BC43" s="79"/>
      <c r="BD43" s="79"/>
      <c r="BE43" s="79"/>
      <c r="BF43" s="79"/>
      <c r="BG43" s="79"/>
      <c r="BH43" s="79"/>
      <c r="BI43" s="79"/>
      <c r="BJ43" s="79"/>
      <c r="BK43" s="79"/>
      <c r="BL43" s="79"/>
      <c r="BM43" s="79"/>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c r="CN43" s="79"/>
      <c r="CO43" s="79"/>
      <c r="CP43" s="79"/>
      <c r="CQ43" s="79"/>
      <c r="CR43" s="79"/>
      <c r="CS43" s="79"/>
      <c r="CT43" s="79"/>
      <c r="CU43" s="79"/>
      <c r="CV43" s="79"/>
      <c r="CW43" s="79"/>
      <c r="CX43" s="79"/>
    </row>
    <row r="44" spans="2:102">
      <c r="B44" s="5" t="s">
        <v>459</v>
      </c>
      <c r="F44" s="3"/>
      <c r="G44" s="3"/>
      <c r="H44" s="3"/>
      <c r="I44" s="3"/>
      <c r="J44" s="3"/>
      <c r="K44" s="3"/>
      <c r="L44" s="3"/>
      <c r="M44" s="3"/>
      <c r="N44" s="3"/>
      <c r="O44" s="3"/>
      <c r="P44" s="3"/>
      <c r="Q44" s="3"/>
      <c r="R44" s="3"/>
      <c r="S44" s="3"/>
      <c r="T44" s="3"/>
      <c r="U44" s="3"/>
      <c r="V44" s="3"/>
      <c r="W44" s="3"/>
      <c r="X44" s="3"/>
      <c r="Y44" s="71">
        <v>2.9000000000000001E-2</v>
      </c>
      <c r="Z44" s="71">
        <v>2.9000000000000001E-2</v>
      </c>
      <c r="AA44" s="71">
        <v>2.9000000000000001E-2</v>
      </c>
      <c r="AB44" s="71">
        <v>2.9000000000000001E-2</v>
      </c>
      <c r="AC44" s="71">
        <v>2.9000000000000001E-2</v>
      </c>
      <c r="AD44" s="71">
        <v>2.9000000000000001E-2</v>
      </c>
      <c r="AE44" s="71">
        <v>2.9000000000000001E-2</v>
      </c>
      <c r="AF44" s="71">
        <v>2.9000000000000001E-2</v>
      </c>
      <c r="AG44" s="71">
        <v>2.9000000000000001E-2</v>
      </c>
      <c r="AH44" s="71">
        <v>2.9000000000000001E-2</v>
      </c>
      <c r="AI44" s="71">
        <v>2.9000000000000001E-2</v>
      </c>
      <c r="AJ44" s="71">
        <v>2.9000000000000001E-2</v>
      </c>
      <c r="AK44" s="71">
        <v>2.9000000000000001E-2</v>
      </c>
      <c r="AL44" s="71">
        <v>2.9000000000000001E-2</v>
      </c>
      <c r="AM44" s="71">
        <v>2.9000000000000001E-2</v>
      </c>
      <c r="AN44" s="71">
        <v>2.9000000000000001E-2</v>
      </c>
      <c r="AO44" s="71">
        <v>2.9000000000000001E-2</v>
      </c>
      <c r="AP44" s="71">
        <v>2.9000000000000001E-2</v>
      </c>
      <c r="AQ44" s="71">
        <v>2.9000000000000001E-2</v>
      </c>
      <c r="AR44" s="71">
        <v>2.9000000000000001E-2</v>
      </c>
      <c r="AS44" s="71">
        <v>2.9000000000000001E-2</v>
      </c>
      <c r="AT44" s="71">
        <v>2.9000000000000001E-2</v>
      </c>
      <c r="AU44" s="71">
        <v>2.9000000000000001E-2</v>
      </c>
      <c r="AV44" s="71">
        <v>2.9000000000000001E-2</v>
      </c>
      <c r="AW44" s="71">
        <v>2.9000000000000001E-2</v>
      </c>
      <c r="AX44" s="71">
        <f>AW44</f>
        <v>2.9000000000000001E-2</v>
      </c>
      <c r="AY44" s="79"/>
      <c r="AZ44" s="79"/>
      <c r="BA44" s="79"/>
      <c r="BB44" s="79"/>
      <c r="BC44" s="79"/>
      <c r="BD44" s="79"/>
      <c r="BE44" s="79"/>
      <c r="BF44" s="79"/>
      <c r="BG44" s="79"/>
      <c r="BH44" s="79"/>
      <c r="BI44" s="79"/>
      <c r="BJ44" s="79"/>
      <c r="BK44" s="79"/>
      <c r="BL44" s="79"/>
      <c r="BM44" s="79"/>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c r="CN44" s="79"/>
      <c r="CO44" s="79"/>
      <c r="CP44" s="79"/>
      <c r="CQ44" s="79"/>
      <c r="CR44" s="79"/>
      <c r="CS44" s="79"/>
      <c r="CT44" s="79"/>
      <c r="CU44" s="79"/>
      <c r="CV44" s="79"/>
      <c r="CW44" s="79"/>
      <c r="CX44" s="79"/>
    </row>
    <row r="45" spans="2:102">
      <c r="B45" s="1" t="s">
        <v>116</v>
      </c>
      <c r="F45" s="3"/>
      <c r="G45" s="3"/>
      <c r="H45" s="3"/>
      <c r="I45" s="3"/>
      <c r="J45" s="3"/>
      <c r="K45" s="3"/>
      <c r="L45" s="3"/>
      <c r="M45" s="3"/>
      <c r="N45" s="3"/>
      <c r="O45" s="3"/>
      <c r="P45" s="3"/>
      <c r="Q45" s="3"/>
      <c r="R45" s="3"/>
      <c r="S45" s="3"/>
      <c r="T45" s="3"/>
      <c r="U45" s="3"/>
      <c r="V45" s="3"/>
      <c r="W45" s="3"/>
      <c r="X45" s="3"/>
      <c r="Y45" s="3">
        <f>Z45/3</f>
        <v>3.6063916666666667</v>
      </c>
      <c r="Z45" s="3">
        <f>Z44*Y43/4</f>
        <v>10.819175</v>
      </c>
      <c r="AA45" s="3">
        <f>SUM(W45:Z45)</f>
        <v>14.425566666666667</v>
      </c>
      <c r="AB45" s="3">
        <f t="shared" ref="AB45:AE45" si="10">AB44*AA43/4</f>
        <v>10.769875000000001</v>
      </c>
      <c r="AC45" s="3">
        <f t="shared" si="10"/>
        <v>10.769875000000001</v>
      </c>
      <c r="AD45" s="3">
        <f t="shared" si="10"/>
        <v>10.769875000000001</v>
      </c>
      <c r="AE45" s="3">
        <f t="shared" si="10"/>
        <v>10.769875000000001</v>
      </c>
      <c r="AF45" s="3">
        <f>SUM(AB45:AE45)</f>
        <v>43.079500000000003</v>
      </c>
      <c r="AG45" s="3">
        <f t="shared" ref="AG45" si="11">AG44*AF43/4</f>
        <v>10.768425000000001</v>
      </c>
      <c r="AH45" s="3">
        <f t="shared" ref="AH45" si="12">AH44*AG43/4</f>
        <v>10.768425000000001</v>
      </c>
      <c r="AI45" s="3">
        <f t="shared" ref="AI45" si="13">AI44*AH43/4</f>
        <v>10.768425000000001</v>
      </c>
      <c r="AJ45" s="3">
        <f t="shared" ref="AJ45" si="14">AJ44*AI43/4</f>
        <v>10.768425000000001</v>
      </c>
      <c r="AK45" s="3">
        <f>SUM(AG45:AJ45)</f>
        <v>43.073700000000002</v>
      </c>
      <c r="AL45" s="3">
        <f t="shared" ref="AL45" si="15">AL44*AK43/4</f>
        <v>10.768425000000001</v>
      </c>
      <c r="AM45" s="3">
        <f t="shared" ref="AM45" si="16">AM44*AL43/4</f>
        <v>10.768425000000001</v>
      </c>
      <c r="AN45" s="3">
        <f t="shared" ref="AN45" si="17">AN44*AM43/4</f>
        <v>10.768425000000001</v>
      </c>
      <c r="AO45" s="3">
        <f t="shared" ref="AO45" si="18">AO44*AN43/4</f>
        <v>10.768425000000001</v>
      </c>
      <c r="AP45" s="3">
        <f>SUM(AL45:AO45)</f>
        <v>43.073700000000002</v>
      </c>
      <c r="AQ45" s="3">
        <f t="shared" ref="AQ45" si="19">AQ44*AP43/4</f>
        <v>10.768425000000001</v>
      </c>
      <c r="AR45" s="3">
        <f t="shared" ref="AR45" si="20">AR44*AQ43/4</f>
        <v>10.768425000000001</v>
      </c>
      <c r="AS45" s="3">
        <f t="shared" ref="AS45" si="21">AS44*AR43/4</f>
        <v>10.768425000000001</v>
      </c>
      <c r="AT45" s="3">
        <f t="shared" ref="AT45" si="22">AT44*AS43/4</f>
        <v>10.768425000000001</v>
      </c>
      <c r="AU45" s="3">
        <f>SUM(AQ45:AT45)</f>
        <v>43.073700000000002</v>
      </c>
      <c r="AV45" s="3">
        <f t="shared" ref="AV45" si="23">AV44*AU43/4</f>
        <v>10.768425000000001</v>
      </c>
      <c r="AW45" s="3">
        <f t="shared" ref="AW45" si="24">AW44*AV43/4</f>
        <v>10.768425000000001</v>
      </c>
      <c r="AX45" s="3">
        <f t="shared" ref="AX45" si="25">AX44*AW43/4</f>
        <v>10.768425000000001</v>
      </c>
      <c r="AY45" s="3">
        <f t="shared" ref="AY45" si="26">AY44*AX43/4</f>
        <v>0</v>
      </c>
      <c r="AZ45" s="3">
        <f>SUM(AV45:AY45)</f>
        <v>32.305275000000002</v>
      </c>
      <c r="BA45" s="7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c r="CN45" s="79"/>
      <c r="CO45" s="79"/>
      <c r="CP45" s="79"/>
      <c r="CQ45" s="79"/>
      <c r="CR45" s="79"/>
      <c r="CS45" s="79"/>
      <c r="CT45" s="79"/>
      <c r="CU45" s="79"/>
      <c r="CV45" s="79"/>
      <c r="CW45" s="79"/>
      <c r="CX45" s="79"/>
    </row>
    <row r="46" spans="2:102">
      <c r="B46" s="1" t="s">
        <v>462</v>
      </c>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79"/>
      <c r="AR46" s="79"/>
      <c r="AS46" s="79"/>
      <c r="AT46" s="79"/>
      <c r="AU46" s="79"/>
      <c r="AV46" s="79"/>
      <c r="AW46" s="17"/>
      <c r="AX46" s="17">
        <f>-AW43</f>
        <v>-1485.3</v>
      </c>
      <c r="AY46" s="79"/>
      <c r="AZ46" s="79">
        <f>SUM(AV46:AY46)</f>
        <v>-1485.3</v>
      </c>
      <c r="BA46" s="7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c r="CN46" s="79"/>
      <c r="CO46" s="79"/>
      <c r="CP46" s="79"/>
      <c r="CQ46" s="79"/>
      <c r="CR46" s="79"/>
      <c r="CS46" s="79"/>
      <c r="CT46" s="79"/>
      <c r="CU46" s="79"/>
      <c r="CV46" s="79"/>
      <c r="CW46" s="79"/>
      <c r="CX46" s="79"/>
    </row>
    <row r="47" spans="2:102">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79"/>
      <c r="AR47" s="79"/>
      <c r="AS47" s="79"/>
      <c r="AT47" s="79"/>
      <c r="AU47" s="79"/>
      <c r="AV47" s="79"/>
      <c r="AW47" s="79"/>
      <c r="AX47" s="79"/>
      <c r="AY47" s="79"/>
      <c r="AZ47" s="79"/>
      <c r="BA47" s="79"/>
      <c r="BB47" s="79"/>
      <c r="BC47" s="79"/>
      <c r="BD47" s="79"/>
      <c r="BE47" s="79"/>
      <c r="BF47" s="79"/>
      <c r="BG47" s="79"/>
      <c r="BH47" s="79"/>
      <c r="BI47" s="79"/>
      <c r="BJ47" s="79"/>
      <c r="BK47" s="79"/>
      <c r="BL47" s="79"/>
      <c r="BM47" s="79"/>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c r="CN47" s="79"/>
      <c r="CO47" s="79"/>
      <c r="CP47" s="79"/>
      <c r="CQ47" s="79"/>
      <c r="CR47" s="79"/>
      <c r="CS47" s="79"/>
      <c r="CT47" s="79"/>
      <c r="CU47" s="79"/>
      <c r="CV47" s="79"/>
      <c r="CW47" s="79"/>
      <c r="CX47" s="79"/>
    </row>
    <row r="48" spans="2:102">
      <c r="B48" s="1" t="s">
        <v>727</v>
      </c>
      <c r="F48" s="3"/>
      <c r="G48" s="3"/>
      <c r="H48" s="3"/>
      <c r="I48" s="3"/>
      <c r="J48" s="3"/>
      <c r="K48" s="3"/>
      <c r="L48" s="3"/>
      <c r="M48" s="3"/>
      <c r="N48" s="3"/>
      <c r="O48" s="3"/>
      <c r="P48" s="3"/>
      <c r="Q48" s="3"/>
      <c r="R48" s="3"/>
      <c r="S48" s="3"/>
      <c r="T48" s="3"/>
      <c r="U48" s="3"/>
      <c r="V48" s="3"/>
      <c r="W48" s="3"/>
      <c r="X48" s="3"/>
      <c r="Y48" s="17">
        <v>991.9</v>
      </c>
      <c r="Z48" s="3">
        <f>AA48</f>
        <v>992.2</v>
      </c>
      <c r="AA48" s="3">
        <v>992.2</v>
      </c>
      <c r="AB48" s="3">
        <f t="shared" ref="AB48:BG48" si="27">AA48+AB51</f>
        <v>992.2</v>
      </c>
      <c r="AC48" s="3">
        <f t="shared" si="27"/>
        <v>992.2</v>
      </c>
      <c r="AD48" s="3">
        <f t="shared" si="27"/>
        <v>992.2</v>
      </c>
      <c r="AE48" s="3">
        <f t="shared" si="27"/>
        <v>992.2</v>
      </c>
      <c r="AF48" s="3">
        <v>993.2</v>
      </c>
      <c r="AG48" s="3">
        <f t="shared" si="27"/>
        <v>993.2</v>
      </c>
      <c r="AH48" s="3">
        <f t="shared" si="27"/>
        <v>993.2</v>
      </c>
      <c r="AI48" s="3">
        <f t="shared" si="27"/>
        <v>993.2</v>
      </c>
      <c r="AJ48" s="3">
        <f t="shared" si="27"/>
        <v>993.2</v>
      </c>
      <c r="AK48" s="3">
        <f t="shared" si="27"/>
        <v>993.2</v>
      </c>
      <c r="AL48" s="3">
        <f t="shared" si="27"/>
        <v>993.2</v>
      </c>
      <c r="AM48" s="3">
        <f t="shared" si="27"/>
        <v>993.2</v>
      </c>
      <c r="AN48" s="3">
        <f t="shared" si="27"/>
        <v>993.2</v>
      </c>
      <c r="AO48" s="3">
        <f t="shared" si="27"/>
        <v>993.2</v>
      </c>
      <c r="AP48" s="3">
        <f t="shared" si="27"/>
        <v>993.2</v>
      </c>
      <c r="AQ48" s="3">
        <f t="shared" si="27"/>
        <v>993.2</v>
      </c>
      <c r="AR48" s="3">
        <f t="shared" si="27"/>
        <v>993.2</v>
      </c>
      <c r="AS48" s="3">
        <f t="shared" si="27"/>
        <v>993.2</v>
      </c>
      <c r="AT48" s="3">
        <f t="shared" si="27"/>
        <v>993.2</v>
      </c>
      <c r="AU48" s="3">
        <f t="shared" si="27"/>
        <v>993.2</v>
      </c>
      <c r="AV48" s="3">
        <f t="shared" si="27"/>
        <v>993.2</v>
      </c>
      <c r="AW48" s="3">
        <f t="shared" si="27"/>
        <v>993.2</v>
      </c>
      <c r="AX48" s="3">
        <f t="shared" si="27"/>
        <v>993.2</v>
      </c>
      <c r="AY48" s="3">
        <f t="shared" si="27"/>
        <v>993.2</v>
      </c>
      <c r="AZ48" s="3">
        <f t="shared" si="27"/>
        <v>993.2</v>
      </c>
      <c r="BA48" s="3">
        <f t="shared" si="27"/>
        <v>993.2</v>
      </c>
      <c r="BB48" s="3">
        <f t="shared" si="27"/>
        <v>993.2</v>
      </c>
      <c r="BC48" s="3">
        <f t="shared" si="27"/>
        <v>993.2</v>
      </c>
      <c r="BD48" s="3">
        <f t="shared" si="27"/>
        <v>993.2</v>
      </c>
      <c r="BE48" s="3">
        <f t="shared" si="27"/>
        <v>993.2</v>
      </c>
      <c r="BF48" s="3">
        <f t="shared" si="27"/>
        <v>993.2</v>
      </c>
      <c r="BG48" s="3">
        <f t="shared" si="27"/>
        <v>993.2</v>
      </c>
      <c r="BH48" s="3">
        <f t="shared" ref="BH48" si="28">BG48+BH51</f>
        <v>0</v>
      </c>
      <c r="BI48" s="79"/>
      <c r="BJ48" s="79"/>
      <c r="BK48" s="79"/>
      <c r="BL48" s="79"/>
      <c r="BM48" s="79"/>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c r="CN48" s="79"/>
      <c r="CO48" s="79"/>
      <c r="CP48" s="79"/>
      <c r="CQ48" s="79"/>
      <c r="CR48" s="79"/>
      <c r="CS48" s="79"/>
      <c r="CT48" s="79"/>
      <c r="CU48" s="79"/>
      <c r="CV48" s="79"/>
      <c r="CW48" s="79"/>
      <c r="CX48" s="79"/>
    </row>
    <row r="49" spans="2:178">
      <c r="B49" s="5" t="s">
        <v>459</v>
      </c>
      <c r="F49" s="3"/>
      <c r="G49" s="3"/>
      <c r="H49" s="3"/>
      <c r="I49" s="3"/>
      <c r="J49" s="3"/>
      <c r="K49" s="3"/>
      <c r="L49" s="3"/>
      <c r="M49" s="3"/>
      <c r="N49" s="3"/>
      <c r="O49" s="3"/>
      <c r="P49" s="3"/>
      <c r="Q49" s="3"/>
      <c r="R49" s="3"/>
      <c r="S49" s="3"/>
      <c r="T49" s="3"/>
      <c r="U49" s="3"/>
      <c r="V49" s="3"/>
      <c r="W49" s="3"/>
      <c r="X49" s="3"/>
      <c r="Y49" s="71">
        <v>3.6249999999999998E-2</v>
      </c>
      <c r="Z49" s="71">
        <v>3.6249999999999998E-2</v>
      </c>
      <c r="AA49" s="71">
        <v>3.6249999999999998E-2</v>
      </c>
      <c r="AB49" s="71">
        <v>3.6249999999999998E-2</v>
      </c>
      <c r="AC49" s="71">
        <v>3.6249999999999998E-2</v>
      </c>
      <c r="AD49" s="71">
        <v>3.6249999999999998E-2</v>
      </c>
      <c r="AE49" s="71">
        <v>3.6249999999999998E-2</v>
      </c>
      <c r="AF49" s="71">
        <v>3.6249999999999998E-2</v>
      </c>
      <c r="AG49" s="71">
        <v>3.6249999999999998E-2</v>
      </c>
      <c r="AH49" s="71">
        <v>3.6249999999999998E-2</v>
      </c>
      <c r="AI49" s="71">
        <v>3.6249999999999998E-2</v>
      </c>
      <c r="AJ49" s="71">
        <v>3.6249999999999998E-2</v>
      </c>
      <c r="AK49" s="71">
        <v>3.6249999999999998E-2</v>
      </c>
      <c r="AL49" s="71">
        <v>3.6249999999999998E-2</v>
      </c>
      <c r="AM49" s="71">
        <v>3.6249999999999998E-2</v>
      </c>
      <c r="AN49" s="71">
        <v>3.6249999999999998E-2</v>
      </c>
      <c r="AO49" s="71">
        <v>3.6249999999999998E-2</v>
      </c>
      <c r="AP49" s="71">
        <v>3.6249999999999998E-2</v>
      </c>
      <c r="AQ49" s="71">
        <v>3.6249999999999998E-2</v>
      </c>
      <c r="AR49" s="71">
        <v>3.6249999999999998E-2</v>
      </c>
      <c r="AS49" s="71">
        <v>3.6249999999999998E-2</v>
      </c>
      <c r="AT49" s="71">
        <v>3.6249999999999998E-2</v>
      </c>
      <c r="AU49" s="71">
        <v>3.6249999999999998E-2</v>
      </c>
      <c r="AV49" s="71">
        <v>3.6249999999999998E-2</v>
      </c>
      <c r="AW49" s="71">
        <v>3.6249999999999998E-2</v>
      </c>
      <c r="AX49" s="71">
        <v>3.6249999999999998E-2</v>
      </c>
      <c r="AY49" s="71">
        <v>3.6249999999999998E-2</v>
      </c>
      <c r="AZ49" s="71">
        <v>3.6249999999999998E-2</v>
      </c>
      <c r="BA49" s="71">
        <v>3.6249999999999998E-2</v>
      </c>
      <c r="BB49" s="71">
        <v>3.6249999999999998E-2</v>
      </c>
      <c r="BC49" s="71">
        <v>3.6249999999999998E-2</v>
      </c>
      <c r="BD49" s="71">
        <v>3.6249999999999998E-2</v>
      </c>
      <c r="BE49" s="71">
        <v>3.6249999999999998E-2</v>
      </c>
      <c r="BF49" s="71">
        <v>3.6249999999999998E-2</v>
      </c>
      <c r="BG49" s="71">
        <v>3.6249999999999998E-2</v>
      </c>
      <c r="BH49" s="71">
        <f>BG49</f>
        <v>3.6249999999999998E-2</v>
      </c>
      <c r="BI49" s="79"/>
      <c r="BJ49" s="79"/>
      <c r="BK49" s="79"/>
      <c r="BL49" s="79"/>
      <c r="BM49" s="79"/>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c r="CN49" s="79"/>
      <c r="CO49" s="79"/>
      <c r="CP49" s="79"/>
      <c r="CQ49" s="79"/>
      <c r="CR49" s="79"/>
      <c r="CS49" s="79"/>
      <c r="CT49" s="79"/>
      <c r="CU49" s="79"/>
      <c r="CV49" s="79"/>
      <c r="CW49" s="79"/>
      <c r="CX49" s="79"/>
    </row>
    <row r="50" spans="2:178">
      <c r="B50" s="1" t="s">
        <v>116</v>
      </c>
      <c r="F50" s="3"/>
      <c r="G50" s="3"/>
      <c r="H50" s="3"/>
      <c r="I50" s="3"/>
      <c r="J50" s="3"/>
      <c r="K50" s="3"/>
      <c r="L50" s="3"/>
      <c r="M50" s="3"/>
      <c r="N50" s="3"/>
      <c r="O50" s="3"/>
      <c r="P50" s="3"/>
      <c r="Q50" s="3"/>
      <c r="R50" s="3"/>
      <c r="S50" s="3"/>
      <c r="T50" s="3"/>
      <c r="U50" s="3"/>
      <c r="V50" s="3"/>
      <c r="W50" s="3"/>
      <c r="X50" s="3"/>
      <c r="Y50" s="3">
        <f>Z50/3</f>
        <v>2.996364583333333</v>
      </c>
      <c r="Z50" s="3">
        <f>Y48*Z49/4</f>
        <v>8.9890937499999986</v>
      </c>
      <c r="AA50" s="3">
        <f>SUM(W50:Z50)</f>
        <v>11.985458333333332</v>
      </c>
      <c r="AB50" s="3">
        <f>AA48*AB49/4</f>
        <v>8.9918125</v>
      </c>
      <c r="AC50" s="3">
        <f>AB48*AC49/4</f>
        <v>8.9918125</v>
      </c>
      <c r="AD50" s="3">
        <f>AC48*AD49/4</f>
        <v>8.9918125</v>
      </c>
      <c r="AE50" s="3">
        <f>AD48*AE49/4</f>
        <v>8.9918125</v>
      </c>
      <c r="AF50" s="3">
        <f>SUM(AB50:AE50)</f>
        <v>35.96725</v>
      </c>
      <c r="AG50" s="3">
        <f>AF48*AG49/4</f>
        <v>9.0008750000000006</v>
      </c>
      <c r="AH50" s="3">
        <f>AG48*AH49/4</f>
        <v>9.0008750000000006</v>
      </c>
      <c r="AI50" s="3">
        <f>AH48*AI49/4</f>
        <v>9.0008750000000006</v>
      </c>
      <c r="AJ50" s="3">
        <f>AI48*AJ49/4</f>
        <v>9.0008750000000006</v>
      </c>
      <c r="AK50" s="3">
        <f>SUM(AG50:AJ50)</f>
        <v>36.003500000000003</v>
      </c>
      <c r="AL50" s="3">
        <f>AK48*AL49/4</f>
        <v>9.0008750000000006</v>
      </c>
      <c r="AM50" s="3">
        <f>AL48*AM49/4</f>
        <v>9.0008750000000006</v>
      </c>
      <c r="AN50" s="3">
        <f>AM48*AN49/4</f>
        <v>9.0008750000000006</v>
      </c>
      <c r="AO50" s="3">
        <f>AN48*AO49/4</f>
        <v>9.0008750000000006</v>
      </c>
      <c r="AP50" s="3">
        <f>SUM(AL50:AO50)</f>
        <v>36.003500000000003</v>
      </c>
      <c r="AQ50" s="3">
        <f>AP48*AQ49/4</f>
        <v>9.0008750000000006</v>
      </c>
      <c r="AR50" s="3">
        <f>AQ48*AR49/4</f>
        <v>9.0008750000000006</v>
      </c>
      <c r="AS50" s="3">
        <f>AR48*AS49/4</f>
        <v>9.0008750000000006</v>
      </c>
      <c r="AT50" s="3">
        <f>AS48*AT49/4</f>
        <v>9.0008750000000006</v>
      </c>
      <c r="AU50" s="3">
        <f>SUM(AQ50:AT50)</f>
        <v>36.003500000000003</v>
      </c>
      <c r="AV50" s="3">
        <f>AU48*AV49/4</f>
        <v>9.0008750000000006</v>
      </c>
      <c r="AW50" s="3">
        <f>AV48*AW49/4</f>
        <v>9.0008750000000006</v>
      </c>
      <c r="AX50" s="3">
        <f>AW48*AX49/4</f>
        <v>9.0008750000000006</v>
      </c>
      <c r="AY50" s="3">
        <f>AX48*AY49/4</f>
        <v>9.0008750000000006</v>
      </c>
      <c r="AZ50" s="3">
        <f>SUM(AV50:AY50)</f>
        <v>36.003500000000003</v>
      </c>
      <c r="BA50" s="3">
        <f>AZ48*BA49/4</f>
        <v>9.0008750000000006</v>
      </c>
      <c r="BB50" s="3">
        <f>BA48*BB49/4</f>
        <v>9.0008750000000006</v>
      </c>
      <c r="BC50" s="3">
        <f>BB48*BC49/4</f>
        <v>9.0008750000000006</v>
      </c>
      <c r="BD50" s="3">
        <f>BC48*BD49/4</f>
        <v>9.0008750000000006</v>
      </c>
      <c r="BE50" s="3">
        <f>SUM(BA50:BD50)</f>
        <v>36.003500000000003</v>
      </c>
      <c r="BF50" s="3">
        <f>BE48*BF49/4</f>
        <v>9.0008750000000006</v>
      </c>
      <c r="BG50" s="3">
        <f>BF48*BG49/4</f>
        <v>9.0008750000000006</v>
      </c>
      <c r="BH50" s="3">
        <f t="shared" ref="BH50" si="29">BH49*BG48/4</f>
        <v>9.0008750000000006</v>
      </c>
      <c r="BI50" s="3">
        <f t="shared" ref="BI50" si="30">BI49*BH48/4</f>
        <v>0</v>
      </c>
      <c r="BJ50" s="3">
        <f>SUM(BF50:BI50)</f>
        <v>27.002625000000002</v>
      </c>
      <c r="BK50" s="79"/>
      <c r="BL50" s="79"/>
      <c r="BM50" s="79"/>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c r="CN50" s="79"/>
      <c r="CO50" s="79"/>
      <c r="CP50" s="79"/>
      <c r="CQ50" s="79"/>
      <c r="CR50" s="79"/>
      <c r="CS50" s="79"/>
      <c r="CT50" s="79"/>
      <c r="CU50" s="79"/>
      <c r="CV50" s="79"/>
      <c r="CW50" s="79"/>
      <c r="CX50" s="79"/>
    </row>
    <row r="51" spans="2:178">
      <c r="B51" s="1" t="s">
        <v>462</v>
      </c>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79"/>
      <c r="AR51" s="79"/>
      <c r="AS51" s="79"/>
      <c r="AT51" s="79"/>
      <c r="AU51" s="79"/>
      <c r="AV51" s="79"/>
      <c r="AW51" s="79"/>
      <c r="AX51" s="79"/>
      <c r="AY51" s="79"/>
      <c r="AZ51" s="79"/>
      <c r="BA51" s="79"/>
      <c r="BB51" s="79"/>
      <c r="BC51" s="79"/>
      <c r="BD51" s="79"/>
      <c r="BE51" s="79"/>
      <c r="BF51" s="79"/>
      <c r="BG51" s="17"/>
      <c r="BH51" s="17">
        <f>-BG48</f>
        <v>-993.2</v>
      </c>
      <c r="BI51" s="79"/>
      <c r="BJ51" s="79">
        <f>SUM(BF51:BI51)</f>
        <v>-993.2</v>
      </c>
      <c r="BK51" s="79"/>
      <c r="BL51" s="79"/>
      <c r="BM51" s="79"/>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c r="CN51" s="79"/>
      <c r="CO51" s="79"/>
      <c r="CP51" s="79"/>
      <c r="CQ51" s="79"/>
      <c r="CR51" s="79"/>
      <c r="CS51" s="79"/>
      <c r="CT51" s="79"/>
      <c r="CU51" s="79"/>
      <c r="CV51" s="79"/>
      <c r="CW51" s="79"/>
      <c r="CX51" s="79"/>
    </row>
    <row r="52" spans="2:178">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c r="CN52" s="79"/>
      <c r="CO52" s="79"/>
      <c r="CP52" s="79"/>
      <c r="CQ52" s="79"/>
      <c r="CR52" s="79"/>
      <c r="CS52" s="79"/>
      <c r="CT52" s="79"/>
      <c r="CU52" s="79"/>
      <c r="CV52" s="79"/>
      <c r="CW52" s="79"/>
      <c r="CX52" s="79"/>
    </row>
    <row r="53" spans="2:178">
      <c r="B53" s="1" t="s">
        <v>728</v>
      </c>
      <c r="F53" s="3"/>
      <c r="G53" s="3"/>
      <c r="H53" s="3"/>
      <c r="I53" s="3"/>
      <c r="J53" s="3"/>
      <c r="K53" s="3"/>
      <c r="L53" s="3"/>
      <c r="M53" s="3"/>
      <c r="N53" s="3"/>
      <c r="O53" s="3"/>
      <c r="P53" s="3"/>
      <c r="Q53" s="3"/>
      <c r="R53" s="3"/>
      <c r="S53" s="3"/>
      <c r="T53" s="3"/>
      <c r="U53" s="3"/>
      <c r="V53" s="3"/>
      <c r="W53" s="3"/>
      <c r="X53" s="3"/>
      <c r="Y53" s="3">
        <v>1733.1</v>
      </c>
      <c r="Z53" s="3">
        <f>AA53</f>
        <v>1733.4</v>
      </c>
      <c r="AA53" s="3">
        <v>1733.4</v>
      </c>
      <c r="AB53" s="3">
        <f t="shared" ref="AB53:BV53" si="31">AA53+AB56</f>
        <v>1733.4</v>
      </c>
      <c r="AC53" s="3">
        <f t="shared" si="31"/>
        <v>1733.4</v>
      </c>
      <c r="AD53" s="3">
        <f t="shared" si="31"/>
        <v>1733.4</v>
      </c>
      <c r="AE53" s="3">
        <f t="shared" si="31"/>
        <v>1733.4</v>
      </c>
      <c r="AF53" s="3">
        <v>1734.8</v>
      </c>
      <c r="AG53" s="3">
        <f t="shared" si="31"/>
        <v>1734.8</v>
      </c>
      <c r="AH53" s="3">
        <f t="shared" si="31"/>
        <v>1734.8</v>
      </c>
      <c r="AI53" s="3">
        <f t="shared" si="31"/>
        <v>1734.8</v>
      </c>
      <c r="AJ53" s="3">
        <f t="shared" si="31"/>
        <v>1734.8</v>
      </c>
      <c r="AK53" s="3">
        <f t="shared" si="31"/>
        <v>1734.8</v>
      </c>
      <c r="AL53" s="3">
        <f t="shared" si="31"/>
        <v>1734.8</v>
      </c>
      <c r="AM53" s="3">
        <f t="shared" si="31"/>
        <v>1734.8</v>
      </c>
      <c r="AN53" s="3">
        <f t="shared" si="31"/>
        <v>1734.8</v>
      </c>
      <c r="AO53" s="3">
        <f t="shared" si="31"/>
        <v>1734.8</v>
      </c>
      <c r="AP53" s="3">
        <f t="shared" si="31"/>
        <v>1734.8</v>
      </c>
      <c r="AQ53" s="3">
        <f t="shared" si="31"/>
        <v>1734.8</v>
      </c>
      <c r="AR53" s="3">
        <f t="shared" si="31"/>
        <v>1734.8</v>
      </c>
      <c r="AS53" s="3">
        <f t="shared" si="31"/>
        <v>1734.8</v>
      </c>
      <c r="AT53" s="3">
        <f t="shared" si="31"/>
        <v>1734.8</v>
      </c>
      <c r="AU53" s="3">
        <f t="shared" si="31"/>
        <v>1734.8</v>
      </c>
      <c r="AV53" s="3">
        <f t="shared" si="31"/>
        <v>1734.8</v>
      </c>
      <c r="AW53" s="3">
        <f t="shared" si="31"/>
        <v>1734.8</v>
      </c>
      <c r="AX53" s="3">
        <f t="shared" si="31"/>
        <v>1734.8</v>
      </c>
      <c r="AY53" s="3">
        <f t="shared" si="31"/>
        <v>1734.8</v>
      </c>
      <c r="AZ53" s="3">
        <f t="shared" si="31"/>
        <v>1734.8</v>
      </c>
      <c r="BA53" s="3">
        <f t="shared" si="31"/>
        <v>1734.8</v>
      </c>
      <c r="BB53" s="3">
        <f t="shared" si="31"/>
        <v>1734.8</v>
      </c>
      <c r="BC53" s="3">
        <f t="shared" si="31"/>
        <v>1734.8</v>
      </c>
      <c r="BD53" s="3">
        <f t="shared" si="31"/>
        <v>1734.8</v>
      </c>
      <c r="BE53" s="3">
        <f t="shared" si="31"/>
        <v>1734.8</v>
      </c>
      <c r="BF53" s="3">
        <f t="shared" si="31"/>
        <v>1734.8</v>
      </c>
      <c r="BG53" s="3">
        <f t="shared" si="31"/>
        <v>1734.8</v>
      </c>
      <c r="BH53" s="3">
        <f t="shared" si="31"/>
        <v>1734.8</v>
      </c>
      <c r="BI53" s="3">
        <f t="shared" si="31"/>
        <v>1734.8</v>
      </c>
      <c r="BJ53" s="3">
        <f t="shared" si="31"/>
        <v>1734.8</v>
      </c>
      <c r="BK53" s="3">
        <f t="shared" si="31"/>
        <v>1734.8</v>
      </c>
      <c r="BL53" s="3">
        <f t="shared" si="31"/>
        <v>1734.8</v>
      </c>
      <c r="BM53" s="3">
        <f t="shared" si="31"/>
        <v>1734.8</v>
      </c>
      <c r="BN53" s="3">
        <f t="shared" si="31"/>
        <v>1734.8</v>
      </c>
      <c r="BO53" s="3">
        <f t="shared" si="31"/>
        <v>1734.8</v>
      </c>
      <c r="BP53" s="3">
        <f t="shared" si="31"/>
        <v>1734.8</v>
      </c>
      <c r="BQ53" s="3">
        <f t="shared" si="31"/>
        <v>1734.8</v>
      </c>
      <c r="BR53" s="3">
        <f t="shared" si="31"/>
        <v>1734.8</v>
      </c>
      <c r="BS53" s="3">
        <f t="shared" si="31"/>
        <v>1734.8</v>
      </c>
      <c r="BT53" s="3">
        <f t="shared" si="31"/>
        <v>1734.8</v>
      </c>
      <c r="BU53" s="3">
        <f t="shared" si="31"/>
        <v>1734.8</v>
      </c>
      <c r="BV53" s="3">
        <f t="shared" si="31"/>
        <v>1734.8</v>
      </c>
      <c r="BW53" s="3">
        <f t="shared" ref="BW53" si="32">BV53+BW56</f>
        <v>0</v>
      </c>
      <c r="BX53" s="79"/>
      <c r="BY53" s="79"/>
      <c r="BZ53" s="79"/>
      <c r="CA53" s="79"/>
      <c r="CB53" s="79"/>
      <c r="CC53" s="79"/>
      <c r="CD53" s="79"/>
      <c r="CE53" s="79"/>
      <c r="CF53" s="79"/>
      <c r="CG53" s="79"/>
      <c r="CH53" s="79"/>
      <c r="CI53" s="79"/>
      <c r="CJ53" s="79"/>
      <c r="CK53" s="79"/>
      <c r="CL53" s="79"/>
      <c r="CM53" s="79"/>
      <c r="CN53" s="79"/>
      <c r="CO53" s="79"/>
      <c r="CP53" s="79"/>
      <c r="CQ53" s="79"/>
      <c r="CR53" s="79"/>
      <c r="CS53" s="79"/>
      <c r="CT53" s="79"/>
      <c r="CU53" s="79"/>
      <c r="CV53" s="79"/>
      <c r="CW53" s="79"/>
      <c r="CX53" s="79"/>
    </row>
    <row r="54" spans="2:178">
      <c r="B54" s="5" t="s">
        <v>459</v>
      </c>
      <c r="F54" s="3"/>
      <c r="G54" s="3"/>
      <c r="H54" s="3"/>
      <c r="I54" s="3"/>
      <c r="J54" s="3"/>
      <c r="K54" s="3"/>
      <c r="L54" s="3"/>
      <c r="M54" s="3"/>
      <c r="N54" s="3"/>
      <c r="O54" s="3"/>
      <c r="P54" s="3"/>
      <c r="Q54" s="3"/>
      <c r="R54" s="3"/>
      <c r="S54" s="3"/>
      <c r="T54" s="3"/>
      <c r="U54" s="3"/>
      <c r="V54" s="3"/>
      <c r="W54" s="3"/>
      <c r="X54" s="3"/>
      <c r="Y54" s="71">
        <v>4.0500000000000001E-2</v>
      </c>
      <c r="Z54" s="71">
        <f>Y54</f>
        <v>4.0500000000000001E-2</v>
      </c>
      <c r="AA54" s="71">
        <f t="shared" ref="AA54:BV54" si="33">Z54</f>
        <v>4.0500000000000001E-2</v>
      </c>
      <c r="AB54" s="71">
        <f t="shared" si="33"/>
        <v>4.0500000000000001E-2</v>
      </c>
      <c r="AC54" s="71">
        <f t="shared" si="33"/>
        <v>4.0500000000000001E-2</v>
      </c>
      <c r="AD54" s="71">
        <f t="shared" si="33"/>
        <v>4.0500000000000001E-2</v>
      </c>
      <c r="AE54" s="71">
        <f t="shared" si="33"/>
        <v>4.0500000000000001E-2</v>
      </c>
      <c r="AF54" s="71">
        <f t="shared" si="33"/>
        <v>4.0500000000000001E-2</v>
      </c>
      <c r="AG54" s="71">
        <f t="shared" si="33"/>
        <v>4.0500000000000001E-2</v>
      </c>
      <c r="AH54" s="71">
        <f t="shared" si="33"/>
        <v>4.0500000000000001E-2</v>
      </c>
      <c r="AI54" s="71">
        <f t="shared" si="33"/>
        <v>4.0500000000000001E-2</v>
      </c>
      <c r="AJ54" s="71">
        <f t="shared" si="33"/>
        <v>4.0500000000000001E-2</v>
      </c>
      <c r="AK54" s="71">
        <f t="shared" si="33"/>
        <v>4.0500000000000001E-2</v>
      </c>
      <c r="AL54" s="71">
        <f t="shared" si="33"/>
        <v>4.0500000000000001E-2</v>
      </c>
      <c r="AM54" s="71">
        <f t="shared" si="33"/>
        <v>4.0500000000000001E-2</v>
      </c>
      <c r="AN54" s="71">
        <f t="shared" si="33"/>
        <v>4.0500000000000001E-2</v>
      </c>
      <c r="AO54" s="71">
        <f t="shared" si="33"/>
        <v>4.0500000000000001E-2</v>
      </c>
      <c r="AP54" s="71">
        <f t="shared" si="33"/>
        <v>4.0500000000000001E-2</v>
      </c>
      <c r="AQ54" s="71">
        <f t="shared" si="33"/>
        <v>4.0500000000000001E-2</v>
      </c>
      <c r="AR54" s="71">
        <f t="shared" si="33"/>
        <v>4.0500000000000001E-2</v>
      </c>
      <c r="AS54" s="71">
        <f t="shared" si="33"/>
        <v>4.0500000000000001E-2</v>
      </c>
      <c r="AT54" s="71">
        <f t="shared" si="33"/>
        <v>4.0500000000000001E-2</v>
      </c>
      <c r="AU54" s="71">
        <f t="shared" si="33"/>
        <v>4.0500000000000001E-2</v>
      </c>
      <c r="AV54" s="71">
        <f t="shared" si="33"/>
        <v>4.0500000000000001E-2</v>
      </c>
      <c r="AW54" s="71">
        <f t="shared" si="33"/>
        <v>4.0500000000000001E-2</v>
      </c>
      <c r="AX54" s="71">
        <f t="shared" si="33"/>
        <v>4.0500000000000001E-2</v>
      </c>
      <c r="AY54" s="71">
        <f t="shared" si="33"/>
        <v>4.0500000000000001E-2</v>
      </c>
      <c r="AZ54" s="71">
        <f t="shared" si="33"/>
        <v>4.0500000000000001E-2</v>
      </c>
      <c r="BA54" s="71">
        <f t="shared" si="33"/>
        <v>4.0500000000000001E-2</v>
      </c>
      <c r="BB54" s="71">
        <f t="shared" si="33"/>
        <v>4.0500000000000001E-2</v>
      </c>
      <c r="BC54" s="71">
        <f t="shared" si="33"/>
        <v>4.0500000000000001E-2</v>
      </c>
      <c r="BD54" s="71">
        <f t="shared" si="33"/>
        <v>4.0500000000000001E-2</v>
      </c>
      <c r="BE54" s="71">
        <f t="shared" si="33"/>
        <v>4.0500000000000001E-2</v>
      </c>
      <c r="BF54" s="71">
        <f t="shared" si="33"/>
        <v>4.0500000000000001E-2</v>
      </c>
      <c r="BG54" s="71">
        <f t="shared" si="33"/>
        <v>4.0500000000000001E-2</v>
      </c>
      <c r="BH54" s="71">
        <f t="shared" si="33"/>
        <v>4.0500000000000001E-2</v>
      </c>
      <c r="BI54" s="71">
        <f t="shared" si="33"/>
        <v>4.0500000000000001E-2</v>
      </c>
      <c r="BJ54" s="71">
        <f t="shared" si="33"/>
        <v>4.0500000000000001E-2</v>
      </c>
      <c r="BK54" s="71">
        <f t="shared" si="33"/>
        <v>4.0500000000000001E-2</v>
      </c>
      <c r="BL54" s="71">
        <f t="shared" si="33"/>
        <v>4.0500000000000001E-2</v>
      </c>
      <c r="BM54" s="71">
        <f t="shared" si="33"/>
        <v>4.0500000000000001E-2</v>
      </c>
      <c r="BN54" s="71">
        <f t="shared" si="33"/>
        <v>4.0500000000000001E-2</v>
      </c>
      <c r="BO54" s="71">
        <f t="shared" si="33"/>
        <v>4.0500000000000001E-2</v>
      </c>
      <c r="BP54" s="71">
        <f t="shared" si="33"/>
        <v>4.0500000000000001E-2</v>
      </c>
      <c r="BQ54" s="71">
        <f t="shared" si="33"/>
        <v>4.0500000000000001E-2</v>
      </c>
      <c r="BR54" s="71">
        <f t="shared" si="33"/>
        <v>4.0500000000000001E-2</v>
      </c>
      <c r="BS54" s="71">
        <f t="shared" si="33"/>
        <v>4.0500000000000001E-2</v>
      </c>
      <c r="BT54" s="71">
        <f t="shared" si="33"/>
        <v>4.0500000000000001E-2</v>
      </c>
      <c r="BU54" s="71">
        <f t="shared" si="33"/>
        <v>4.0500000000000001E-2</v>
      </c>
      <c r="BV54" s="71">
        <f t="shared" si="33"/>
        <v>4.0500000000000001E-2</v>
      </c>
      <c r="BW54" s="71">
        <f>BV54</f>
        <v>4.0500000000000001E-2</v>
      </c>
      <c r="BX54" s="79"/>
      <c r="BY54" s="79"/>
      <c r="BZ54" s="79"/>
      <c r="CA54" s="79"/>
      <c r="CB54" s="79"/>
      <c r="CC54" s="79"/>
      <c r="CD54" s="79"/>
      <c r="CE54" s="79"/>
      <c r="CF54" s="79"/>
      <c r="CG54" s="79"/>
      <c r="CH54" s="79"/>
      <c r="CI54" s="79"/>
      <c r="CJ54" s="79"/>
      <c r="CK54" s="79"/>
      <c r="CL54" s="79"/>
      <c r="CM54" s="79"/>
      <c r="CN54" s="79"/>
      <c r="CO54" s="79"/>
      <c r="CP54" s="79"/>
      <c r="CQ54" s="79"/>
      <c r="CR54" s="79"/>
      <c r="CS54" s="79"/>
      <c r="CT54" s="79"/>
      <c r="CU54" s="79"/>
      <c r="CV54" s="79"/>
      <c r="CW54" s="79"/>
      <c r="CX54" s="79"/>
    </row>
    <row r="55" spans="2:178">
      <c r="B55" s="1" t="s">
        <v>116</v>
      </c>
      <c r="F55" s="3"/>
      <c r="G55" s="3"/>
      <c r="H55" s="3"/>
      <c r="I55" s="3"/>
      <c r="J55" s="3"/>
      <c r="K55" s="3"/>
      <c r="L55" s="3"/>
      <c r="M55" s="3"/>
      <c r="N55" s="3"/>
      <c r="O55" s="3"/>
      <c r="P55" s="3"/>
      <c r="Q55" s="3"/>
      <c r="R55" s="3"/>
      <c r="S55" s="3"/>
      <c r="T55" s="3"/>
      <c r="U55" s="3"/>
      <c r="V55" s="3"/>
      <c r="W55" s="3"/>
      <c r="X55" s="3"/>
      <c r="Y55" s="3">
        <f>Z55/3</f>
        <v>5.8492125000000001</v>
      </c>
      <c r="Z55" s="3">
        <f>Y53*Z54/4</f>
        <v>17.5476375</v>
      </c>
      <c r="AA55" s="3">
        <f>SUM(W55:Z55)</f>
        <v>23.396850000000001</v>
      </c>
      <c r="AB55" s="3">
        <f>AA53*AB54/4</f>
        <v>17.550675000000002</v>
      </c>
      <c r="AC55" s="3">
        <f>AB53*AC54/4</f>
        <v>17.550675000000002</v>
      </c>
      <c r="AD55" s="3">
        <f>AC53*AD54/4</f>
        <v>17.550675000000002</v>
      </c>
      <c r="AE55" s="3">
        <f>AD53*AE54/4</f>
        <v>17.550675000000002</v>
      </c>
      <c r="AF55" s="3">
        <f>SUM(AB55:AE55)</f>
        <v>70.202700000000007</v>
      </c>
      <c r="AG55" s="3">
        <f>AF53*AG54/4</f>
        <v>17.56485</v>
      </c>
      <c r="AH55" s="3">
        <f>AG53*AH54/4</f>
        <v>17.56485</v>
      </c>
      <c r="AI55" s="3">
        <f>AH53*AI54/4</f>
        <v>17.56485</v>
      </c>
      <c r="AJ55" s="3">
        <f>AI53*AJ54/4</f>
        <v>17.56485</v>
      </c>
      <c r="AK55" s="3">
        <f>SUM(AG55:AJ55)</f>
        <v>70.259399999999999</v>
      </c>
      <c r="AL55" s="3">
        <f>AK53*AL54/4</f>
        <v>17.56485</v>
      </c>
      <c r="AM55" s="3">
        <f>AL53*AM54/4</f>
        <v>17.56485</v>
      </c>
      <c r="AN55" s="3">
        <f>AM53*AN54/4</f>
        <v>17.56485</v>
      </c>
      <c r="AO55" s="3">
        <f>AN53*AO54/4</f>
        <v>17.56485</v>
      </c>
      <c r="AP55" s="3">
        <f>SUM(AL55:AO55)</f>
        <v>70.259399999999999</v>
      </c>
      <c r="AQ55" s="3">
        <f>AP53*AQ54/4</f>
        <v>17.56485</v>
      </c>
      <c r="AR55" s="3">
        <f>AQ53*AR54/4</f>
        <v>17.56485</v>
      </c>
      <c r="AS55" s="3">
        <f>AR53*AS54/4</f>
        <v>17.56485</v>
      </c>
      <c r="AT55" s="3">
        <f>AS53*AT54/4</f>
        <v>17.56485</v>
      </c>
      <c r="AU55" s="3">
        <f>SUM(AQ55:AT55)</f>
        <v>70.259399999999999</v>
      </c>
      <c r="AV55" s="3">
        <f>AU53*AV54/4</f>
        <v>17.56485</v>
      </c>
      <c r="AW55" s="3">
        <f>AV53*AW54/4</f>
        <v>17.56485</v>
      </c>
      <c r="AX55" s="3">
        <f>AW53*AX54/4</f>
        <v>17.56485</v>
      </c>
      <c r="AY55" s="3">
        <f>AX53*AY54/4</f>
        <v>17.56485</v>
      </c>
      <c r="AZ55" s="3">
        <f>SUM(AV55:AY55)</f>
        <v>70.259399999999999</v>
      </c>
      <c r="BA55" s="3">
        <f>AZ53*BA54/4</f>
        <v>17.56485</v>
      </c>
      <c r="BB55" s="3">
        <f>BA53*BB54/4</f>
        <v>17.56485</v>
      </c>
      <c r="BC55" s="3">
        <f>BB53*BC54/4</f>
        <v>17.56485</v>
      </c>
      <c r="BD55" s="3">
        <f>BC53*BD54/4</f>
        <v>17.56485</v>
      </c>
      <c r="BE55" s="3">
        <f>SUM(BA55:BD55)</f>
        <v>70.259399999999999</v>
      </c>
      <c r="BF55" s="3">
        <f>BE53*BF54/4</f>
        <v>17.56485</v>
      </c>
      <c r="BG55" s="3">
        <f>BF53*BG54/4</f>
        <v>17.56485</v>
      </c>
      <c r="BH55" s="3">
        <f>BG53*BH54/4</f>
        <v>17.56485</v>
      </c>
      <c r="BI55" s="3">
        <f>BH53*BI54/4</f>
        <v>17.56485</v>
      </c>
      <c r="BJ55" s="3">
        <f>SUM(BF55:BI55)</f>
        <v>70.259399999999999</v>
      </c>
      <c r="BK55" s="3">
        <f>BJ53*BK54/4</f>
        <v>17.56485</v>
      </c>
      <c r="BL55" s="3">
        <f>BK53*BL54/4</f>
        <v>17.56485</v>
      </c>
      <c r="BM55" s="3">
        <f>BL53*BM54/4</f>
        <v>17.56485</v>
      </c>
      <c r="BN55" s="3">
        <f>BM53*BN54/4</f>
        <v>17.56485</v>
      </c>
      <c r="BO55" s="3">
        <f>SUM(BK55:BN55)</f>
        <v>70.259399999999999</v>
      </c>
      <c r="BP55" s="3">
        <f>BO53*BP54/4</f>
        <v>17.56485</v>
      </c>
      <c r="BQ55" s="3">
        <f>BP53*BQ54/4</f>
        <v>17.56485</v>
      </c>
      <c r="BR55" s="3">
        <f>BQ53*BR54/4</f>
        <v>17.56485</v>
      </c>
      <c r="BS55" s="3">
        <f>BR53*BS54/4</f>
        <v>17.56485</v>
      </c>
      <c r="BT55" s="3">
        <f>SUM(BP55:BS55)</f>
        <v>70.259399999999999</v>
      </c>
      <c r="BU55" s="3">
        <f>BT53*BU54/4</f>
        <v>17.56485</v>
      </c>
      <c r="BV55" s="3">
        <f>BU53*BV54/4</f>
        <v>17.56485</v>
      </c>
      <c r="BW55" s="3">
        <f t="shared" ref="BW55" si="34">BW54*BV53/4</f>
        <v>17.56485</v>
      </c>
      <c r="BX55" s="3">
        <f t="shared" ref="BX55" si="35">BX54*BW53/4</f>
        <v>0</v>
      </c>
      <c r="BY55" s="3">
        <f>SUM(BU55:BX55)</f>
        <v>52.69455</v>
      </c>
      <c r="BZ55" s="79"/>
      <c r="CA55" s="79"/>
      <c r="CB55" s="79"/>
      <c r="CC55" s="79"/>
      <c r="CD55" s="79"/>
      <c r="CE55" s="79"/>
      <c r="CF55" s="79"/>
      <c r="CG55" s="79"/>
      <c r="CH55" s="79"/>
      <c r="CI55" s="79"/>
      <c r="CJ55" s="79"/>
      <c r="CK55" s="79"/>
      <c r="CL55" s="79"/>
      <c r="CM55" s="79"/>
      <c r="CN55" s="79"/>
      <c r="CO55" s="79"/>
      <c r="CP55" s="79"/>
      <c r="CQ55" s="79"/>
      <c r="CR55" s="79"/>
      <c r="CS55" s="79"/>
      <c r="CT55" s="79"/>
      <c r="CU55" s="79"/>
      <c r="CV55" s="79"/>
      <c r="CW55" s="79"/>
      <c r="CX55" s="79"/>
    </row>
    <row r="56" spans="2:178">
      <c r="B56" s="1" t="s">
        <v>462</v>
      </c>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79"/>
      <c r="AR56" s="79"/>
      <c r="AS56" s="79"/>
      <c r="AT56" s="79"/>
      <c r="AU56" s="79"/>
      <c r="AV56" s="79"/>
      <c r="AW56" s="79"/>
      <c r="AX56" s="79"/>
      <c r="AY56" s="79"/>
      <c r="AZ56" s="79"/>
      <c r="BA56" s="79"/>
      <c r="BB56" s="79"/>
      <c r="BC56" s="79"/>
      <c r="BD56" s="79"/>
      <c r="BE56" s="79"/>
      <c r="BF56" s="79"/>
      <c r="BG56" s="79"/>
      <c r="BH56" s="79"/>
      <c r="BI56" s="79"/>
      <c r="BJ56" s="79"/>
      <c r="BK56" s="79"/>
      <c r="BL56" s="79"/>
      <c r="BM56" s="79"/>
      <c r="BN56" s="79"/>
      <c r="BO56" s="79"/>
      <c r="BP56" s="79"/>
      <c r="BQ56" s="79"/>
      <c r="BR56" s="79"/>
      <c r="BS56" s="79"/>
      <c r="BT56" s="79"/>
      <c r="BU56" s="79"/>
      <c r="BV56" s="79"/>
      <c r="BW56" s="17">
        <f>-BV53</f>
        <v>-1734.8</v>
      </c>
      <c r="BX56" s="79"/>
      <c r="BY56" s="79">
        <f>SUM(BU56:BX56)</f>
        <v>-1734.8</v>
      </c>
      <c r="BZ56" s="79"/>
      <c r="CA56" s="79"/>
      <c r="CB56" s="79"/>
      <c r="CC56" s="79"/>
      <c r="CD56" s="79"/>
      <c r="CE56" s="79"/>
      <c r="CF56" s="79"/>
      <c r="CG56" s="79"/>
      <c r="CH56" s="79"/>
      <c r="CI56" s="79"/>
      <c r="CJ56" s="79"/>
      <c r="CK56" s="79"/>
      <c r="CL56" s="79"/>
      <c r="CM56" s="79"/>
      <c r="CN56" s="79"/>
      <c r="CO56" s="79"/>
      <c r="CP56" s="79"/>
      <c r="CQ56" s="79"/>
      <c r="CR56" s="79"/>
      <c r="CS56" s="79"/>
      <c r="CT56" s="79"/>
      <c r="CU56" s="79"/>
      <c r="CV56" s="79"/>
      <c r="CW56" s="79"/>
      <c r="CX56" s="79"/>
    </row>
    <row r="57" spans="2:178">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79"/>
      <c r="AR57" s="79"/>
      <c r="AS57" s="79"/>
      <c r="AT57" s="79"/>
      <c r="AU57" s="79"/>
      <c r="AV57" s="79"/>
      <c r="AW57" s="79"/>
      <c r="AX57" s="79"/>
      <c r="AY57" s="79"/>
      <c r="AZ57" s="79"/>
      <c r="BA57" s="7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c r="CR57" s="79"/>
      <c r="CS57" s="79"/>
      <c r="CT57" s="79"/>
      <c r="CU57" s="79"/>
      <c r="CV57" s="79"/>
      <c r="CW57" s="79"/>
      <c r="CX57" s="79"/>
    </row>
    <row r="58" spans="2:178">
      <c r="B58" s="1" t="s">
        <v>729</v>
      </c>
      <c r="F58" s="3"/>
      <c r="G58" s="3"/>
      <c r="H58" s="3"/>
      <c r="I58" s="3"/>
      <c r="J58" s="3"/>
      <c r="K58" s="3"/>
      <c r="L58" s="3"/>
      <c r="M58" s="3"/>
      <c r="N58" s="3"/>
      <c r="O58" s="3"/>
      <c r="P58" s="3"/>
      <c r="Q58" s="3"/>
      <c r="R58" s="3"/>
      <c r="S58" s="3"/>
      <c r="T58" s="3"/>
      <c r="U58" s="3"/>
      <c r="V58" s="3"/>
      <c r="W58" s="3"/>
      <c r="X58" s="3"/>
      <c r="Y58" s="3">
        <v>1721</v>
      </c>
      <c r="Z58" s="3">
        <f>AA58</f>
        <v>1721.1</v>
      </c>
      <c r="AA58" s="3">
        <v>1721.1</v>
      </c>
      <c r="AB58" s="3">
        <f t="shared" ref="AB58:CL58" si="36">AA58+AB61</f>
        <v>1721.1</v>
      </c>
      <c r="AC58" s="3">
        <f t="shared" si="36"/>
        <v>1721.1</v>
      </c>
      <c r="AD58" s="3">
        <f t="shared" si="36"/>
        <v>1721.1</v>
      </c>
      <c r="AE58" s="3">
        <f t="shared" si="36"/>
        <v>1721.1</v>
      </c>
      <c r="AF58" s="3">
        <v>1721.5</v>
      </c>
      <c r="AG58" s="3">
        <f t="shared" si="36"/>
        <v>1721.5</v>
      </c>
      <c r="AH58" s="3">
        <f t="shared" si="36"/>
        <v>1721.5</v>
      </c>
      <c r="AI58" s="3">
        <f t="shared" si="36"/>
        <v>1721.5</v>
      </c>
      <c r="AJ58" s="3">
        <f t="shared" si="36"/>
        <v>1721.5</v>
      </c>
      <c r="AK58" s="3">
        <f t="shared" si="36"/>
        <v>1721.5</v>
      </c>
      <c r="AL58" s="3">
        <f t="shared" si="36"/>
        <v>1721.5</v>
      </c>
      <c r="AM58" s="3">
        <f t="shared" si="36"/>
        <v>1721.5</v>
      </c>
      <c r="AN58" s="3">
        <f t="shared" si="36"/>
        <v>1721.5</v>
      </c>
      <c r="AO58" s="3">
        <f t="shared" si="36"/>
        <v>1721.5</v>
      </c>
      <c r="AP58" s="3">
        <f t="shared" si="36"/>
        <v>1721.5</v>
      </c>
      <c r="AQ58" s="3">
        <f t="shared" si="36"/>
        <v>1721.5</v>
      </c>
      <c r="AR58" s="3">
        <f t="shared" si="36"/>
        <v>1721.5</v>
      </c>
      <c r="AS58" s="3">
        <f t="shared" si="36"/>
        <v>1721.5</v>
      </c>
      <c r="AT58" s="3">
        <f t="shared" si="36"/>
        <v>1721.5</v>
      </c>
      <c r="AU58" s="3">
        <f t="shared" si="36"/>
        <v>1721.5</v>
      </c>
      <c r="AV58" s="3">
        <f t="shared" si="36"/>
        <v>1721.5</v>
      </c>
      <c r="AW58" s="3">
        <f t="shared" si="36"/>
        <v>1721.5</v>
      </c>
      <c r="AX58" s="3">
        <f t="shared" si="36"/>
        <v>1721.5</v>
      </c>
      <c r="AY58" s="3">
        <f t="shared" si="36"/>
        <v>1721.5</v>
      </c>
      <c r="AZ58" s="3">
        <f t="shared" si="36"/>
        <v>1721.5</v>
      </c>
      <c r="BA58" s="3">
        <f t="shared" si="36"/>
        <v>1721.5</v>
      </c>
      <c r="BB58" s="3">
        <f t="shared" si="36"/>
        <v>1721.5</v>
      </c>
      <c r="BC58" s="3">
        <f t="shared" si="36"/>
        <v>1721.5</v>
      </c>
      <c r="BD58" s="3">
        <f t="shared" si="36"/>
        <v>1721.5</v>
      </c>
      <c r="BE58" s="3">
        <f t="shared" si="36"/>
        <v>1721.5</v>
      </c>
      <c r="BF58" s="3">
        <f t="shared" si="36"/>
        <v>1721.5</v>
      </c>
      <c r="BG58" s="3">
        <f t="shared" si="36"/>
        <v>1721.5</v>
      </c>
      <c r="BH58" s="3">
        <f t="shared" si="36"/>
        <v>1721.5</v>
      </c>
      <c r="BI58" s="3">
        <f t="shared" si="36"/>
        <v>1721.5</v>
      </c>
      <c r="BJ58" s="3">
        <f t="shared" si="36"/>
        <v>1721.5</v>
      </c>
      <c r="BK58" s="3">
        <f t="shared" si="36"/>
        <v>1721.5</v>
      </c>
      <c r="BL58" s="3">
        <f t="shared" si="36"/>
        <v>1721.5</v>
      </c>
      <c r="BM58" s="3">
        <f t="shared" si="36"/>
        <v>1721.5</v>
      </c>
      <c r="BN58" s="3">
        <f t="shared" si="36"/>
        <v>1721.5</v>
      </c>
      <c r="BO58" s="3">
        <f t="shared" si="36"/>
        <v>1721.5</v>
      </c>
      <c r="BP58" s="3">
        <f t="shared" si="36"/>
        <v>1721.5</v>
      </c>
      <c r="BQ58" s="3">
        <f t="shared" si="36"/>
        <v>1721.5</v>
      </c>
      <c r="BR58" s="3">
        <f t="shared" si="36"/>
        <v>1721.5</v>
      </c>
      <c r="BS58" s="3">
        <f t="shared" si="36"/>
        <v>1721.5</v>
      </c>
      <c r="BT58" s="3">
        <f t="shared" si="36"/>
        <v>1721.5</v>
      </c>
      <c r="BU58" s="3">
        <f t="shared" si="36"/>
        <v>1721.5</v>
      </c>
      <c r="BV58" s="3">
        <f t="shared" si="36"/>
        <v>1721.5</v>
      </c>
      <c r="BW58" s="3">
        <f t="shared" si="36"/>
        <v>1721.5</v>
      </c>
      <c r="BX58" s="3">
        <f t="shared" si="36"/>
        <v>1721.5</v>
      </c>
      <c r="BY58" s="3">
        <f t="shared" si="36"/>
        <v>1721.5</v>
      </c>
      <c r="BZ58" s="3">
        <f t="shared" si="36"/>
        <v>1721.5</v>
      </c>
      <c r="CA58" s="3">
        <f t="shared" si="36"/>
        <v>1721.5</v>
      </c>
      <c r="CB58" s="3">
        <f t="shared" si="36"/>
        <v>1721.5</v>
      </c>
      <c r="CC58" s="3">
        <f t="shared" si="36"/>
        <v>1721.5</v>
      </c>
      <c r="CD58" s="3">
        <f t="shared" si="36"/>
        <v>1721.5</v>
      </c>
      <c r="CE58" s="3">
        <f t="shared" si="36"/>
        <v>1721.5</v>
      </c>
      <c r="CF58" s="3">
        <f t="shared" si="36"/>
        <v>1721.5</v>
      </c>
      <c r="CG58" s="3">
        <f t="shared" si="36"/>
        <v>1721.5</v>
      </c>
      <c r="CH58" s="3">
        <f t="shared" si="36"/>
        <v>1721.5</v>
      </c>
      <c r="CI58" s="3">
        <f t="shared" si="36"/>
        <v>1721.5</v>
      </c>
      <c r="CJ58" s="3">
        <f t="shared" si="36"/>
        <v>1721.5</v>
      </c>
      <c r="CK58" s="3">
        <f t="shared" si="36"/>
        <v>1721.5</v>
      </c>
      <c r="CL58" s="3">
        <f t="shared" si="36"/>
        <v>1721.5</v>
      </c>
      <c r="CM58" s="3">
        <f t="shared" ref="CM58:EX58" si="37">CL58+CM61</f>
        <v>1721.5</v>
      </c>
      <c r="CN58" s="3">
        <f t="shared" si="37"/>
        <v>1721.5</v>
      </c>
      <c r="CO58" s="3">
        <f t="shared" si="37"/>
        <v>1721.5</v>
      </c>
      <c r="CP58" s="3">
        <f t="shared" si="37"/>
        <v>1721.5</v>
      </c>
      <c r="CQ58" s="3">
        <f t="shared" si="37"/>
        <v>1721.5</v>
      </c>
      <c r="CR58" s="3">
        <f t="shared" si="37"/>
        <v>1721.5</v>
      </c>
      <c r="CS58" s="3">
        <f t="shared" si="37"/>
        <v>1721.5</v>
      </c>
      <c r="CT58" s="3">
        <f t="shared" si="37"/>
        <v>1721.5</v>
      </c>
      <c r="CU58" s="3">
        <f t="shared" si="37"/>
        <v>1721.5</v>
      </c>
      <c r="CV58" s="3">
        <f t="shared" si="37"/>
        <v>1721.5</v>
      </c>
      <c r="CW58" s="3">
        <f t="shared" si="37"/>
        <v>1721.5</v>
      </c>
      <c r="CX58" s="3">
        <f t="shared" si="37"/>
        <v>1721.5</v>
      </c>
      <c r="CY58" s="3">
        <f t="shared" si="37"/>
        <v>1721.5</v>
      </c>
      <c r="CZ58" s="3">
        <f t="shared" si="37"/>
        <v>1721.5</v>
      </c>
      <c r="DA58" s="3">
        <f t="shared" si="37"/>
        <v>1721.5</v>
      </c>
      <c r="DB58" s="3">
        <f t="shared" si="37"/>
        <v>1721.5</v>
      </c>
      <c r="DC58" s="3">
        <f t="shared" si="37"/>
        <v>1721.5</v>
      </c>
      <c r="DD58" s="3">
        <f t="shared" si="37"/>
        <v>1721.5</v>
      </c>
      <c r="DE58" s="3">
        <f t="shared" si="37"/>
        <v>1721.5</v>
      </c>
      <c r="DF58" s="3">
        <f t="shared" si="37"/>
        <v>1721.5</v>
      </c>
      <c r="DG58" s="3">
        <f t="shared" si="37"/>
        <v>1721.5</v>
      </c>
      <c r="DH58" s="3">
        <f t="shared" si="37"/>
        <v>1721.5</v>
      </c>
      <c r="DI58" s="3">
        <f t="shared" si="37"/>
        <v>1721.5</v>
      </c>
      <c r="DJ58" s="3">
        <f t="shared" si="37"/>
        <v>1721.5</v>
      </c>
      <c r="DK58" s="3">
        <f t="shared" si="37"/>
        <v>1721.5</v>
      </c>
      <c r="DL58" s="3">
        <f t="shared" si="37"/>
        <v>1721.5</v>
      </c>
      <c r="DM58" s="3">
        <f t="shared" si="37"/>
        <v>1721.5</v>
      </c>
      <c r="DN58" s="3">
        <f t="shared" si="37"/>
        <v>1721.5</v>
      </c>
      <c r="DO58" s="3">
        <f t="shared" si="37"/>
        <v>1721.5</v>
      </c>
      <c r="DP58" s="3">
        <f t="shared" si="37"/>
        <v>1721.5</v>
      </c>
      <c r="DQ58" s="3">
        <f t="shared" si="37"/>
        <v>1721.5</v>
      </c>
      <c r="DR58" s="3">
        <f t="shared" si="37"/>
        <v>1721.5</v>
      </c>
      <c r="DS58" s="3">
        <f t="shared" si="37"/>
        <v>1721.5</v>
      </c>
      <c r="DT58" s="3">
        <f t="shared" si="37"/>
        <v>1721.5</v>
      </c>
      <c r="DU58" s="3">
        <f t="shared" si="37"/>
        <v>1721.5</v>
      </c>
      <c r="DV58" s="3">
        <f t="shared" si="37"/>
        <v>1721.5</v>
      </c>
      <c r="DW58" s="3">
        <f t="shared" si="37"/>
        <v>1721.5</v>
      </c>
      <c r="DX58" s="3">
        <f t="shared" si="37"/>
        <v>1721.5</v>
      </c>
      <c r="DY58" s="3">
        <f t="shared" si="37"/>
        <v>1721.5</v>
      </c>
      <c r="DZ58" s="3">
        <f t="shared" si="37"/>
        <v>1721.5</v>
      </c>
      <c r="EA58" s="3">
        <f t="shared" si="37"/>
        <v>1721.5</v>
      </c>
      <c r="EB58" s="3">
        <f t="shared" si="37"/>
        <v>1721.5</v>
      </c>
      <c r="EC58" s="3">
        <f t="shared" si="37"/>
        <v>1721.5</v>
      </c>
      <c r="ED58" s="3">
        <f t="shared" si="37"/>
        <v>1721.5</v>
      </c>
      <c r="EE58" s="3">
        <f t="shared" si="37"/>
        <v>1721.5</v>
      </c>
      <c r="EF58" s="3">
        <f t="shared" si="37"/>
        <v>1721.5</v>
      </c>
      <c r="EG58" s="3">
        <f t="shared" si="37"/>
        <v>1721.5</v>
      </c>
      <c r="EH58" s="3">
        <f t="shared" si="37"/>
        <v>1721.5</v>
      </c>
      <c r="EI58" s="3">
        <f t="shared" si="37"/>
        <v>1721.5</v>
      </c>
      <c r="EJ58" s="3">
        <f t="shared" si="37"/>
        <v>1721.5</v>
      </c>
      <c r="EK58" s="3">
        <f t="shared" si="37"/>
        <v>1721.5</v>
      </c>
      <c r="EL58" s="3">
        <f t="shared" si="37"/>
        <v>1721.5</v>
      </c>
      <c r="EM58" s="3">
        <f t="shared" si="37"/>
        <v>1721.5</v>
      </c>
      <c r="EN58" s="3">
        <f t="shared" si="37"/>
        <v>1721.5</v>
      </c>
      <c r="EO58" s="3">
        <f t="shared" si="37"/>
        <v>1721.5</v>
      </c>
      <c r="EP58" s="3">
        <f t="shared" si="37"/>
        <v>1721.5</v>
      </c>
      <c r="EQ58" s="3">
        <f t="shared" si="37"/>
        <v>1721.5</v>
      </c>
      <c r="ER58" s="3">
        <f t="shared" si="37"/>
        <v>1721.5</v>
      </c>
      <c r="ES58" s="3">
        <f t="shared" si="37"/>
        <v>1721.5</v>
      </c>
      <c r="ET58" s="3">
        <f t="shared" si="37"/>
        <v>1721.5</v>
      </c>
      <c r="EU58" s="3">
        <f t="shared" si="37"/>
        <v>1721.5</v>
      </c>
      <c r="EV58" s="3">
        <f t="shared" si="37"/>
        <v>1721.5</v>
      </c>
      <c r="EW58" s="3">
        <f t="shared" si="37"/>
        <v>1721.5</v>
      </c>
      <c r="EX58" s="3">
        <f t="shared" si="37"/>
        <v>1721.5</v>
      </c>
      <c r="EY58" s="3">
        <f t="shared" ref="EY58:FR58" si="38">EX58+EY61</f>
        <v>1721.5</v>
      </c>
      <c r="EZ58" s="3">
        <f t="shared" si="38"/>
        <v>1721.5</v>
      </c>
      <c r="FA58" s="3">
        <f t="shared" si="38"/>
        <v>1721.5</v>
      </c>
      <c r="FB58" s="3">
        <f t="shared" si="38"/>
        <v>1721.5</v>
      </c>
      <c r="FC58" s="3">
        <f t="shared" si="38"/>
        <v>1721.5</v>
      </c>
      <c r="FD58" s="3">
        <f t="shared" si="38"/>
        <v>1721.5</v>
      </c>
      <c r="FE58" s="3">
        <f t="shared" si="38"/>
        <v>1721.5</v>
      </c>
      <c r="FF58" s="3">
        <f t="shared" si="38"/>
        <v>1721.5</v>
      </c>
      <c r="FG58" s="3">
        <f t="shared" si="38"/>
        <v>1721.5</v>
      </c>
      <c r="FH58" s="3">
        <f t="shared" si="38"/>
        <v>1721.5</v>
      </c>
      <c r="FI58" s="3">
        <f t="shared" si="38"/>
        <v>1721.5</v>
      </c>
      <c r="FJ58" s="3">
        <f t="shared" si="38"/>
        <v>1721.5</v>
      </c>
      <c r="FK58" s="3">
        <f t="shared" si="38"/>
        <v>1721.5</v>
      </c>
      <c r="FL58" s="3">
        <f t="shared" si="38"/>
        <v>1721.5</v>
      </c>
      <c r="FM58" s="3">
        <f t="shared" si="38"/>
        <v>1721.5</v>
      </c>
      <c r="FN58" s="3">
        <f t="shared" si="38"/>
        <v>1721.5</v>
      </c>
      <c r="FO58" s="3">
        <f t="shared" si="38"/>
        <v>1721.5</v>
      </c>
      <c r="FP58" s="3">
        <f t="shared" si="38"/>
        <v>1721.5</v>
      </c>
      <c r="FQ58" s="3">
        <f t="shared" si="38"/>
        <v>1721.5</v>
      </c>
      <c r="FR58" s="3">
        <f t="shared" si="38"/>
        <v>1721.5</v>
      </c>
      <c r="FS58" s="3">
        <f t="shared" ref="FS58" si="39">FR58+FS61</f>
        <v>0</v>
      </c>
      <c r="FT58" s="79"/>
      <c r="FU58" s="79"/>
      <c r="FV58" s="79"/>
    </row>
    <row r="59" spans="2:178">
      <c r="B59" s="5" t="s">
        <v>459</v>
      </c>
      <c r="F59" s="3"/>
      <c r="G59" s="3"/>
      <c r="H59" s="3"/>
      <c r="I59" s="3"/>
      <c r="J59" s="3"/>
      <c r="K59" s="3"/>
      <c r="L59" s="3"/>
      <c r="M59" s="3"/>
      <c r="N59" s="3"/>
      <c r="O59" s="3"/>
      <c r="P59" s="3"/>
      <c r="Q59" s="3"/>
      <c r="R59" s="3"/>
      <c r="S59" s="3"/>
      <c r="T59" s="3"/>
      <c r="U59" s="3"/>
      <c r="V59" s="3"/>
      <c r="W59" s="3"/>
      <c r="X59" s="3"/>
      <c r="Y59" s="71">
        <v>5.1999999999999998E-2</v>
      </c>
      <c r="Z59" s="71">
        <f>Y59</f>
        <v>5.1999999999999998E-2</v>
      </c>
      <c r="AA59" s="71">
        <f t="shared" ref="AA59:CL59" si="40">Z59</f>
        <v>5.1999999999999998E-2</v>
      </c>
      <c r="AB59" s="71">
        <f t="shared" si="40"/>
        <v>5.1999999999999998E-2</v>
      </c>
      <c r="AC59" s="71">
        <f t="shared" si="40"/>
        <v>5.1999999999999998E-2</v>
      </c>
      <c r="AD59" s="71">
        <f t="shared" si="40"/>
        <v>5.1999999999999998E-2</v>
      </c>
      <c r="AE59" s="71">
        <f t="shared" si="40"/>
        <v>5.1999999999999998E-2</v>
      </c>
      <c r="AF59" s="71">
        <f t="shared" si="40"/>
        <v>5.1999999999999998E-2</v>
      </c>
      <c r="AG59" s="71">
        <f t="shared" si="40"/>
        <v>5.1999999999999998E-2</v>
      </c>
      <c r="AH59" s="71">
        <f t="shared" si="40"/>
        <v>5.1999999999999998E-2</v>
      </c>
      <c r="AI59" s="71">
        <f t="shared" si="40"/>
        <v>5.1999999999999998E-2</v>
      </c>
      <c r="AJ59" s="71">
        <f t="shared" si="40"/>
        <v>5.1999999999999998E-2</v>
      </c>
      <c r="AK59" s="71">
        <f t="shared" si="40"/>
        <v>5.1999999999999998E-2</v>
      </c>
      <c r="AL59" s="71">
        <f t="shared" si="40"/>
        <v>5.1999999999999998E-2</v>
      </c>
      <c r="AM59" s="71">
        <f t="shared" si="40"/>
        <v>5.1999999999999998E-2</v>
      </c>
      <c r="AN59" s="71">
        <f t="shared" si="40"/>
        <v>5.1999999999999998E-2</v>
      </c>
      <c r="AO59" s="71">
        <f t="shared" si="40"/>
        <v>5.1999999999999998E-2</v>
      </c>
      <c r="AP59" s="71">
        <f t="shared" si="40"/>
        <v>5.1999999999999998E-2</v>
      </c>
      <c r="AQ59" s="71">
        <f t="shared" si="40"/>
        <v>5.1999999999999998E-2</v>
      </c>
      <c r="AR59" s="71">
        <f t="shared" si="40"/>
        <v>5.1999999999999998E-2</v>
      </c>
      <c r="AS59" s="71">
        <f t="shared" si="40"/>
        <v>5.1999999999999998E-2</v>
      </c>
      <c r="AT59" s="71">
        <f t="shared" si="40"/>
        <v>5.1999999999999998E-2</v>
      </c>
      <c r="AU59" s="71">
        <f t="shared" si="40"/>
        <v>5.1999999999999998E-2</v>
      </c>
      <c r="AV59" s="71">
        <f t="shared" si="40"/>
        <v>5.1999999999999998E-2</v>
      </c>
      <c r="AW59" s="71">
        <f t="shared" si="40"/>
        <v>5.1999999999999998E-2</v>
      </c>
      <c r="AX59" s="71">
        <f t="shared" si="40"/>
        <v>5.1999999999999998E-2</v>
      </c>
      <c r="AY59" s="71">
        <f t="shared" si="40"/>
        <v>5.1999999999999998E-2</v>
      </c>
      <c r="AZ59" s="71">
        <f t="shared" si="40"/>
        <v>5.1999999999999998E-2</v>
      </c>
      <c r="BA59" s="71">
        <f t="shared" si="40"/>
        <v>5.1999999999999998E-2</v>
      </c>
      <c r="BB59" s="71">
        <f t="shared" si="40"/>
        <v>5.1999999999999998E-2</v>
      </c>
      <c r="BC59" s="71">
        <f t="shared" si="40"/>
        <v>5.1999999999999998E-2</v>
      </c>
      <c r="BD59" s="71">
        <f t="shared" si="40"/>
        <v>5.1999999999999998E-2</v>
      </c>
      <c r="BE59" s="71">
        <f t="shared" si="40"/>
        <v>5.1999999999999998E-2</v>
      </c>
      <c r="BF59" s="71">
        <f t="shared" si="40"/>
        <v>5.1999999999999998E-2</v>
      </c>
      <c r="BG59" s="71">
        <f t="shared" si="40"/>
        <v>5.1999999999999998E-2</v>
      </c>
      <c r="BH59" s="71">
        <f t="shared" si="40"/>
        <v>5.1999999999999998E-2</v>
      </c>
      <c r="BI59" s="71">
        <f t="shared" si="40"/>
        <v>5.1999999999999998E-2</v>
      </c>
      <c r="BJ59" s="71">
        <f t="shared" si="40"/>
        <v>5.1999999999999998E-2</v>
      </c>
      <c r="BK59" s="71">
        <f t="shared" si="40"/>
        <v>5.1999999999999998E-2</v>
      </c>
      <c r="BL59" s="71">
        <f t="shared" si="40"/>
        <v>5.1999999999999998E-2</v>
      </c>
      <c r="BM59" s="71">
        <f t="shared" si="40"/>
        <v>5.1999999999999998E-2</v>
      </c>
      <c r="BN59" s="71">
        <f t="shared" si="40"/>
        <v>5.1999999999999998E-2</v>
      </c>
      <c r="BO59" s="71">
        <f t="shared" si="40"/>
        <v>5.1999999999999998E-2</v>
      </c>
      <c r="BP59" s="71">
        <f t="shared" si="40"/>
        <v>5.1999999999999998E-2</v>
      </c>
      <c r="BQ59" s="71">
        <f t="shared" si="40"/>
        <v>5.1999999999999998E-2</v>
      </c>
      <c r="BR59" s="71">
        <f t="shared" si="40"/>
        <v>5.1999999999999998E-2</v>
      </c>
      <c r="BS59" s="71">
        <f t="shared" si="40"/>
        <v>5.1999999999999998E-2</v>
      </c>
      <c r="BT59" s="71">
        <f t="shared" si="40"/>
        <v>5.1999999999999998E-2</v>
      </c>
      <c r="BU59" s="71">
        <f t="shared" si="40"/>
        <v>5.1999999999999998E-2</v>
      </c>
      <c r="BV59" s="71">
        <f t="shared" si="40"/>
        <v>5.1999999999999998E-2</v>
      </c>
      <c r="BW59" s="71">
        <f t="shared" si="40"/>
        <v>5.1999999999999998E-2</v>
      </c>
      <c r="BX59" s="71">
        <f t="shared" si="40"/>
        <v>5.1999999999999998E-2</v>
      </c>
      <c r="BY59" s="71">
        <f t="shared" si="40"/>
        <v>5.1999999999999998E-2</v>
      </c>
      <c r="BZ59" s="71">
        <f t="shared" si="40"/>
        <v>5.1999999999999998E-2</v>
      </c>
      <c r="CA59" s="71">
        <f t="shared" si="40"/>
        <v>5.1999999999999998E-2</v>
      </c>
      <c r="CB59" s="71">
        <f t="shared" si="40"/>
        <v>5.1999999999999998E-2</v>
      </c>
      <c r="CC59" s="71">
        <f t="shared" si="40"/>
        <v>5.1999999999999998E-2</v>
      </c>
      <c r="CD59" s="71">
        <f t="shared" si="40"/>
        <v>5.1999999999999998E-2</v>
      </c>
      <c r="CE59" s="71">
        <f t="shared" si="40"/>
        <v>5.1999999999999998E-2</v>
      </c>
      <c r="CF59" s="71">
        <f t="shared" si="40"/>
        <v>5.1999999999999998E-2</v>
      </c>
      <c r="CG59" s="71">
        <f t="shared" si="40"/>
        <v>5.1999999999999998E-2</v>
      </c>
      <c r="CH59" s="71">
        <f t="shared" si="40"/>
        <v>5.1999999999999998E-2</v>
      </c>
      <c r="CI59" s="71">
        <f t="shared" si="40"/>
        <v>5.1999999999999998E-2</v>
      </c>
      <c r="CJ59" s="71">
        <f t="shared" si="40"/>
        <v>5.1999999999999998E-2</v>
      </c>
      <c r="CK59" s="71">
        <f t="shared" si="40"/>
        <v>5.1999999999999998E-2</v>
      </c>
      <c r="CL59" s="71">
        <f t="shared" si="40"/>
        <v>5.1999999999999998E-2</v>
      </c>
      <c r="CM59" s="71">
        <f t="shared" ref="CM59:EX59" si="41">CL59</f>
        <v>5.1999999999999998E-2</v>
      </c>
      <c r="CN59" s="71">
        <f t="shared" si="41"/>
        <v>5.1999999999999998E-2</v>
      </c>
      <c r="CO59" s="71">
        <f t="shared" si="41"/>
        <v>5.1999999999999998E-2</v>
      </c>
      <c r="CP59" s="71">
        <f t="shared" si="41"/>
        <v>5.1999999999999998E-2</v>
      </c>
      <c r="CQ59" s="71">
        <f t="shared" si="41"/>
        <v>5.1999999999999998E-2</v>
      </c>
      <c r="CR59" s="71">
        <f t="shared" si="41"/>
        <v>5.1999999999999998E-2</v>
      </c>
      <c r="CS59" s="71">
        <f t="shared" si="41"/>
        <v>5.1999999999999998E-2</v>
      </c>
      <c r="CT59" s="71">
        <f t="shared" si="41"/>
        <v>5.1999999999999998E-2</v>
      </c>
      <c r="CU59" s="71">
        <f t="shared" si="41"/>
        <v>5.1999999999999998E-2</v>
      </c>
      <c r="CV59" s="71">
        <f t="shared" si="41"/>
        <v>5.1999999999999998E-2</v>
      </c>
      <c r="CW59" s="71">
        <f t="shared" si="41"/>
        <v>5.1999999999999998E-2</v>
      </c>
      <c r="CX59" s="71">
        <f t="shared" si="41"/>
        <v>5.1999999999999998E-2</v>
      </c>
      <c r="CY59" s="71">
        <f t="shared" si="41"/>
        <v>5.1999999999999998E-2</v>
      </c>
      <c r="CZ59" s="71">
        <f t="shared" si="41"/>
        <v>5.1999999999999998E-2</v>
      </c>
      <c r="DA59" s="71">
        <f t="shared" si="41"/>
        <v>5.1999999999999998E-2</v>
      </c>
      <c r="DB59" s="71">
        <f t="shared" si="41"/>
        <v>5.1999999999999998E-2</v>
      </c>
      <c r="DC59" s="71">
        <f t="shared" si="41"/>
        <v>5.1999999999999998E-2</v>
      </c>
      <c r="DD59" s="71">
        <f t="shared" si="41"/>
        <v>5.1999999999999998E-2</v>
      </c>
      <c r="DE59" s="71">
        <f t="shared" si="41"/>
        <v>5.1999999999999998E-2</v>
      </c>
      <c r="DF59" s="71">
        <f t="shared" si="41"/>
        <v>5.1999999999999998E-2</v>
      </c>
      <c r="DG59" s="71">
        <f t="shared" si="41"/>
        <v>5.1999999999999998E-2</v>
      </c>
      <c r="DH59" s="71">
        <f t="shared" si="41"/>
        <v>5.1999999999999998E-2</v>
      </c>
      <c r="DI59" s="71">
        <f t="shared" si="41"/>
        <v>5.1999999999999998E-2</v>
      </c>
      <c r="DJ59" s="71">
        <f t="shared" si="41"/>
        <v>5.1999999999999998E-2</v>
      </c>
      <c r="DK59" s="71">
        <f t="shared" si="41"/>
        <v>5.1999999999999998E-2</v>
      </c>
      <c r="DL59" s="71">
        <f t="shared" si="41"/>
        <v>5.1999999999999998E-2</v>
      </c>
      <c r="DM59" s="71">
        <f t="shared" si="41"/>
        <v>5.1999999999999998E-2</v>
      </c>
      <c r="DN59" s="71">
        <f t="shared" si="41"/>
        <v>5.1999999999999998E-2</v>
      </c>
      <c r="DO59" s="71">
        <f t="shared" si="41"/>
        <v>5.1999999999999998E-2</v>
      </c>
      <c r="DP59" s="71">
        <f t="shared" si="41"/>
        <v>5.1999999999999998E-2</v>
      </c>
      <c r="DQ59" s="71">
        <f t="shared" si="41"/>
        <v>5.1999999999999998E-2</v>
      </c>
      <c r="DR59" s="71">
        <f t="shared" si="41"/>
        <v>5.1999999999999998E-2</v>
      </c>
      <c r="DS59" s="71">
        <f t="shared" si="41"/>
        <v>5.1999999999999998E-2</v>
      </c>
      <c r="DT59" s="71">
        <f t="shared" si="41"/>
        <v>5.1999999999999998E-2</v>
      </c>
      <c r="DU59" s="71">
        <f t="shared" si="41"/>
        <v>5.1999999999999998E-2</v>
      </c>
      <c r="DV59" s="71">
        <f t="shared" si="41"/>
        <v>5.1999999999999998E-2</v>
      </c>
      <c r="DW59" s="71">
        <f t="shared" si="41"/>
        <v>5.1999999999999998E-2</v>
      </c>
      <c r="DX59" s="71">
        <f t="shared" si="41"/>
        <v>5.1999999999999998E-2</v>
      </c>
      <c r="DY59" s="71">
        <f t="shared" si="41"/>
        <v>5.1999999999999998E-2</v>
      </c>
      <c r="DZ59" s="71">
        <f t="shared" si="41"/>
        <v>5.1999999999999998E-2</v>
      </c>
      <c r="EA59" s="71">
        <f t="shared" si="41"/>
        <v>5.1999999999999998E-2</v>
      </c>
      <c r="EB59" s="71">
        <f t="shared" si="41"/>
        <v>5.1999999999999998E-2</v>
      </c>
      <c r="EC59" s="71">
        <f t="shared" si="41"/>
        <v>5.1999999999999998E-2</v>
      </c>
      <c r="ED59" s="71">
        <f t="shared" si="41"/>
        <v>5.1999999999999998E-2</v>
      </c>
      <c r="EE59" s="71">
        <f t="shared" si="41"/>
        <v>5.1999999999999998E-2</v>
      </c>
      <c r="EF59" s="71">
        <f t="shared" si="41"/>
        <v>5.1999999999999998E-2</v>
      </c>
      <c r="EG59" s="71">
        <f t="shared" si="41"/>
        <v>5.1999999999999998E-2</v>
      </c>
      <c r="EH59" s="71">
        <f t="shared" si="41"/>
        <v>5.1999999999999998E-2</v>
      </c>
      <c r="EI59" s="71">
        <f t="shared" si="41"/>
        <v>5.1999999999999998E-2</v>
      </c>
      <c r="EJ59" s="71">
        <f t="shared" si="41"/>
        <v>5.1999999999999998E-2</v>
      </c>
      <c r="EK59" s="71">
        <f t="shared" si="41"/>
        <v>5.1999999999999998E-2</v>
      </c>
      <c r="EL59" s="71">
        <f t="shared" si="41"/>
        <v>5.1999999999999998E-2</v>
      </c>
      <c r="EM59" s="71">
        <f t="shared" si="41"/>
        <v>5.1999999999999998E-2</v>
      </c>
      <c r="EN59" s="71">
        <f t="shared" si="41"/>
        <v>5.1999999999999998E-2</v>
      </c>
      <c r="EO59" s="71">
        <f t="shared" si="41"/>
        <v>5.1999999999999998E-2</v>
      </c>
      <c r="EP59" s="71">
        <f t="shared" si="41"/>
        <v>5.1999999999999998E-2</v>
      </c>
      <c r="EQ59" s="71">
        <f t="shared" si="41"/>
        <v>5.1999999999999998E-2</v>
      </c>
      <c r="ER59" s="71">
        <f t="shared" si="41"/>
        <v>5.1999999999999998E-2</v>
      </c>
      <c r="ES59" s="71">
        <f t="shared" si="41"/>
        <v>5.1999999999999998E-2</v>
      </c>
      <c r="ET59" s="71">
        <f t="shared" si="41"/>
        <v>5.1999999999999998E-2</v>
      </c>
      <c r="EU59" s="71">
        <f t="shared" si="41"/>
        <v>5.1999999999999998E-2</v>
      </c>
      <c r="EV59" s="71">
        <f t="shared" si="41"/>
        <v>5.1999999999999998E-2</v>
      </c>
      <c r="EW59" s="71">
        <f t="shared" si="41"/>
        <v>5.1999999999999998E-2</v>
      </c>
      <c r="EX59" s="71">
        <f t="shared" si="41"/>
        <v>5.1999999999999998E-2</v>
      </c>
      <c r="EY59" s="71">
        <f t="shared" ref="EY59:FR59" si="42">EX59</f>
        <v>5.1999999999999998E-2</v>
      </c>
      <c r="EZ59" s="71">
        <f t="shared" si="42"/>
        <v>5.1999999999999998E-2</v>
      </c>
      <c r="FA59" s="71">
        <f t="shared" si="42"/>
        <v>5.1999999999999998E-2</v>
      </c>
      <c r="FB59" s="71">
        <f t="shared" si="42"/>
        <v>5.1999999999999998E-2</v>
      </c>
      <c r="FC59" s="71">
        <f t="shared" si="42"/>
        <v>5.1999999999999998E-2</v>
      </c>
      <c r="FD59" s="71">
        <f t="shared" si="42"/>
        <v>5.1999999999999998E-2</v>
      </c>
      <c r="FE59" s="71">
        <f t="shared" si="42"/>
        <v>5.1999999999999998E-2</v>
      </c>
      <c r="FF59" s="71">
        <f t="shared" si="42"/>
        <v>5.1999999999999998E-2</v>
      </c>
      <c r="FG59" s="71">
        <f t="shared" si="42"/>
        <v>5.1999999999999998E-2</v>
      </c>
      <c r="FH59" s="71">
        <f t="shared" si="42"/>
        <v>5.1999999999999998E-2</v>
      </c>
      <c r="FI59" s="71">
        <f t="shared" si="42"/>
        <v>5.1999999999999998E-2</v>
      </c>
      <c r="FJ59" s="71">
        <f t="shared" si="42"/>
        <v>5.1999999999999998E-2</v>
      </c>
      <c r="FK59" s="71">
        <f t="shared" si="42"/>
        <v>5.1999999999999998E-2</v>
      </c>
      <c r="FL59" s="71">
        <f t="shared" si="42"/>
        <v>5.1999999999999998E-2</v>
      </c>
      <c r="FM59" s="71">
        <f t="shared" si="42"/>
        <v>5.1999999999999998E-2</v>
      </c>
      <c r="FN59" s="71">
        <f t="shared" si="42"/>
        <v>5.1999999999999998E-2</v>
      </c>
      <c r="FO59" s="71">
        <f t="shared" si="42"/>
        <v>5.1999999999999998E-2</v>
      </c>
      <c r="FP59" s="71">
        <f t="shared" si="42"/>
        <v>5.1999999999999998E-2</v>
      </c>
      <c r="FQ59" s="71">
        <f t="shared" si="42"/>
        <v>5.1999999999999998E-2</v>
      </c>
      <c r="FR59" s="71">
        <f t="shared" si="42"/>
        <v>5.1999999999999998E-2</v>
      </c>
      <c r="FS59" s="71">
        <f>FR59</f>
        <v>5.1999999999999998E-2</v>
      </c>
      <c r="FT59" s="79"/>
      <c r="FU59" s="79"/>
      <c r="FV59" s="79"/>
    </row>
    <row r="60" spans="2:178">
      <c r="B60" s="1" t="s">
        <v>116</v>
      </c>
      <c r="F60" s="3"/>
      <c r="G60" s="3"/>
      <c r="H60" s="3"/>
      <c r="I60" s="3"/>
      <c r="J60" s="3"/>
      <c r="K60" s="3"/>
      <c r="L60" s="3"/>
      <c r="M60" s="3"/>
      <c r="N60" s="3"/>
      <c r="O60" s="3"/>
      <c r="P60" s="3"/>
      <c r="Q60" s="3"/>
      <c r="R60" s="3"/>
      <c r="S60" s="3"/>
      <c r="T60" s="3"/>
      <c r="U60" s="3"/>
      <c r="V60" s="3"/>
      <c r="W60" s="3"/>
      <c r="X60" s="3"/>
      <c r="Y60" s="3">
        <f>Z60/3</f>
        <v>7.4576666666666656</v>
      </c>
      <c r="Z60" s="3">
        <f>Y58*Z59/4</f>
        <v>22.372999999999998</v>
      </c>
      <c r="AA60" s="3">
        <f>SUM(W60:Z60)</f>
        <v>29.830666666666662</v>
      </c>
      <c r="AB60" s="3">
        <f>AA58*AB59/4</f>
        <v>22.374299999999998</v>
      </c>
      <c r="AC60" s="3">
        <f>AB58*AC59/4</f>
        <v>22.374299999999998</v>
      </c>
      <c r="AD60" s="3">
        <f>AC58*AD59/4</f>
        <v>22.374299999999998</v>
      </c>
      <c r="AE60" s="3">
        <f>AD58*AE59/4</f>
        <v>22.374299999999998</v>
      </c>
      <c r="AF60" s="3">
        <f>SUM(AB60:AE60)</f>
        <v>89.497199999999992</v>
      </c>
      <c r="AG60" s="3">
        <f>AF58*AG59/4</f>
        <v>22.3795</v>
      </c>
      <c r="AH60" s="3">
        <f>AG58*AH59/4</f>
        <v>22.3795</v>
      </c>
      <c r="AI60" s="3">
        <f>AH58*AI59/4</f>
        <v>22.3795</v>
      </c>
      <c r="AJ60" s="3">
        <f>AI58*AJ59/4</f>
        <v>22.3795</v>
      </c>
      <c r="AK60" s="3">
        <f>SUM(AG60:AJ60)</f>
        <v>89.518000000000001</v>
      </c>
      <c r="AL60" s="3">
        <f>AK58*AL59/4</f>
        <v>22.3795</v>
      </c>
      <c r="AM60" s="3">
        <f>AL58*AM59/4</f>
        <v>22.3795</v>
      </c>
      <c r="AN60" s="3">
        <f>AM58*AN59/4</f>
        <v>22.3795</v>
      </c>
      <c r="AO60" s="3">
        <f>AN58*AO59/4</f>
        <v>22.3795</v>
      </c>
      <c r="AP60" s="3">
        <f>SUM(AL60:AO60)</f>
        <v>89.518000000000001</v>
      </c>
      <c r="AQ60" s="3">
        <f>AP58*AQ59/4</f>
        <v>22.3795</v>
      </c>
      <c r="AR60" s="3">
        <f>AQ58*AR59/4</f>
        <v>22.3795</v>
      </c>
      <c r="AS60" s="3">
        <f>AR58*AS59/4</f>
        <v>22.3795</v>
      </c>
      <c r="AT60" s="3">
        <f>AS58*AT59/4</f>
        <v>22.3795</v>
      </c>
      <c r="AU60" s="3">
        <f>SUM(AQ60:AT60)</f>
        <v>89.518000000000001</v>
      </c>
      <c r="AV60" s="3">
        <f>AU58*AV59/4</f>
        <v>22.3795</v>
      </c>
      <c r="AW60" s="3">
        <f>AV58*AW59/4</f>
        <v>22.3795</v>
      </c>
      <c r="AX60" s="3">
        <f>AW58*AX59/4</f>
        <v>22.3795</v>
      </c>
      <c r="AY60" s="3">
        <f>AX58*AY59/4</f>
        <v>22.3795</v>
      </c>
      <c r="AZ60" s="3">
        <f>SUM(AV60:AY60)</f>
        <v>89.518000000000001</v>
      </c>
      <c r="BA60" s="3">
        <f>AZ58*BA59/4</f>
        <v>22.3795</v>
      </c>
      <c r="BB60" s="3">
        <f>BA58*BB59/4</f>
        <v>22.3795</v>
      </c>
      <c r="BC60" s="3">
        <f>BB58*BC59/4</f>
        <v>22.3795</v>
      </c>
      <c r="BD60" s="3">
        <f>BC58*BD59/4</f>
        <v>22.3795</v>
      </c>
      <c r="BE60" s="3">
        <f>SUM(BA60:BD60)</f>
        <v>89.518000000000001</v>
      </c>
      <c r="BF60" s="3">
        <f>BE58*BF59/4</f>
        <v>22.3795</v>
      </c>
      <c r="BG60" s="3">
        <f>BF58*BG59/4</f>
        <v>22.3795</v>
      </c>
      <c r="BH60" s="3">
        <f>BG58*BH59/4</f>
        <v>22.3795</v>
      </c>
      <c r="BI60" s="3">
        <f>BH58*BI59/4</f>
        <v>22.3795</v>
      </c>
      <c r="BJ60" s="3">
        <f>SUM(BF60:BI60)</f>
        <v>89.518000000000001</v>
      </c>
      <c r="BK60" s="3">
        <f>BJ58*BK59/4</f>
        <v>22.3795</v>
      </c>
      <c r="BL60" s="3">
        <f>BK58*BL59/4</f>
        <v>22.3795</v>
      </c>
      <c r="BM60" s="3">
        <f>BL58*BM59/4</f>
        <v>22.3795</v>
      </c>
      <c r="BN60" s="3">
        <f>BM58*BN59/4</f>
        <v>22.3795</v>
      </c>
      <c r="BO60" s="3">
        <f>SUM(BK60:BN60)</f>
        <v>89.518000000000001</v>
      </c>
      <c r="BP60" s="3">
        <f>BO58*BP59/4</f>
        <v>22.3795</v>
      </c>
      <c r="BQ60" s="3">
        <f>BP58*BQ59/4</f>
        <v>22.3795</v>
      </c>
      <c r="BR60" s="3">
        <f>BQ58*BR59/4</f>
        <v>22.3795</v>
      </c>
      <c r="BS60" s="3">
        <f>BR58*BS59/4</f>
        <v>22.3795</v>
      </c>
      <c r="BT60" s="3">
        <f>SUM(BP60:BS60)</f>
        <v>89.518000000000001</v>
      </c>
      <c r="BU60" s="3">
        <f>BT58*BU59/4</f>
        <v>22.3795</v>
      </c>
      <c r="BV60" s="3">
        <f>BU58*BV59/4</f>
        <v>22.3795</v>
      </c>
      <c r="BW60" s="3">
        <f>BV58*BW59/4</f>
        <v>22.3795</v>
      </c>
      <c r="BX60" s="3">
        <f>BW58*BX59/4</f>
        <v>22.3795</v>
      </c>
      <c r="BY60" s="3">
        <f>SUM(BU60:BX60)</f>
        <v>89.518000000000001</v>
      </c>
      <c r="BZ60" s="3">
        <f>BY58*BZ59/4</f>
        <v>22.3795</v>
      </c>
      <c r="CA60" s="3">
        <f>BZ58*CA59/4</f>
        <v>22.3795</v>
      </c>
      <c r="CB60" s="3">
        <f>CA58*CB59/4</f>
        <v>22.3795</v>
      </c>
      <c r="CC60" s="3">
        <f>CB58*CC59/4</f>
        <v>22.3795</v>
      </c>
      <c r="CD60" s="3">
        <f>SUM(BZ60:CC60)</f>
        <v>89.518000000000001</v>
      </c>
      <c r="CE60" s="3">
        <f>CD58*CE59/4</f>
        <v>22.3795</v>
      </c>
      <c r="CF60" s="3">
        <f>CE58*CF59/4</f>
        <v>22.3795</v>
      </c>
      <c r="CG60" s="3">
        <f>CF58*CG59/4</f>
        <v>22.3795</v>
      </c>
      <c r="CH60" s="3">
        <f>CG58*CH59/4</f>
        <v>22.3795</v>
      </c>
      <c r="CI60" s="3">
        <f>SUM(CE60:CH60)</f>
        <v>89.518000000000001</v>
      </c>
      <c r="CJ60" s="3">
        <f>CI58*CJ59/4</f>
        <v>22.3795</v>
      </c>
      <c r="CK60" s="3">
        <f>CJ58*CK59/4</f>
        <v>22.3795</v>
      </c>
      <c r="CL60" s="3">
        <f>CK58*CL59/4</f>
        <v>22.3795</v>
      </c>
      <c r="CM60" s="3">
        <f>CL58*CM59/4</f>
        <v>22.3795</v>
      </c>
      <c r="CN60" s="3">
        <f>SUM(CJ60:CM60)</f>
        <v>89.518000000000001</v>
      </c>
      <c r="CO60" s="3">
        <f>CN58*CO59/4</f>
        <v>22.3795</v>
      </c>
      <c r="CP60" s="3">
        <f>CO58*CP59/4</f>
        <v>22.3795</v>
      </c>
      <c r="CQ60" s="3">
        <f>CP58*CQ59/4</f>
        <v>22.3795</v>
      </c>
      <c r="CR60" s="3">
        <f>CQ58*CR59/4</f>
        <v>22.3795</v>
      </c>
      <c r="CS60" s="3">
        <f>SUM(CO60:CR60)</f>
        <v>89.518000000000001</v>
      </c>
      <c r="CT60" s="3">
        <f>CS58*CT59/4</f>
        <v>22.3795</v>
      </c>
      <c r="CU60" s="3">
        <f>CT58*CU59/4</f>
        <v>22.3795</v>
      </c>
      <c r="CV60" s="3">
        <f>CU58*CV59/4</f>
        <v>22.3795</v>
      </c>
      <c r="CW60" s="3">
        <f>CV58*CW59/4</f>
        <v>22.3795</v>
      </c>
      <c r="CX60" s="3">
        <f>SUM(CT60:CW60)</f>
        <v>89.518000000000001</v>
      </c>
      <c r="CY60" s="3">
        <f>CX58*CY59/4</f>
        <v>22.3795</v>
      </c>
      <c r="CZ60" s="3">
        <f t="shared" ref="CZ60:DB60" si="43">CY58*CZ59/4</f>
        <v>22.3795</v>
      </c>
      <c r="DA60" s="3">
        <f t="shared" si="43"/>
        <v>22.3795</v>
      </c>
      <c r="DB60" s="3">
        <f t="shared" si="43"/>
        <v>22.3795</v>
      </c>
      <c r="DC60" s="3">
        <f t="shared" ref="DC60:EV60" si="44">DB58*DC59</f>
        <v>89.518000000000001</v>
      </c>
      <c r="DD60" s="3">
        <f>DC58*DD59/4</f>
        <v>22.3795</v>
      </c>
      <c r="DE60" s="3">
        <f t="shared" ref="DE60" si="45">DD58*DE59/4</f>
        <v>22.3795</v>
      </c>
      <c r="DF60" s="3">
        <f t="shared" ref="DF60" si="46">DE58*DF59/4</f>
        <v>22.3795</v>
      </c>
      <c r="DG60" s="3">
        <f t="shared" ref="DG60" si="47">DF58*DG59/4</f>
        <v>22.3795</v>
      </c>
      <c r="DH60" s="3">
        <f t="shared" si="44"/>
        <v>89.518000000000001</v>
      </c>
      <c r="DI60" s="3">
        <f>DH58*DI59/4</f>
        <v>22.3795</v>
      </c>
      <c r="DJ60" s="3">
        <f t="shared" ref="DJ60" si="48">DI58*DJ59/4</f>
        <v>22.3795</v>
      </c>
      <c r="DK60" s="3">
        <f t="shared" ref="DK60" si="49">DJ58*DK59/4</f>
        <v>22.3795</v>
      </c>
      <c r="DL60" s="3">
        <f t="shared" ref="DL60" si="50">DK58*DL59/4</f>
        <v>22.3795</v>
      </c>
      <c r="DM60" s="3">
        <f t="shared" si="44"/>
        <v>89.518000000000001</v>
      </c>
      <c r="DN60" s="3">
        <f>DM58*DN59/4</f>
        <v>22.3795</v>
      </c>
      <c r="DO60" s="3">
        <f t="shared" ref="DO60" si="51">DN58*DO59/4</f>
        <v>22.3795</v>
      </c>
      <c r="DP60" s="3">
        <f t="shared" ref="DP60" si="52">DO58*DP59/4</f>
        <v>22.3795</v>
      </c>
      <c r="DQ60" s="3">
        <f t="shared" ref="DQ60" si="53">DP58*DQ59/4</f>
        <v>22.3795</v>
      </c>
      <c r="DR60" s="3">
        <f t="shared" si="44"/>
        <v>89.518000000000001</v>
      </c>
      <c r="DS60" s="3">
        <f>DR58*DS59/4</f>
        <v>22.3795</v>
      </c>
      <c r="DT60" s="3">
        <f t="shared" ref="DT60" si="54">DS58*DT59/4</f>
        <v>22.3795</v>
      </c>
      <c r="DU60" s="3">
        <f t="shared" ref="DU60" si="55">DT58*DU59/4</f>
        <v>22.3795</v>
      </c>
      <c r="DV60" s="3">
        <f t="shared" ref="DV60" si="56">DU58*DV59/4</f>
        <v>22.3795</v>
      </c>
      <c r="DW60" s="3">
        <f t="shared" si="44"/>
        <v>89.518000000000001</v>
      </c>
      <c r="DX60" s="3">
        <f>DW58*DX59/4</f>
        <v>22.3795</v>
      </c>
      <c r="DY60" s="3">
        <f t="shared" ref="DY60" si="57">DX58*DY59/4</f>
        <v>22.3795</v>
      </c>
      <c r="DZ60" s="3">
        <f t="shared" ref="DZ60" si="58">DY58*DZ59/4</f>
        <v>22.3795</v>
      </c>
      <c r="EA60" s="3">
        <f t="shared" ref="EA60" si="59">DZ58*EA59/4</f>
        <v>22.3795</v>
      </c>
      <c r="EB60" s="3">
        <f t="shared" si="44"/>
        <v>89.518000000000001</v>
      </c>
      <c r="EC60" s="3">
        <f>EB58*EC59/4</f>
        <v>22.3795</v>
      </c>
      <c r="ED60" s="3">
        <f t="shared" ref="ED60" si="60">EC58*ED59/4</f>
        <v>22.3795</v>
      </c>
      <c r="EE60" s="3">
        <f t="shared" ref="EE60" si="61">ED58*EE59/4</f>
        <v>22.3795</v>
      </c>
      <c r="EF60" s="3">
        <f t="shared" ref="EF60" si="62">EE58*EF59/4</f>
        <v>22.3795</v>
      </c>
      <c r="EG60" s="3">
        <f t="shared" si="44"/>
        <v>89.518000000000001</v>
      </c>
      <c r="EH60" s="3">
        <f>EG58*EH59/4</f>
        <v>22.3795</v>
      </c>
      <c r="EI60" s="3">
        <f t="shared" ref="EI60" si="63">EH58*EI59/4</f>
        <v>22.3795</v>
      </c>
      <c r="EJ60" s="3">
        <f t="shared" ref="EJ60" si="64">EI58*EJ59/4</f>
        <v>22.3795</v>
      </c>
      <c r="EK60" s="3">
        <f t="shared" ref="EK60" si="65">EJ58*EK59/4</f>
        <v>22.3795</v>
      </c>
      <c r="EL60" s="3">
        <f t="shared" si="44"/>
        <v>89.518000000000001</v>
      </c>
      <c r="EM60" s="3">
        <f>EL58*EM59/4</f>
        <v>22.3795</v>
      </c>
      <c r="EN60" s="3">
        <f t="shared" ref="EN60" si="66">EM58*EN59/4</f>
        <v>22.3795</v>
      </c>
      <c r="EO60" s="3">
        <f t="shared" ref="EO60" si="67">EN58*EO59/4</f>
        <v>22.3795</v>
      </c>
      <c r="EP60" s="3">
        <f t="shared" ref="EP60" si="68">EO58*EP59/4</f>
        <v>22.3795</v>
      </c>
      <c r="EQ60" s="3">
        <f t="shared" si="44"/>
        <v>89.518000000000001</v>
      </c>
      <c r="ER60" s="3">
        <f>EQ58*ER59/4</f>
        <v>22.3795</v>
      </c>
      <c r="ES60" s="3">
        <f t="shared" ref="ES60" si="69">ER58*ES59/4</f>
        <v>22.3795</v>
      </c>
      <c r="ET60" s="3">
        <f t="shared" ref="ET60" si="70">ES58*ET59/4</f>
        <v>22.3795</v>
      </c>
      <c r="EU60" s="3">
        <f t="shared" ref="EU60" si="71">ET58*EU59/4</f>
        <v>22.3795</v>
      </c>
      <c r="EV60" s="3">
        <f t="shared" si="44"/>
        <v>89.518000000000001</v>
      </c>
      <c r="EW60" s="3">
        <f>EV58*EW59/4</f>
        <v>22.3795</v>
      </c>
      <c r="EX60" s="3">
        <f t="shared" ref="EX60" si="72">EW58*EX59/4</f>
        <v>22.3795</v>
      </c>
      <c r="EY60" s="3">
        <f t="shared" ref="EY60" si="73">EX58*EY59/4</f>
        <v>22.3795</v>
      </c>
      <c r="EZ60" s="3">
        <f t="shared" ref="EZ60" si="74">EY58*EZ59/4</f>
        <v>22.3795</v>
      </c>
      <c r="FA60" s="3">
        <f t="shared" ref="FA60:FP60" si="75">EZ58*FA59</f>
        <v>89.518000000000001</v>
      </c>
      <c r="FB60" s="3">
        <f>FA58*FB59/4</f>
        <v>22.3795</v>
      </c>
      <c r="FC60" s="3">
        <f t="shared" ref="FC60" si="76">FB58*FC59/4</f>
        <v>22.3795</v>
      </c>
      <c r="FD60" s="3">
        <f t="shared" ref="FD60" si="77">FC58*FD59/4</f>
        <v>22.3795</v>
      </c>
      <c r="FE60" s="3">
        <f t="shared" ref="FE60" si="78">FD58*FE59/4</f>
        <v>22.3795</v>
      </c>
      <c r="FF60" s="3">
        <f t="shared" si="75"/>
        <v>89.518000000000001</v>
      </c>
      <c r="FG60" s="3">
        <f>FF58*FG59/4</f>
        <v>22.3795</v>
      </c>
      <c r="FH60" s="3">
        <f t="shared" ref="FH60" si="79">FG58*FH59/4</f>
        <v>22.3795</v>
      </c>
      <c r="FI60" s="3">
        <f t="shared" ref="FI60" si="80">FH58*FI59/4</f>
        <v>22.3795</v>
      </c>
      <c r="FJ60" s="3">
        <f t="shared" ref="FJ60" si="81">FI58*FJ59/4</f>
        <v>22.3795</v>
      </c>
      <c r="FK60" s="3">
        <f t="shared" si="75"/>
        <v>89.518000000000001</v>
      </c>
      <c r="FL60" s="3">
        <f>FK58*FL59/4</f>
        <v>22.3795</v>
      </c>
      <c r="FM60" s="3">
        <f t="shared" ref="FM60" si="82">FL58*FM59/4</f>
        <v>22.3795</v>
      </c>
      <c r="FN60" s="3">
        <f t="shared" ref="FN60" si="83">FM58*FN59/4</f>
        <v>22.3795</v>
      </c>
      <c r="FO60" s="3">
        <f t="shared" ref="FO60" si="84">FN58*FO59/4</f>
        <v>22.3795</v>
      </c>
      <c r="FP60" s="3">
        <f t="shared" si="75"/>
        <v>89.518000000000001</v>
      </c>
      <c r="FQ60" s="3">
        <f>FP58*FQ59/4</f>
        <v>22.3795</v>
      </c>
      <c r="FR60" s="3">
        <f t="shared" ref="FR60" si="85">FQ58*FR59/4</f>
        <v>22.3795</v>
      </c>
      <c r="FS60" s="3">
        <f t="shared" ref="FS60" si="86">FR58*FS59/4</f>
        <v>22.3795</v>
      </c>
      <c r="FT60" s="3">
        <f t="shared" ref="FT60" si="87">FS58*FT59/4</f>
        <v>0</v>
      </c>
      <c r="FU60" s="3">
        <f>SUM(FQ60:FT60)</f>
        <v>67.138499999999993</v>
      </c>
      <c r="FV60" s="79"/>
    </row>
    <row r="61" spans="2:178">
      <c r="B61" s="1" t="s">
        <v>462</v>
      </c>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79"/>
      <c r="AR61" s="79"/>
      <c r="AS61" s="79"/>
      <c r="AT61" s="79"/>
      <c r="AU61" s="79"/>
      <c r="AV61" s="79"/>
      <c r="AW61" s="79"/>
      <c r="AX61" s="79"/>
      <c r="AY61" s="79"/>
      <c r="AZ61" s="79"/>
      <c r="BA61" s="7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c r="CR61" s="79"/>
      <c r="CS61" s="79"/>
      <c r="CT61" s="79"/>
      <c r="CU61" s="79"/>
      <c r="CV61" s="79"/>
      <c r="CW61" s="79"/>
      <c r="CX61" s="79"/>
      <c r="FS61" s="17">
        <f>-FR58</f>
        <v>-1721.5</v>
      </c>
      <c r="FT61" s="79"/>
      <c r="FU61" s="79">
        <f>SUM(FQ61:FT61)</f>
        <v>-1721.5</v>
      </c>
      <c r="FV61" s="79"/>
    </row>
    <row r="62" spans="2:178">
      <c r="F62" s="3"/>
      <c r="G62" s="3"/>
      <c r="H62" s="3"/>
      <c r="I62" s="3"/>
      <c r="J62" s="3"/>
      <c r="K62" s="3"/>
      <c r="L62" s="3"/>
      <c r="M62" s="80"/>
      <c r="P62" s="3"/>
      <c r="Q62" s="3"/>
      <c r="V62" s="3"/>
      <c r="AA62" s="3"/>
      <c r="AF62" s="3"/>
      <c r="AK62" s="3"/>
      <c r="AP62" s="3"/>
      <c r="AU62" s="3"/>
      <c r="AZ62" s="3"/>
      <c r="BE62" s="3"/>
      <c r="BJ62" s="3"/>
      <c r="BO62" s="3"/>
      <c r="BT62" s="3"/>
      <c r="BY62" s="3"/>
      <c r="CD62" s="3"/>
      <c r="CI62" s="3"/>
      <c r="CN62" s="3"/>
      <c r="CS62" s="3"/>
      <c r="CX62" s="3"/>
    </row>
    <row r="63" spans="2:178" hidden="1" outlineLevel="1">
      <c r="B63" s="1" t="s">
        <v>469</v>
      </c>
      <c r="F63" s="3">
        <v>11.9</v>
      </c>
      <c r="G63" s="3">
        <v>17.5</v>
      </c>
      <c r="H63" s="3">
        <v>16.8</v>
      </c>
      <c r="I63" s="3">
        <f>8.6+8.6</f>
        <v>17.2</v>
      </c>
      <c r="J63" s="3">
        <v>8</v>
      </c>
      <c r="K63" s="3"/>
      <c r="L63" s="3"/>
      <c r="Q63" s="3"/>
      <c r="V63" s="3"/>
      <c r="AA63" s="3"/>
      <c r="AF63" s="3"/>
      <c r="AK63" s="3"/>
      <c r="AP63" s="3"/>
      <c r="AU63" s="3"/>
      <c r="AZ63" s="3"/>
      <c r="BE63" s="3"/>
      <c r="BJ63" s="3"/>
      <c r="BO63" s="3"/>
      <c r="BT63" s="3"/>
      <c r="BY63" s="3"/>
      <c r="CD63" s="3"/>
      <c r="CI63" s="3"/>
      <c r="CN63" s="3"/>
      <c r="CS63" s="3"/>
      <c r="CX63" s="3"/>
    </row>
    <row r="64" spans="2:178" s="5" customFormat="1" hidden="1" outlineLevel="1">
      <c r="B64" s="5" t="s">
        <v>459</v>
      </c>
      <c r="F64" s="5">
        <v>0.05</v>
      </c>
      <c r="G64" s="5">
        <v>5.0999999999999997E-2</v>
      </c>
      <c r="H64" s="5">
        <v>5.5350000000000003E-2</v>
      </c>
      <c r="I64" s="5">
        <v>2.1999999999999999E-2</v>
      </c>
      <c r="J64" s="5">
        <v>2.4E-2</v>
      </c>
    </row>
    <row r="65" spans="2:175" hidden="1" outlineLevel="1">
      <c r="B65" s="1" t="s">
        <v>116</v>
      </c>
      <c r="G65" s="3">
        <f>G64*F63</f>
        <v>0.6069</v>
      </c>
      <c r="H65" s="3">
        <f>H64*G63</f>
        <v>0.96862500000000007</v>
      </c>
      <c r="I65" s="3">
        <f>I64*H63</f>
        <v>0.36959999999999998</v>
      </c>
      <c r="J65" s="3">
        <f>J64*I63</f>
        <v>0.4128</v>
      </c>
      <c r="K65" s="3"/>
      <c r="L65" s="3"/>
      <c r="Q65" s="3"/>
      <c r="V65" s="3"/>
      <c r="AA65" s="3"/>
      <c r="AF65" s="3"/>
      <c r="AK65" s="3"/>
      <c r="AP65" s="3"/>
      <c r="AU65" s="3"/>
      <c r="AZ65" s="3"/>
      <c r="BE65" s="3"/>
      <c r="BJ65" s="3"/>
      <c r="BO65" s="3"/>
      <c r="BT65" s="3"/>
      <c r="BY65" s="3"/>
      <c r="CD65" s="3"/>
      <c r="CI65" s="3"/>
      <c r="CN65" s="3"/>
      <c r="CS65" s="3"/>
      <c r="CX65" s="3"/>
    </row>
    <row r="66" spans="2:175" hidden="1" outlineLevel="1">
      <c r="B66" s="1" t="s">
        <v>462</v>
      </c>
      <c r="G66" s="3">
        <f>+G63-F63</f>
        <v>5.6</v>
      </c>
      <c r="H66" s="3">
        <f>+H63-G63</f>
        <v>-0.69999999999999929</v>
      </c>
      <c r="I66" s="3">
        <f>+I63-H63</f>
        <v>0.39999999999999858</v>
      </c>
      <c r="J66" s="3">
        <f>+J63-I63</f>
        <v>-9.1999999999999993</v>
      </c>
      <c r="K66" s="3">
        <f>-J63</f>
        <v>-8</v>
      </c>
      <c r="L66" s="3"/>
      <c r="Q66" s="3"/>
      <c r="V66" s="3"/>
      <c r="AA66" s="3"/>
      <c r="AF66" s="3"/>
      <c r="AK66" s="3"/>
      <c r="AP66" s="3"/>
      <c r="AU66" s="3"/>
      <c r="AZ66" s="3"/>
      <c r="BE66" s="3"/>
      <c r="BJ66" s="3"/>
      <c r="BO66" s="3"/>
      <c r="BT66" s="3"/>
      <c r="BY66" s="3"/>
      <c r="CD66" s="3"/>
      <c r="CI66" s="3"/>
      <c r="CN66" s="3"/>
      <c r="CS66" s="3"/>
      <c r="CX66" s="3"/>
    </row>
    <row r="67" spans="2:175" hidden="1" outlineLevel="1">
      <c r="G67" s="3"/>
      <c r="H67" s="3"/>
      <c r="I67" s="3"/>
      <c r="J67" s="3"/>
      <c r="K67" s="3"/>
      <c r="L67" s="3"/>
      <c r="Q67" s="3"/>
      <c r="V67" s="3"/>
      <c r="AA67" s="3"/>
      <c r="AF67" s="3"/>
      <c r="AK67" s="3"/>
      <c r="AP67" s="3"/>
      <c r="AU67" s="3"/>
      <c r="AZ67" s="3"/>
      <c r="BE67" s="3"/>
      <c r="BJ67" s="3"/>
      <c r="BO67" s="3"/>
      <c r="BT67" s="3"/>
      <c r="BY67" s="3"/>
      <c r="CD67" s="3"/>
      <c r="CI67" s="3"/>
      <c r="CN67" s="3"/>
      <c r="CS67" s="3"/>
      <c r="CX67" s="3"/>
    </row>
    <row r="68" spans="2:175" hidden="1" outlineLevel="1">
      <c r="B68" s="1" t="s">
        <v>470</v>
      </c>
      <c r="J68" s="3">
        <f>125.9-0.068</f>
        <v>125.83200000000001</v>
      </c>
      <c r="K68" s="3"/>
      <c r="L68" s="3"/>
      <c r="Q68" s="3"/>
      <c r="V68" s="3"/>
      <c r="AA68" s="3"/>
      <c r="AF68" s="3"/>
      <c r="AK68" s="3"/>
      <c r="AP68" s="3"/>
      <c r="AU68" s="3"/>
      <c r="AZ68" s="3"/>
      <c r="BE68" s="3"/>
      <c r="BJ68" s="3"/>
      <c r="BO68" s="3"/>
      <c r="BT68" s="3"/>
      <c r="BY68" s="3"/>
      <c r="CD68" s="3"/>
      <c r="CI68" s="3"/>
      <c r="CN68" s="3"/>
      <c r="CS68" s="3"/>
      <c r="CX68" s="3"/>
    </row>
    <row r="69" spans="2:175" hidden="1" outlineLevel="1">
      <c r="K69" s="3"/>
      <c r="L69" s="3"/>
      <c r="Q69" s="3"/>
      <c r="V69" s="3"/>
      <c r="AA69" s="3"/>
      <c r="AF69" s="3"/>
      <c r="AK69" s="3"/>
      <c r="AP69" s="3"/>
      <c r="AU69" s="3"/>
      <c r="AZ69" s="3"/>
      <c r="BE69" s="3"/>
      <c r="BJ69" s="3"/>
      <c r="BO69" s="3"/>
      <c r="BT69" s="3"/>
      <c r="BY69" s="3"/>
      <c r="CD69" s="3"/>
      <c r="CI69" s="3"/>
      <c r="CN69" s="3"/>
      <c r="CS69" s="3"/>
      <c r="CX69" s="3"/>
    </row>
    <row r="70" spans="2:175" hidden="1" outlineLevel="1">
      <c r="B70" s="1" t="s">
        <v>493</v>
      </c>
      <c r="G70" s="3">
        <v>0.8</v>
      </c>
      <c r="H70" s="3"/>
      <c r="I70" s="3"/>
      <c r="J70" s="3"/>
      <c r="K70" s="3">
        <v>2.2000000000000002</v>
      </c>
      <c r="L70" s="3">
        <v>86.5</v>
      </c>
      <c r="M70" s="1">
        <v>112.8</v>
      </c>
      <c r="N70" s="1">
        <v>131.9</v>
      </c>
      <c r="O70" s="1">
        <v>101.3</v>
      </c>
      <c r="P70" s="1">
        <v>27.2</v>
      </c>
      <c r="Q70" s="3"/>
      <c r="R70" s="3"/>
      <c r="S70" s="3">
        <f t="shared" ref="S70:AE70" si="88">R70</f>
        <v>0</v>
      </c>
      <c r="T70" s="3">
        <f t="shared" si="88"/>
        <v>0</v>
      </c>
      <c r="U70" s="3">
        <f t="shared" si="88"/>
        <v>0</v>
      </c>
      <c r="V70" s="3">
        <f t="shared" si="88"/>
        <v>0</v>
      </c>
      <c r="W70" s="3">
        <f t="shared" si="88"/>
        <v>0</v>
      </c>
      <c r="X70" s="3">
        <f t="shared" si="88"/>
        <v>0</v>
      </c>
      <c r="Y70" s="3">
        <f t="shared" si="88"/>
        <v>0</v>
      </c>
      <c r="Z70" s="3">
        <f t="shared" si="88"/>
        <v>0</v>
      </c>
      <c r="AA70" s="3">
        <f>18.1+1.7</f>
        <v>19.8</v>
      </c>
      <c r="AB70" s="3">
        <f t="shared" si="88"/>
        <v>19.8</v>
      </c>
      <c r="AC70" s="3">
        <f t="shared" si="88"/>
        <v>19.8</v>
      </c>
      <c r="AD70" s="3">
        <f t="shared" si="88"/>
        <v>19.8</v>
      </c>
      <c r="AE70" s="3">
        <f t="shared" si="88"/>
        <v>19.8</v>
      </c>
      <c r="AF70" s="3">
        <f>1.7+16.4</f>
        <v>18.099999999999998</v>
      </c>
      <c r="AG70" s="3">
        <f t="shared" ref="AG70:AZ70" si="89">AF70</f>
        <v>18.099999999999998</v>
      </c>
      <c r="AH70" s="3">
        <f t="shared" si="89"/>
        <v>18.099999999999998</v>
      </c>
      <c r="AI70" s="3">
        <f t="shared" si="89"/>
        <v>18.099999999999998</v>
      </c>
      <c r="AJ70" s="3">
        <f t="shared" si="89"/>
        <v>18.099999999999998</v>
      </c>
      <c r="AK70" s="3">
        <f t="shared" si="89"/>
        <v>18.099999999999998</v>
      </c>
      <c r="AL70" s="3">
        <f t="shared" si="89"/>
        <v>18.099999999999998</v>
      </c>
      <c r="AM70" s="3">
        <f t="shared" si="89"/>
        <v>18.099999999999998</v>
      </c>
      <c r="AN70" s="3">
        <f t="shared" si="89"/>
        <v>18.099999999999998</v>
      </c>
      <c r="AO70" s="3">
        <f t="shared" si="89"/>
        <v>18.099999999999998</v>
      </c>
      <c r="AP70" s="3">
        <f t="shared" si="89"/>
        <v>18.099999999999998</v>
      </c>
      <c r="AQ70" s="3">
        <f t="shared" si="89"/>
        <v>18.099999999999998</v>
      </c>
      <c r="AR70" s="3">
        <f t="shared" si="89"/>
        <v>18.099999999999998</v>
      </c>
      <c r="AS70" s="3">
        <f t="shared" si="89"/>
        <v>18.099999999999998</v>
      </c>
      <c r="AT70" s="3">
        <f t="shared" si="89"/>
        <v>18.099999999999998</v>
      </c>
      <c r="AU70" s="3">
        <f t="shared" si="89"/>
        <v>18.099999999999998</v>
      </c>
      <c r="AV70" s="3">
        <f t="shared" si="89"/>
        <v>18.099999999999998</v>
      </c>
      <c r="AW70" s="3">
        <f>AV70</f>
        <v>18.099999999999998</v>
      </c>
      <c r="AX70" s="3">
        <f t="shared" si="89"/>
        <v>18.099999999999998</v>
      </c>
      <c r="AY70" s="3">
        <f t="shared" si="89"/>
        <v>18.099999999999998</v>
      </c>
      <c r="AZ70" s="3">
        <f t="shared" si="89"/>
        <v>18.099999999999998</v>
      </c>
      <c r="BA70" s="3">
        <f t="shared" ref="BA70" si="90">AZ70</f>
        <v>18.099999999999998</v>
      </c>
      <c r="BB70" s="3">
        <f>BA70</f>
        <v>18.099999999999998</v>
      </c>
      <c r="BC70" s="3">
        <f t="shared" ref="BC70" si="91">BB70</f>
        <v>18.099999999999998</v>
      </c>
      <c r="BD70" s="3">
        <f t="shared" ref="BD70" si="92">BC70</f>
        <v>18.099999999999998</v>
      </c>
      <c r="BE70" s="3">
        <f t="shared" ref="BE70" si="93">BD70</f>
        <v>18.099999999999998</v>
      </c>
      <c r="BF70" s="3">
        <f t="shared" ref="BF70" si="94">BE70</f>
        <v>18.099999999999998</v>
      </c>
      <c r="BG70" s="3">
        <f>BF70</f>
        <v>18.099999999999998</v>
      </c>
      <c r="BH70" s="3">
        <f t="shared" ref="BH70" si="95">BG70</f>
        <v>18.099999999999998</v>
      </c>
      <c r="BI70" s="3">
        <f t="shared" ref="BI70" si="96">BH70</f>
        <v>18.099999999999998</v>
      </c>
      <c r="BJ70" s="3">
        <f t="shared" ref="BJ70" si="97">BI70</f>
        <v>18.099999999999998</v>
      </c>
      <c r="BK70" s="3">
        <f t="shared" ref="BK70" si="98">BJ70</f>
        <v>18.099999999999998</v>
      </c>
      <c r="BL70" s="3">
        <f>BK70</f>
        <v>18.099999999999998</v>
      </c>
      <c r="BM70" s="3">
        <f t="shared" ref="BM70" si="99">BL70</f>
        <v>18.099999999999998</v>
      </c>
      <c r="BN70" s="3">
        <f t="shared" ref="BN70" si="100">BM70</f>
        <v>18.099999999999998</v>
      </c>
      <c r="BO70" s="3">
        <f t="shared" ref="BO70" si="101">BN70</f>
        <v>18.099999999999998</v>
      </c>
      <c r="BP70" s="3">
        <f t="shared" ref="BP70" si="102">BO70</f>
        <v>18.099999999999998</v>
      </c>
      <c r="BQ70" s="3">
        <f>BP70</f>
        <v>18.099999999999998</v>
      </c>
      <c r="BR70" s="3">
        <f t="shared" ref="BR70" si="103">BQ70</f>
        <v>18.099999999999998</v>
      </c>
      <c r="BS70" s="3">
        <f t="shared" ref="BS70" si="104">BR70</f>
        <v>18.099999999999998</v>
      </c>
      <c r="BT70" s="3">
        <f t="shared" ref="BT70" si="105">BS70</f>
        <v>18.099999999999998</v>
      </c>
      <c r="BU70" s="3">
        <f t="shared" ref="BU70" si="106">BT70</f>
        <v>18.099999999999998</v>
      </c>
      <c r="BV70" s="3">
        <f>BU70</f>
        <v>18.099999999999998</v>
      </c>
      <c r="BW70" s="3">
        <f t="shared" ref="BW70" si="107">BV70</f>
        <v>18.099999999999998</v>
      </c>
      <c r="BX70" s="3">
        <f t="shared" ref="BX70" si="108">BW70</f>
        <v>18.099999999999998</v>
      </c>
      <c r="BY70" s="3">
        <f t="shared" ref="BY70" si="109">BX70</f>
        <v>18.099999999999998</v>
      </c>
      <c r="BZ70" s="3">
        <f t="shared" ref="BZ70" si="110">BY70</f>
        <v>18.099999999999998</v>
      </c>
      <c r="CA70" s="3">
        <f>BZ70</f>
        <v>18.099999999999998</v>
      </c>
      <c r="CB70" s="3">
        <f t="shared" ref="CB70" si="111">CA70</f>
        <v>18.099999999999998</v>
      </c>
      <c r="CC70" s="3">
        <f t="shared" ref="CC70" si="112">CB70</f>
        <v>18.099999999999998</v>
      </c>
      <c r="CD70" s="3">
        <f t="shared" ref="CD70" si="113">CC70</f>
        <v>18.099999999999998</v>
      </c>
      <c r="CE70" s="3">
        <f t="shared" ref="CE70" si="114">CD70</f>
        <v>18.099999999999998</v>
      </c>
      <c r="CF70" s="3">
        <f>CE70</f>
        <v>18.099999999999998</v>
      </c>
      <c r="CG70" s="3">
        <f t="shared" ref="CG70" si="115">CF70</f>
        <v>18.099999999999998</v>
      </c>
      <c r="CH70" s="3">
        <f t="shared" ref="CH70" si="116">CG70</f>
        <v>18.099999999999998</v>
      </c>
      <c r="CI70" s="3">
        <f t="shared" ref="CI70" si="117">CH70</f>
        <v>18.099999999999998</v>
      </c>
      <c r="CJ70" s="3">
        <f t="shared" ref="CJ70" si="118">CI70</f>
        <v>18.099999999999998</v>
      </c>
      <c r="CK70" s="3">
        <f>CJ70</f>
        <v>18.099999999999998</v>
      </c>
      <c r="CL70" s="3">
        <f t="shared" ref="CL70" si="119">CK70</f>
        <v>18.099999999999998</v>
      </c>
      <c r="CM70" s="3">
        <f t="shared" ref="CM70" si="120">CL70</f>
        <v>18.099999999999998</v>
      </c>
      <c r="CN70" s="3">
        <f t="shared" ref="CN70" si="121">CM70</f>
        <v>18.099999999999998</v>
      </c>
      <c r="CO70" s="3">
        <f t="shared" ref="CO70" si="122">CN70</f>
        <v>18.099999999999998</v>
      </c>
      <c r="CP70" s="3">
        <f>CO70</f>
        <v>18.099999999999998</v>
      </c>
      <c r="CQ70" s="3">
        <f t="shared" ref="CQ70" si="123">CP70</f>
        <v>18.099999999999998</v>
      </c>
      <c r="CR70" s="3">
        <f t="shared" ref="CR70" si="124">CQ70</f>
        <v>18.099999999999998</v>
      </c>
      <c r="CS70" s="3">
        <f t="shared" ref="CS70" si="125">CR70</f>
        <v>18.099999999999998</v>
      </c>
      <c r="CT70" s="3">
        <f t="shared" ref="CT70" si="126">CS70</f>
        <v>18.099999999999998</v>
      </c>
      <c r="CU70" s="3">
        <f>CT70</f>
        <v>18.099999999999998</v>
      </c>
      <c r="CV70" s="3">
        <f t="shared" ref="CV70" si="127">CU70</f>
        <v>18.099999999999998</v>
      </c>
      <c r="CW70" s="3">
        <f t="shared" ref="CW70" si="128">CV70</f>
        <v>18.099999999999998</v>
      </c>
      <c r="CX70" s="3">
        <f t="shared" ref="CX70" si="129">CW70</f>
        <v>18.099999999999998</v>
      </c>
    </row>
    <row r="71" spans="2:175" hidden="1" outlineLevel="1">
      <c r="B71" s="1" t="s">
        <v>462</v>
      </c>
      <c r="G71" s="3"/>
      <c r="H71" s="3"/>
      <c r="I71" s="3"/>
      <c r="J71" s="3"/>
      <c r="K71" s="3"/>
      <c r="L71" s="3"/>
      <c r="Q71" s="3">
        <f>Q70-L70</f>
        <v>-86.5</v>
      </c>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row>
    <row r="72" spans="2:175" collapsed="1">
      <c r="K72" s="3"/>
      <c r="L72" s="3"/>
      <c r="Q72" s="3"/>
      <c r="V72" s="3"/>
      <c r="AA72" s="3"/>
      <c r="AF72" s="3"/>
      <c r="AK72" s="3"/>
      <c r="AP72" s="3"/>
      <c r="AU72" s="3"/>
      <c r="AZ72" s="3"/>
      <c r="BE72" s="3"/>
      <c r="BJ72" s="3"/>
      <c r="BO72" s="3"/>
      <c r="BT72" s="3"/>
      <c r="BY72" s="3"/>
      <c r="CD72" s="3"/>
      <c r="CI72" s="3"/>
      <c r="CN72" s="3"/>
      <c r="CS72" s="3"/>
      <c r="CX72" s="3"/>
    </row>
    <row r="73" spans="2:175">
      <c r="B73" s="1" t="s">
        <v>496</v>
      </c>
      <c r="K73" s="3"/>
      <c r="L73" s="3">
        <f>L29+L34+L41+L71</f>
        <v>-7.6249999999999538</v>
      </c>
      <c r="M73" s="3"/>
      <c r="N73" s="3"/>
      <c r="O73" s="3"/>
      <c r="P73" s="3"/>
      <c r="Q73" s="3">
        <f>Q29+Q34+Q41+Q71</f>
        <v>-546.17899999999986</v>
      </c>
      <c r="R73" s="3"/>
      <c r="S73" s="3"/>
      <c r="T73" s="3"/>
      <c r="U73" s="3"/>
      <c r="V73" s="3">
        <f>V29+V34+V41+V71</f>
        <v>-10.3</v>
      </c>
      <c r="W73" s="3"/>
      <c r="X73" s="3"/>
      <c r="Y73" s="3"/>
      <c r="Z73" s="3"/>
      <c r="AA73" s="3">
        <f>AA29+AA34+AA41+AA71+AA58+AA53+AA48+AA43</f>
        <v>5920.2</v>
      </c>
      <c r="AB73" s="3">
        <f t="shared" ref="AB73:AE73" si="130">AB29+AB34+AB41+AB71+AB58+AB53+AB48+AB43</f>
        <v>5929.55</v>
      </c>
      <c r="AC73" s="3">
        <f t="shared" si="130"/>
        <v>5929.55</v>
      </c>
      <c r="AD73" s="3">
        <f t="shared" si="130"/>
        <v>5928.05</v>
      </c>
      <c r="AE73" s="3">
        <f t="shared" si="130"/>
        <v>5929.65</v>
      </c>
      <c r="AF73" s="3">
        <f>AF29+AF34+AF41+AF71+AF61+AF56+AF51+AF46</f>
        <v>-12.000000000000046</v>
      </c>
      <c r="AG73" s="3"/>
      <c r="AH73" s="3"/>
      <c r="AI73" s="3"/>
      <c r="AJ73" s="3"/>
      <c r="AK73" s="3">
        <f>AK29+AK34+AK41+AK71+AK61+AK56+AK51+AK46</f>
        <v>-12.000000000000046</v>
      </c>
      <c r="AL73" s="3"/>
      <c r="AM73" s="3"/>
      <c r="AN73" s="3"/>
      <c r="AO73" s="3"/>
      <c r="AP73" s="3">
        <f>AP29+AP34+AP41+AP71+AP46+AP51+AP56+AP61</f>
        <v>-552.82764548161913</v>
      </c>
      <c r="AQ73" s="3"/>
      <c r="AR73" s="3"/>
      <c r="AS73" s="3"/>
      <c r="AT73" s="3"/>
      <c r="AU73" s="3">
        <f>AU29+AU34+AU41+AU71+AU46+AU51+AU56+AU61</f>
        <v>0</v>
      </c>
      <c r="AV73" s="3"/>
      <c r="AW73" s="3"/>
      <c r="AX73" s="3"/>
      <c r="AY73" s="3"/>
      <c r="AZ73" s="3">
        <f>AZ29+AZ34+AZ41+AZ71+AZ46+AZ51+AZ56+AZ61</f>
        <v>-1485.3</v>
      </c>
      <c r="BA73" s="3"/>
      <c r="BB73" s="3"/>
      <c r="BC73" s="3"/>
      <c r="BD73" s="3"/>
      <c r="BE73" s="3">
        <f>BE29+BE34+BE41+BE71+BE46+BE51+BE56+BE61</f>
        <v>0</v>
      </c>
      <c r="BF73" s="3"/>
      <c r="BG73" s="3"/>
      <c r="BH73" s="3"/>
      <c r="BI73" s="3"/>
      <c r="BJ73" s="3">
        <f>BJ29+BJ34+BJ41+BJ71+BJ46+BJ51+BJ56+BJ61</f>
        <v>-993.2</v>
      </c>
      <c r="BK73" s="3"/>
      <c r="BL73" s="3"/>
      <c r="BM73" s="3"/>
      <c r="BN73" s="3"/>
      <c r="BO73" s="3">
        <f>BO29+BO34+BO41+BO71+BO46+BO51+BO56+BO61</f>
        <v>0</v>
      </c>
      <c r="BP73" s="3"/>
      <c r="BQ73" s="3"/>
      <c r="BR73" s="3"/>
      <c r="BS73" s="3"/>
      <c r="BT73" s="3">
        <f>BT29+BT34+BT41+BT71+BT46+BT51+BT56+BT61</f>
        <v>0</v>
      </c>
      <c r="BU73" s="3"/>
      <c r="BV73" s="3"/>
      <c r="BW73" s="3"/>
      <c r="BX73" s="3"/>
      <c r="BY73" s="3">
        <f>BY29+BY34+BY41+BY71+BY46+BY51+BY56+BY61</f>
        <v>-1734.8</v>
      </c>
      <c r="BZ73" s="3"/>
      <c r="CA73" s="3"/>
      <c r="CB73" s="3"/>
      <c r="CC73" s="3"/>
      <c r="CD73" s="3">
        <f>CD29+CD34+CD41+CD71+CD46+CD51+CD56+CD61</f>
        <v>0</v>
      </c>
      <c r="CE73" s="3"/>
      <c r="CF73" s="3"/>
      <c r="CG73" s="3"/>
      <c r="CH73" s="3"/>
      <c r="CI73" s="3">
        <f>CI29+CI34+CI41+CI71+CI46+CI51+CI56+CI61</f>
        <v>0</v>
      </c>
      <c r="CJ73" s="3"/>
      <c r="CK73" s="3"/>
      <c r="CL73" s="3"/>
      <c r="CM73" s="3"/>
      <c r="CN73" s="3">
        <f>CN29+CN34+CN41+CN71+CN46+CN51+CN56+CN61</f>
        <v>0</v>
      </c>
      <c r="CO73" s="3"/>
      <c r="CP73" s="3"/>
      <c r="CQ73" s="3"/>
      <c r="CR73" s="3"/>
      <c r="CS73" s="3">
        <f>CS29+CS34+CS41+CS71+CS46+CS51+CS56+CS61</f>
        <v>0</v>
      </c>
      <c r="CT73" s="3"/>
      <c r="CU73" s="3"/>
      <c r="CV73" s="3"/>
      <c r="CW73" s="3"/>
      <c r="CX73" s="3">
        <f>CX29+CX34+CX41+CX71+CX46+CX51+CX56+CX61</f>
        <v>0</v>
      </c>
    </row>
    <row r="74" spans="2:175">
      <c r="K74" s="3"/>
      <c r="L74" s="3"/>
      <c r="Q74" s="3"/>
      <c r="V74" s="3"/>
      <c r="AA74" s="3"/>
      <c r="AF74" s="3"/>
      <c r="AK74" s="3"/>
      <c r="AP74" s="3"/>
      <c r="AU74" s="3"/>
      <c r="AZ74" s="3"/>
      <c r="BE74" s="3"/>
      <c r="BJ74" s="3"/>
      <c r="BO74" s="3"/>
      <c r="BT74" s="3"/>
      <c r="BY74" s="3"/>
      <c r="CD74" s="3"/>
      <c r="CI74" s="3"/>
      <c r="CN74" s="3"/>
      <c r="CS74" s="3"/>
      <c r="CX74" s="3"/>
    </row>
    <row r="75" spans="2:175">
      <c r="C75" s="3"/>
      <c r="D75" s="3"/>
      <c r="E75" s="3"/>
      <c r="F75" s="3"/>
      <c r="G75" s="3"/>
      <c r="H75" s="3"/>
      <c r="I75" s="3"/>
      <c r="J75" s="3"/>
      <c r="K75" s="3"/>
      <c r="L75" s="3"/>
      <c r="M75" s="3">
        <f>IS!BA36</f>
        <v>-11.5</v>
      </c>
      <c r="N75" s="3">
        <f>IS!BB36</f>
        <v>-7.3</v>
      </c>
      <c r="O75" s="3">
        <f>IS!BC36</f>
        <v>-6.6</v>
      </c>
      <c r="P75" s="3">
        <f>IS!BD36</f>
        <v>-6.4999999999999982</v>
      </c>
      <c r="Q75" s="3">
        <f>IS!BE36</f>
        <v>-31.9</v>
      </c>
      <c r="R75" s="3">
        <f>IS!BF36</f>
        <v>-7.6</v>
      </c>
      <c r="S75" s="3">
        <f>IS!BG36</f>
        <v>-7.1</v>
      </c>
      <c r="T75" s="3">
        <f>IS!BH36</f>
        <v>-7.4</v>
      </c>
      <c r="U75" s="3">
        <f>IS!BI36</f>
        <v>-7.3999999999999986</v>
      </c>
      <c r="V75" s="3">
        <f>IS!BJ36</f>
        <v>-29.5</v>
      </c>
      <c r="W75" s="3">
        <f>IS!BK36</f>
        <v>-6.7</v>
      </c>
      <c r="X75" s="3">
        <f>IS!BL36</f>
        <v>-5.8</v>
      </c>
      <c r="Y75" s="3">
        <f>IS!BM36</f>
        <v>-30</v>
      </c>
      <c r="Z75" s="3">
        <f>IS!BN36</f>
        <v>-53</v>
      </c>
      <c r="AA75" s="3">
        <f>IS!BO36</f>
        <v>-95.5</v>
      </c>
      <c r="AB75" s="3">
        <f>IS!BP36</f>
        <v>-63.3</v>
      </c>
      <c r="AC75" s="3">
        <f>IS!BQ36</f>
        <v>-65.900000000000006</v>
      </c>
      <c r="AD75" s="3">
        <f>IS!BR36</f>
        <v>-66</v>
      </c>
      <c r="AE75" s="3">
        <f>IS!BS36</f>
        <v>-65.655971608265588</v>
      </c>
      <c r="AF75" s="3">
        <f>IS!BT36</f>
        <v>-260.85597160826558</v>
      </c>
      <c r="AG75" s="3">
        <f>IS!BU36</f>
        <v>-49.6</v>
      </c>
      <c r="AH75" s="3">
        <f>IS!BV36</f>
        <v>-63.6</v>
      </c>
      <c r="AI75" s="3">
        <f>IS!BW36</f>
        <v>-61.8</v>
      </c>
      <c r="AJ75" s="3">
        <f>IS!BX36</f>
        <v>-62.247978803406681</v>
      </c>
      <c r="AK75" s="3">
        <f>IS!BY36</f>
        <v>-237.24797880340668</v>
      </c>
      <c r="AL75" s="3">
        <f>IS!BZ36</f>
        <v>-41</v>
      </c>
      <c r="AM75" s="3">
        <f>IS!CA36</f>
        <v>-53.430448900430903</v>
      </c>
      <c r="AN75" s="3">
        <f>IS!CB36</f>
        <v>-53.430448900430903</v>
      </c>
      <c r="AO75" s="3">
        <f>IS!CC36</f>
        <v>-65.860897800861807</v>
      </c>
      <c r="AP75" s="3">
        <f>IS!CD36</f>
        <v>-213.72179560172361</v>
      </c>
      <c r="AQ75" s="3">
        <f>IS!CE36</f>
        <v>0</v>
      </c>
      <c r="AR75" s="3">
        <f>IS!CF36</f>
        <v>0</v>
      </c>
      <c r="AS75" s="3">
        <f>IS!CG36</f>
        <v>0</v>
      </c>
      <c r="AT75" s="3">
        <f>IS!CH36</f>
        <v>0</v>
      </c>
      <c r="AU75" s="3">
        <f>IS!CI36</f>
        <v>-208.8546</v>
      </c>
      <c r="AV75" s="3">
        <f>IS!CJ36</f>
        <v>0</v>
      </c>
      <c r="AW75" s="3">
        <f>IS!CK36</f>
        <v>0</v>
      </c>
      <c r="AX75" s="3">
        <f>IS!CL36</f>
        <v>0</v>
      </c>
      <c r="AY75" s="3">
        <f>IS!CM36</f>
        <v>0</v>
      </c>
      <c r="AZ75" s="3">
        <f>IS!CN36</f>
        <v>-198.086175</v>
      </c>
      <c r="BA75" s="3">
        <f>IS!CO36</f>
        <v>0</v>
      </c>
      <c r="BB75" s="3">
        <f>IS!CP36</f>
        <v>0</v>
      </c>
      <c r="BC75" s="3">
        <f>IS!CQ36</f>
        <v>0</v>
      </c>
      <c r="BD75" s="3">
        <f>IS!CR36</f>
        <v>0</v>
      </c>
      <c r="BE75" s="3">
        <f>IS!CS36</f>
        <v>-165.7809</v>
      </c>
      <c r="BF75" s="3">
        <f>IS!CT36</f>
        <v>0</v>
      </c>
      <c r="BG75" s="3">
        <f>IS!CU36</f>
        <v>0</v>
      </c>
      <c r="BH75" s="3">
        <f>IS!CV36</f>
        <v>0</v>
      </c>
      <c r="BI75" s="3">
        <f>IS!CW36</f>
        <v>0</v>
      </c>
      <c r="BJ75" s="3">
        <f>IS!CX36</f>
        <v>-156.78002500000002</v>
      </c>
      <c r="BK75" s="3">
        <f>IS!CY36</f>
        <v>0</v>
      </c>
      <c r="BL75" s="3">
        <f>IS!CZ36</f>
        <v>0</v>
      </c>
      <c r="BM75" s="3">
        <f>IS!DA36</f>
        <v>0</v>
      </c>
      <c r="BN75" s="3">
        <f>IS!DB36</f>
        <v>0</v>
      </c>
      <c r="BO75" s="3">
        <f>IS!DC36</f>
        <v>-159.7774</v>
      </c>
      <c r="BP75" s="3">
        <f>IS!DD36</f>
        <v>0</v>
      </c>
      <c r="BQ75" s="3">
        <f>IS!DE36</f>
        <v>0</v>
      </c>
      <c r="BR75" s="3">
        <f>IS!DF36</f>
        <v>0</v>
      </c>
      <c r="BS75" s="3">
        <f>IS!DG36</f>
        <v>0</v>
      </c>
      <c r="BT75" s="3">
        <f>IS!DH36</f>
        <v>-159.7774</v>
      </c>
      <c r="BU75" s="3">
        <f>IS!DI36</f>
        <v>0</v>
      </c>
      <c r="BV75" s="3">
        <f>IS!DJ36</f>
        <v>0</v>
      </c>
      <c r="BW75" s="3">
        <f>IS!DK36</f>
        <v>0</v>
      </c>
      <c r="BX75" s="3">
        <f>IS!DL36</f>
        <v>0</v>
      </c>
      <c r="BY75" s="3">
        <f>IS!DM36</f>
        <v>-142.21254999999999</v>
      </c>
      <c r="BZ75" s="3">
        <f>IS!DN36</f>
        <v>0</v>
      </c>
      <c r="CA75" s="3">
        <f>IS!DO36</f>
        <v>0</v>
      </c>
      <c r="CB75" s="3">
        <f>IS!DP36</f>
        <v>0</v>
      </c>
      <c r="CC75" s="3">
        <f>IS!DQ36</f>
        <v>0</v>
      </c>
      <c r="CD75" s="3">
        <f>IS!DR36</f>
        <v>-89.518000000000001</v>
      </c>
      <c r="CE75" s="3">
        <f>IS!DS36</f>
        <v>0</v>
      </c>
      <c r="CF75" s="3">
        <f>IS!DT36</f>
        <v>0</v>
      </c>
      <c r="CG75" s="3">
        <f>IS!DU36</f>
        <v>0</v>
      </c>
      <c r="CH75" s="3">
        <f>IS!DV36</f>
        <v>0</v>
      </c>
      <c r="CI75" s="3">
        <f>IS!DW36</f>
        <v>-89.518000000000001</v>
      </c>
      <c r="CJ75" s="3">
        <f>IS!DX36</f>
        <v>0</v>
      </c>
      <c r="CK75" s="3">
        <f>IS!DY36</f>
        <v>0</v>
      </c>
      <c r="CL75" s="3">
        <f>IS!DZ36</f>
        <v>0</v>
      </c>
      <c r="CM75" s="3">
        <f>IS!EA36</f>
        <v>0</v>
      </c>
      <c r="CN75" s="3">
        <f>IS!EB36</f>
        <v>-89.518000000000001</v>
      </c>
      <c r="CO75" s="3">
        <f>IS!EC36</f>
        <v>0</v>
      </c>
      <c r="CP75" s="3">
        <f>IS!ED36</f>
        <v>0</v>
      </c>
      <c r="CQ75" s="3">
        <f>IS!EE36</f>
        <v>0</v>
      </c>
      <c r="CR75" s="3">
        <f>IS!EF36</f>
        <v>0</v>
      </c>
      <c r="CS75" s="3">
        <f>IS!EG36</f>
        <v>-89.518000000000001</v>
      </c>
      <c r="CT75" s="3">
        <f>IS!EH36</f>
        <v>0</v>
      </c>
      <c r="CU75" s="3">
        <f>IS!EI36</f>
        <v>0</v>
      </c>
      <c r="CV75" s="3">
        <f>IS!EJ36</f>
        <v>0</v>
      </c>
      <c r="CW75" s="3">
        <f>IS!EK36</f>
        <v>0</v>
      </c>
      <c r="CX75" s="3">
        <f>IS!EL36</f>
        <v>-89.518000000000001</v>
      </c>
    </row>
    <row r="76" spans="2:175" s="3" customFormat="1">
      <c r="B76" s="345" t="s">
        <v>116</v>
      </c>
      <c r="D76" s="3">
        <f t="shared" ref="D76:L76" si="131">+D7+D16+D23+D28+D38+D33+D65</f>
        <v>21.218675000000001</v>
      </c>
      <c r="E76" s="3">
        <f t="shared" si="131"/>
        <v>18.700870000000002</v>
      </c>
      <c r="F76" s="3">
        <f t="shared" si="131"/>
        <v>2.1483700000000003</v>
      </c>
      <c r="G76" s="3">
        <f t="shared" si="131"/>
        <v>44.410899999999998</v>
      </c>
      <c r="H76" s="3">
        <f t="shared" si="131"/>
        <v>128.18312499999999</v>
      </c>
      <c r="I76" s="3">
        <f t="shared" si="131"/>
        <v>71.373100000000008</v>
      </c>
      <c r="J76" s="3">
        <f t="shared" si="131"/>
        <v>70.583800000000011</v>
      </c>
      <c r="K76" s="3">
        <f t="shared" si="131"/>
        <v>69.358625000000004</v>
      </c>
      <c r="L76" s="3">
        <f t="shared" si="131"/>
        <v>68.847375</v>
      </c>
      <c r="M76" s="3">
        <f t="shared" ref="M76:W76" si="132">M38+M33</f>
        <v>10.335703125000002</v>
      </c>
      <c r="N76" s="3">
        <f t="shared" si="132"/>
        <v>10.3028125</v>
      </c>
      <c r="O76" s="3">
        <f t="shared" si="132"/>
        <v>10.232468750000001</v>
      </c>
      <c r="P76" s="3">
        <f t="shared" si="132"/>
        <v>10.217906250000002</v>
      </c>
      <c r="Q76" s="3">
        <f t="shared" si="132"/>
        <v>41.088890625000012</v>
      </c>
      <c r="R76" s="3">
        <f t="shared" si="132"/>
        <v>10.197593750000003</v>
      </c>
      <c r="S76" s="3">
        <f t="shared" si="132"/>
        <v>10.174406250000001</v>
      </c>
      <c r="T76" s="3">
        <f t="shared" si="132"/>
        <v>10.09659375</v>
      </c>
      <c r="U76" s="3">
        <f t="shared" si="132"/>
        <v>10.058750000000002</v>
      </c>
      <c r="V76" s="3">
        <f t="shared" si="132"/>
        <v>40.527343750000007</v>
      </c>
      <c r="W76" s="3">
        <f t="shared" si="132"/>
        <v>10.025218750000001</v>
      </c>
      <c r="X76" s="3">
        <f t="shared" ref="X76:Y76" si="133">X38+X33+X45+X50+X55+X60</f>
        <v>10.001749999999999</v>
      </c>
      <c r="Y76" s="3">
        <f t="shared" si="133"/>
        <v>29.843354166666668</v>
      </c>
      <c r="Z76" s="3">
        <f>Z38+Z33+Z45+Z50+Z55+Z60</f>
        <v>69.603312499999987</v>
      </c>
      <c r="AA76" s="3">
        <f t="shared" ref="AA76:CL76" si="134">AA38+AA33+AA45+AA50+AA55+AA60</f>
        <v>119.47363541666667</v>
      </c>
      <c r="AB76" s="3">
        <f t="shared" si="134"/>
        <v>69.532131249999992</v>
      </c>
      <c r="AC76" s="3">
        <f t="shared" si="134"/>
        <v>69.491116015625011</v>
      </c>
      <c r="AD76" s="3">
        <f t="shared" si="134"/>
        <v>69.449931206787113</v>
      </c>
      <c r="AE76" s="3">
        <f t="shared" si="134"/>
        <v>69.382793135853433</v>
      </c>
      <c r="AF76" s="3">
        <f t="shared" si="134"/>
        <v>277.85597160826558</v>
      </c>
      <c r="AG76" s="3">
        <f t="shared" si="134"/>
        <v>69.39911875</v>
      </c>
      <c r="AH76" s="3">
        <f t="shared" si="134"/>
        <v>69.33342109374999</v>
      </c>
      <c r="AI76" s="3">
        <f t="shared" si="134"/>
        <v>69.291607451660155</v>
      </c>
      <c r="AJ76" s="3">
        <f t="shared" si="134"/>
        <v>69.223831507996522</v>
      </c>
      <c r="AK76" s="3">
        <f t="shared" si="134"/>
        <v>277.24797880340668</v>
      </c>
      <c r="AL76" s="3">
        <f>AL38+AL33+AL45+AL50+AL55+AL60-7.5</f>
        <v>56.978293785142711</v>
      </c>
      <c r="AM76" s="3">
        <f t="shared" ref="AM76:AO76" si="135">AM38+AM33+AM45+AM50+AM55+AM60-7.5</f>
        <v>52.262738784240156</v>
      </c>
      <c r="AN76" s="3">
        <f t="shared" si="135"/>
        <v>52.24038151617038</v>
      </c>
      <c r="AO76" s="3">
        <f t="shared" si="135"/>
        <v>52.24038151617038</v>
      </c>
      <c r="AP76" s="3">
        <f>SUM(AL76:AO76)</f>
        <v>213.72179560172361</v>
      </c>
      <c r="AQ76" s="3">
        <f>AQ38+AQ33+AQ45+AQ50+AQ55+AQ60-7.5</f>
        <v>52.213650000000001</v>
      </c>
      <c r="AR76" s="3">
        <f t="shared" ref="AR76:AT76" si="136">AR38+AR33+AR45+AR50+AR55+AR60-7.5</f>
        <v>52.213650000000001</v>
      </c>
      <c r="AS76" s="3">
        <f t="shared" si="136"/>
        <v>52.213650000000001</v>
      </c>
      <c r="AT76" s="3">
        <f t="shared" si="136"/>
        <v>52.213650000000001</v>
      </c>
      <c r="AU76" s="3">
        <f>SUM(AQ76:AT76)</f>
        <v>208.8546</v>
      </c>
      <c r="AV76" s="3">
        <f>AV38+AV33+AV45+AV50+AV55+AV60-7.5</f>
        <v>52.213650000000001</v>
      </c>
      <c r="AW76" s="3">
        <f t="shared" ref="AW76:AY76" si="137">AW38+AW33+AW45+AW50+AW55+AW60-7.5</f>
        <v>52.213650000000001</v>
      </c>
      <c r="AX76" s="3">
        <f t="shared" si="137"/>
        <v>52.213650000000001</v>
      </c>
      <c r="AY76" s="3">
        <f t="shared" si="137"/>
        <v>41.445225000000001</v>
      </c>
      <c r="AZ76" s="3">
        <f>SUM(AV76:AY76)</f>
        <v>198.086175</v>
      </c>
      <c r="BA76" s="3">
        <f>BA38+BA33+BA45+BA50+BA55+BA60-7.5</f>
        <v>41.445225000000001</v>
      </c>
      <c r="BB76" s="3">
        <f t="shared" ref="BB76:BD76" si="138">BB38+BB33+BB45+BB50+BB55+BB60-7.5</f>
        <v>41.445225000000001</v>
      </c>
      <c r="BC76" s="3">
        <f t="shared" si="138"/>
        <v>41.445225000000001</v>
      </c>
      <c r="BD76" s="3">
        <f t="shared" si="138"/>
        <v>41.445225000000001</v>
      </c>
      <c r="BE76" s="3">
        <f>SUM(BA76:BD76)</f>
        <v>165.7809</v>
      </c>
      <c r="BF76" s="3">
        <f>BF38+BF33+BF45+BF50+BF55+BF60-7.5</f>
        <v>41.445225000000001</v>
      </c>
      <c r="BG76" s="3">
        <f t="shared" ref="BG76:BI76" si="139">BG38+BG33+BG45+BG50+BG55+BG60-7.5</f>
        <v>41.445225000000001</v>
      </c>
      <c r="BH76" s="3">
        <f t="shared" si="139"/>
        <v>41.445225000000001</v>
      </c>
      <c r="BI76" s="3">
        <f t="shared" si="139"/>
        <v>32.44435</v>
      </c>
      <c r="BJ76" s="3">
        <f>SUM(BF76:BI76)</f>
        <v>156.78002500000002</v>
      </c>
      <c r="BK76" s="3">
        <f t="shared" si="134"/>
        <v>39.94435</v>
      </c>
      <c r="BL76" s="3">
        <f t="shared" si="134"/>
        <v>39.94435</v>
      </c>
      <c r="BM76" s="3">
        <f t="shared" si="134"/>
        <v>39.94435</v>
      </c>
      <c r="BN76" s="3">
        <f t="shared" si="134"/>
        <v>39.94435</v>
      </c>
      <c r="BO76" s="3">
        <f t="shared" si="134"/>
        <v>159.7774</v>
      </c>
      <c r="BP76" s="3">
        <f t="shared" si="134"/>
        <v>39.94435</v>
      </c>
      <c r="BQ76" s="3">
        <f t="shared" si="134"/>
        <v>39.94435</v>
      </c>
      <c r="BR76" s="3">
        <f t="shared" si="134"/>
        <v>39.94435</v>
      </c>
      <c r="BS76" s="3">
        <f t="shared" si="134"/>
        <v>39.94435</v>
      </c>
      <c r="BT76" s="3">
        <f t="shared" si="134"/>
        <v>159.7774</v>
      </c>
      <c r="BU76" s="3">
        <f t="shared" si="134"/>
        <v>39.94435</v>
      </c>
      <c r="BV76" s="3">
        <f t="shared" si="134"/>
        <v>39.94435</v>
      </c>
      <c r="BW76" s="3">
        <f t="shared" si="134"/>
        <v>39.94435</v>
      </c>
      <c r="BX76" s="3">
        <f t="shared" si="134"/>
        <v>22.3795</v>
      </c>
      <c r="BY76" s="3">
        <f t="shared" si="134"/>
        <v>142.21254999999999</v>
      </c>
      <c r="BZ76" s="3">
        <f t="shared" si="134"/>
        <v>22.3795</v>
      </c>
      <c r="CA76" s="3">
        <f t="shared" si="134"/>
        <v>22.3795</v>
      </c>
      <c r="CB76" s="3">
        <f t="shared" si="134"/>
        <v>22.3795</v>
      </c>
      <c r="CC76" s="3">
        <f t="shared" si="134"/>
        <v>22.3795</v>
      </c>
      <c r="CD76" s="3">
        <f t="shared" si="134"/>
        <v>89.518000000000001</v>
      </c>
      <c r="CE76" s="3">
        <f t="shared" si="134"/>
        <v>22.3795</v>
      </c>
      <c r="CF76" s="3">
        <f t="shared" si="134"/>
        <v>22.3795</v>
      </c>
      <c r="CG76" s="3">
        <f t="shared" si="134"/>
        <v>22.3795</v>
      </c>
      <c r="CH76" s="3">
        <f t="shared" si="134"/>
        <v>22.3795</v>
      </c>
      <c r="CI76" s="3">
        <f t="shared" si="134"/>
        <v>89.518000000000001</v>
      </c>
      <c r="CJ76" s="3">
        <f t="shared" si="134"/>
        <v>22.3795</v>
      </c>
      <c r="CK76" s="3">
        <f t="shared" si="134"/>
        <v>22.3795</v>
      </c>
      <c r="CL76" s="3">
        <f t="shared" si="134"/>
        <v>22.3795</v>
      </c>
      <c r="CM76" s="3">
        <f t="shared" ref="CM76:EX76" si="140">CM38+CM33+CM45+CM50+CM55+CM60</f>
        <v>22.3795</v>
      </c>
      <c r="CN76" s="3">
        <f t="shared" si="140"/>
        <v>89.518000000000001</v>
      </c>
      <c r="CO76" s="3">
        <f t="shared" si="140"/>
        <v>22.3795</v>
      </c>
      <c r="CP76" s="3">
        <f t="shared" si="140"/>
        <v>22.3795</v>
      </c>
      <c r="CQ76" s="3">
        <f t="shared" si="140"/>
        <v>22.3795</v>
      </c>
      <c r="CR76" s="3">
        <f t="shared" si="140"/>
        <v>22.3795</v>
      </c>
      <c r="CS76" s="3">
        <f t="shared" si="140"/>
        <v>89.518000000000001</v>
      </c>
      <c r="CT76" s="3">
        <f t="shared" si="140"/>
        <v>22.3795</v>
      </c>
      <c r="CU76" s="3">
        <f t="shared" si="140"/>
        <v>22.3795</v>
      </c>
      <c r="CV76" s="3">
        <f t="shared" si="140"/>
        <v>22.3795</v>
      </c>
      <c r="CW76" s="3">
        <f t="shared" si="140"/>
        <v>22.3795</v>
      </c>
      <c r="CX76" s="3">
        <f t="shared" si="140"/>
        <v>89.518000000000001</v>
      </c>
      <c r="CY76" s="3">
        <f t="shared" si="140"/>
        <v>22.3795</v>
      </c>
      <c r="CZ76" s="3">
        <f t="shared" si="140"/>
        <v>22.3795</v>
      </c>
      <c r="DA76" s="3">
        <f t="shared" si="140"/>
        <v>22.3795</v>
      </c>
      <c r="DB76" s="3">
        <f t="shared" si="140"/>
        <v>22.3795</v>
      </c>
      <c r="DC76" s="3">
        <f t="shared" si="140"/>
        <v>89.518000000000001</v>
      </c>
      <c r="DD76" s="3">
        <f t="shared" si="140"/>
        <v>22.3795</v>
      </c>
      <c r="DE76" s="3">
        <f t="shared" si="140"/>
        <v>22.3795</v>
      </c>
      <c r="DF76" s="3">
        <f t="shared" si="140"/>
        <v>22.3795</v>
      </c>
      <c r="DG76" s="3">
        <f t="shared" si="140"/>
        <v>22.3795</v>
      </c>
      <c r="DH76" s="3">
        <f t="shared" si="140"/>
        <v>89.518000000000001</v>
      </c>
      <c r="DI76" s="3">
        <f t="shared" si="140"/>
        <v>22.3795</v>
      </c>
      <c r="DJ76" s="3">
        <f t="shared" si="140"/>
        <v>22.3795</v>
      </c>
      <c r="DK76" s="3">
        <f t="shared" si="140"/>
        <v>22.3795</v>
      </c>
      <c r="DL76" s="3">
        <f t="shared" si="140"/>
        <v>22.3795</v>
      </c>
      <c r="DM76" s="3">
        <f t="shared" si="140"/>
        <v>89.518000000000001</v>
      </c>
      <c r="DN76" s="3">
        <f t="shared" si="140"/>
        <v>22.3795</v>
      </c>
      <c r="DO76" s="3">
        <f t="shared" si="140"/>
        <v>22.3795</v>
      </c>
      <c r="DP76" s="3">
        <f t="shared" si="140"/>
        <v>22.3795</v>
      </c>
      <c r="DQ76" s="3">
        <f t="shared" si="140"/>
        <v>22.3795</v>
      </c>
      <c r="DR76" s="3">
        <f t="shared" si="140"/>
        <v>89.518000000000001</v>
      </c>
      <c r="DS76" s="3">
        <f t="shared" si="140"/>
        <v>22.3795</v>
      </c>
      <c r="DT76" s="3">
        <f t="shared" si="140"/>
        <v>22.3795</v>
      </c>
      <c r="DU76" s="3">
        <f t="shared" si="140"/>
        <v>22.3795</v>
      </c>
      <c r="DV76" s="3">
        <f t="shared" si="140"/>
        <v>22.3795</v>
      </c>
      <c r="DW76" s="3">
        <f t="shared" si="140"/>
        <v>89.518000000000001</v>
      </c>
      <c r="DX76" s="3">
        <f t="shared" si="140"/>
        <v>22.3795</v>
      </c>
      <c r="DY76" s="3">
        <f t="shared" si="140"/>
        <v>22.3795</v>
      </c>
      <c r="DZ76" s="3">
        <f t="shared" si="140"/>
        <v>22.3795</v>
      </c>
      <c r="EA76" s="3">
        <f t="shared" si="140"/>
        <v>22.3795</v>
      </c>
      <c r="EB76" s="3">
        <f t="shared" si="140"/>
        <v>89.518000000000001</v>
      </c>
      <c r="EC76" s="3">
        <f t="shared" si="140"/>
        <v>22.3795</v>
      </c>
      <c r="ED76" s="3">
        <f t="shared" si="140"/>
        <v>22.3795</v>
      </c>
      <c r="EE76" s="3">
        <f t="shared" si="140"/>
        <v>22.3795</v>
      </c>
      <c r="EF76" s="3">
        <f t="shared" si="140"/>
        <v>22.3795</v>
      </c>
      <c r="EG76" s="3">
        <f t="shared" si="140"/>
        <v>89.518000000000001</v>
      </c>
      <c r="EH76" s="3">
        <f t="shared" si="140"/>
        <v>22.3795</v>
      </c>
      <c r="EI76" s="3">
        <f t="shared" si="140"/>
        <v>22.3795</v>
      </c>
      <c r="EJ76" s="3">
        <f t="shared" si="140"/>
        <v>22.3795</v>
      </c>
      <c r="EK76" s="3">
        <f t="shared" si="140"/>
        <v>22.3795</v>
      </c>
      <c r="EL76" s="3">
        <f t="shared" si="140"/>
        <v>89.518000000000001</v>
      </c>
      <c r="EM76" s="3">
        <f t="shared" si="140"/>
        <v>22.3795</v>
      </c>
      <c r="EN76" s="3">
        <f t="shared" si="140"/>
        <v>22.3795</v>
      </c>
      <c r="EO76" s="3">
        <f t="shared" si="140"/>
        <v>22.3795</v>
      </c>
      <c r="EP76" s="3">
        <f t="shared" si="140"/>
        <v>22.3795</v>
      </c>
      <c r="EQ76" s="3">
        <f t="shared" si="140"/>
        <v>89.518000000000001</v>
      </c>
      <c r="ER76" s="3">
        <f t="shared" si="140"/>
        <v>22.3795</v>
      </c>
      <c r="ES76" s="3">
        <f t="shared" si="140"/>
        <v>22.3795</v>
      </c>
      <c r="ET76" s="3">
        <f t="shared" si="140"/>
        <v>22.3795</v>
      </c>
      <c r="EU76" s="3">
        <f t="shared" si="140"/>
        <v>22.3795</v>
      </c>
      <c r="EV76" s="3">
        <f t="shared" si="140"/>
        <v>89.518000000000001</v>
      </c>
      <c r="EW76" s="3">
        <f t="shared" si="140"/>
        <v>22.3795</v>
      </c>
      <c r="EX76" s="3">
        <f t="shared" si="140"/>
        <v>22.3795</v>
      </c>
      <c r="EY76" s="3">
        <f t="shared" ref="EY76:FS76" si="141">EY38+EY33+EY45+EY50+EY55+EY60</f>
        <v>22.3795</v>
      </c>
      <c r="EZ76" s="3">
        <f t="shared" si="141"/>
        <v>22.3795</v>
      </c>
      <c r="FA76" s="3">
        <f t="shared" si="141"/>
        <v>89.518000000000001</v>
      </c>
      <c r="FB76" s="3">
        <f t="shared" si="141"/>
        <v>22.3795</v>
      </c>
      <c r="FC76" s="3">
        <f t="shared" si="141"/>
        <v>22.3795</v>
      </c>
      <c r="FD76" s="3">
        <f t="shared" si="141"/>
        <v>22.3795</v>
      </c>
      <c r="FE76" s="3">
        <f t="shared" si="141"/>
        <v>22.3795</v>
      </c>
      <c r="FF76" s="3">
        <f t="shared" si="141"/>
        <v>89.518000000000001</v>
      </c>
      <c r="FG76" s="3">
        <f t="shared" si="141"/>
        <v>22.3795</v>
      </c>
      <c r="FH76" s="3">
        <f t="shared" si="141"/>
        <v>22.3795</v>
      </c>
      <c r="FI76" s="3">
        <f t="shared" si="141"/>
        <v>22.3795</v>
      </c>
      <c r="FJ76" s="3">
        <f t="shared" si="141"/>
        <v>22.3795</v>
      </c>
      <c r="FK76" s="3">
        <f t="shared" si="141"/>
        <v>89.518000000000001</v>
      </c>
      <c r="FL76" s="3">
        <f t="shared" si="141"/>
        <v>22.3795</v>
      </c>
      <c r="FM76" s="3">
        <f t="shared" si="141"/>
        <v>22.3795</v>
      </c>
      <c r="FN76" s="3">
        <f t="shared" si="141"/>
        <v>22.3795</v>
      </c>
      <c r="FO76" s="3">
        <f t="shared" si="141"/>
        <v>22.3795</v>
      </c>
      <c r="FP76" s="3">
        <f t="shared" si="141"/>
        <v>89.518000000000001</v>
      </c>
      <c r="FQ76" s="3">
        <f t="shared" si="141"/>
        <v>22.3795</v>
      </c>
      <c r="FR76" s="3">
        <f t="shared" si="141"/>
        <v>22.3795</v>
      </c>
      <c r="FS76" s="3">
        <f t="shared" si="141"/>
        <v>22.3795</v>
      </c>
    </row>
    <row r="77" spans="2:175">
      <c r="B77" s="1" t="s">
        <v>471</v>
      </c>
      <c r="H77" s="3">
        <v>-23.2</v>
      </c>
      <c r="I77" s="3">
        <v>-28.5</v>
      </c>
      <c r="J77" s="3">
        <v>-28.6</v>
      </c>
      <c r="K77" s="3"/>
      <c r="L77" s="3">
        <v>-25.4</v>
      </c>
      <c r="Q77" s="3"/>
      <c r="V77" s="3"/>
      <c r="AA77" s="3"/>
      <c r="AF77" s="3"/>
      <c r="AG77" s="3">
        <f>AG76+AG75</f>
        <v>19.799118749999998</v>
      </c>
      <c r="AH77" s="3">
        <f t="shared" ref="AH77:AJ77" si="142">AH76+AH75</f>
        <v>5.733421093749989</v>
      </c>
      <c r="AI77" s="3">
        <f t="shared" si="142"/>
        <v>7.4916074516601583</v>
      </c>
      <c r="AJ77" s="3">
        <f t="shared" si="142"/>
        <v>6.9758527045898404</v>
      </c>
      <c r="AK77" s="3"/>
      <c r="AP77" s="3"/>
      <c r="AU77" s="3"/>
      <c r="AZ77" s="3"/>
      <c r="BE77" s="3"/>
      <c r="BJ77" s="3"/>
      <c r="BO77" s="3"/>
      <c r="BT77" s="3"/>
      <c r="BY77" s="3"/>
      <c r="CD77" s="3"/>
      <c r="CI77" s="3"/>
      <c r="CN77" s="3"/>
      <c r="CS77" s="3"/>
      <c r="CX77" s="3"/>
    </row>
    <row r="78" spans="2:175">
      <c r="B78" s="1" t="s">
        <v>472</v>
      </c>
      <c r="H78" s="3">
        <f>H76+H77+H34</f>
        <v>104.98312499999999</v>
      </c>
      <c r="I78" s="3">
        <f>I76+I77+I34</f>
        <v>37.873100000000008</v>
      </c>
      <c r="J78" s="3">
        <f>J76+J77+J34</f>
        <v>36.683799999999941</v>
      </c>
      <c r="K78" s="3"/>
      <c r="L78" s="3">
        <f t="shared" ref="L78:AO78" si="143">L77+L76</f>
        <v>43.447375000000001</v>
      </c>
      <c r="M78" s="3">
        <f t="shared" si="143"/>
        <v>10.335703125000002</v>
      </c>
      <c r="N78" s="3">
        <f t="shared" si="143"/>
        <v>10.3028125</v>
      </c>
      <c r="O78" s="3">
        <f t="shared" si="143"/>
        <v>10.232468750000001</v>
      </c>
      <c r="P78" s="3">
        <f t="shared" si="143"/>
        <v>10.217906250000002</v>
      </c>
      <c r="Q78" s="3">
        <f t="shared" si="143"/>
        <v>41.088890625000012</v>
      </c>
      <c r="R78" s="3">
        <f t="shared" si="143"/>
        <v>10.197593750000003</v>
      </c>
      <c r="S78" s="3">
        <f t="shared" si="143"/>
        <v>10.174406250000001</v>
      </c>
      <c r="T78" s="3">
        <f t="shared" si="143"/>
        <v>10.09659375</v>
      </c>
      <c r="U78" s="3">
        <f t="shared" si="143"/>
        <v>10.058750000000002</v>
      </c>
      <c r="V78" s="3">
        <f t="shared" si="143"/>
        <v>40.527343750000007</v>
      </c>
      <c r="W78" s="3">
        <f t="shared" si="143"/>
        <v>10.025218750000001</v>
      </c>
      <c r="X78" s="3">
        <f t="shared" si="143"/>
        <v>10.001749999999999</v>
      </c>
      <c r="Y78" s="3">
        <f t="shared" si="143"/>
        <v>29.843354166666668</v>
      </c>
      <c r="Z78" s="3">
        <f t="shared" si="143"/>
        <v>69.603312499999987</v>
      </c>
      <c r="AA78" s="3">
        <f t="shared" si="143"/>
        <v>119.47363541666667</v>
      </c>
      <c r="AB78" s="3">
        <f t="shared" si="143"/>
        <v>69.532131249999992</v>
      </c>
      <c r="AC78" s="3">
        <f t="shared" si="143"/>
        <v>69.491116015625011</v>
      </c>
      <c r="AD78" s="3">
        <f t="shared" si="143"/>
        <v>69.449931206787113</v>
      </c>
      <c r="AE78" s="3">
        <f t="shared" si="143"/>
        <v>69.382793135853433</v>
      </c>
      <c r="AF78" s="3">
        <f t="shared" si="143"/>
        <v>277.85597160826558</v>
      </c>
      <c r="AG78" s="3">
        <f>AG76-AG77</f>
        <v>49.6</v>
      </c>
      <c r="AH78" s="3">
        <f t="shared" ref="AH78:AJ78" si="144">AH76-AH77</f>
        <v>63.6</v>
      </c>
      <c r="AI78" s="3">
        <f t="shared" si="144"/>
        <v>61.8</v>
      </c>
      <c r="AJ78" s="3">
        <f t="shared" si="144"/>
        <v>62.247978803406681</v>
      </c>
      <c r="AK78" s="3">
        <f t="shared" si="143"/>
        <v>277.24797880340668</v>
      </c>
      <c r="AL78" s="3">
        <f t="shared" si="143"/>
        <v>56.978293785142711</v>
      </c>
      <c r="AM78" s="3">
        <f t="shared" si="143"/>
        <v>52.262738784240156</v>
      </c>
      <c r="AN78" s="3">
        <f t="shared" si="143"/>
        <v>52.24038151617038</v>
      </c>
      <c r="AO78" s="3">
        <f t="shared" si="143"/>
        <v>52.24038151617038</v>
      </c>
      <c r="AP78" s="3">
        <f t="shared" ref="AP78:AY78" si="145">AP77+AP76</f>
        <v>213.72179560172361</v>
      </c>
      <c r="AQ78" s="3">
        <f t="shared" si="145"/>
        <v>52.213650000000001</v>
      </c>
      <c r="AR78" s="3">
        <f t="shared" si="145"/>
        <v>52.213650000000001</v>
      </c>
      <c r="AS78" s="3">
        <f t="shared" si="145"/>
        <v>52.213650000000001</v>
      </c>
      <c r="AT78" s="3">
        <f t="shared" si="145"/>
        <v>52.213650000000001</v>
      </c>
      <c r="AU78" s="3">
        <f t="shared" si="145"/>
        <v>208.8546</v>
      </c>
      <c r="AV78" s="3">
        <f>AV77+AV76</f>
        <v>52.213650000000001</v>
      </c>
      <c r="AW78" s="3">
        <f>AW77+AW76</f>
        <v>52.213650000000001</v>
      </c>
      <c r="AX78" s="3">
        <f>AX77+AX76</f>
        <v>52.213650000000001</v>
      </c>
      <c r="AY78" s="3">
        <f t="shared" si="145"/>
        <v>41.445225000000001</v>
      </c>
      <c r="AZ78" s="3">
        <f>AZ77+AZ76</f>
        <v>198.086175</v>
      </c>
      <c r="BA78" s="3">
        <f>BA77+BA76</f>
        <v>41.445225000000001</v>
      </c>
      <c r="BB78" s="3">
        <f>BB77+BB76</f>
        <v>41.445225000000001</v>
      </c>
      <c r="BC78" s="3">
        <f>BC77+BC76</f>
        <v>41.445225000000001</v>
      </c>
      <c r="BD78" s="3">
        <f t="shared" ref="BD78" si="146">BD77+BD76</f>
        <v>41.445225000000001</v>
      </c>
      <c r="BE78" s="3">
        <f>BE77+BE76</f>
        <v>165.7809</v>
      </c>
      <c r="BF78" s="3">
        <f>BF77+BF76</f>
        <v>41.445225000000001</v>
      </c>
      <c r="BG78" s="3">
        <f>BG77+BG76</f>
        <v>41.445225000000001</v>
      </c>
      <c r="BH78" s="3">
        <f>BH77+BH76</f>
        <v>41.445225000000001</v>
      </c>
      <c r="BI78" s="3">
        <f t="shared" ref="BI78" si="147">BI77+BI76</f>
        <v>32.44435</v>
      </c>
      <c r="BJ78" s="3">
        <f>BJ77+BJ76</f>
        <v>156.78002500000002</v>
      </c>
      <c r="BK78" s="3">
        <f>BK77+BK76</f>
        <v>39.94435</v>
      </c>
      <c r="BL78" s="3">
        <f>BL77+BL76</f>
        <v>39.94435</v>
      </c>
      <c r="BM78" s="3">
        <f>BM77+BM76</f>
        <v>39.94435</v>
      </c>
      <c r="BN78" s="3">
        <f t="shared" ref="BN78" si="148">BN77+BN76</f>
        <v>39.94435</v>
      </c>
      <c r="BO78" s="3">
        <f>BO77+BO76</f>
        <v>159.7774</v>
      </c>
      <c r="BP78" s="3">
        <f>BP77+BP76</f>
        <v>39.94435</v>
      </c>
      <c r="BQ78" s="3">
        <f>BQ77+BQ76</f>
        <v>39.94435</v>
      </c>
      <c r="BR78" s="3">
        <f>BR77+BR76</f>
        <v>39.94435</v>
      </c>
      <c r="BS78" s="3">
        <f t="shared" ref="BS78" si="149">BS77+BS76</f>
        <v>39.94435</v>
      </c>
      <c r="BT78" s="3">
        <f>BT77+BT76</f>
        <v>159.7774</v>
      </c>
      <c r="BU78" s="3">
        <f>BU77+BU76</f>
        <v>39.94435</v>
      </c>
      <c r="BV78" s="3">
        <f>BV77+BV76</f>
        <v>39.94435</v>
      </c>
      <c r="BW78" s="3">
        <f>BW77+BW76</f>
        <v>39.94435</v>
      </c>
      <c r="BX78" s="3">
        <f t="shared" ref="BX78" si="150">BX77+BX76</f>
        <v>22.3795</v>
      </c>
      <c r="BY78" s="3">
        <f>BY77+BY76</f>
        <v>142.21254999999999</v>
      </c>
      <c r="BZ78" s="3">
        <f>BZ77+BZ76</f>
        <v>22.3795</v>
      </c>
      <c r="CA78" s="3">
        <f>CA77+CA76</f>
        <v>22.3795</v>
      </c>
      <c r="CB78" s="3">
        <f>CB77+CB76</f>
        <v>22.3795</v>
      </c>
      <c r="CC78" s="3">
        <f t="shared" ref="CC78" si="151">CC77+CC76</f>
        <v>22.3795</v>
      </c>
      <c r="CD78" s="3">
        <f>CD77+CD76</f>
        <v>89.518000000000001</v>
      </c>
      <c r="CE78" s="3">
        <f>CE77+CE76</f>
        <v>22.3795</v>
      </c>
      <c r="CF78" s="3">
        <f>CF77+CF76</f>
        <v>22.3795</v>
      </c>
      <c r="CG78" s="3">
        <f>CG77+CG76</f>
        <v>22.3795</v>
      </c>
      <c r="CH78" s="3">
        <f t="shared" ref="CH78" si="152">CH77+CH76</f>
        <v>22.3795</v>
      </c>
      <c r="CI78" s="3">
        <f>CI77+CI76</f>
        <v>89.518000000000001</v>
      </c>
      <c r="CJ78" s="3">
        <f>CJ77+CJ76</f>
        <v>22.3795</v>
      </c>
      <c r="CK78" s="3">
        <f>CK77+CK76</f>
        <v>22.3795</v>
      </c>
      <c r="CL78" s="3">
        <f>CL77+CL76</f>
        <v>22.3795</v>
      </c>
      <c r="CM78" s="3">
        <f t="shared" ref="CM78" si="153">CM77+CM76</f>
        <v>22.3795</v>
      </c>
      <c r="CN78" s="3">
        <f>CN77+CN76</f>
        <v>89.518000000000001</v>
      </c>
      <c r="CO78" s="3">
        <f>CO77+CO76</f>
        <v>22.3795</v>
      </c>
      <c r="CP78" s="3">
        <f>CP77+CP76</f>
        <v>22.3795</v>
      </c>
      <c r="CQ78" s="3">
        <f>CQ77+CQ76</f>
        <v>22.3795</v>
      </c>
      <c r="CR78" s="3">
        <f t="shared" ref="CR78" si="154">CR77+CR76</f>
        <v>22.3795</v>
      </c>
      <c r="CS78" s="3">
        <f>CS77+CS76</f>
        <v>89.518000000000001</v>
      </c>
      <c r="CT78" s="3">
        <f>CT77+CT76</f>
        <v>22.3795</v>
      </c>
      <c r="CU78" s="3">
        <f>CU77+CU76</f>
        <v>22.3795</v>
      </c>
      <c r="CV78" s="3">
        <f>CV77+CV76</f>
        <v>22.3795</v>
      </c>
      <c r="CW78" s="3">
        <f t="shared" ref="CW78" si="155">CW77+CW76</f>
        <v>22.3795</v>
      </c>
      <c r="CX78" s="3">
        <f>CX77+CX76</f>
        <v>89.518000000000001</v>
      </c>
    </row>
    <row r="79" spans="2:175" s="34" customFormat="1">
      <c r="B79" s="34" t="s">
        <v>473</v>
      </c>
      <c r="D79" s="34">
        <f t="shared" ref="D79:K79" si="156">+D5+D14+D21+D26+D31+D36+D63+D68+D70</f>
        <v>850.30899999999997</v>
      </c>
      <c r="E79" s="34">
        <f t="shared" si="156"/>
        <v>43.443999999999996</v>
      </c>
      <c r="F79" s="34">
        <f t="shared" si="156"/>
        <v>96.700000000000017</v>
      </c>
      <c r="G79" s="42">
        <f t="shared" si="156"/>
        <v>1562.8999999999999</v>
      </c>
      <c r="H79" s="34">
        <f t="shared" si="156"/>
        <v>1113.1000000000001</v>
      </c>
      <c r="I79" s="34">
        <f t="shared" si="156"/>
        <v>1100.0000000000002</v>
      </c>
      <c r="J79" s="34">
        <f t="shared" si="156"/>
        <v>1203.5320000000002</v>
      </c>
      <c r="K79" s="34">
        <f t="shared" si="156"/>
        <v>1064.0999999999999</v>
      </c>
      <c r="L79" s="34">
        <f t="shared" ref="L79:X79" si="157">+L5+L26+L31+L36+L70</f>
        <v>1140.7750000000001</v>
      </c>
      <c r="M79" s="34">
        <f t="shared" si="157"/>
        <v>1165.0999999999999</v>
      </c>
      <c r="N79" s="34">
        <f>+N5+N26+N31+N36+N70</f>
        <v>729.59999999999991</v>
      </c>
      <c r="O79" s="34">
        <f t="shared" si="157"/>
        <v>698.3</v>
      </c>
      <c r="P79" s="34">
        <f t="shared" si="157"/>
        <v>619.6</v>
      </c>
      <c r="Q79" s="34">
        <f t="shared" si="157"/>
        <v>595.90000000000009</v>
      </c>
      <c r="R79" s="34">
        <f t="shared" si="157"/>
        <v>594.6</v>
      </c>
      <c r="S79" s="34">
        <f t="shared" si="157"/>
        <v>589.5</v>
      </c>
      <c r="T79" s="34">
        <f t="shared" si="157"/>
        <v>587.20000000000005</v>
      </c>
      <c r="U79" s="34">
        <f t="shared" si="157"/>
        <v>584.82249999999999</v>
      </c>
      <c r="V79" s="34">
        <f>+V5+V26+V31+V36+V70</f>
        <v>585.20000000000005</v>
      </c>
      <c r="W79" s="34">
        <f t="shared" si="157"/>
        <v>583.9</v>
      </c>
      <c r="X79" s="34">
        <f t="shared" si="157"/>
        <v>579.5</v>
      </c>
      <c r="Y79" s="34">
        <f>+Y5+Y26+Y31+Y36+Y70+Y43+Y48+Y53+Y58</f>
        <v>6514.3</v>
      </c>
      <c r="Z79" s="34">
        <f t="shared" ref="Z79:CK79" si="158">+Z5+Z26+Z31+Z36+Z70+Z43+Z48+Z53+Z58</f>
        <v>6506.4691875000008</v>
      </c>
      <c r="AA79" s="34">
        <f t="shared" si="158"/>
        <v>6526.3000000000011</v>
      </c>
      <c r="AB79" s="34">
        <f t="shared" si="158"/>
        <v>6523.7793750000001</v>
      </c>
      <c r="AC79" s="34">
        <f t="shared" si="158"/>
        <v>6521.2469535156251</v>
      </c>
      <c r="AD79" s="34">
        <f t="shared" si="158"/>
        <v>6517.2025659724131</v>
      </c>
      <c r="AE79" s="34">
        <f t="shared" si="158"/>
        <v>6514.7460403582663</v>
      </c>
      <c r="AF79" s="34">
        <f>+AF5+AF26+AF31+AF36+AF70+AF43+AF48+AF53+AF58</f>
        <v>6517.4000000000005</v>
      </c>
      <c r="AG79" s="34">
        <f t="shared" si="158"/>
        <v>6513.4362499999997</v>
      </c>
      <c r="AH79" s="34">
        <f t="shared" si="158"/>
        <v>6510.8600835937505</v>
      </c>
      <c r="AI79" s="34">
        <f t="shared" si="158"/>
        <v>6506.7713222954098</v>
      </c>
      <c r="AJ79" s="34">
        <f t="shared" si="158"/>
        <v>6504.2697850534068</v>
      </c>
      <c r="AK79" s="34">
        <f t="shared" si="158"/>
        <v>6505.6697850534065</v>
      </c>
      <c r="AL79" s="34">
        <f t="shared" si="158"/>
        <v>5956.0105764270993</v>
      </c>
      <c r="AM79" s="34">
        <f t="shared" si="158"/>
        <v>5955.0829336951683</v>
      </c>
      <c r="AN79" s="34">
        <f t="shared" si="158"/>
        <v>5954.4552882135495</v>
      </c>
      <c r="AO79" s="34">
        <f t="shared" si="158"/>
        <v>5954.4552882135495</v>
      </c>
      <c r="AP79" s="34">
        <f t="shared" si="158"/>
        <v>5952.9</v>
      </c>
      <c r="AQ79" s="34">
        <f t="shared" si="158"/>
        <v>5952.9</v>
      </c>
      <c r="AR79" s="34">
        <f t="shared" si="158"/>
        <v>5952.9</v>
      </c>
      <c r="AS79" s="34">
        <f t="shared" si="158"/>
        <v>5952.9</v>
      </c>
      <c r="AT79" s="34">
        <f t="shared" si="158"/>
        <v>5952.9</v>
      </c>
      <c r="AU79" s="34">
        <f t="shared" si="158"/>
        <v>5952.9</v>
      </c>
      <c r="AV79" s="34">
        <f t="shared" si="158"/>
        <v>5952.9</v>
      </c>
      <c r="AW79" s="34">
        <f t="shared" si="158"/>
        <v>5952.9</v>
      </c>
      <c r="AX79" s="34">
        <f t="shared" si="158"/>
        <v>4467.6000000000004</v>
      </c>
      <c r="AY79" s="34">
        <f t="shared" si="158"/>
        <v>4467.6000000000004</v>
      </c>
      <c r="AZ79" s="34">
        <f t="shared" si="158"/>
        <v>4467.6000000000004</v>
      </c>
      <c r="BA79" s="34">
        <f t="shared" si="158"/>
        <v>4467.6000000000004</v>
      </c>
      <c r="BB79" s="34">
        <f t="shared" si="158"/>
        <v>4467.6000000000004</v>
      </c>
      <c r="BC79" s="34">
        <f t="shared" si="158"/>
        <v>4467.6000000000004</v>
      </c>
      <c r="BD79" s="34">
        <f t="shared" si="158"/>
        <v>4467.6000000000004</v>
      </c>
      <c r="BE79" s="34">
        <f t="shared" si="158"/>
        <v>4467.6000000000004</v>
      </c>
      <c r="BF79" s="34">
        <f t="shared" si="158"/>
        <v>4467.6000000000004</v>
      </c>
      <c r="BG79" s="34">
        <f t="shared" si="158"/>
        <v>4467.6000000000004</v>
      </c>
      <c r="BH79" s="34">
        <f t="shared" si="158"/>
        <v>3474.3999999999996</v>
      </c>
      <c r="BI79" s="34">
        <f t="shared" si="158"/>
        <v>3474.3999999999996</v>
      </c>
      <c r="BJ79" s="34">
        <f t="shared" si="158"/>
        <v>3474.3999999999996</v>
      </c>
      <c r="BK79" s="34">
        <f t="shared" si="158"/>
        <v>3474.3999999999996</v>
      </c>
      <c r="BL79" s="34">
        <f t="shared" si="158"/>
        <v>3474.3999999999996</v>
      </c>
      <c r="BM79" s="34">
        <f t="shared" si="158"/>
        <v>3474.3999999999996</v>
      </c>
      <c r="BN79" s="34">
        <f t="shared" si="158"/>
        <v>3474.3999999999996</v>
      </c>
      <c r="BO79" s="34">
        <f t="shared" si="158"/>
        <v>3474.3999999999996</v>
      </c>
      <c r="BP79" s="34">
        <f t="shared" si="158"/>
        <v>3474.3999999999996</v>
      </c>
      <c r="BQ79" s="34">
        <f t="shared" si="158"/>
        <v>3474.3999999999996</v>
      </c>
      <c r="BR79" s="34">
        <f t="shared" si="158"/>
        <v>3474.3999999999996</v>
      </c>
      <c r="BS79" s="34">
        <f t="shared" si="158"/>
        <v>3474.3999999999996</v>
      </c>
      <c r="BT79" s="34">
        <f t="shared" si="158"/>
        <v>3474.3999999999996</v>
      </c>
      <c r="BU79" s="34">
        <f t="shared" si="158"/>
        <v>3474.3999999999996</v>
      </c>
      <c r="BV79" s="34">
        <f t="shared" si="158"/>
        <v>3474.3999999999996</v>
      </c>
      <c r="BW79" s="34">
        <f t="shared" si="158"/>
        <v>1739.6</v>
      </c>
      <c r="BX79" s="34">
        <f t="shared" si="158"/>
        <v>1739.6</v>
      </c>
      <c r="BY79" s="34">
        <f t="shared" si="158"/>
        <v>1739.6</v>
      </c>
      <c r="BZ79" s="34">
        <f t="shared" si="158"/>
        <v>1739.6</v>
      </c>
      <c r="CA79" s="34">
        <f t="shared" si="158"/>
        <v>1739.6</v>
      </c>
      <c r="CB79" s="34">
        <f t="shared" si="158"/>
        <v>1739.6</v>
      </c>
      <c r="CC79" s="34">
        <f t="shared" si="158"/>
        <v>1739.6</v>
      </c>
      <c r="CD79" s="34">
        <f t="shared" si="158"/>
        <v>1739.6</v>
      </c>
      <c r="CE79" s="34">
        <f t="shared" si="158"/>
        <v>1739.6</v>
      </c>
      <c r="CF79" s="34">
        <f t="shared" si="158"/>
        <v>1739.6</v>
      </c>
      <c r="CG79" s="34">
        <f t="shared" si="158"/>
        <v>1739.6</v>
      </c>
      <c r="CH79" s="34">
        <f t="shared" si="158"/>
        <v>1739.6</v>
      </c>
      <c r="CI79" s="34">
        <f t="shared" si="158"/>
        <v>1739.6</v>
      </c>
      <c r="CJ79" s="34">
        <f t="shared" si="158"/>
        <v>1739.6</v>
      </c>
      <c r="CK79" s="34">
        <f t="shared" si="158"/>
        <v>1739.6</v>
      </c>
      <c r="CL79" s="34">
        <f t="shared" ref="CL79:EW79" si="159">+CL5+CL26+CL31+CL36+CL70+CL43+CL48+CL53+CL58</f>
        <v>1739.6</v>
      </c>
      <c r="CM79" s="34">
        <f t="shared" si="159"/>
        <v>1739.6</v>
      </c>
      <c r="CN79" s="34">
        <f t="shared" si="159"/>
        <v>1739.6</v>
      </c>
      <c r="CO79" s="34">
        <f t="shared" si="159"/>
        <v>1739.6</v>
      </c>
      <c r="CP79" s="34">
        <f t="shared" si="159"/>
        <v>1739.6</v>
      </c>
      <c r="CQ79" s="34">
        <f t="shared" si="159"/>
        <v>1739.6</v>
      </c>
      <c r="CR79" s="34">
        <f t="shared" si="159"/>
        <v>1739.6</v>
      </c>
      <c r="CS79" s="34">
        <f t="shared" si="159"/>
        <v>1739.6</v>
      </c>
      <c r="CT79" s="34">
        <f t="shared" si="159"/>
        <v>1739.6</v>
      </c>
      <c r="CU79" s="34">
        <f t="shared" si="159"/>
        <v>1739.6</v>
      </c>
      <c r="CV79" s="34">
        <f t="shared" si="159"/>
        <v>1739.6</v>
      </c>
      <c r="CW79" s="34">
        <f t="shared" si="159"/>
        <v>1739.6</v>
      </c>
      <c r="CX79" s="34">
        <f t="shared" si="159"/>
        <v>1739.6</v>
      </c>
      <c r="CY79" s="34">
        <f t="shared" si="159"/>
        <v>1721.5</v>
      </c>
      <c r="CZ79" s="34">
        <f t="shared" si="159"/>
        <v>1721.5</v>
      </c>
      <c r="DA79" s="34">
        <f t="shared" si="159"/>
        <v>1721.5</v>
      </c>
      <c r="DB79" s="34">
        <f t="shared" si="159"/>
        <v>1721.5</v>
      </c>
      <c r="DC79" s="34">
        <f t="shared" si="159"/>
        <v>1721.5</v>
      </c>
      <c r="DD79" s="34">
        <f t="shared" si="159"/>
        <v>1721.5</v>
      </c>
      <c r="DE79" s="34">
        <f t="shared" si="159"/>
        <v>1721.5</v>
      </c>
      <c r="DF79" s="34">
        <f t="shared" si="159"/>
        <v>1721.5</v>
      </c>
      <c r="DG79" s="34">
        <f t="shared" si="159"/>
        <v>1721.5</v>
      </c>
      <c r="DH79" s="34">
        <f t="shared" si="159"/>
        <v>1721.5</v>
      </c>
      <c r="DI79" s="34">
        <f t="shared" si="159"/>
        <v>1721.5</v>
      </c>
      <c r="DJ79" s="34">
        <f t="shared" si="159"/>
        <v>1721.5</v>
      </c>
      <c r="DK79" s="34">
        <f t="shared" si="159"/>
        <v>1721.5</v>
      </c>
      <c r="DL79" s="34">
        <f t="shared" si="159"/>
        <v>1721.5</v>
      </c>
      <c r="DM79" s="34">
        <f t="shared" si="159"/>
        <v>1721.5</v>
      </c>
      <c r="DN79" s="34">
        <f t="shared" si="159"/>
        <v>1721.5</v>
      </c>
      <c r="DO79" s="34">
        <f t="shared" si="159"/>
        <v>1721.5</v>
      </c>
      <c r="DP79" s="34">
        <f t="shared" si="159"/>
        <v>1721.5</v>
      </c>
      <c r="DQ79" s="34">
        <f t="shared" si="159"/>
        <v>1721.5</v>
      </c>
      <c r="DR79" s="34">
        <f t="shared" si="159"/>
        <v>1721.5</v>
      </c>
      <c r="DS79" s="34">
        <f t="shared" si="159"/>
        <v>1721.5</v>
      </c>
      <c r="DT79" s="34">
        <f t="shared" si="159"/>
        <v>1721.5</v>
      </c>
      <c r="DU79" s="34">
        <f t="shared" si="159"/>
        <v>1721.5</v>
      </c>
      <c r="DV79" s="34">
        <f t="shared" si="159"/>
        <v>1721.5</v>
      </c>
      <c r="DW79" s="34">
        <f t="shared" si="159"/>
        <v>1721.5</v>
      </c>
      <c r="DX79" s="34">
        <f t="shared" si="159"/>
        <v>1721.5</v>
      </c>
      <c r="DY79" s="34">
        <f t="shared" si="159"/>
        <v>1721.5</v>
      </c>
      <c r="DZ79" s="34">
        <f t="shared" si="159"/>
        <v>1721.5</v>
      </c>
      <c r="EA79" s="34">
        <f t="shared" si="159"/>
        <v>1721.5</v>
      </c>
      <c r="EB79" s="34">
        <f t="shared" si="159"/>
        <v>1721.5</v>
      </c>
      <c r="EC79" s="34">
        <f t="shared" si="159"/>
        <v>1721.5</v>
      </c>
      <c r="ED79" s="34">
        <f t="shared" si="159"/>
        <v>1721.5</v>
      </c>
      <c r="EE79" s="34">
        <f t="shared" si="159"/>
        <v>1721.5</v>
      </c>
      <c r="EF79" s="34">
        <f t="shared" si="159"/>
        <v>1721.5</v>
      </c>
      <c r="EG79" s="34">
        <f t="shared" si="159"/>
        <v>1721.5</v>
      </c>
      <c r="EH79" s="34">
        <f t="shared" si="159"/>
        <v>1721.5</v>
      </c>
      <c r="EI79" s="34">
        <f t="shared" si="159"/>
        <v>1721.5</v>
      </c>
      <c r="EJ79" s="34">
        <f t="shared" si="159"/>
        <v>1721.5</v>
      </c>
      <c r="EK79" s="34">
        <f t="shared" si="159"/>
        <v>1721.5</v>
      </c>
      <c r="EL79" s="34">
        <f t="shared" si="159"/>
        <v>1721.5</v>
      </c>
      <c r="EM79" s="34">
        <f t="shared" si="159"/>
        <v>1721.5</v>
      </c>
      <c r="EN79" s="34">
        <f t="shared" si="159"/>
        <v>1721.5</v>
      </c>
      <c r="EO79" s="34">
        <f t="shared" si="159"/>
        <v>1721.5</v>
      </c>
      <c r="EP79" s="34">
        <f t="shared" si="159"/>
        <v>1721.5</v>
      </c>
      <c r="EQ79" s="34">
        <f t="shared" si="159"/>
        <v>1721.5</v>
      </c>
      <c r="ER79" s="34">
        <f t="shared" si="159"/>
        <v>1721.5</v>
      </c>
      <c r="ES79" s="34">
        <f t="shared" si="159"/>
        <v>1721.5</v>
      </c>
      <c r="ET79" s="34">
        <f t="shared" si="159"/>
        <v>1721.5</v>
      </c>
      <c r="EU79" s="34">
        <f t="shared" si="159"/>
        <v>1721.5</v>
      </c>
      <c r="EV79" s="34">
        <f t="shared" si="159"/>
        <v>1721.5</v>
      </c>
      <c r="EW79" s="34">
        <f t="shared" si="159"/>
        <v>1721.5</v>
      </c>
      <c r="EX79" s="34">
        <f t="shared" ref="EX79:FS79" si="160">+EX5+EX26+EX31+EX36+EX70+EX43+EX48+EX53+EX58</f>
        <v>1721.5</v>
      </c>
      <c r="EY79" s="34">
        <f t="shared" si="160"/>
        <v>1721.5</v>
      </c>
      <c r="EZ79" s="34">
        <f t="shared" si="160"/>
        <v>1721.5</v>
      </c>
      <c r="FA79" s="34">
        <f t="shared" si="160"/>
        <v>1721.5</v>
      </c>
      <c r="FB79" s="34">
        <f t="shared" si="160"/>
        <v>1721.5</v>
      </c>
      <c r="FC79" s="34">
        <f t="shared" si="160"/>
        <v>1721.5</v>
      </c>
      <c r="FD79" s="34">
        <f t="shared" si="160"/>
        <v>1721.5</v>
      </c>
      <c r="FE79" s="34">
        <f t="shared" si="160"/>
        <v>1721.5</v>
      </c>
      <c r="FF79" s="34">
        <f t="shared" si="160"/>
        <v>1721.5</v>
      </c>
      <c r="FG79" s="34">
        <f t="shared" si="160"/>
        <v>1721.5</v>
      </c>
      <c r="FH79" s="34">
        <f t="shared" si="160"/>
        <v>1721.5</v>
      </c>
      <c r="FI79" s="34">
        <f t="shared" si="160"/>
        <v>1721.5</v>
      </c>
      <c r="FJ79" s="34">
        <f t="shared" si="160"/>
        <v>1721.5</v>
      </c>
      <c r="FK79" s="34">
        <f t="shared" si="160"/>
        <v>1721.5</v>
      </c>
      <c r="FL79" s="34">
        <f t="shared" si="160"/>
        <v>1721.5</v>
      </c>
      <c r="FM79" s="34">
        <f t="shared" si="160"/>
        <v>1721.5</v>
      </c>
      <c r="FN79" s="34">
        <f t="shared" si="160"/>
        <v>1721.5</v>
      </c>
      <c r="FO79" s="34">
        <f t="shared" si="160"/>
        <v>1721.5</v>
      </c>
      <c r="FP79" s="34">
        <f t="shared" si="160"/>
        <v>1721.5</v>
      </c>
      <c r="FQ79" s="34">
        <f t="shared" si="160"/>
        <v>1721.5</v>
      </c>
      <c r="FR79" s="34">
        <f t="shared" si="160"/>
        <v>1721.5</v>
      </c>
      <c r="FS79" s="34">
        <f t="shared" si="160"/>
        <v>0</v>
      </c>
    </row>
    <row r="81" spans="1:175">
      <c r="A81" s="7" t="s">
        <v>475</v>
      </c>
      <c r="B81" s="1" t="s">
        <v>474</v>
      </c>
      <c r="L81" s="1">
        <v>2013</v>
      </c>
      <c r="Q81" s="1">
        <v>2014</v>
      </c>
      <c r="V81" s="1">
        <v>2015</v>
      </c>
      <c r="AA81" s="1">
        <v>2016</v>
      </c>
      <c r="AF81" s="1">
        <v>2017</v>
      </c>
      <c r="AK81" s="1">
        <v>2018</v>
      </c>
      <c r="AP81" s="1">
        <v>2019</v>
      </c>
      <c r="AU81" s="1">
        <v>2020</v>
      </c>
      <c r="AZ81" s="1">
        <v>2021</v>
      </c>
      <c r="BE81" s="1">
        <f>AZ81+1</f>
        <v>2022</v>
      </c>
      <c r="BJ81" s="1">
        <f>BE81+1</f>
        <v>2023</v>
      </c>
      <c r="BO81" s="1">
        <f>BJ81+1</f>
        <v>2024</v>
      </c>
      <c r="BT81" s="1">
        <f>BO81+1</f>
        <v>2025</v>
      </c>
      <c r="BY81" s="1">
        <f>BT81+1</f>
        <v>2026</v>
      </c>
      <c r="CD81" s="1">
        <f>BY81+1</f>
        <v>2027</v>
      </c>
      <c r="CI81" s="1">
        <f>CD81+1</f>
        <v>2028</v>
      </c>
      <c r="CN81" s="1">
        <f>CI81+1</f>
        <v>2029</v>
      </c>
      <c r="CS81" s="1">
        <f>CN81+1</f>
        <v>2030</v>
      </c>
      <c r="CX81" s="1">
        <f>CS81+1</f>
        <v>2031</v>
      </c>
      <c r="DC81" s="1">
        <f>CX81+1</f>
        <v>2032</v>
      </c>
      <c r="DH81" s="1">
        <f>DC81+1</f>
        <v>2033</v>
      </c>
      <c r="DM81" s="1">
        <f>DH81+1</f>
        <v>2034</v>
      </c>
      <c r="DR81" s="1">
        <f>DM81+1</f>
        <v>2035</v>
      </c>
      <c r="DW81" s="1">
        <f>DR81+1</f>
        <v>2036</v>
      </c>
      <c r="EB81" s="1">
        <f>DW81+1</f>
        <v>2037</v>
      </c>
      <c r="EG81" s="1">
        <f>EB81+1</f>
        <v>2038</v>
      </c>
      <c r="EL81" s="1">
        <f>EG81+1</f>
        <v>2039</v>
      </c>
      <c r="EQ81" s="1">
        <f>EL81+1</f>
        <v>2040</v>
      </c>
      <c r="EV81" s="1">
        <f>EQ81+1</f>
        <v>2041</v>
      </c>
      <c r="FA81" s="1">
        <f>EV81+1</f>
        <v>2042</v>
      </c>
      <c r="FF81" s="1">
        <f>FA81+1</f>
        <v>2043</v>
      </c>
      <c r="FK81" s="1">
        <f>FF81+1</f>
        <v>2044</v>
      </c>
      <c r="FP81" s="1">
        <f>FK81+1</f>
        <v>2045</v>
      </c>
    </row>
    <row r="82" spans="1:175">
      <c r="A82" s="75">
        <f>2013+1/6</f>
        <v>2013.1666666666667</v>
      </c>
      <c r="B82" s="1" t="str">
        <f>B26</f>
        <v xml:space="preserve">6.000% Senior Notes </v>
      </c>
      <c r="K82" s="3"/>
      <c r="L82" s="3">
        <f>IF($A82-L81&lt;1,L26,0)</f>
        <v>450</v>
      </c>
      <c r="M82" s="3"/>
      <c r="N82" s="3"/>
      <c r="O82" s="3"/>
      <c r="P82" s="3"/>
      <c r="Q82" s="3">
        <f>IF($A82-Q81&lt;1,Q26,0)</f>
        <v>0</v>
      </c>
      <c r="V82" s="3">
        <f>IF($A82-V81&lt;1,V26,0)</f>
        <v>0</v>
      </c>
      <c r="AA82" s="3">
        <f>IF($A82-AA81&lt;1,AA26,0)</f>
        <v>0</v>
      </c>
      <c r="AB82" s="3">
        <f t="shared" ref="AB82:AF82" si="161">IF($A82-AB81&lt;1,AB26,0)</f>
        <v>0</v>
      </c>
      <c r="AC82" s="3">
        <f t="shared" si="161"/>
        <v>0</v>
      </c>
      <c r="AD82" s="3">
        <f t="shared" si="161"/>
        <v>0</v>
      </c>
      <c r="AE82" s="3">
        <f t="shared" si="161"/>
        <v>0</v>
      </c>
      <c r="AF82" s="3">
        <f t="shared" si="161"/>
        <v>0</v>
      </c>
      <c r="AK82" s="3">
        <f>AF82</f>
        <v>0</v>
      </c>
      <c r="AP82" s="3">
        <f>AK82</f>
        <v>0</v>
      </c>
      <c r="AU82" s="3">
        <f>AP82</f>
        <v>0</v>
      </c>
      <c r="AZ82" s="3">
        <f>AU82</f>
        <v>0</v>
      </c>
      <c r="BE82" s="3">
        <f>AZ82</f>
        <v>0</v>
      </c>
      <c r="BJ82" s="3">
        <f>BE82</f>
        <v>0</v>
      </c>
      <c r="BO82" s="3">
        <f>BJ82</f>
        <v>0</v>
      </c>
      <c r="BT82" s="3">
        <f>BO82</f>
        <v>0</v>
      </c>
      <c r="BY82" s="3">
        <f>BT82</f>
        <v>0</v>
      </c>
      <c r="CD82" s="3">
        <f>BY82</f>
        <v>0</v>
      </c>
      <c r="CI82" s="3">
        <f>CD82</f>
        <v>0</v>
      </c>
      <c r="CN82" s="3">
        <f>CI82</f>
        <v>0</v>
      </c>
      <c r="CS82" s="3">
        <f>CN82</f>
        <v>0</v>
      </c>
      <c r="CX82" s="3">
        <f>CS82</f>
        <v>0</v>
      </c>
      <c r="DC82" s="3">
        <f>CX82</f>
        <v>0</v>
      </c>
      <c r="DH82" s="3">
        <f>DC82</f>
        <v>0</v>
      </c>
      <c r="DM82" s="3">
        <f>DH82</f>
        <v>0</v>
      </c>
      <c r="DR82" s="3">
        <f>DM82</f>
        <v>0</v>
      </c>
      <c r="DW82" s="3">
        <f>DR82</f>
        <v>0</v>
      </c>
      <c r="EB82" s="3">
        <f>DW82</f>
        <v>0</v>
      </c>
      <c r="EG82" s="3">
        <f>EB82</f>
        <v>0</v>
      </c>
      <c r="EL82" s="3">
        <f>EG82</f>
        <v>0</v>
      </c>
      <c r="EQ82" s="3">
        <f>EL82</f>
        <v>0</v>
      </c>
      <c r="EV82" s="3">
        <f>EQ82</f>
        <v>0</v>
      </c>
      <c r="FA82" s="3">
        <f>EV82</f>
        <v>0</v>
      </c>
      <c r="FF82" s="3">
        <f>FA82</f>
        <v>0</v>
      </c>
      <c r="FK82" s="3">
        <f>FF82</f>
        <v>0</v>
      </c>
      <c r="FO82" s="3"/>
      <c r="FP82" s="3">
        <f>FK82</f>
        <v>0</v>
      </c>
    </row>
    <row r="83" spans="1:175">
      <c r="A83" s="75">
        <f>2018+1/6</f>
        <v>2018.1666666666667</v>
      </c>
      <c r="B83" s="1" t="str">
        <f>B31</f>
        <v xml:space="preserve">6.875% Senior Notes </v>
      </c>
      <c r="K83" s="3"/>
      <c r="L83" s="3">
        <f>IF($A83-L81&lt;1,L31,0)</f>
        <v>0</v>
      </c>
      <c r="M83" s="3"/>
      <c r="N83" s="79"/>
      <c r="O83" s="3"/>
      <c r="P83" s="3"/>
      <c r="Q83" s="3">
        <f>IF($A83-Q81&lt;1,Q31,0)</f>
        <v>0</v>
      </c>
      <c r="R83" s="3"/>
      <c r="S83" s="3"/>
      <c r="T83" s="3"/>
      <c r="U83" s="3"/>
      <c r="V83" s="3">
        <f>IF($A83-V81&lt;1,V31,0)</f>
        <v>0</v>
      </c>
      <c r="W83" s="3"/>
      <c r="X83" s="3"/>
      <c r="Y83" s="3"/>
      <c r="Z83" s="3"/>
      <c r="AA83" s="3">
        <f>IF($A83-AA81&lt;1,AA31,0)</f>
        <v>0</v>
      </c>
      <c r="AB83" s="3">
        <f t="shared" ref="AB83:AF83" si="162">IF($A83-AB81&lt;1,AB31,0)</f>
        <v>0</v>
      </c>
      <c r="AC83" s="3">
        <f t="shared" si="162"/>
        <v>0</v>
      </c>
      <c r="AD83" s="3">
        <f t="shared" si="162"/>
        <v>0</v>
      </c>
      <c r="AE83" s="3">
        <f t="shared" si="162"/>
        <v>0</v>
      </c>
      <c r="AF83" s="3">
        <f t="shared" si="162"/>
        <v>0</v>
      </c>
      <c r="AG83" s="3"/>
      <c r="AH83" s="3"/>
      <c r="AI83" s="3"/>
      <c r="AJ83" s="3"/>
      <c r="AK83" s="3">
        <f>IF($A83-AK81&lt;1,AK31,0)</f>
        <v>550.29999999999995</v>
      </c>
      <c r="AL83" s="3"/>
      <c r="AM83" s="3"/>
      <c r="AN83" s="3"/>
      <c r="AO83" s="3"/>
      <c r="AP83" s="3">
        <f>IF($A83-AP81&lt;1,AP31,0)</f>
        <v>0</v>
      </c>
      <c r="AQ83" s="3"/>
      <c r="AR83" s="3"/>
      <c r="AS83" s="3"/>
      <c r="AT83" s="3"/>
      <c r="AU83" s="3">
        <f>IF($A83-AU81&lt;1,AU31,0)</f>
        <v>0</v>
      </c>
      <c r="AV83" s="3"/>
      <c r="AW83" s="3"/>
      <c r="AX83" s="3"/>
      <c r="AY83" s="3"/>
      <c r="AZ83" s="3">
        <f>IF($A83-AZ81&lt;1,AZ31,0)</f>
        <v>0</v>
      </c>
      <c r="BA83" s="3"/>
      <c r="BB83" s="3"/>
      <c r="BC83" s="3"/>
      <c r="BD83" s="3"/>
      <c r="BE83" s="3">
        <f>IF($A83-BE81&lt;1,BE31,0)</f>
        <v>0</v>
      </c>
      <c r="BF83" s="3"/>
      <c r="BG83" s="3"/>
      <c r="BH83" s="3"/>
      <c r="BI83" s="3"/>
      <c r="BJ83" s="3">
        <f>IF($A83-BJ81&lt;1,BJ31,0)</f>
        <v>0</v>
      </c>
      <c r="BK83" s="3"/>
      <c r="BL83" s="3"/>
      <c r="BM83" s="3"/>
      <c r="BN83" s="3"/>
      <c r="BO83" s="3">
        <f>IF($A83-BO81&lt;1,BO31,0)</f>
        <v>0</v>
      </c>
      <c r="BP83" s="3"/>
      <c r="BQ83" s="3"/>
      <c r="BR83" s="3"/>
      <c r="BS83" s="3"/>
      <c r="BT83" s="3">
        <f>IF($A83-BT81&lt;1,BT31,0)</f>
        <v>0</v>
      </c>
      <c r="BU83" s="3"/>
      <c r="BV83" s="3"/>
      <c r="BW83" s="3"/>
      <c r="BX83" s="3"/>
      <c r="BY83" s="3">
        <f>IF($A83-BY81&lt;1,BY31,0)</f>
        <v>0</v>
      </c>
      <c r="BZ83" s="3"/>
      <c r="CA83" s="3"/>
      <c r="CB83" s="3"/>
      <c r="CC83" s="3"/>
      <c r="CD83" s="3">
        <f>IF($A83-CD81&lt;1,CD31,0)</f>
        <v>0</v>
      </c>
      <c r="CE83" s="3"/>
      <c r="CF83" s="3"/>
      <c r="CG83" s="3"/>
      <c r="CH83" s="3"/>
      <c r="CI83" s="3">
        <f>IF($A83-CI81&lt;1,CI31,0)</f>
        <v>0</v>
      </c>
      <c r="CJ83" s="3"/>
      <c r="CK83" s="3"/>
      <c r="CL83" s="3"/>
      <c r="CM83" s="3"/>
      <c r="CN83" s="3">
        <f>IF($A83-CN81&lt;1,CN31,0)</f>
        <v>0</v>
      </c>
      <c r="CO83" s="3"/>
      <c r="CP83" s="3"/>
      <c r="CQ83" s="3"/>
      <c r="CR83" s="3"/>
      <c r="CS83" s="3">
        <f>IF($A83-CS81&lt;1,CS31,0)</f>
        <v>0</v>
      </c>
      <c r="CT83" s="3"/>
      <c r="CU83" s="3"/>
      <c r="CV83" s="3"/>
      <c r="CW83" s="3"/>
      <c r="CX83" s="3">
        <f>IF($A83-CX81&lt;1,CX31,0)</f>
        <v>0</v>
      </c>
      <c r="DC83" s="3">
        <f>IF($A83-DC81&lt;1,DC31,0)</f>
        <v>0</v>
      </c>
      <c r="DH83" s="3">
        <f>IF($A83-DH81&lt;1,DH31,0)</f>
        <v>0</v>
      </c>
      <c r="DM83" s="3">
        <f>IF($A83-DM81&lt;1,DM31,0)</f>
        <v>0</v>
      </c>
      <c r="DR83" s="3">
        <f>IF($A83-DR81&lt;1,DR31,0)</f>
        <v>0</v>
      </c>
      <c r="DW83" s="3">
        <f>IF($A83-DW81&lt;1,DW31,0)</f>
        <v>0</v>
      </c>
      <c r="EB83" s="3">
        <f>IF($A83-EB81&lt;1,EB31,0)</f>
        <v>0</v>
      </c>
      <c r="EG83" s="3">
        <f>IF($A83-EG81&lt;1,EG31,0)</f>
        <v>0</v>
      </c>
      <c r="EL83" s="3">
        <f>IF($A83-EL81&lt;1,EL31,0)</f>
        <v>0</v>
      </c>
      <c r="EQ83" s="3">
        <f>IF($A83-EQ81&lt;1,EQ31,0)</f>
        <v>0</v>
      </c>
      <c r="EV83" s="3">
        <f>IF($A83-EV81&lt;1,EV31,0)</f>
        <v>0</v>
      </c>
      <c r="FA83" s="3">
        <f>IF($A83-FA81&lt;1,FA31,0)</f>
        <v>0</v>
      </c>
      <c r="FF83" s="3">
        <f>IF($A83-FF81&lt;1,FF31,0)</f>
        <v>0</v>
      </c>
      <c r="FK83" s="3">
        <f>IF($A83-FK81&lt;1,FK31,0)</f>
        <v>0</v>
      </c>
      <c r="FO83" s="3"/>
      <c r="FP83" s="3">
        <f>IF($A83-FP81&lt;1,FP31,0)</f>
        <v>0</v>
      </c>
    </row>
    <row r="84" spans="1:175">
      <c r="A84" s="75">
        <v>2018.5</v>
      </c>
      <c r="B84" s="1" t="str">
        <f>B36</f>
        <v xml:space="preserve">Note payable to Fumedica </v>
      </c>
      <c r="K84" s="3"/>
      <c r="L84" s="3">
        <f>L89-L82</f>
        <v>3.3790000000000191</v>
      </c>
      <c r="Q84" s="3">
        <f>Q89-Q82</f>
        <v>3.4940000000000002</v>
      </c>
      <c r="R84" s="3"/>
      <c r="S84" s="3"/>
      <c r="T84" s="3"/>
      <c r="U84" s="3"/>
      <c r="V84" s="3">
        <f>V89-V82</f>
        <v>3.1360000000000001</v>
      </c>
      <c r="W84" s="3"/>
      <c r="X84" s="3"/>
      <c r="Y84" s="3"/>
      <c r="Z84" s="3"/>
      <c r="AA84" s="3">
        <f>AA89-AA82</f>
        <v>4.8</v>
      </c>
      <c r="AB84" s="3">
        <f t="shared" ref="AB84:AF84" si="163">AB89-AB82</f>
        <v>4.7</v>
      </c>
      <c r="AC84" s="3">
        <f t="shared" si="163"/>
        <v>3.2</v>
      </c>
      <c r="AD84" s="3">
        <f t="shared" si="163"/>
        <v>-1.1796119636642288E-16</v>
      </c>
      <c r="AE84" s="3">
        <f t="shared" si="163"/>
        <v>1485.3</v>
      </c>
      <c r="AF84" s="3">
        <f t="shared" si="163"/>
        <v>4.7</v>
      </c>
      <c r="AG84" s="3"/>
      <c r="AH84" s="3"/>
      <c r="AI84" s="3"/>
      <c r="AJ84" s="3"/>
      <c r="AK84" s="3">
        <f>IF($A84-AK81&lt;1,AK36,0)</f>
        <v>2.4697850534066772</v>
      </c>
      <c r="AL84" s="3"/>
      <c r="AM84" s="3"/>
      <c r="AN84" s="3"/>
      <c r="AO84" s="3"/>
      <c r="AP84" s="3">
        <f>IF($A84-AP81&lt;1,AP36,0)</f>
        <v>-1.1796119636642288E-16</v>
      </c>
      <c r="AQ84" s="3"/>
      <c r="AR84" s="3"/>
      <c r="AS84" s="3"/>
      <c r="AT84" s="3"/>
      <c r="AU84" s="3">
        <f>IF($A84-AU81&lt;1,AU36,0)</f>
        <v>0</v>
      </c>
      <c r="AV84" s="3"/>
      <c r="AW84" s="3"/>
      <c r="AX84" s="3"/>
      <c r="AY84" s="3"/>
      <c r="AZ84" s="3">
        <f>IF($A84-AZ81&lt;1,AZ36,0)</f>
        <v>0</v>
      </c>
      <c r="BA84" s="3"/>
      <c r="BB84" s="3"/>
      <c r="BC84" s="3"/>
      <c r="BD84" s="3"/>
      <c r="BE84" s="3">
        <f>IF($A84-BE81&lt;1,BE36,0)</f>
        <v>0</v>
      </c>
      <c r="BF84" s="3"/>
      <c r="BG84" s="3"/>
      <c r="BH84" s="3"/>
      <c r="BI84" s="3"/>
      <c r="BJ84" s="3">
        <f>IF($A84-BJ81&lt;1,BJ36,0)</f>
        <v>0</v>
      </c>
      <c r="BK84" s="3"/>
      <c r="BL84" s="3"/>
      <c r="BM84" s="3"/>
      <c r="BN84" s="3"/>
      <c r="BO84" s="3">
        <f>IF($A84-BO81&lt;1,BO36,0)</f>
        <v>0</v>
      </c>
      <c r="BP84" s="3"/>
      <c r="BQ84" s="3"/>
      <c r="BR84" s="3"/>
      <c r="BS84" s="3"/>
      <c r="BT84" s="3">
        <f>IF($A84-BT81&lt;1,BT36,0)</f>
        <v>0</v>
      </c>
      <c r="BU84" s="3"/>
      <c r="BV84" s="3"/>
      <c r="BW84" s="3"/>
      <c r="BX84" s="3"/>
      <c r="BY84" s="3">
        <f>IF($A84-BY81&lt;1,BY36,0)</f>
        <v>0</v>
      </c>
      <c r="BZ84" s="3"/>
      <c r="CA84" s="3"/>
      <c r="CB84" s="3"/>
      <c r="CC84" s="3"/>
      <c r="CD84" s="3">
        <f>IF($A84-CD81&lt;1,CD36,0)</f>
        <v>0</v>
      </c>
      <c r="CE84" s="3"/>
      <c r="CF84" s="3"/>
      <c r="CG84" s="3"/>
      <c r="CH84" s="3"/>
      <c r="CI84" s="3">
        <f>IF($A84-CI81&lt;1,CI36,0)</f>
        <v>0</v>
      </c>
      <c r="CJ84" s="3"/>
      <c r="CK84" s="3"/>
      <c r="CL84" s="3"/>
      <c r="CM84" s="3"/>
      <c r="CN84" s="3">
        <f>IF($A84-CN81&lt;1,CN36,0)</f>
        <v>0</v>
      </c>
      <c r="CO84" s="3"/>
      <c r="CP84" s="3"/>
      <c r="CQ84" s="3"/>
      <c r="CR84" s="3"/>
      <c r="CS84" s="3">
        <f>IF($A84-CS81&lt;1,CS36,0)</f>
        <v>0</v>
      </c>
      <c r="CT84" s="3"/>
      <c r="CU84" s="3"/>
      <c r="CV84" s="3"/>
      <c r="CW84" s="3"/>
      <c r="CX84" s="3">
        <f>IF($A84-CX81&lt;1,CX36,0)</f>
        <v>0</v>
      </c>
      <c r="DC84" s="3">
        <f>IF($A84-DC81&lt;1,DC36,0)</f>
        <v>0</v>
      </c>
      <c r="DH84" s="3">
        <f>IF($A84-DH81&lt;1,DH36,0)</f>
        <v>0</v>
      </c>
      <c r="DM84" s="3">
        <f>IF($A84-DM81&lt;1,DM36,0)</f>
        <v>0</v>
      </c>
      <c r="DR84" s="3">
        <f>IF($A84-DR81&lt;1,DR36,0)</f>
        <v>0</v>
      </c>
      <c r="DW84" s="3">
        <f>IF($A84-DW81&lt;1,DW36,0)</f>
        <v>0</v>
      </c>
      <c r="EB84" s="3">
        <f>IF($A84-EB81&lt;1,EB36,0)</f>
        <v>0</v>
      </c>
      <c r="EG84" s="3">
        <f>IF($A84-EG81&lt;1,EG36,0)</f>
        <v>0</v>
      </c>
      <c r="EL84" s="3">
        <f>IF($A84-EL81&lt;1,EL36,0)</f>
        <v>0</v>
      </c>
      <c r="EQ84" s="3">
        <f>IF($A84-EQ81&lt;1,EQ36,0)</f>
        <v>0</v>
      </c>
      <c r="EV84" s="3">
        <f>IF($A84-EV81&lt;1,EV36,0)</f>
        <v>0</v>
      </c>
      <c r="FA84" s="3">
        <f>IF($A84-FA81&lt;1,FA36,0)</f>
        <v>0</v>
      </c>
      <c r="FF84" s="3">
        <f>IF($A84-FF81&lt;1,FF36,0)</f>
        <v>0</v>
      </c>
      <c r="FK84" s="3">
        <f>IF($A84-FK81&lt;1,FK36,0)</f>
        <v>0</v>
      </c>
      <c r="FO84" s="3"/>
      <c r="FP84" s="3">
        <f>IF($A84-FP81&lt;1,FP36,0)</f>
        <v>0</v>
      </c>
    </row>
    <row r="85" spans="1:175">
      <c r="A85" s="75">
        <v>2020.75</v>
      </c>
      <c r="B85" s="1" t="s">
        <v>805</v>
      </c>
      <c r="K85" s="3"/>
      <c r="L85" s="3">
        <f>IF($A85-L81&lt;1,L43,0)</f>
        <v>0</v>
      </c>
      <c r="Q85" s="3">
        <f>IF($A85-Q81&lt;1,Q43,0)</f>
        <v>0</v>
      </c>
      <c r="R85" s="3"/>
      <c r="S85" s="3"/>
      <c r="T85" s="3"/>
      <c r="U85" s="3"/>
      <c r="V85" s="3">
        <f>IF($A85-V81&lt;1,V43,0)</f>
        <v>0</v>
      </c>
      <c r="W85" s="3"/>
      <c r="X85" s="3"/>
      <c r="Y85" s="3"/>
      <c r="Z85" s="3"/>
      <c r="AA85" s="3">
        <f>IF($A85-AA81&lt;1,AA43,0)</f>
        <v>0</v>
      </c>
      <c r="AB85" s="3">
        <f t="shared" ref="AB85:AF85" si="164">IF($A85-AB81&lt;1,AB43,0)</f>
        <v>0</v>
      </c>
      <c r="AC85" s="3">
        <f t="shared" si="164"/>
        <v>0</v>
      </c>
      <c r="AD85" s="3">
        <f t="shared" si="164"/>
        <v>0</v>
      </c>
      <c r="AE85" s="3">
        <f t="shared" si="164"/>
        <v>0</v>
      </c>
      <c r="AF85" s="3">
        <f t="shared" si="164"/>
        <v>0</v>
      </c>
      <c r="AG85" s="3"/>
      <c r="AH85" s="3"/>
      <c r="AI85" s="3"/>
      <c r="AJ85" s="3"/>
      <c r="AK85" s="3">
        <f>IF($A85-AK81&lt;1,AK43,0)</f>
        <v>0</v>
      </c>
      <c r="AL85" s="3"/>
      <c r="AM85" s="3"/>
      <c r="AN85" s="3"/>
      <c r="AO85" s="3"/>
      <c r="AP85" s="3">
        <f>IF($A85-AP81&lt;1,AP43,0)</f>
        <v>0</v>
      </c>
      <c r="AQ85" s="3"/>
      <c r="AR85" s="3"/>
      <c r="AS85" s="3"/>
      <c r="AT85" s="3"/>
      <c r="AU85" s="3">
        <f>IF($A85-AU81&lt;1,AU43,0)</f>
        <v>1485.3</v>
      </c>
      <c r="AV85" s="3"/>
      <c r="AW85" s="3"/>
      <c r="AX85" s="3"/>
      <c r="AY85" s="3"/>
      <c r="AZ85" s="3">
        <f>IF($A85-AZ81&lt;1,AZ43,0)</f>
        <v>0</v>
      </c>
      <c r="BA85" s="3"/>
      <c r="BB85" s="3"/>
      <c r="BC85" s="3"/>
      <c r="BD85" s="3"/>
      <c r="BE85" s="3">
        <f>IF($A85-BE81&lt;1,BE43,0)</f>
        <v>0</v>
      </c>
      <c r="BF85" s="3"/>
      <c r="BG85" s="3"/>
      <c r="BH85" s="3"/>
      <c r="BI85" s="3"/>
      <c r="BJ85" s="3">
        <f>IF($A85-BJ81&lt;1,BJ43,0)</f>
        <v>0</v>
      </c>
      <c r="BK85" s="3"/>
      <c r="BL85" s="3"/>
      <c r="BM85" s="3"/>
      <c r="BN85" s="3"/>
      <c r="BO85" s="3">
        <f>IF($A85-BO81&lt;1,BO43,0)</f>
        <v>0</v>
      </c>
      <c r="BP85" s="3"/>
      <c r="BQ85" s="3"/>
      <c r="BR85" s="3"/>
      <c r="BS85" s="3"/>
      <c r="BT85" s="3">
        <f>IF($A85-BT81&lt;1,BT43,0)</f>
        <v>0</v>
      </c>
      <c r="BU85" s="3"/>
      <c r="BV85" s="3"/>
      <c r="BW85" s="3"/>
      <c r="BX85" s="3"/>
      <c r="BY85" s="3">
        <f>IF($A85-BY81&lt;1,BY43,0)</f>
        <v>0</v>
      </c>
      <c r="BZ85" s="3"/>
      <c r="CA85" s="3"/>
      <c r="CB85" s="3"/>
      <c r="CC85" s="3"/>
      <c r="CD85" s="3">
        <f>IF($A85-CD81&lt;1,CD43,0)</f>
        <v>0</v>
      </c>
      <c r="CE85" s="3"/>
      <c r="CF85" s="3"/>
      <c r="CG85" s="3"/>
      <c r="CH85" s="3"/>
      <c r="CI85" s="3">
        <f>IF($A85-CI81&lt;1,CI43,0)</f>
        <v>0</v>
      </c>
      <c r="CJ85" s="3"/>
      <c r="CK85" s="3"/>
      <c r="CL85" s="3"/>
      <c r="CM85" s="3"/>
      <c r="CN85" s="3">
        <f>IF($A85-CN81&lt;1,CN43,0)</f>
        <v>0</v>
      </c>
      <c r="CO85" s="3"/>
      <c r="CP85" s="3"/>
      <c r="CQ85" s="3"/>
      <c r="CR85" s="3"/>
      <c r="CS85" s="3">
        <f>IF($A85-CS81&lt;1,CS43,0)</f>
        <v>0</v>
      </c>
      <c r="CT85" s="3"/>
      <c r="CU85" s="3"/>
      <c r="CV85" s="3"/>
      <c r="CW85" s="3"/>
      <c r="CX85" s="3">
        <f>IF($A85-CX81&lt;1,CX43,0)</f>
        <v>0</v>
      </c>
      <c r="DC85" s="3">
        <f>IF($A85-DC81&lt;1,DC43,0)</f>
        <v>0</v>
      </c>
      <c r="DH85" s="3">
        <f>IF($A85-DH81&lt;1,DH43,0)</f>
        <v>0</v>
      </c>
      <c r="DM85" s="3">
        <f>IF($A85-DM81&lt;1,DM43,0)</f>
        <v>0</v>
      </c>
      <c r="DR85" s="3">
        <f>IF($A85-DR81&lt;1,DR43,0)</f>
        <v>0</v>
      </c>
      <c r="DW85" s="3">
        <f>IF($A85-DW81&lt;1,DW43,0)</f>
        <v>0</v>
      </c>
      <c r="EB85" s="3">
        <f>IF($A85-EB81&lt;1,EB43,0)</f>
        <v>0</v>
      </c>
      <c r="EG85" s="3">
        <f>IF($A85-EG81&lt;1,EG43,0)</f>
        <v>0</v>
      </c>
      <c r="EL85" s="3">
        <f>IF($A85-EL81&lt;1,EL43,0)</f>
        <v>0</v>
      </c>
      <c r="EQ85" s="3">
        <f>IF($A85-EQ81&lt;1,EQ43,0)</f>
        <v>0</v>
      </c>
      <c r="EV85" s="3">
        <f>IF($A85-EV81&lt;1,EV43,0)</f>
        <v>0</v>
      </c>
      <c r="FA85" s="3">
        <f>IF($A85-FA81&lt;1,FA43,0)</f>
        <v>0</v>
      </c>
      <c r="FF85" s="3">
        <f>IF($A85-FF81&lt;1,FF43,0)</f>
        <v>0</v>
      </c>
      <c r="FK85" s="3">
        <f>IF($A85-FK81&lt;1,FK43,0)</f>
        <v>0</v>
      </c>
      <c r="FO85" s="3"/>
      <c r="FP85" s="3">
        <f>IF($A85-FP81&lt;1,FP43,0)</f>
        <v>0</v>
      </c>
    </row>
    <row r="86" spans="1:175">
      <c r="A86" s="75">
        <v>2022.75</v>
      </c>
      <c r="B86" s="1" t="s">
        <v>806</v>
      </c>
      <c r="K86" s="3"/>
      <c r="L86" s="3">
        <f>IF($A86-L81&lt;1,L48,0)</f>
        <v>0</v>
      </c>
      <c r="Q86" s="3">
        <f>IF($A86-Q81&lt;1,Q48,0)</f>
        <v>0</v>
      </c>
      <c r="R86" s="3"/>
      <c r="S86" s="3"/>
      <c r="T86" s="3"/>
      <c r="U86" s="3"/>
      <c r="V86" s="3">
        <f>IF($A86-V81&lt;1,V48,0)</f>
        <v>0</v>
      </c>
      <c r="W86" s="3"/>
      <c r="X86" s="3"/>
      <c r="Y86" s="3"/>
      <c r="Z86" s="3"/>
      <c r="AA86" s="3">
        <f>IF($A86-AA81&lt;1,AA48,0)</f>
        <v>0</v>
      </c>
      <c r="AB86" s="3">
        <f t="shared" ref="AB86:AF86" si="165">IF($A86-AB81&lt;1,AB48,0)</f>
        <v>0</v>
      </c>
      <c r="AC86" s="3">
        <f t="shared" si="165"/>
        <v>0</v>
      </c>
      <c r="AD86" s="3">
        <f t="shared" si="165"/>
        <v>0</v>
      </c>
      <c r="AE86" s="3">
        <f t="shared" si="165"/>
        <v>0</v>
      </c>
      <c r="AF86" s="3">
        <f t="shared" si="165"/>
        <v>0</v>
      </c>
      <c r="AG86" s="3"/>
      <c r="AH86" s="3"/>
      <c r="AI86" s="3"/>
      <c r="AJ86" s="3"/>
      <c r="AK86" s="3">
        <f>IF($A86-AK81&lt;1,AK48,0)</f>
        <v>0</v>
      </c>
      <c r="AL86" s="3"/>
      <c r="AM86" s="3"/>
      <c r="AN86" s="3"/>
      <c r="AO86" s="3"/>
      <c r="AP86" s="3">
        <f>IF($A86-AP81&lt;1,AP48,0)</f>
        <v>0</v>
      </c>
      <c r="AQ86" s="3"/>
      <c r="AR86" s="3"/>
      <c r="AS86" s="3"/>
      <c r="AT86" s="3"/>
      <c r="AU86" s="3">
        <f>IF($A86-AU81&lt;1,AU48,0)</f>
        <v>0</v>
      </c>
      <c r="AV86" s="3"/>
      <c r="AW86" s="3"/>
      <c r="AX86" s="3"/>
      <c r="AY86" s="3"/>
      <c r="AZ86" s="3">
        <f>IF($A86-AZ81&lt;1,AZ48,0)</f>
        <v>0</v>
      </c>
      <c r="BA86" s="3"/>
      <c r="BB86" s="3"/>
      <c r="BC86" s="3"/>
      <c r="BD86" s="3"/>
      <c r="BE86" s="3">
        <f>IF($A86-BE81&lt;1,BE48,0)</f>
        <v>993.2</v>
      </c>
      <c r="BF86" s="3"/>
      <c r="BG86" s="3"/>
      <c r="BH86" s="3"/>
      <c r="BI86" s="3"/>
      <c r="BJ86" s="3">
        <f>IF($A86-BJ81&lt;1,BJ48,0)</f>
        <v>0</v>
      </c>
      <c r="BK86" s="3"/>
      <c r="BL86" s="3"/>
      <c r="BM86" s="3"/>
      <c r="BN86" s="3"/>
      <c r="BO86" s="3">
        <f>IF($A86-BO81&lt;1,BO48,0)</f>
        <v>0</v>
      </c>
      <c r="BP86" s="3"/>
      <c r="BQ86" s="3"/>
      <c r="BR86" s="3"/>
      <c r="BS86" s="3"/>
      <c r="BT86" s="3">
        <f>IF($A86-BT81&lt;1,BT48,0)</f>
        <v>0</v>
      </c>
      <c r="BU86" s="3"/>
      <c r="BV86" s="3"/>
      <c r="BW86" s="3"/>
      <c r="BX86" s="3"/>
      <c r="BY86" s="3">
        <f>IF($A86-BY81&lt;1,BY48,0)</f>
        <v>0</v>
      </c>
      <c r="BZ86" s="3"/>
      <c r="CA86" s="3"/>
      <c r="CB86" s="3"/>
      <c r="CC86" s="3"/>
      <c r="CD86" s="3">
        <f>IF($A86-CD81&lt;1,CD48,0)</f>
        <v>0</v>
      </c>
      <c r="CE86" s="3"/>
      <c r="CF86" s="3"/>
      <c r="CG86" s="3"/>
      <c r="CH86" s="3"/>
      <c r="CI86" s="3">
        <f>IF($A86-CI81&lt;1,CI48,0)</f>
        <v>0</v>
      </c>
      <c r="CJ86" s="3"/>
      <c r="CK86" s="3"/>
      <c r="CL86" s="3"/>
      <c r="CM86" s="3"/>
      <c r="CN86" s="3">
        <f>IF($A86-CN81&lt;1,CN48,0)</f>
        <v>0</v>
      </c>
      <c r="CO86" s="3"/>
      <c r="CP86" s="3"/>
      <c r="CQ86" s="3"/>
      <c r="CR86" s="3"/>
      <c r="CS86" s="3">
        <f>IF($A86-CS81&lt;1,CS48,0)</f>
        <v>0</v>
      </c>
      <c r="CT86" s="3"/>
      <c r="CU86" s="3"/>
      <c r="CV86" s="3"/>
      <c r="CW86" s="3"/>
      <c r="CX86" s="3">
        <f>IF($A86-CX81&lt;1,CX48,0)</f>
        <v>0</v>
      </c>
      <c r="DC86" s="3">
        <f>IF($A86-DC81&lt;1,DC48,0)</f>
        <v>0</v>
      </c>
      <c r="DH86" s="3">
        <f>IF($A86-DH81&lt;1,DH48,0)</f>
        <v>0</v>
      </c>
      <c r="DM86" s="3">
        <f>IF($A86-DM81&lt;1,DM48,0)</f>
        <v>0</v>
      </c>
      <c r="DR86" s="3">
        <f>IF($A86-DR81&lt;1,DR48,0)</f>
        <v>0</v>
      </c>
      <c r="DW86" s="3">
        <f>IF($A86-DW81&lt;1,DW48,0)</f>
        <v>0</v>
      </c>
      <c r="EB86" s="3">
        <f>IF($A86-EB81&lt;1,EB48,0)</f>
        <v>0</v>
      </c>
      <c r="EG86" s="3">
        <f>IF($A86-EG81&lt;1,EG48,0)</f>
        <v>0</v>
      </c>
      <c r="EL86" s="3">
        <f>IF($A86-EL81&lt;1,EL48,0)</f>
        <v>0</v>
      </c>
      <c r="EQ86" s="3">
        <f>IF($A86-EQ81&lt;1,EQ48,0)</f>
        <v>0</v>
      </c>
      <c r="EV86" s="3">
        <f>IF($A86-EV81&lt;1,EV48,0)</f>
        <v>0</v>
      </c>
      <c r="FA86" s="3">
        <f>IF($A86-FA81&lt;1,FA48,0)</f>
        <v>0</v>
      </c>
      <c r="FF86" s="3">
        <f>IF($A86-FF81&lt;1,FF48,0)</f>
        <v>0</v>
      </c>
      <c r="FK86" s="3">
        <f>IF($A86-FK81&lt;1,FK48,0)</f>
        <v>0</v>
      </c>
      <c r="FO86" s="3"/>
      <c r="FP86" s="3">
        <f>IF($A86-FP81&lt;1,FP48,0)</f>
        <v>0</v>
      </c>
    </row>
    <row r="87" spans="1:175">
      <c r="A87" s="75">
        <v>2025.75</v>
      </c>
      <c r="B87" s="1" t="s">
        <v>807</v>
      </c>
      <c r="K87" s="3"/>
      <c r="L87" s="3">
        <f>IF($A87-L81&lt;1,L53,0)</f>
        <v>0</v>
      </c>
      <c r="Q87" s="3">
        <f>IF($A87-Q81&lt;1,Q53,0)</f>
        <v>0</v>
      </c>
      <c r="R87" s="3"/>
      <c r="S87" s="3"/>
      <c r="T87" s="3"/>
      <c r="U87" s="3"/>
      <c r="V87" s="3">
        <f>IF($A87-V81&lt;1,V53,0)</f>
        <v>0</v>
      </c>
      <c r="W87" s="3"/>
      <c r="X87" s="3"/>
      <c r="Y87" s="3"/>
      <c r="Z87" s="3"/>
      <c r="AA87" s="3">
        <f>IF($A87-AA81&lt;1,AA53,0)</f>
        <v>0</v>
      </c>
      <c r="AB87" s="3">
        <f t="shared" ref="AB87:AF87" si="166">IF($A87-AB81&lt;1,AB53,0)</f>
        <v>0</v>
      </c>
      <c r="AC87" s="3">
        <f t="shared" si="166"/>
        <v>0</v>
      </c>
      <c r="AD87" s="3">
        <f t="shared" si="166"/>
        <v>0</v>
      </c>
      <c r="AE87" s="3">
        <f t="shared" si="166"/>
        <v>0</v>
      </c>
      <c r="AF87" s="3">
        <f t="shared" si="166"/>
        <v>0</v>
      </c>
      <c r="AG87" s="3"/>
      <c r="AH87" s="3"/>
      <c r="AI87" s="3"/>
      <c r="AJ87" s="3"/>
      <c r="AK87" s="3">
        <f>IF($A87-AK81&lt;1,AK53,0)</f>
        <v>0</v>
      </c>
      <c r="AL87" s="3"/>
      <c r="AM87" s="3"/>
      <c r="AN87" s="3"/>
      <c r="AO87" s="3"/>
      <c r="AP87" s="3">
        <f>IF($A87-AP81&lt;1,AP53,0)</f>
        <v>0</v>
      </c>
      <c r="AQ87" s="3"/>
      <c r="AR87" s="3"/>
      <c r="AS87" s="3"/>
      <c r="AT87" s="3"/>
      <c r="AU87" s="3">
        <f>IF($A87-AU81&lt;1,AU53,0)</f>
        <v>0</v>
      </c>
      <c r="AV87" s="3"/>
      <c r="AW87" s="3"/>
      <c r="AX87" s="3"/>
      <c r="AY87" s="3"/>
      <c r="AZ87" s="3">
        <f>IF($A87-AZ81&lt;1,AZ53,0)</f>
        <v>0</v>
      </c>
      <c r="BA87" s="3"/>
      <c r="BB87" s="3"/>
      <c r="BC87" s="3"/>
      <c r="BD87" s="3"/>
      <c r="BE87" s="3">
        <f>IF($A87-BE81&lt;1,BE53,0)</f>
        <v>0</v>
      </c>
      <c r="BF87" s="3"/>
      <c r="BG87" s="3"/>
      <c r="BH87" s="3"/>
      <c r="BI87" s="3"/>
      <c r="BJ87" s="3">
        <f>IF($A87-BJ81&lt;1,BJ53,0)</f>
        <v>0</v>
      </c>
      <c r="BK87" s="3"/>
      <c r="BL87" s="3"/>
      <c r="BM87" s="3"/>
      <c r="BN87" s="3"/>
      <c r="BO87" s="3">
        <f>IF($A87-BO81&lt;1,BO53,0)</f>
        <v>0</v>
      </c>
      <c r="BP87" s="3"/>
      <c r="BQ87" s="3"/>
      <c r="BR87" s="3"/>
      <c r="BS87" s="3"/>
      <c r="BT87" s="3">
        <f>IF($A87-BT81&lt;1,BT53,0)</f>
        <v>1734.8</v>
      </c>
      <c r="BU87" s="3"/>
      <c r="BV87" s="3"/>
      <c r="BW87" s="3"/>
      <c r="BX87" s="3"/>
      <c r="BY87" s="3">
        <f>IF($A87-BY81&lt;1,BY53,0)</f>
        <v>0</v>
      </c>
      <c r="BZ87" s="3"/>
      <c r="CA87" s="3"/>
      <c r="CB87" s="3"/>
      <c r="CC87" s="3"/>
      <c r="CD87" s="3">
        <f>IF($A87-CD81&lt;1,CD53,0)</f>
        <v>0</v>
      </c>
      <c r="CE87" s="3"/>
      <c r="CF87" s="3"/>
      <c r="CG87" s="3"/>
      <c r="CH87" s="3"/>
      <c r="CI87" s="3">
        <f>IF($A87-CI81&lt;1,CI53,0)</f>
        <v>0</v>
      </c>
      <c r="CJ87" s="3"/>
      <c r="CK87" s="3"/>
      <c r="CL87" s="3"/>
      <c r="CM87" s="3"/>
      <c r="CN87" s="3">
        <f>IF($A87-CN81&lt;1,CN53,0)</f>
        <v>0</v>
      </c>
      <c r="CO87" s="3"/>
      <c r="CP87" s="3"/>
      <c r="CQ87" s="3"/>
      <c r="CR87" s="3"/>
      <c r="CS87" s="3">
        <f>IF($A87-CS81&lt;1,CS53,0)</f>
        <v>0</v>
      </c>
      <c r="CT87" s="3"/>
      <c r="CU87" s="3"/>
      <c r="CV87" s="3"/>
      <c r="CW87" s="3"/>
      <c r="CX87" s="3">
        <f>IF($A87-CX81&lt;1,CX53,0)</f>
        <v>0</v>
      </c>
      <c r="DC87" s="3">
        <f>IF($A87-DC81&lt;1,DC53,0)</f>
        <v>0</v>
      </c>
      <c r="DH87" s="3">
        <f>IF($A87-DH81&lt;1,DH53,0)</f>
        <v>0</v>
      </c>
      <c r="DM87" s="3">
        <f>IF($A87-DM81&lt;1,DM53,0)</f>
        <v>0</v>
      </c>
      <c r="DR87" s="3">
        <f>IF($A87-DR81&lt;1,DR53,0)</f>
        <v>0</v>
      </c>
      <c r="DW87" s="3">
        <f>IF($A87-DW81&lt;1,DW53,0)</f>
        <v>0</v>
      </c>
      <c r="EB87" s="3">
        <f>IF($A87-EB81&lt;1,EB53,0)</f>
        <v>0</v>
      </c>
      <c r="EG87" s="3">
        <f>IF($A87-EG81&lt;1,EG53,0)</f>
        <v>0</v>
      </c>
      <c r="EL87" s="3">
        <f>IF($A87-EL81&lt;1,EL53,0)</f>
        <v>0</v>
      </c>
      <c r="EQ87" s="3">
        <f>IF($A87-EQ81&lt;1,EQ53,0)</f>
        <v>0</v>
      </c>
      <c r="EV87" s="3">
        <f>IF($A87-EV81&lt;1,EV53,0)</f>
        <v>0</v>
      </c>
      <c r="FA87" s="3">
        <f>IF($A87-FA81&lt;1,FA53,0)</f>
        <v>0</v>
      </c>
      <c r="FF87" s="3">
        <f>IF($A87-FF81&lt;1,FF53,0)</f>
        <v>0</v>
      </c>
      <c r="FK87" s="3">
        <f>IF($A87-FK81&lt;1,FK53,0)</f>
        <v>0</v>
      </c>
      <c r="FO87" s="3"/>
      <c r="FP87" s="3">
        <f>IF($A87-FP81&lt;1,FP53,0)</f>
        <v>0</v>
      </c>
    </row>
    <row r="88" spans="1:175">
      <c r="A88" s="75">
        <v>2045.75</v>
      </c>
      <c r="B88" s="1" t="s">
        <v>808</v>
      </c>
      <c r="K88" s="3"/>
      <c r="L88" s="3">
        <f>IF($A88-L81&lt;1,L58,0)</f>
        <v>0</v>
      </c>
      <c r="Q88" s="3">
        <f>IF($A88-Q81&lt;1,Q58,0)</f>
        <v>0</v>
      </c>
      <c r="R88" s="3"/>
      <c r="S88" s="3"/>
      <c r="T88" s="3"/>
      <c r="U88" s="3"/>
      <c r="V88" s="3">
        <f>IF($A88-V81&lt;1,V58,0)</f>
        <v>0</v>
      </c>
      <c r="W88" s="3"/>
      <c r="X88" s="3"/>
      <c r="Y88" s="3"/>
      <c r="Z88" s="3"/>
      <c r="AA88" s="3">
        <f>IF($A88-AA81&lt;1,AA58,0)</f>
        <v>0</v>
      </c>
      <c r="AB88" s="3">
        <f t="shared" ref="AB88:AF88" si="167">IF($A88-AB81&lt;1,AB58,0)</f>
        <v>0</v>
      </c>
      <c r="AC88" s="3">
        <f t="shared" si="167"/>
        <v>0</v>
      </c>
      <c r="AD88" s="3">
        <f t="shared" si="167"/>
        <v>0</v>
      </c>
      <c r="AE88" s="3">
        <f t="shared" si="167"/>
        <v>0</v>
      </c>
      <c r="AF88" s="3">
        <f t="shared" si="167"/>
        <v>0</v>
      </c>
      <c r="AG88" s="3"/>
      <c r="AH88" s="3"/>
      <c r="AI88" s="3"/>
      <c r="AJ88" s="3"/>
      <c r="AK88" s="3">
        <f>IF($A88-AK81&lt;1,AK58,0)</f>
        <v>0</v>
      </c>
      <c r="AL88" s="3"/>
      <c r="AM88" s="3"/>
      <c r="AN88" s="3"/>
      <c r="AO88" s="3"/>
      <c r="AP88" s="3">
        <f>IF($A88-AP81&lt;1,AP58,0)</f>
        <v>0</v>
      </c>
      <c r="AQ88" s="3"/>
      <c r="AR88" s="3"/>
      <c r="AS88" s="3"/>
      <c r="AT88" s="3"/>
      <c r="AU88" s="3">
        <f>IF($A88-AU81&lt;1,AU58,0)</f>
        <v>0</v>
      </c>
      <c r="AV88" s="3"/>
      <c r="AW88" s="3"/>
      <c r="AX88" s="3"/>
      <c r="AY88" s="3"/>
      <c r="AZ88" s="3">
        <f>IF($A88-AZ81&lt;1,AZ58,0)</f>
        <v>0</v>
      </c>
      <c r="BA88" s="3"/>
      <c r="BB88" s="3"/>
      <c r="BC88" s="3"/>
      <c r="BD88" s="3"/>
      <c r="BE88" s="3">
        <f>IF($A88-BE81&lt;1,BE58,0)</f>
        <v>0</v>
      </c>
      <c r="BF88" s="3"/>
      <c r="BG88" s="3"/>
      <c r="BH88" s="3"/>
      <c r="BI88" s="3"/>
      <c r="BJ88" s="3">
        <f>IF($A88-BJ81&lt;1,BJ58,0)</f>
        <v>0</v>
      </c>
      <c r="BK88" s="3"/>
      <c r="BL88" s="3"/>
      <c r="BM88" s="3"/>
      <c r="BN88" s="3"/>
      <c r="BO88" s="3">
        <f>IF($A88-BO81&lt;1,BO58,0)</f>
        <v>0</v>
      </c>
      <c r="BP88" s="3"/>
      <c r="BQ88" s="3"/>
      <c r="BR88" s="3"/>
      <c r="BS88" s="3"/>
      <c r="BT88" s="3">
        <f>IF($A88-BT81&lt;1,BT58,0)</f>
        <v>0</v>
      </c>
      <c r="BU88" s="3"/>
      <c r="BV88" s="3"/>
      <c r="BW88" s="3"/>
      <c r="BX88" s="3"/>
      <c r="BY88" s="3">
        <f>IF($A88-BY81&lt;1,BY58,0)</f>
        <v>0</v>
      </c>
      <c r="BZ88" s="3"/>
      <c r="CA88" s="3"/>
      <c r="CB88" s="3"/>
      <c r="CC88" s="3"/>
      <c r="CD88" s="3">
        <f>IF($A88-CD81&lt;1,CD58,0)</f>
        <v>0</v>
      </c>
      <c r="CE88" s="3"/>
      <c r="CF88" s="3"/>
      <c r="CG88" s="3"/>
      <c r="CH88" s="3"/>
      <c r="CI88" s="3">
        <f>IF($A88-CI81&lt;1,CI58,0)</f>
        <v>0</v>
      </c>
      <c r="CJ88" s="3"/>
      <c r="CK88" s="3"/>
      <c r="CL88" s="3"/>
      <c r="CM88" s="3"/>
      <c r="CN88" s="3">
        <f>IF($A88-CN81&lt;1,CN58,0)</f>
        <v>0</v>
      </c>
      <c r="CO88" s="3"/>
      <c r="CP88" s="3"/>
      <c r="CQ88" s="3"/>
      <c r="CR88" s="3"/>
      <c r="CS88" s="3">
        <f>IF($A88-CS81&lt;1,CS58,0)</f>
        <v>0</v>
      </c>
      <c r="CT88" s="3"/>
      <c r="CU88" s="3"/>
      <c r="CV88" s="3"/>
      <c r="CW88" s="3"/>
      <c r="CX88" s="3">
        <f>IF($A88-CX81&lt;1,CX58,0)</f>
        <v>0</v>
      </c>
      <c r="DC88" s="3">
        <f>IF($A88-DC81&lt;1,DC58,0)</f>
        <v>0</v>
      </c>
      <c r="DH88" s="3">
        <f>IF($A88-DH81&lt;1,DH58,0)</f>
        <v>0</v>
      </c>
      <c r="DM88" s="3">
        <f>IF($A88-DM81&lt;1,DM58,0)</f>
        <v>0</v>
      </c>
      <c r="DR88" s="3">
        <f>IF($A88-DR81&lt;1,DR58,0)</f>
        <v>0</v>
      </c>
      <c r="DW88" s="3">
        <f>IF($A88-DW81&lt;1,DW58,0)</f>
        <v>0</v>
      </c>
      <c r="EB88" s="3">
        <f>IF($A88-EB81&lt;1,EB58,0)</f>
        <v>0</v>
      </c>
      <c r="EG88" s="3">
        <f>IF($A88-EG81&lt;1,EG58,0)</f>
        <v>0</v>
      </c>
      <c r="EL88" s="3">
        <f>IF($A88-EL81&lt;1,EL58,0)</f>
        <v>0</v>
      </c>
      <c r="EQ88" s="3">
        <f>IF($A88-EQ81&lt;1,EQ58,0)</f>
        <v>0</v>
      </c>
      <c r="EV88" s="3">
        <f>IF($A88-EV81&lt;1,EV58,0)</f>
        <v>0</v>
      </c>
      <c r="FA88" s="3">
        <f>IF($A88-FA81&lt;1,FA58,0)</f>
        <v>0</v>
      </c>
      <c r="FF88" s="3">
        <f>IF($A88-FF81&lt;1,FF58,0)</f>
        <v>0</v>
      </c>
      <c r="FK88" s="3">
        <f>IF($A88-FK81&lt;1,FK58,0)</f>
        <v>0</v>
      </c>
      <c r="FO88" s="3"/>
      <c r="FP88" s="3">
        <f>IF($A88-FP81&lt;1,FP58,0)</f>
        <v>1721.5</v>
      </c>
    </row>
    <row r="89" spans="1:175">
      <c r="B89" s="1" t="s">
        <v>476</v>
      </c>
      <c r="K89" s="3"/>
      <c r="L89" s="3">
        <f>BS!L19</f>
        <v>453.37900000000002</v>
      </c>
      <c r="M89" s="14"/>
      <c r="N89" s="3"/>
      <c r="O89" s="3"/>
      <c r="P89" s="3"/>
      <c r="Q89" s="3">
        <f>BS!M19</f>
        <v>3.4940000000000002</v>
      </c>
      <c r="R89" s="3"/>
      <c r="S89" s="3"/>
      <c r="T89" s="3"/>
      <c r="U89" s="3"/>
      <c r="V89" s="3">
        <f>BS!N19</f>
        <v>3.1360000000000001</v>
      </c>
      <c r="W89" s="3"/>
      <c r="X89" s="3"/>
      <c r="Y89" s="3"/>
      <c r="Z89" s="3"/>
      <c r="AA89" s="3">
        <f>BS!O19</f>
        <v>4.8</v>
      </c>
      <c r="AB89" s="3">
        <f>BS!P19</f>
        <v>4.7</v>
      </c>
      <c r="AC89" s="3">
        <f>BS!Q19</f>
        <v>3.2</v>
      </c>
      <c r="AD89" s="3">
        <f>BS!R19</f>
        <v>-1.1796119636642288E-16</v>
      </c>
      <c r="AE89" s="3">
        <f>BS!S19</f>
        <v>1485.3</v>
      </c>
      <c r="AF89" s="3">
        <f>BS!P19</f>
        <v>4.7</v>
      </c>
      <c r="AG89" s="3"/>
      <c r="AH89" s="3"/>
      <c r="AI89" s="3"/>
      <c r="AJ89" s="3"/>
      <c r="AK89" s="3">
        <f>SUM(AK82:AK88)</f>
        <v>552.76978505340662</v>
      </c>
      <c r="AL89" s="3"/>
      <c r="AM89" s="3"/>
      <c r="AN89" s="3"/>
      <c r="AO89" s="3"/>
      <c r="AP89" s="3">
        <f>SUM(AP82:AP88)</f>
        <v>-1.1796119636642288E-16</v>
      </c>
      <c r="AQ89" s="3"/>
      <c r="AR89" s="3"/>
      <c r="AS89" s="3"/>
      <c r="AT89" s="3"/>
      <c r="AU89" s="3">
        <f>SUM(AU82:AU88)</f>
        <v>1485.3</v>
      </c>
      <c r="AV89" s="3"/>
      <c r="AW89" s="3"/>
      <c r="AX89" s="3"/>
      <c r="AY89" s="3"/>
      <c r="AZ89" s="3">
        <f>SUM(AZ82:AZ88)</f>
        <v>0</v>
      </c>
      <c r="BA89" s="3"/>
      <c r="BB89" s="3"/>
      <c r="BC89" s="3"/>
      <c r="BD89" s="3"/>
      <c r="BE89" s="3">
        <f>SUM(BE82:BE88)</f>
        <v>993.2</v>
      </c>
      <c r="BF89" s="3"/>
      <c r="BG89" s="3"/>
      <c r="BH89" s="3"/>
      <c r="BI89" s="3"/>
      <c r="BJ89" s="3">
        <f>SUM(BJ82:BJ88)</f>
        <v>0</v>
      </c>
      <c r="BK89" s="3"/>
      <c r="BL89" s="3"/>
      <c r="BM89" s="3"/>
      <c r="BN89" s="3"/>
      <c r="BO89" s="3">
        <f>SUM(BO82:BO88)</f>
        <v>0</v>
      </c>
      <c r="BP89" s="3"/>
      <c r="BQ89" s="3"/>
      <c r="BR89" s="3"/>
      <c r="BS89" s="3"/>
      <c r="BT89" s="3">
        <f>SUM(BT82:BT88)</f>
        <v>1734.8</v>
      </c>
      <c r="BU89" s="3"/>
      <c r="BV89" s="3"/>
      <c r="BW89" s="3"/>
      <c r="BX89" s="3"/>
      <c r="BY89" s="3">
        <f>SUM(BY82:BY88)</f>
        <v>0</v>
      </c>
      <c r="BZ89" s="3"/>
      <c r="CA89" s="3"/>
      <c r="CB89" s="3"/>
      <c r="CC89" s="3"/>
      <c r="CD89" s="3">
        <f>SUM(CD82:CD88)</f>
        <v>0</v>
      </c>
      <c r="CE89" s="3"/>
      <c r="CF89" s="3"/>
      <c r="CG89" s="3"/>
      <c r="CH89" s="3"/>
      <c r="CI89" s="3">
        <f>SUM(CI82:CI88)</f>
        <v>0</v>
      </c>
      <c r="CJ89" s="3"/>
      <c r="CK89" s="3"/>
      <c r="CL89" s="3"/>
      <c r="CM89" s="3"/>
      <c r="CN89" s="3">
        <f>SUM(CN82:CN88)</f>
        <v>0</v>
      </c>
      <c r="CO89" s="3"/>
      <c r="CP89" s="3"/>
      <c r="CQ89" s="3"/>
      <c r="CR89" s="3"/>
      <c r="CS89" s="3">
        <f>SUM(CS82:CS88)</f>
        <v>0</v>
      </c>
      <c r="CT89" s="3"/>
      <c r="CU89" s="3"/>
      <c r="CV89" s="3"/>
      <c r="CW89" s="3"/>
      <c r="CX89" s="3">
        <f>SUM(CX82:CX88)</f>
        <v>0</v>
      </c>
      <c r="DC89" s="3">
        <f>SUM(DC82:DC88)</f>
        <v>0</v>
      </c>
      <c r="DH89" s="3">
        <f>SUM(DH82:DH88)</f>
        <v>0</v>
      </c>
      <c r="DM89" s="3">
        <f>SUM(DM82:DM88)</f>
        <v>0</v>
      </c>
      <c r="DR89" s="3">
        <f>SUM(DR82:DR88)</f>
        <v>0</v>
      </c>
      <c r="DW89" s="3">
        <f>SUM(DW82:DW88)</f>
        <v>0</v>
      </c>
      <c r="EB89" s="3">
        <f>SUM(EB82:EB88)</f>
        <v>0</v>
      </c>
      <c r="EG89" s="3">
        <f>SUM(EG82:EG88)</f>
        <v>0</v>
      </c>
      <c r="EL89" s="3">
        <f>SUM(EL82:EL88)</f>
        <v>0</v>
      </c>
      <c r="EQ89" s="3">
        <f>SUM(EQ82:EQ88)</f>
        <v>0</v>
      </c>
      <c r="EV89" s="3">
        <f>SUM(EV82:EV88)</f>
        <v>0</v>
      </c>
      <c r="FA89" s="3">
        <f>SUM(FA82:FA88)</f>
        <v>0</v>
      </c>
      <c r="FF89" s="3">
        <f>SUM(FF82:FF88)</f>
        <v>0</v>
      </c>
      <c r="FK89" s="3">
        <f>SUM(FK82:FK88)</f>
        <v>0</v>
      </c>
      <c r="FO89" s="3"/>
      <c r="FP89" s="3">
        <f>SUM(FP82:FP88)</f>
        <v>1721.5</v>
      </c>
    </row>
    <row r="90" spans="1:175">
      <c r="B90" s="1" t="s">
        <v>492</v>
      </c>
      <c r="K90" s="3"/>
      <c r="L90" s="3">
        <f>BS!L26</f>
        <v>687.39599999999996</v>
      </c>
      <c r="M90" s="15"/>
      <c r="N90" s="15"/>
      <c r="O90" s="15"/>
      <c r="P90" s="15"/>
      <c r="Q90" s="3">
        <f>BS!M26</f>
        <v>592.43299999999999</v>
      </c>
      <c r="R90" s="3">
        <f t="shared" ref="R90:U90" si="168">R79-R82-R83-R84</f>
        <v>594.6</v>
      </c>
      <c r="S90" s="3">
        <f t="shared" si="168"/>
        <v>589.5</v>
      </c>
      <c r="T90" s="3">
        <f t="shared" si="168"/>
        <v>587.20000000000005</v>
      </c>
      <c r="U90" s="3">
        <f t="shared" si="168"/>
        <v>584.82249999999999</v>
      </c>
      <c r="V90" s="3">
        <f>V79-V82-V83-V84-V85-V86-V87-V88</f>
        <v>582.06400000000008</v>
      </c>
      <c r="W90" s="3">
        <f t="shared" ref="W90:CH90" si="169">W79-W82-W83-W84-W85-W86-W87-W88</f>
        <v>583.9</v>
      </c>
      <c r="X90" s="3">
        <f t="shared" si="169"/>
        <v>579.5</v>
      </c>
      <c r="Y90" s="3">
        <f t="shared" si="169"/>
        <v>6514.3</v>
      </c>
      <c r="Z90" s="3">
        <f t="shared" si="169"/>
        <v>6506.4691875000008</v>
      </c>
      <c r="AA90" s="3">
        <f t="shared" si="169"/>
        <v>6521.5000000000009</v>
      </c>
      <c r="AB90" s="3">
        <f t="shared" si="169"/>
        <v>6519.0793750000003</v>
      </c>
      <c r="AC90" s="3">
        <f t="shared" si="169"/>
        <v>6518.0469535156253</v>
      </c>
      <c r="AD90" s="3">
        <f t="shared" si="169"/>
        <v>6517.2025659724131</v>
      </c>
      <c r="AE90" s="3">
        <f t="shared" si="169"/>
        <v>5029.4460403582661</v>
      </c>
      <c r="AF90" s="3">
        <f t="shared" si="169"/>
        <v>6512.7000000000007</v>
      </c>
      <c r="AG90" s="3">
        <f t="shared" si="169"/>
        <v>6513.4362499999997</v>
      </c>
      <c r="AH90" s="3">
        <f t="shared" si="169"/>
        <v>6510.8600835937505</v>
      </c>
      <c r="AI90" s="3">
        <f t="shared" si="169"/>
        <v>6506.7713222954098</v>
      </c>
      <c r="AJ90" s="3">
        <f t="shared" si="169"/>
        <v>6504.2697850534068</v>
      </c>
      <c r="AK90" s="3">
        <f t="shared" si="169"/>
        <v>5952.9</v>
      </c>
      <c r="AL90" s="3">
        <f t="shared" si="169"/>
        <v>5956.0105764270993</v>
      </c>
      <c r="AM90" s="3">
        <f t="shared" si="169"/>
        <v>5955.0829336951683</v>
      </c>
      <c r="AN90" s="3">
        <f t="shared" si="169"/>
        <v>5954.4552882135495</v>
      </c>
      <c r="AO90" s="3">
        <f t="shared" si="169"/>
        <v>5954.4552882135495</v>
      </c>
      <c r="AP90" s="3">
        <f t="shared" si="169"/>
        <v>5952.9</v>
      </c>
      <c r="AQ90" s="3">
        <f t="shared" si="169"/>
        <v>5952.9</v>
      </c>
      <c r="AR90" s="3">
        <f t="shared" si="169"/>
        <v>5952.9</v>
      </c>
      <c r="AS90" s="3">
        <f t="shared" si="169"/>
        <v>5952.9</v>
      </c>
      <c r="AT90" s="3">
        <f t="shared" si="169"/>
        <v>5952.9</v>
      </c>
      <c r="AU90" s="3">
        <f t="shared" si="169"/>
        <v>4467.5999999999995</v>
      </c>
      <c r="AV90" s="3">
        <f t="shared" si="169"/>
        <v>5952.9</v>
      </c>
      <c r="AW90" s="3">
        <f t="shared" si="169"/>
        <v>5952.9</v>
      </c>
      <c r="AX90" s="3">
        <f t="shared" si="169"/>
        <v>4467.6000000000004</v>
      </c>
      <c r="AY90" s="3">
        <f t="shared" si="169"/>
        <v>4467.6000000000004</v>
      </c>
      <c r="AZ90" s="3">
        <f t="shared" si="169"/>
        <v>4467.6000000000004</v>
      </c>
      <c r="BA90" s="3">
        <f t="shared" si="169"/>
        <v>4467.6000000000004</v>
      </c>
      <c r="BB90" s="3">
        <f t="shared" si="169"/>
        <v>4467.6000000000004</v>
      </c>
      <c r="BC90" s="3">
        <f t="shared" si="169"/>
        <v>4467.6000000000004</v>
      </c>
      <c r="BD90" s="3">
        <f t="shared" si="169"/>
        <v>4467.6000000000004</v>
      </c>
      <c r="BE90" s="3">
        <f t="shared" si="169"/>
        <v>3474.4000000000005</v>
      </c>
      <c r="BF90" s="3">
        <f t="shared" si="169"/>
        <v>4467.6000000000004</v>
      </c>
      <c r="BG90" s="3">
        <f t="shared" si="169"/>
        <v>4467.6000000000004</v>
      </c>
      <c r="BH90" s="3">
        <f t="shared" si="169"/>
        <v>3474.3999999999996</v>
      </c>
      <c r="BI90" s="3">
        <f t="shared" si="169"/>
        <v>3474.3999999999996</v>
      </c>
      <c r="BJ90" s="3">
        <f t="shared" si="169"/>
        <v>3474.3999999999996</v>
      </c>
      <c r="BK90" s="3">
        <f t="shared" si="169"/>
        <v>3474.3999999999996</v>
      </c>
      <c r="BL90" s="3">
        <f t="shared" si="169"/>
        <v>3474.3999999999996</v>
      </c>
      <c r="BM90" s="3">
        <f t="shared" si="169"/>
        <v>3474.3999999999996</v>
      </c>
      <c r="BN90" s="3">
        <f t="shared" si="169"/>
        <v>3474.3999999999996</v>
      </c>
      <c r="BO90" s="3">
        <f t="shared" si="169"/>
        <v>3474.3999999999996</v>
      </c>
      <c r="BP90" s="3">
        <f t="shared" si="169"/>
        <v>3474.3999999999996</v>
      </c>
      <c r="BQ90" s="3">
        <f t="shared" si="169"/>
        <v>3474.3999999999996</v>
      </c>
      <c r="BR90" s="3">
        <f t="shared" si="169"/>
        <v>3474.3999999999996</v>
      </c>
      <c r="BS90" s="3">
        <f t="shared" si="169"/>
        <v>3474.3999999999996</v>
      </c>
      <c r="BT90" s="3">
        <f t="shared" si="169"/>
        <v>1739.5999999999997</v>
      </c>
      <c r="BU90" s="3">
        <f t="shared" si="169"/>
        <v>3474.3999999999996</v>
      </c>
      <c r="BV90" s="3">
        <f t="shared" si="169"/>
        <v>3474.3999999999996</v>
      </c>
      <c r="BW90" s="3">
        <f t="shared" si="169"/>
        <v>1739.6</v>
      </c>
      <c r="BX90" s="3">
        <f t="shared" si="169"/>
        <v>1739.6</v>
      </c>
      <c r="BY90" s="3">
        <f t="shared" si="169"/>
        <v>1739.6</v>
      </c>
      <c r="BZ90" s="3">
        <f t="shared" si="169"/>
        <v>1739.6</v>
      </c>
      <c r="CA90" s="3">
        <f t="shared" si="169"/>
        <v>1739.6</v>
      </c>
      <c r="CB90" s="3">
        <f t="shared" si="169"/>
        <v>1739.6</v>
      </c>
      <c r="CC90" s="3">
        <f t="shared" si="169"/>
        <v>1739.6</v>
      </c>
      <c r="CD90" s="3">
        <f t="shared" si="169"/>
        <v>1739.6</v>
      </c>
      <c r="CE90" s="3">
        <f t="shared" si="169"/>
        <v>1739.6</v>
      </c>
      <c r="CF90" s="3">
        <f t="shared" si="169"/>
        <v>1739.6</v>
      </c>
      <c r="CG90" s="3">
        <f t="shared" si="169"/>
        <v>1739.6</v>
      </c>
      <c r="CH90" s="3">
        <f t="shared" si="169"/>
        <v>1739.6</v>
      </c>
      <c r="CI90" s="3">
        <f t="shared" ref="CI90:ET90" si="170">CI79-CI82-CI83-CI84-CI85-CI86-CI87-CI88</f>
        <v>1739.6</v>
      </c>
      <c r="CJ90" s="3">
        <f t="shared" si="170"/>
        <v>1739.6</v>
      </c>
      <c r="CK90" s="3">
        <f t="shared" si="170"/>
        <v>1739.6</v>
      </c>
      <c r="CL90" s="3">
        <f t="shared" si="170"/>
        <v>1739.6</v>
      </c>
      <c r="CM90" s="3">
        <f t="shared" si="170"/>
        <v>1739.6</v>
      </c>
      <c r="CN90" s="3">
        <f t="shared" si="170"/>
        <v>1739.6</v>
      </c>
      <c r="CO90" s="3">
        <f t="shared" si="170"/>
        <v>1739.6</v>
      </c>
      <c r="CP90" s="3">
        <f t="shared" si="170"/>
        <v>1739.6</v>
      </c>
      <c r="CQ90" s="3">
        <f t="shared" si="170"/>
        <v>1739.6</v>
      </c>
      <c r="CR90" s="3">
        <f t="shared" si="170"/>
        <v>1739.6</v>
      </c>
      <c r="CS90" s="3">
        <f t="shared" si="170"/>
        <v>1739.6</v>
      </c>
      <c r="CT90" s="3">
        <f t="shared" si="170"/>
        <v>1739.6</v>
      </c>
      <c r="CU90" s="3">
        <f t="shared" si="170"/>
        <v>1739.6</v>
      </c>
      <c r="CV90" s="3">
        <f t="shared" si="170"/>
        <v>1739.6</v>
      </c>
      <c r="CW90" s="3">
        <f t="shared" si="170"/>
        <v>1739.6</v>
      </c>
      <c r="CX90" s="3">
        <f t="shared" si="170"/>
        <v>1739.6</v>
      </c>
      <c r="CY90" s="3">
        <f t="shared" si="170"/>
        <v>1721.5</v>
      </c>
      <c r="CZ90" s="3">
        <f t="shared" si="170"/>
        <v>1721.5</v>
      </c>
      <c r="DA90" s="3">
        <f t="shared" si="170"/>
        <v>1721.5</v>
      </c>
      <c r="DB90" s="3">
        <f t="shared" si="170"/>
        <v>1721.5</v>
      </c>
      <c r="DC90" s="3">
        <f t="shared" si="170"/>
        <v>1721.5</v>
      </c>
      <c r="DD90" s="3">
        <f t="shared" si="170"/>
        <v>1721.5</v>
      </c>
      <c r="DE90" s="3">
        <f t="shared" si="170"/>
        <v>1721.5</v>
      </c>
      <c r="DF90" s="3">
        <f t="shared" si="170"/>
        <v>1721.5</v>
      </c>
      <c r="DG90" s="3">
        <f t="shared" si="170"/>
        <v>1721.5</v>
      </c>
      <c r="DH90" s="3">
        <f t="shared" si="170"/>
        <v>1721.5</v>
      </c>
      <c r="DI90" s="3">
        <f t="shared" si="170"/>
        <v>1721.5</v>
      </c>
      <c r="DJ90" s="3">
        <f t="shared" si="170"/>
        <v>1721.5</v>
      </c>
      <c r="DK90" s="3">
        <f t="shared" si="170"/>
        <v>1721.5</v>
      </c>
      <c r="DL90" s="3">
        <f t="shared" si="170"/>
        <v>1721.5</v>
      </c>
      <c r="DM90" s="3">
        <f t="shared" si="170"/>
        <v>1721.5</v>
      </c>
      <c r="DN90" s="3">
        <f t="shared" si="170"/>
        <v>1721.5</v>
      </c>
      <c r="DO90" s="3">
        <f t="shared" si="170"/>
        <v>1721.5</v>
      </c>
      <c r="DP90" s="3">
        <f t="shared" si="170"/>
        <v>1721.5</v>
      </c>
      <c r="DQ90" s="3">
        <f t="shared" si="170"/>
        <v>1721.5</v>
      </c>
      <c r="DR90" s="3">
        <f t="shared" si="170"/>
        <v>1721.5</v>
      </c>
      <c r="DS90" s="3">
        <f t="shared" si="170"/>
        <v>1721.5</v>
      </c>
      <c r="DT90" s="3">
        <f t="shared" si="170"/>
        <v>1721.5</v>
      </c>
      <c r="DU90" s="3">
        <f t="shared" si="170"/>
        <v>1721.5</v>
      </c>
      <c r="DV90" s="3">
        <f t="shared" si="170"/>
        <v>1721.5</v>
      </c>
      <c r="DW90" s="3">
        <f t="shared" si="170"/>
        <v>1721.5</v>
      </c>
      <c r="DX90" s="3">
        <f t="shared" si="170"/>
        <v>1721.5</v>
      </c>
      <c r="DY90" s="3">
        <f t="shared" si="170"/>
        <v>1721.5</v>
      </c>
      <c r="DZ90" s="3">
        <f t="shared" si="170"/>
        <v>1721.5</v>
      </c>
      <c r="EA90" s="3">
        <f t="shared" si="170"/>
        <v>1721.5</v>
      </c>
      <c r="EB90" s="3">
        <f t="shared" si="170"/>
        <v>1721.5</v>
      </c>
      <c r="EC90" s="3">
        <f t="shared" si="170"/>
        <v>1721.5</v>
      </c>
      <c r="ED90" s="3">
        <f t="shared" si="170"/>
        <v>1721.5</v>
      </c>
      <c r="EE90" s="3">
        <f t="shared" si="170"/>
        <v>1721.5</v>
      </c>
      <c r="EF90" s="3">
        <f t="shared" si="170"/>
        <v>1721.5</v>
      </c>
      <c r="EG90" s="3">
        <f t="shared" si="170"/>
        <v>1721.5</v>
      </c>
      <c r="EH90" s="3">
        <f t="shared" si="170"/>
        <v>1721.5</v>
      </c>
      <c r="EI90" s="3">
        <f t="shared" si="170"/>
        <v>1721.5</v>
      </c>
      <c r="EJ90" s="3">
        <f t="shared" si="170"/>
        <v>1721.5</v>
      </c>
      <c r="EK90" s="3">
        <f t="shared" si="170"/>
        <v>1721.5</v>
      </c>
      <c r="EL90" s="3">
        <f t="shared" si="170"/>
        <v>1721.5</v>
      </c>
      <c r="EM90" s="3">
        <f t="shared" si="170"/>
        <v>1721.5</v>
      </c>
      <c r="EN90" s="3">
        <f t="shared" si="170"/>
        <v>1721.5</v>
      </c>
      <c r="EO90" s="3">
        <f t="shared" si="170"/>
        <v>1721.5</v>
      </c>
      <c r="EP90" s="3">
        <f t="shared" si="170"/>
        <v>1721.5</v>
      </c>
      <c r="EQ90" s="3">
        <f t="shared" si="170"/>
        <v>1721.5</v>
      </c>
      <c r="ER90" s="3">
        <f t="shared" si="170"/>
        <v>1721.5</v>
      </c>
      <c r="ES90" s="3">
        <f t="shared" si="170"/>
        <v>1721.5</v>
      </c>
      <c r="ET90" s="3">
        <f t="shared" si="170"/>
        <v>1721.5</v>
      </c>
      <c r="EU90" s="3">
        <f t="shared" ref="EU90:FS90" si="171">EU79-EU82-EU83-EU84-EU85-EU86-EU87-EU88</f>
        <v>1721.5</v>
      </c>
      <c r="EV90" s="3">
        <f t="shared" si="171"/>
        <v>1721.5</v>
      </c>
      <c r="EW90" s="3">
        <f t="shared" si="171"/>
        <v>1721.5</v>
      </c>
      <c r="EX90" s="3">
        <f t="shared" si="171"/>
        <v>1721.5</v>
      </c>
      <c r="EY90" s="3">
        <f t="shared" si="171"/>
        <v>1721.5</v>
      </c>
      <c r="EZ90" s="3">
        <f t="shared" si="171"/>
        <v>1721.5</v>
      </c>
      <c r="FA90" s="3">
        <f t="shared" si="171"/>
        <v>1721.5</v>
      </c>
      <c r="FB90" s="3">
        <f t="shared" si="171"/>
        <v>1721.5</v>
      </c>
      <c r="FC90" s="3">
        <f t="shared" si="171"/>
        <v>1721.5</v>
      </c>
      <c r="FD90" s="3">
        <f t="shared" si="171"/>
        <v>1721.5</v>
      </c>
      <c r="FE90" s="3">
        <f t="shared" si="171"/>
        <v>1721.5</v>
      </c>
      <c r="FF90" s="3">
        <f t="shared" si="171"/>
        <v>1721.5</v>
      </c>
      <c r="FG90" s="3">
        <f t="shared" si="171"/>
        <v>1721.5</v>
      </c>
      <c r="FH90" s="3">
        <f t="shared" si="171"/>
        <v>1721.5</v>
      </c>
      <c r="FI90" s="3">
        <f t="shared" si="171"/>
        <v>1721.5</v>
      </c>
      <c r="FJ90" s="3">
        <f t="shared" si="171"/>
        <v>1721.5</v>
      </c>
      <c r="FK90" s="3">
        <f t="shared" si="171"/>
        <v>1721.5</v>
      </c>
      <c r="FL90" s="3">
        <f t="shared" si="171"/>
        <v>1721.5</v>
      </c>
      <c r="FM90" s="3">
        <f t="shared" si="171"/>
        <v>1721.5</v>
      </c>
      <c r="FN90" s="3">
        <f t="shared" si="171"/>
        <v>1721.5</v>
      </c>
      <c r="FO90" s="3">
        <f t="shared" si="171"/>
        <v>1721.5</v>
      </c>
      <c r="FP90" s="3">
        <f t="shared" si="171"/>
        <v>0</v>
      </c>
      <c r="FQ90" s="3">
        <f t="shared" si="171"/>
        <v>1721.5</v>
      </c>
      <c r="FR90" s="3">
        <f t="shared" si="171"/>
        <v>1721.5</v>
      </c>
      <c r="FS90" s="3">
        <f t="shared" si="171"/>
        <v>0</v>
      </c>
    </row>
  </sheetData>
  <mergeCells count="34">
    <mergeCell ref="BZ1:CD1"/>
    <mergeCell ref="CE1:CI1"/>
    <mergeCell ref="CJ1:CN1"/>
    <mergeCell ref="CO1:CS1"/>
    <mergeCell ref="CT1:CX1"/>
    <mergeCell ref="BA1:BE1"/>
    <mergeCell ref="BF1:BJ1"/>
    <mergeCell ref="BK1:BO1"/>
    <mergeCell ref="BP1:BT1"/>
    <mergeCell ref="BU1:BY1"/>
    <mergeCell ref="AL1:AP1"/>
    <mergeCell ref="AQ1:AU1"/>
    <mergeCell ref="AV1:AZ1"/>
    <mergeCell ref="M1:Q1"/>
    <mergeCell ref="R1:V1"/>
    <mergeCell ref="W1:AA1"/>
    <mergeCell ref="AB1:AF1"/>
    <mergeCell ref="AG1:AK1"/>
    <mergeCell ref="CY1:DC1"/>
    <mergeCell ref="DD1:DH1"/>
    <mergeCell ref="DI1:DM1"/>
    <mergeCell ref="DN1:DR1"/>
    <mergeCell ref="DS1:DW1"/>
    <mergeCell ref="DX1:EB1"/>
    <mergeCell ref="EC1:EG1"/>
    <mergeCell ref="EH1:EL1"/>
    <mergeCell ref="EM1:EQ1"/>
    <mergeCell ref="ER1:EV1"/>
    <mergeCell ref="FV1:FY1"/>
    <mergeCell ref="EW1:FA1"/>
    <mergeCell ref="FB1:FF1"/>
    <mergeCell ref="FG1:FK1"/>
    <mergeCell ref="FL1:FP1"/>
    <mergeCell ref="FQ1:FU1"/>
  </mergeCells>
  <phoneticPr fontId="16" type="noConversion"/>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171"/>
  <sheetViews>
    <sheetView zoomScaleNormal="100" workbookViewId="0">
      <pane xSplit="2" ySplit="7" topLeftCell="C8" activePane="bottomRight" state="frozen"/>
      <selection pane="topRight" activeCell="C1" sqref="C1"/>
      <selection pane="bottomLeft" activeCell="A7" sqref="A7"/>
      <selection pane="bottomRight" activeCell="L59" sqref="L59"/>
    </sheetView>
  </sheetViews>
  <sheetFormatPr defaultRowHeight="12.75" outlineLevelRow="2"/>
  <cols>
    <col min="1" max="1" width="2.140625" style="116" customWidth="1"/>
    <col min="2" max="2" width="29.28515625" style="116" customWidth="1"/>
    <col min="3" max="8" width="9.140625" style="116"/>
    <col min="9" max="9" width="9.140625" style="116" customWidth="1"/>
    <col min="10" max="10" width="9.140625" style="116"/>
    <col min="11" max="11" width="9.140625" style="125" customWidth="1"/>
    <col min="12" max="24" width="9.140625" style="116" customWidth="1"/>
    <col min="25" max="25" width="3" style="116" customWidth="1"/>
    <col min="26" max="16384" width="9.140625" style="116"/>
  </cols>
  <sheetData>
    <row r="1" spans="1:26">
      <c r="A1" s="88"/>
      <c r="B1" s="89" t="s">
        <v>524</v>
      </c>
      <c r="E1" s="562">
        <f>DCF!C28</f>
        <v>2</v>
      </c>
      <c r="F1" s="562"/>
      <c r="G1" s="88"/>
      <c r="H1" s="563" t="s">
        <v>525</v>
      </c>
      <c r="I1" s="563"/>
      <c r="J1" s="563"/>
    </row>
    <row r="2" spans="1:26">
      <c r="A2" s="88"/>
    </row>
    <row r="3" spans="1:26">
      <c r="A3" s="192">
        <v>1</v>
      </c>
      <c r="B3" s="193" t="s">
        <v>199</v>
      </c>
      <c r="C3" s="193">
        <v>2009</v>
      </c>
      <c r="D3" s="193">
        <v>2010</v>
      </c>
      <c r="E3" s="193">
        <v>2011</v>
      </c>
      <c r="F3" s="193">
        <v>2012</v>
      </c>
      <c r="G3" s="194">
        <v>2013</v>
      </c>
      <c r="H3" s="407">
        <v>2014</v>
      </c>
      <c r="I3" s="407">
        <f t="shared" ref="I3:N3" si="0">H3+1</f>
        <v>2015</v>
      </c>
      <c r="J3" s="407">
        <f t="shared" si="0"/>
        <v>2016</v>
      </c>
      <c r="K3" s="195">
        <f t="shared" si="0"/>
        <v>2017</v>
      </c>
      <c r="L3" s="195">
        <f t="shared" si="0"/>
        <v>2018</v>
      </c>
      <c r="M3" s="195">
        <f t="shared" si="0"/>
        <v>2019</v>
      </c>
      <c r="N3" s="195">
        <f t="shared" si="0"/>
        <v>2020</v>
      </c>
      <c r="O3" s="195">
        <v>2021</v>
      </c>
      <c r="P3" s="195">
        <v>2022</v>
      </c>
      <c r="Q3" s="195">
        <v>2023</v>
      </c>
      <c r="R3" s="195">
        <v>2024</v>
      </c>
      <c r="S3" s="195">
        <v>2025</v>
      </c>
      <c r="T3" s="195">
        <v>2026</v>
      </c>
      <c r="U3" s="195">
        <v>2027</v>
      </c>
      <c r="V3" s="195">
        <v>2028</v>
      </c>
      <c r="W3" s="195">
        <v>2029</v>
      </c>
      <c r="X3" s="195">
        <v>2030</v>
      </c>
    </row>
    <row r="4" spans="1:26" ht="5.25" customHeight="1">
      <c r="A4" s="192">
        <v>2</v>
      </c>
    </row>
    <row r="5" spans="1:26" ht="12.75" hidden="1" customHeight="1" outlineLevel="1">
      <c r="A5" s="192">
        <v>3</v>
      </c>
      <c r="B5" s="116" t="s">
        <v>200</v>
      </c>
      <c r="C5" s="126">
        <v>306.79432000000003</v>
      </c>
      <c r="D5" s="126">
        <v>309.34697199999999</v>
      </c>
      <c r="E5" s="126">
        <v>311.607821</v>
      </c>
      <c r="F5" s="126">
        <v>313.93395400000003</v>
      </c>
      <c r="G5" s="126">
        <f>F5*(1+G6)</f>
        <v>316.2774514381465</v>
      </c>
      <c r="H5" s="126">
        <f t="shared" ref="H5:N5" si="1">G5*(1+H6)</f>
        <v>318.63844293888997</v>
      </c>
      <c r="I5" s="126">
        <f t="shared" si="1"/>
        <v>321.01705909431945</v>
      </c>
      <c r="J5" s="126">
        <f t="shared" si="1"/>
        <v>323.41343147138588</v>
      </c>
      <c r="K5" s="126">
        <f t="shared" si="1"/>
        <v>325.82769261917923</v>
      </c>
      <c r="L5" s="126">
        <f t="shared" si="1"/>
        <v>328.25997607626022</v>
      </c>
      <c r="M5" s="126">
        <f t="shared" si="1"/>
        <v>330.71041637804655</v>
      </c>
      <c r="N5" s="126">
        <f t="shared" si="1"/>
        <v>333.17914906425449</v>
      </c>
      <c r="O5" s="126">
        <f t="shared" ref="O5" si="2">N5*(1+O6)</f>
        <v>335.66631068639589</v>
      </c>
      <c r="P5" s="126">
        <f t="shared" ref="P5" si="3">O5*(1+P6)</f>
        <v>338.17203881533106</v>
      </c>
      <c r="Q5" s="126">
        <f t="shared" ref="Q5" si="4">P5*(1+Q6)</f>
        <v>340.69647204887832</v>
      </c>
      <c r="R5" s="126">
        <f t="shared" ref="R5" si="5">Q5*(1+R6)</f>
        <v>343.23975001948003</v>
      </c>
      <c r="S5" s="126">
        <f t="shared" ref="S5" si="6">R5*(1+S6)</f>
        <v>345.80201340192599</v>
      </c>
      <c r="T5" s="126">
        <f t="shared" ref="T5" si="7">S5*(1+T6)</f>
        <v>348.38340392113469</v>
      </c>
      <c r="U5" s="126">
        <f t="shared" ref="U5" si="8">T5*(1+U6)</f>
        <v>350.9840643599922</v>
      </c>
      <c r="V5" s="126">
        <f t="shared" ref="V5" si="9">U5*(1+V6)</f>
        <v>353.60413856725006</v>
      </c>
      <c r="W5" s="126">
        <f t="shared" ref="W5" si="10">V5*(1+W6)</f>
        <v>356.2437714654817</v>
      </c>
      <c r="X5" s="126">
        <f t="shared" ref="X5" si="11">W5*(1+X6)</f>
        <v>358.90310905909854</v>
      </c>
    </row>
    <row r="6" spans="1:26" s="196" customFormat="1" ht="12.75" hidden="1" customHeight="1" outlineLevel="1">
      <c r="B6" s="197" t="s">
        <v>201</v>
      </c>
      <c r="D6" s="198">
        <f>D5/C5-1</f>
        <v>8.3204017597195978E-3</v>
      </c>
      <c r="E6" s="198">
        <f>E5/D5-1</f>
        <v>7.3084568611843093E-3</v>
      </c>
      <c r="F6" s="198">
        <f>F5/E5-1</f>
        <v>7.4649377943567519E-3</v>
      </c>
      <c r="G6" s="199">
        <f>F6</f>
        <v>7.4649377943567519E-3</v>
      </c>
      <c r="H6" s="199">
        <f t="shared" ref="H6:N6" si="12">G6</f>
        <v>7.4649377943567519E-3</v>
      </c>
      <c r="I6" s="199">
        <f t="shared" si="12"/>
        <v>7.4649377943567519E-3</v>
      </c>
      <c r="J6" s="199">
        <f t="shared" si="12"/>
        <v>7.4649377943567519E-3</v>
      </c>
      <c r="K6" s="236">
        <f t="shared" si="12"/>
        <v>7.4649377943567519E-3</v>
      </c>
      <c r="L6" s="199">
        <f t="shared" si="12"/>
        <v>7.4649377943567519E-3</v>
      </c>
      <c r="M6" s="199">
        <f t="shared" si="12"/>
        <v>7.4649377943567519E-3</v>
      </c>
      <c r="N6" s="199">
        <f t="shared" si="12"/>
        <v>7.4649377943567519E-3</v>
      </c>
      <c r="O6" s="199">
        <f t="shared" ref="O6" si="13">N6</f>
        <v>7.4649377943567519E-3</v>
      </c>
      <c r="P6" s="199">
        <f t="shared" ref="P6" si="14">O6</f>
        <v>7.4649377943567519E-3</v>
      </c>
      <c r="Q6" s="199">
        <f t="shared" ref="Q6" si="15">P6</f>
        <v>7.4649377943567519E-3</v>
      </c>
      <c r="R6" s="199">
        <f t="shared" ref="R6" si="16">Q6</f>
        <v>7.4649377943567519E-3</v>
      </c>
      <c r="S6" s="199">
        <f t="shared" ref="S6" si="17">R6</f>
        <v>7.4649377943567519E-3</v>
      </c>
      <c r="T6" s="199">
        <f t="shared" ref="T6" si="18">S6</f>
        <v>7.4649377943567519E-3</v>
      </c>
      <c r="U6" s="199">
        <f t="shared" ref="U6" si="19">T6</f>
        <v>7.4649377943567519E-3</v>
      </c>
      <c r="V6" s="199">
        <f t="shared" ref="V6" si="20">U6</f>
        <v>7.4649377943567519E-3</v>
      </c>
      <c r="W6" s="199">
        <f t="shared" ref="W6" si="21">V6</f>
        <v>7.4649377943567519E-3</v>
      </c>
      <c r="X6" s="199">
        <f t="shared" ref="X6" si="22">W6</f>
        <v>7.4649377943567519E-3</v>
      </c>
    </row>
    <row r="7" spans="1:26" ht="12.75" hidden="1" customHeight="1" outlineLevel="1">
      <c r="B7" s="116" t="s">
        <v>202</v>
      </c>
      <c r="C7" s="200">
        <f>140/100000</f>
        <v>1.4E-3</v>
      </c>
      <c r="D7" s="201">
        <f>C7</f>
        <v>1.4E-3</v>
      </c>
      <c r="E7" s="201">
        <f>D7</f>
        <v>1.4E-3</v>
      </c>
      <c r="F7" s="201">
        <f>E7</f>
        <v>1.4E-3</v>
      </c>
      <c r="G7" s="201">
        <f>F7</f>
        <v>1.4E-3</v>
      </c>
      <c r="H7" s="201">
        <f>G7*1.01</f>
        <v>1.4139999999999999E-3</v>
      </c>
      <c r="I7" s="201">
        <f t="shared" ref="I7:N7" si="23">H7*1.01</f>
        <v>1.4281399999999998E-3</v>
      </c>
      <c r="J7" s="201">
        <f t="shared" si="23"/>
        <v>1.4424213999999999E-3</v>
      </c>
      <c r="K7" s="125">
        <f t="shared" si="23"/>
        <v>1.4568456139999999E-3</v>
      </c>
      <c r="L7" s="201">
        <f t="shared" si="23"/>
        <v>1.47141407014E-3</v>
      </c>
      <c r="M7" s="201">
        <f t="shared" si="23"/>
        <v>1.4861282108414001E-3</v>
      </c>
      <c r="N7" s="201">
        <f t="shared" si="23"/>
        <v>1.5009894929498141E-3</v>
      </c>
      <c r="O7" s="201">
        <f t="shared" ref="O7" si="24">N7*1.01</f>
        <v>1.5159993878793123E-3</v>
      </c>
      <c r="P7" s="201">
        <f t="shared" ref="P7" si="25">O7*1.01</f>
        <v>1.5311593817581054E-3</v>
      </c>
      <c r="Q7" s="201">
        <f t="shared" ref="Q7" si="26">P7*1.01</f>
        <v>1.5464709755756865E-3</v>
      </c>
      <c r="R7" s="201">
        <f t="shared" ref="R7" si="27">Q7*1.01</f>
        <v>1.5619356853314435E-3</v>
      </c>
      <c r="S7" s="201">
        <f t="shared" ref="S7" si="28">R7*1.01</f>
        <v>1.5775550421847579E-3</v>
      </c>
      <c r="T7" s="201">
        <f t="shared" ref="T7" si="29">S7*1.01</f>
        <v>1.5933305926066055E-3</v>
      </c>
      <c r="U7" s="201">
        <f t="shared" ref="U7" si="30">T7*1.01</f>
        <v>1.6092638985326715E-3</v>
      </c>
      <c r="V7" s="201">
        <f t="shared" ref="V7" si="31">U7*1.01</f>
        <v>1.6253565375179983E-3</v>
      </c>
      <c r="W7" s="201">
        <f t="shared" ref="W7" si="32">V7*1.01</f>
        <v>1.6416101028931783E-3</v>
      </c>
      <c r="X7" s="201">
        <f t="shared" ref="X7" si="33">W7*1.01</f>
        <v>1.65802620392211E-3</v>
      </c>
      <c r="Z7" s="202" t="s">
        <v>203</v>
      </c>
    </row>
    <row r="8" spans="1:26" collapsed="1">
      <c r="B8" s="116" t="s">
        <v>204</v>
      </c>
      <c r="C8" s="128">
        <f>C7*C5*1000000</f>
        <v>429512.04800000001</v>
      </c>
      <c r="D8" s="128">
        <f t="shared" ref="D8:M8" si="34">D7*D5*1000000</f>
        <v>433085.76079999999</v>
      </c>
      <c r="E8" s="128">
        <f t="shared" si="34"/>
        <v>436250.94939999998</v>
      </c>
      <c r="F8" s="128">
        <f t="shared" si="34"/>
        <v>439507.53560000006</v>
      </c>
      <c r="G8" s="128">
        <f t="shared" si="34"/>
        <v>442788.43201340514</v>
      </c>
      <c r="H8" s="128">
        <f t="shared" si="34"/>
        <v>450554.75831559038</v>
      </c>
      <c r="I8" s="128">
        <f t="shared" si="34"/>
        <v>458457.30277496134</v>
      </c>
      <c r="J8" s="128">
        <f t="shared" si="34"/>
        <v>466498.45460176043</v>
      </c>
      <c r="K8" s="128">
        <f t="shared" si="34"/>
        <v>474680.64491199143</v>
      </c>
      <c r="L8" s="128">
        <f t="shared" si="34"/>
        <v>483006.34746242908</v>
      </c>
      <c r="M8" s="128">
        <f t="shared" si="34"/>
        <v>491478.07939852076</v>
      </c>
      <c r="N8" s="128">
        <f>N7*N5*1000000</f>
        <v>500098.40201540588</v>
      </c>
      <c r="O8" s="128">
        <f t="shared" ref="O8:X8" si="35">O7*O5*1000000</f>
        <v>508869.9215322833</v>
      </c>
      <c r="P8" s="128">
        <f t="shared" si="35"/>
        <v>517795.28988036036</v>
      </c>
      <c r="Q8" s="128">
        <f t="shared" si="35"/>
        <v>526877.20550462347</v>
      </c>
      <c r="R8" s="128">
        <f t="shared" si="35"/>
        <v>536118.41417966993</v>
      </c>
      <c r="S8" s="128">
        <f t="shared" si="35"/>
        <v>545521.70983984962</v>
      </c>
      <c r="T8" s="128">
        <f t="shared" si="35"/>
        <v>555089.93542396789</v>
      </c>
      <c r="U8" s="128">
        <f t="shared" si="35"/>
        <v>564825.98373480316</v>
      </c>
      <c r="V8" s="128">
        <f t="shared" si="35"/>
        <v>574732.79831370001</v>
      </c>
      <c r="W8" s="128">
        <f t="shared" si="35"/>
        <v>584813.37433050328</v>
      </c>
      <c r="X8" s="128">
        <f t="shared" si="35"/>
        <v>595070.75948910031</v>
      </c>
      <c r="Z8" s="202" t="s">
        <v>203</v>
      </c>
    </row>
    <row r="9" spans="1:26">
      <c r="B9" s="203" t="s">
        <v>205</v>
      </c>
      <c r="C9" s="128">
        <f>C8*0.725</f>
        <v>311396.23479999998</v>
      </c>
      <c r="D9" s="128">
        <f t="shared" ref="D9:X9" si="36">D8*0.725</f>
        <v>313987.17657999997</v>
      </c>
      <c r="E9" s="128">
        <f t="shared" si="36"/>
        <v>316281.93831499998</v>
      </c>
      <c r="F9" s="128">
        <f t="shared" si="36"/>
        <v>318642.96331000002</v>
      </c>
      <c r="G9" s="128">
        <f t="shared" si="36"/>
        <v>321021.61320971872</v>
      </c>
      <c r="H9" s="128">
        <f t="shared" si="36"/>
        <v>326652.19977880304</v>
      </c>
      <c r="I9" s="128">
        <f t="shared" si="36"/>
        <v>332381.54451184697</v>
      </c>
      <c r="J9" s="128">
        <f t="shared" si="36"/>
        <v>338211.37958627631</v>
      </c>
      <c r="K9" s="128">
        <f t="shared" si="36"/>
        <v>344143.4675611938</v>
      </c>
      <c r="L9" s="128">
        <f t="shared" si="36"/>
        <v>350179.60191026109</v>
      </c>
      <c r="M9" s="128">
        <f t="shared" si="36"/>
        <v>356321.60756392754</v>
      </c>
      <c r="N9" s="128">
        <f t="shared" si="36"/>
        <v>362571.34146116924</v>
      </c>
      <c r="O9" s="128">
        <f t="shared" si="36"/>
        <v>368930.69311090541</v>
      </c>
      <c r="P9" s="128">
        <f t="shared" si="36"/>
        <v>375401.58516326128</v>
      </c>
      <c r="Q9" s="128">
        <f t="shared" si="36"/>
        <v>381985.97399085201</v>
      </c>
      <c r="R9" s="128">
        <f t="shared" si="36"/>
        <v>388685.85028026067</v>
      </c>
      <c r="S9" s="128">
        <f t="shared" si="36"/>
        <v>395503.23963389097</v>
      </c>
      <c r="T9" s="128">
        <f t="shared" si="36"/>
        <v>402440.20318237669</v>
      </c>
      <c r="U9" s="128">
        <f t="shared" si="36"/>
        <v>409498.8382077323</v>
      </c>
      <c r="V9" s="128">
        <f t="shared" si="36"/>
        <v>416681.27877743251</v>
      </c>
      <c r="W9" s="128">
        <f t="shared" si="36"/>
        <v>423989.6963896149</v>
      </c>
      <c r="X9" s="128">
        <f t="shared" si="36"/>
        <v>431426.30062959774</v>
      </c>
      <c r="Z9" s="202" t="s">
        <v>206</v>
      </c>
    </row>
    <row r="10" spans="1:26">
      <c r="B10" s="203" t="s">
        <v>207</v>
      </c>
      <c r="C10" s="128">
        <f>C8*0.125</f>
        <v>53689.006000000001</v>
      </c>
      <c r="D10" s="128">
        <f t="shared" ref="D10:N10" si="37">D8*0.125</f>
        <v>54135.720099999999</v>
      </c>
      <c r="E10" s="128">
        <f t="shared" si="37"/>
        <v>54531.368674999998</v>
      </c>
      <c r="F10" s="128">
        <f t="shared" si="37"/>
        <v>54938.441950000008</v>
      </c>
      <c r="G10" s="128">
        <f t="shared" si="37"/>
        <v>55348.554001675642</v>
      </c>
      <c r="H10" s="128">
        <f t="shared" si="37"/>
        <v>56319.344789448798</v>
      </c>
      <c r="I10" s="128">
        <f t="shared" si="37"/>
        <v>57307.162846870167</v>
      </c>
      <c r="J10" s="128">
        <f t="shared" si="37"/>
        <v>58312.306825220054</v>
      </c>
      <c r="K10" s="128">
        <f t="shared" si="37"/>
        <v>59335.080613998929</v>
      </c>
      <c r="L10" s="128">
        <f t="shared" si="37"/>
        <v>60375.793432803635</v>
      </c>
      <c r="M10" s="128">
        <f t="shared" si="37"/>
        <v>61434.759924815095</v>
      </c>
      <c r="N10" s="128">
        <f t="shared" si="37"/>
        <v>62512.300251925735</v>
      </c>
      <c r="O10" s="128">
        <f t="shared" ref="O10:X10" si="38">O8*0.125</f>
        <v>63608.740191535413</v>
      </c>
      <c r="P10" s="128">
        <f t="shared" si="38"/>
        <v>64724.411235045045</v>
      </c>
      <c r="Q10" s="128">
        <f t="shared" si="38"/>
        <v>65859.650688077934</v>
      </c>
      <c r="R10" s="128">
        <f t="shared" si="38"/>
        <v>67014.801772458741</v>
      </c>
      <c r="S10" s="128">
        <f t="shared" si="38"/>
        <v>68190.213729981202</v>
      </c>
      <c r="T10" s="128">
        <f t="shared" si="38"/>
        <v>69386.241927995987</v>
      </c>
      <c r="U10" s="128">
        <f t="shared" si="38"/>
        <v>70603.247966850395</v>
      </c>
      <c r="V10" s="128">
        <f t="shared" si="38"/>
        <v>71841.599789212501</v>
      </c>
      <c r="W10" s="128">
        <f t="shared" si="38"/>
        <v>73101.67179131291</v>
      </c>
      <c r="X10" s="128">
        <f t="shared" si="38"/>
        <v>74383.844936137539</v>
      </c>
    </row>
    <row r="11" spans="1:26">
      <c r="B11" s="203" t="s">
        <v>208</v>
      </c>
      <c r="C11" s="128">
        <f>C8*0.1</f>
        <v>42951.204800000007</v>
      </c>
      <c r="D11" s="128">
        <f t="shared" ref="D11:N11" si="39">D8*0.1</f>
        <v>43308.576079999999</v>
      </c>
      <c r="E11" s="128">
        <f t="shared" si="39"/>
        <v>43625.094940000003</v>
      </c>
      <c r="F11" s="128">
        <f t="shared" si="39"/>
        <v>43950.753560000012</v>
      </c>
      <c r="G11" s="128">
        <f t="shared" si="39"/>
        <v>44278.843201340518</v>
      </c>
      <c r="H11" s="128">
        <f t="shared" si="39"/>
        <v>45055.475831559044</v>
      </c>
      <c r="I11" s="128">
        <f t="shared" si="39"/>
        <v>45845.730277496135</v>
      </c>
      <c r="J11" s="128">
        <f t="shared" si="39"/>
        <v>46649.845460176046</v>
      </c>
      <c r="K11" s="128">
        <f t="shared" si="39"/>
        <v>47468.064491199148</v>
      </c>
      <c r="L11" s="128">
        <f t="shared" si="39"/>
        <v>48300.634746242911</v>
      </c>
      <c r="M11" s="128">
        <f t="shared" si="39"/>
        <v>49147.807939852079</v>
      </c>
      <c r="N11" s="128">
        <f t="shared" si="39"/>
        <v>50009.840201540588</v>
      </c>
      <c r="O11" s="128">
        <f t="shared" ref="O11:X11" si="40">O8*0.1</f>
        <v>50886.992153228333</v>
      </c>
      <c r="P11" s="128">
        <f t="shared" si="40"/>
        <v>51779.528988036036</v>
      </c>
      <c r="Q11" s="128">
        <f t="shared" si="40"/>
        <v>52687.720550462349</v>
      </c>
      <c r="R11" s="128">
        <f t="shared" si="40"/>
        <v>53611.841417966993</v>
      </c>
      <c r="S11" s="128">
        <f t="shared" si="40"/>
        <v>54552.170983984965</v>
      </c>
      <c r="T11" s="128">
        <f t="shared" si="40"/>
        <v>55508.993542396791</v>
      </c>
      <c r="U11" s="128">
        <f t="shared" si="40"/>
        <v>56482.598373480316</v>
      </c>
      <c r="V11" s="128">
        <f t="shared" si="40"/>
        <v>57473.279831370004</v>
      </c>
      <c r="W11" s="128">
        <f t="shared" si="40"/>
        <v>58481.337433050328</v>
      </c>
      <c r="X11" s="128">
        <f t="shared" si="40"/>
        <v>59507.075948910031</v>
      </c>
    </row>
    <row r="12" spans="1:26">
      <c r="B12" s="203" t="s">
        <v>209</v>
      </c>
      <c r="C12" s="128">
        <f>C8*0.05</f>
        <v>21475.602400000003</v>
      </c>
      <c r="D12" s="128">
        <f t="shared" ref="D12:N12" si="41">D8*0.05</f>
        <v>21654.288039999999</v>
      </c>
      <c r="E12" s="128">
        <f t="shared" si="41"/>
        <v>21812.547470000001</v>
      </c>
      <c r="F12" s="128">
        <f t="shared" si="41"/>
        <v>21975.376780000006</v>
      </c>
      <c r="G12" s="128">
        <f t="shared" si="41"/>
        <v>22139.421600670259</v>
      </c>
      <c r="H12" s="128">
        <f t="shared" si="41"/>
        <v>22527.737915779522</v>
      </c>
      <c r="I12" s="128">
        <f t="shared" si="41"/>
        <v>22922.865138748068</v>
      </c>
      <c r="J12" s="128">
        <f t="shared" si="41"/>
        <v>23324.922730088023</v>
      </c>
      <c r="K12" s="128">
        <f t="shared" si="41"/>
        <v>23734.032245599574</v>
      </c>
      <c r="L12" s="128">
        <f t="shared" si="41"/>
        <v>24150.317373121456</v>
      </c>
      <c r="M12" s="128">
        <f t="shared" si="41"/>
        <v>24573.903969926039</v>
      </c>
      <c r="N12" s="128">
        <f t="shared" si="41"/>
        <v>25004.920100770294</v>
      </c>
      <c r="O12" s="128">
        <f t="shared" ref="O12:X12" si="42">O8*0.05</f>
        <v>25443.496076614167</v>
      </c>
      <c r="P12" s="128">
        <f t="shared" si="42"/>
        <v>25889.764494018018</v>
      </c>
      <c r="Q12" s="128">
        <f t="shared" si="42"/>
        <v>26343.860275231174</v>
      </c>
      <c r="R12" s="128">
        <f t="shared" si="42"/>
        <v>26805.920708983496</v>
      </c>
      <c r="S12" s="128">
        <f t="shared" si="42"/>
        <v>27276.085491992482</v>
      </c>
      <c r="T12" s="128">
        <f t="shared" si="42"/>
        <v>27754.496771198395</v>
      </c>
      <c r="U12" s="128">
        <f t="shared" si="42"/>
        <v>28241.299186740158</v>
      </c>
      <c r="V12" s="128">
        <f t="shared" si="42"/>
        <v>28736.639915685002</v>
      </c>
      <c r="W12" s="128">
        <f t="shared" si="42"/>
        <v>29240.668716525164</v>
      </c>
      <c r="X12" s="128">
        <f t="shared" si="42"/>
        <v>29753.537974455016</v>
      </c>
    </row>
    <row r="14" spans="1:26">
      <c r="B14" s="193" t="s">
        <v>210</v>
      </c>
      <c r="C14" s="204"/>
      <c r="D14" s="205"/>
      <c r="E14" s="205"/>
      <c r="F14" s="205"/>
      <c r="G14" s="205"/>
      <c r="H14" s="205"/>
      <c r="I14" s="205"/>
      <c r="J14" s="205"/>
      <c r="K14" s="418"/>
      <c r="L14" s="205"/>
      <c r="M14" s="205"/>
      <c r="N14" s="205"/>
      <c r="O14" s="205"/>
      <c r="P14" s="205"/>
      <c r="Q14" s="205"/>
      <c r="R14" s="205"/>
      <c r="S14" s="205"/>
      <c r="T14" s="205"/>
      <c r="U14" s="205"/>
      <c r="V14" s="205"/>
      <c r="W14" s="205"/>
      <c r="X14" s="205"/>
    </row>
    <row r="15" spans="1:26">
      <c r="B15" s="116" t="s">
        <v>211</v>
      </c>
      <c r="C15" s="128">
        <f>C9</f>
        <v>311396.23479999998</v>
      </c>
      <c r="D15" s="128">
        <f t="shared" ref="D15:M15" si="43">D9</f>
        <v>313987.17657999997</v>
      </c>
      <c r="E15" s="128">
        <f t="shared" si="43"/>
        <v>316281.93831499998</v>
      </c>
      <c r="F15" s="128">
        <f t="shared" si="43"/>
        <v>318642.96331000002</v>
      </c>
      <c r="G15" s="128">
        <f t="shared" si="43"/>
        <v>321021.61320971872</v>
      </c>
      <c r="H15" s="128">
        <f t="shared" si="43"/>
        <v>326652.19977880304</v>
      </c>
      <c r="I15" s="128">
        <f t="shared" si="43"/>
        <v>332381.54451184697</v>
      </c>
      <c r="J15" s="128">
        <f t="shared" si="43"/>
        <v>338211.37958627631</v>
      </c>
      <c r="K15" s="128">
        <f t="shared" si="43"/>
        <v>344143.4675611938</v>
      </c>
      <c r="L15" s="128">
        <f t="shared" si="43"/>
        <v>350179.60191026109</v>
      </c>
      <c r="M15" s="128">
        <f t="shared" si="43"/>
        <v>356321.60756392754</v>
      </c>
      <c r="N15" s="128">
        <f>N9</f>
        <v>362571.34146116924</v>
      </c>
      <c r="O15" s="128">
        <f>O9</f>
        <v>368930.69311090541</v>
      </c>
      <c r="P15" s="128">
        <f t="shared" ref="P15:X15" si="44">P9</f>
        <v>375401.58516326128</v>
      </c>
      <c r="Q15" s="128">
        <f t="shared" si="44"/>
        <v>381985.97399085201</v>
      </c>
      <c r="R15" s="128">
        <f t="shared" si="44"/>
        <v>388685.85028026067</v>
      </c>
      <c r="S15" s="128">
        <f t="shared" si="44"/>
        <v>395503.23963389097</v>
      </c>
      <c r="T15" s="128">
        <f t="shared" si="44"/>
        <v>402440.20318237669</v>
      </c>
      <c r="U15" s="128">
        <f t="shared" si="44"/>
        <v>409498.8382077323</v>
      </c>
      <c r="V15" s="128">
        <f t="shared" si="44"/>
        <v>416681.27877743251</v>
      </c>
      <c r="W15" s="128">
        <f t="shared" si="44"/>
        <v>423989.6963896149</v>
      </c>
      <c r="X15" s="128">
        <f t="shared" si="44"/>
        <v>431426.30062959774</v>
      </c>
      <c r="Z15" s="202" t="s">
        <v>212</v>
      </c>
    </row>
    <row r="16" spans="1:26" s="119" customFormat="1" ht="12.75" hidden="1" customHeight="1" outlineLevel="1">
      <c r="B16" s="206" t="s">
        <v>521</v>
      </c>
      <c r="C16" s="207"/>
      <c r="D16" s="207"/>
      <c r="E16" s="207"/>
      <c r="F16" s="207"/>
      <c r="G16" s="207"/>
      <c r="H16" s="207"/>
      <c r="I16" s="209"/>
      <c r="J16" s="209"/>
      <c r="K16" s="209">
        <f>J17*1.02</f>
        <v>0.91912044401564408</v>
      </c>
      <c r="L16" s="209">
        <f>K16*1.01</f>
        <v>0.9283116484558005</v>
      </c>
      <c r="M16" s="209">
        <f>L16</f>
        <v>0.9283116484558005</v>
      </c>
      <c r="N16" s="209">
        <f>M16</f>
        <v>0.9283116484558005</v>
      </c>
      <c r="O16" s="209">
        <f t="shared" ref="O16:X16" si="45">N16</f>
        <v>0.9283116484558005</v>
      </c>
      <c r="P16" s="209">
        <f t="shared" si="45"/>
        <v>0.9283116484558005</v>
      </c>
      <c r="Q16" s="209">
        <f t="shared" si="45"/>
        <v>0.9283116484558005</v>
      </c>
      <c r="R16" s="209">
        <f t="shared" si="45"/>
        <v>0.9283116484558005</v>
      </c>
      <c r="S16" s="209">
        <f t="shared" si="45"/>
        <v>0.9283116484558005</v>
      </c>
      <c r="T16" s="209">
        <f t="shared" si="45"/>
        <v>0.9283116484558005</v>
      </c>
      <c r="U16" s="209">
        <f t="shared" si="45"/>
        <v>0.9283116484558005</v>
      </c>
      <c r="V16" s="209">
        <f t="shared" si="45"/>
        <v>0.9283116484558005</v>
      </c>
      <c r="W16" s="209">
        <f t="shared" si="45"/>
        <v>0.9283116484558005</v>
      </c>
      <c r="X16" s="209">
        <f t="shared" si="45"/>
        <v>0.9283116484558005</v>
      </c>
      <c r="Z16" s="119" t="s">
        <v>528</v>
      </c>
    </row>
    <row r="17" spans="1:26" s="119" customFormat="1" ht="12.75" hidden="1" customHeight="1" outlineLevel="1">
      <c r="B17" s="206" t="s">
        <v>500</v>
      </c>
      <c r="C17" s="207"/>
      <c r="D17" s="207"/>
      <c r="E17" s="207"/>
      <c r="F17" s="208">
        <f>F19</f>
        <v>0.85459847452514126</v>
      </c>
      <c r="G17" s="443">
        <f>F17+0.02</f>
        <v>0.87459847452514128</v>
      </c>
      <c r="H17" s="443">
        <f>G17+0.014</f>
        <v>0.88859847452514129</v>
      </c>
      <c r="I17" s="443">
        <f>H17+0.01</f>
        <v>0.8985984745251413</v>
      </c>
      <c r="J17" s="443">
        <f>I17+0.0025</f>
        <v>0.90109847452514125</v>
      </c>
      <c r="K17" s="207">
        <f>J17+0.0015</f>
        <v>0.90259847452514119</v>
      </c>
      <c r="L17" s="209">
        <f>K17+0.0015</f>
        <v>0.90409847452514114</v>
      </c>
      <c r="M17" s="209">
        <f t="shared" ref="M17:X17" si="46">L17+0.0015</f>
        <v>0.90559847452514108</v>
      </c>
      <c r="N17" s="209">
        <f t="shared" si="46"/>
        <v>0.90709847452514103</v>
      </c>
      <c r="O17" s="209">
        <f t="shared" si="46"/>
        <v>0.90859847452514098</v>
      </c>
      <c r="P17" s="209">
        <f t="shared" si="46"/>
        <v>0.91009847452514092</v>
      </c>
      <c r="Q17" s="209">
        <f t="shared" si="46"/>
        <v>0.91159847452514087</v>
      </c>
      <c r="R17" s="209">
        <f t="shared" si="46"/>
        <v>0.91309847452514081</v>
      </c>
      <c r="S17" s="209">
        <f t="shared" si="46"/>
        <v>0.91459847452514076</v>
      </c>
      <c r="T17" s="209">
        <f t="shared" si="46"/>
        <v>0.9160984745251407</v>
      </c>
      <c r="U17" s="209">
        <f t="shared" si="46"/>
        <v>0.91759847452514065</v>
      </c>
      <c r="V17" s="209">
        <f t="shared" si="46"/>
        <v>0.9190984745251406</v>
      </c>
      <c r="W17" s="209">
        <f t="shared" si="46"/>
        <v>0.92059847452514054</v>
      </c>
      <c r="X17" s="209">
        <f t="shared" si="46"/>
        <v>0.92209847452514049</v>
      </c>
      <c r="Z17" s="119" t="s">
        <v>527</v>
      </c>
    </row>
    <row r="18" spans="1:26" s="119" customFormat="1" ht="12.75" hidden="1" customHeight="1" outlineLevel="1">
      <c r="B18" s="206" t="s">
        <v>522</v>
      </c>
      <c r="C18" s="207"/>
      <c r="D18" s="207"/>
      <c r="E18" s="207"/>
      <c r="F18" s="207"/>
      <c r="G18" s="207"/>
      <c r="H18" s="209"/>
      <c r="I18" s="209"/>
      <c r="J18" s="209"/>
      <c r="K18" s="209">
        <v>0.90800000000000003</v>
      </c>
      <c r="L18" s="209">
        <f t="shared" ref="L18:M18" si="47">K18</f>
        <v>0.90800000000000003</v>
      </c>
      <c r="M18" s="209">
        <f t="shared" si="47"/>
        <v>0.90800000000000003</v>
      </c>
      <c r="N18" s="209">
        <f>M18</f>
        <v>0.90800000000000003</v>
      </c>
      <c r="O18" s="209">
        <f t="shared" ref="O18:X18" si="48">N18</f>
        <v>0.90800000000000003</v>
      </c>
      <c r="P18" s="209">
        <f t="shared" si="48"/>
        <v>0.90800000000000003</v>
      </c>
      <c r="Q18" s="209">
        <f t="shared" si="48"/>
        <v>0.90800000000000003</v>
      </c>
      <c r="R18" s="209">
        <f t="shared" si="48"/>
        <v>0.90800000000000003</v>
      </c>
      <c r="S18" s="209">
        <f t="shared" si="48"/>
        <v>0.90800000000000003</v>
      </c>
      <c r="T18" s="209">
        <f t="shared" si="48"/>
        <v>0.90800000000000003</v>
      </c>
      <c r="U18" s="209">
        <f t="shared" si="48"/>
        <v>0.90800000000000003</v>
      </c>
      <c r="V18" s="209">
        <f t="shared" si="48"/>
        <v>0.90800000000000003</v>
      </c>
      <c r="W18" s="209">
        <f t="shared" si="48"/>
        <v>0.90800000000000003</v>
      </c>
      <c r="X18" s="209">
        <f t="shared" si="48"/>
        <v>0.90800000000000003</v>
      </c>
      <c r="Z18" s="119" t="s">
        <v>526</v>
      </c>
    </row>
    <row r="19" spans="1:26" collapsed="1">
      <c r="A19" s="210" t="s">
        <v>523</v>
      </c>
      <c r="B19" s="211" t="s">
        <v>213</v>
      </c>
      <c r="C19" s="209">
        <v>0.84305772555676362</v>
      </c>
      <c r="D19" s="209">
        <v>0.84499999999999997</v>
      </c>
      <c r="E19" s="209">
        <v>0.8458323804162633</v>
      </c>
      <c r="F19" s="209">
        <v>0.85459847452514126</v>
      </c>
      <c r="G19" s="209">
        <f>F19+0.02</f>
        <v>0.87459847452514128</v>
      </c>
      <c r="H19" s="408">
        <f>G19+0.014</f>
        <v>0.88859847452514129</v>
      </c>
      <c r="I19" s="209">
        <f>H19+0.01</f>
        <v>0.8985984745251413</v>
      </c>
      <c r="J19" s="209">
        <f>I19+0.0025</f>
        <v>0.90109847452514125</v>
      </c>
      <c r="K19" s="212">
        <f t="shared" ref="K19:X19" si="49">CHOOSE($E$1,K16,K17,K18)</f>
        <v>0.90259847452514119</v>
      </c>
      <c r="L19" s="212">
        <f t="shared" si="49"/>
        <v>0.90409847452514114</v>
      </c>
      <c r="M19" s="212">
        <f t="shared" si="49"/>
        <v>0.90559847452514108</v>
      </c>
      <c r="N19" s="212">
        <f t="shared" si="49"/>
        <v>0.90709847452514103</v>
      </c>
      <c r="O19" s="212">
        <f>CHOOSE($E$1,O16,O17,O18)</f>
        <v>0.90859847452514098</v>
      </c>
      <c r="P19" s="212">
        <f t="shared" si="49"/>
        <v>0.91009847452514092</v>
      </c>
      <c r="Q19" s="212">
        <f t="shared" si="49"/>
        <v>0.91159847452514087</v>
      </c>
      <c r="R19" s="212">
        <f t="shared" si="49"/>
        <v>0.91309847452514081</v>
      </c>
      <c r="S19" s="212">
        <f t="shared" si="49"/>
        <v>0.91459847452514076</v>
      </c>
      <c r="T19" s="212">
        <f t="shared" si="49"/>
        <v>0.9160984745251407</v>
      </c>
      <c r="U19" s="212">
        <f t="shared" si="49"/>
        <v>0.91759847452514065</v>
      </c>
      <c r="V19" s="212">
        <f t="shared" si="49"/>
        <v>0.9190984745251406</v>
      </c>
      <c r="W19" s="212">
        <f t="shared" si="49"/>
        <v>0.92059847452514054</v>
      </c>
      <c r="X19" s="212">
        <f t="shared" si="49"/>
        <v>0.92209847452514049</v>
      </c>
      <c r="Z19" s="116" t="s">
        <v>214</v>
      </c>
    </row>
    <row r="20" spans="1:26">
      <c r="B20" s="116" t="s">
        <v>215</v>
      </c>
      <c r="C20" s="128">
        <f>C19*C15</f>
        <v>262525.00145742792</v>
      </c>
      <c r="D20" s="128">
        <f t="shared" ref="D20:M20" si="50">D19*D15</f>
        <v>265319.16421009996</v>
      </c>
      <c r="E20" s="128">
        <f t="shared" si="50"/>
        <v>267521.5047676462</v>
      </c>
      <c r="F20" s="128">
        <f t="shared" si="50"/>
        <v>272311.79036289657</v>
      </c>
      <c r="G20" s="128">
        <f t="shared" si="50"/>
        <v>280765.01320281992</v>
      </c>
      <c r="H20" s="128">
        <f t="shared" si="50"/>
        <v>290262.64642372605</v>
      </c>
      <c r="I20" s="128">
        <f t="shared" si="50"/>
        <v>298677.54885865602</v>
      </c>
      <c r="J20" s="128">
        <f t="shared" si="50"/>
        <v>304761.75821223709</v>
      </c>
      <c r="K20" s="128">
        <f t="shared" si="50"/>
        <v>310623.36883852596</v>
      </c>
      <c r="L20" s="128">
        <f t="shared" si="50"/>
        <v>316596.84389688825</v>
      </c>
      <c r="M20" s="128">
        <f t="shared" si="50"/>
        <v>322684.30425023875</v>
      </c>
      <c r="N20" s="128">
        <f>N19*N15</f>
        <v>328887.91074596066</v>
      </c>
      <c r="O20" s="128">
        <f>O19*O15</f>
        <v>335209.86496607162</v>
      </c>
      <c r="P20" s="128">
        <f t="shared" ref="P20:X20" si="51">P19*P15</f>
        <v>341652.40999140387</v>
      </c>
      <c r="Q20" s="128">
        <f t="shared" si="51"/>
        <v>348217.83118006081</v>
      </c>
      <c r="R20" s="128">
        <f t="shared" si="51"/>
        <v>354908.45696041331</v>
      </c>
      <c r="S20" s="128">
        <f t="shared" si="51"/>
        <v>361726.65963890788</v>
      </c>
      <c r="T20" s="128">
        <f t="shared" si="51"/>
        <v>368674.85622296296</v>
      </c>
      <c r="U20" s="128">
        <f t="shared" si="51"/>
        <v>375755.50925923255</v>
      </c>
      <c r="V20" s="128">
        <f t="shared" si="51"/>
        <v>382971.12768752308</v>
      </c>
      <c r="W20" s="128">
        <f t="shared" si="51"/>
        <v>390324.26771065698</v>
      </c>
      <c r="X20" s="128">
        <f t="shared" si="51"/>
        <v>397817.53368057671</v>
      </c>
    </row>
    <row r="21" spans="1:26">
      <c r="B21" s="213" t="s">
        <v>216</v>
      </c>
      <c r="C21" s="214"/>
      <c r="D21" s="214"/>
      <c r="E21" s="214"/>
      <c r="F21" s="214"/>
      <c r="G21" s="214"/>
      <c r="H21" s="214"/>
      <c r="I21" s="214"/>
      <c r="J21" s="214"/>
      <c r="K21" s="419"/>
      <c r="L21" s="214"/>
      <c r="M21" s="214"/>
      <c r="N21" s="214"/>
      <c r="O21" s="214"/>
      <c r="P21" s="214"/>
      <c r="Q21" s="214"/>
      <c r="R21" s="214"/>
      <c r="S21" s="214"/>
      <c r="T21" s="214"/>
      <c r="U21" s="214"/>
      <c r="V21" s="214"/>
      <c r="W21" s="214"/>
      <c r="X21" s="214"/>
    </row>
    <row r="22" spans="1:26">
      <c r="B22" s="203" t="s">
        <v>217</v>
      </c>
      <c r="C22" s="215">
        <v>0.6</v>
      </c>
      <c r="D22" s="125">
        <f>C22</f>
        <v>0.6</v>
      </c>
      <c r="E22" s="125">
        <f t="shared" ref="E22:N24" si="52">D22</f>
        <v>0.6</v>
      </c>
      <c r="F22" s="125">
        <f t="shared" si="52"/>
        <v>0.6</v>
      </c>
      <c r="G22" s="125">
        <f t="shared" si="52"/>
        <v>0.6</v>
      </c>
      <c r="H22" s="125">
        <f t="shared" si="52"/>
        <v>0.6</v>
      </c>
      <c r="I22" s="125">
        <f t="shared" si="52"/>
        <v>0.6</v>
      </c>
      <c r="J22" s="125">
        <f t="shared" si="52"/>
        <v>0.6</v>
      </c>
      <c r="K22" s="125">
        <f t="shared" si="52"/>
        <v>0.6</v>
      </c>
      <c r="L22" s="125">
        <f t="shared" si="52"/>
        <v>0.6</v>
      </c>
      <c r="M22" s="125">
        <f t="shared" si="52"/>
        <v>0.6</v>
      </c>
      <c r="N22" s="125">
        <f t="shared" si="52"/>
        <v>0.6</v>
      </c>
      <c r="O22" s="125">
        <f>N22</f>
        <v>0.6</v>
      </c>
      <c r="P22" s="125">
        <f t="shared" ref="P22:P24" si="53">O22</f>
        <v>0.6</v>
      </c>
      <c r="Q22" s="125">
        <f t="shared" ref="Q22:Q24" si="54">P22</f>
        <v>0.6</v>
      </c>
      <c r="R22" s="125">
        <f t="shared" ref="R22:R24" si="55">Q22</f>
        <v>0.6</v>
      </c>
      <c r="S22" s="125">
        <f t="shared" ref="S22:S24" si="56">R22</f>
        <v>0.6</v>
      </c>
      <c r="T22" s="125">
        <f t="shared" ref="T22:T24" si="57">S22</f>
        <v>0.6</v>
      </c>
      <c r="U22" s="125">
        <f t="shared" ref="U22:U24" si="58">T22</f>
        <v>0.6</v>
      </c>
      <c r="V22" s="125">
        <f t="shared" ref="V22:V24" si="59">U22</f>
        <v>0.6</v>
      </c>
      <c r="W22" s="125">
        <f t="shared" ref="W22:W24" si="60">V22</f>
        <v>0.6</v>
      </c>
      <c r="X22" s="125">
        <f t="shared" ref="X22:X24" si="61">W22</f>
        <v>0.6</v>
      </c>
    </row>
    <row r="23" spans="1:26">
      <c r="B23" s="203" t="s">
        <v>218</v>
      </c>
      <c r="C23" s="63">
        <f>1-C24-C22</f>
        <v>0.30000000000000004</v>
      </c>
      <c r="D23" s="63">
        <f>1-D24-D22</f>
        <v>0.27</v>
      </c>
      <c r="E23" s="63">
        <f>1-E24-E22</f>
        <v>0.27</v>
      </c>
      <c r="F23" s="63">
        <f>1-F24-F22</f>
        <v>0.25</v>
      </c>
      <c r="G23" s="63">
        <f>1-G24-G22</f>
        <v>0.25</v>
      </c>
      <c r="H23" s="125">
        <f t="shared" si="52"/>
        <v>0.25</v>
      </c>
      <c r="I23" s="125">
        <f t="shared" si="52"/>
        <v>0.25</v>
      </c>
      <c r="J23" s="125">
        <f t="shared" si="52"/>
        <v>0.25</v>
      </c>
      <c r="K23" s="125">
        <f t="shared" si="52"/>
        <v>0.25</v>
      </c>
      <c r="L23" s="125">
        <f t="shared" si="52"/>
        <v>0.25</v>
      </c>
      <c r="M23" s="125">
        <f t="shared" si="52"/>
        <v>0.25</v>
      </c>
      <c r="N23" s="125">
        <f t="shared" si="52"/>
        <v>0.25</v>
      </c>
      <c r="O23" s="125">
        <f>N23</f>
        <v>0.25</v>
      </c>
      <c r="P23" s="125">
        <f t="shared" si="53"/>
        <v>0.25</v>
      </c>
      <c r="Q23" s="125">
        <f t="shared" si="54"/>
        <v>0.25</v>
      </c>
      <c r="R23" s="125">
        <f t="shared" si="55"/>
        <v>0.25</v>
      </c>
      <c r="S23" s="125">
        <f t="shared" si="56"/>
        <v>0.25</v>
      </c>
      <c r="T23" s="125">
        <f t="shared" si="57"/>
        <v>0.25</v>
      </c>
      <c r="U23" s="125">
        <f t="shared" si="58"/>
        <v>0.25</v>
      </c>
      <c r="V23" s="125">
        <f t="shared" si="59"/>
        <v>0.25</v>
      </c>
      <c r="W23" s="125">
        <f t="shared" si="60"/>
        <v>0.25</v>
      </c>
      <c r="X23" s="125">
        <f t="shared" si="61"/>
        <v>0.25</v>
      </c>
    </row>
    <row r="24" spans="1:26">
      <c r="B24" s="203" t="s">
        <v>219</v>
      </c>
      <c r="C24" s="215">
        <v>0.1</v>
      </c>
      <c r="D24" s="125">
        <v>0.13</v>
      </c>
      <c r="E24" s="125">
        <v>0.13</v>
      </c>
      <c r="F24" s="125">
        <v>0.15</v>
      </c>
      <c r="G24" s="125">
        <v>0.15</v>
      </c>
      <c r="H24" s="125">
        <f t="shared" si="52"/>
        <v>0.15</v>
      </c>
      <c r="I24" s="125">
        <f t="shared" si="52"/>
        <v>0.15</v>
      </c>
      <c r="J24" s="125">
        <f t="shared" si="52"/>
        <v>0.15</v>
      </c>
      <c r="K24" s="125">
        <f t="shared" si="52"/>
        <v>0.15</v>
      </c>
      <c r="L24" s="125">
        <f t="shared" si="52"/>
        <v>0.15</v>
      </c>
      <c r="M24" s="125">
        <f t="shared" si="52"/>
        <v>0.15</v>
      </c>
      <c r="N24" s="125">
        <f t="shared" si="52"/>
        <v>0.15</v>
      </c>
      <c r="O24" s="125">
        <f>N24</f>
        <v>0.15</v>
      </c>
      <c r="P24" s="125">
        <f t="shared" si="53"/>
        <v>0.15</v>
      </c>
      <c r="Q24" s="125">
        <f t="shared" si="54"/>
        <v>0.15</v>
      </c>
      <c r="R24" s="125">
        <f t="shared" si="55"/>
        <v>0.15</v>
      </c>
      <c r="S24" s="125">
        <f t="shared" si="56"/>
        <v>0.15</v>
      </c>
      <c r="T24" s="125">
        <f t="shared" si="57"/>
        <v>0.15</v>
      </c>
      <c r="U24" s="125">
        <f t="shared" si="58"/>
        <v>0.15</v>
      </c>
      <c r="V24" s="125">
        <f t="shared" si="59"/>
        <v>0.15</v>
      </c>
      <c r="W24" s="125">
        <f t="shared" si="60"/>
        <v>0.15</v>
      </c>
      <c r="X24" s="125">
        <f t="shared" si="61"/>
        <v>0.15</v>
      </c>
    </row>
    <row r="25" spans="1:26">
      <c r="B25" s="203" t="s">
        <v>220</v>
      </c>
      <c r="C25" s="128">
        <f>C22*C20</f>
        <v>157515.00087445675</v>
      </c>
      <c r="D25" s="128">
        <f t="shared" ref="D25:M25" si="62">D22*D20</f>
        <v>159191.49852605996</v>
      </c>
      <c r="E25" s="128">
        <f t="shared" si="62"/>
        <v>160512.90286058772</v>
      </c>
      <c r="F25" s="128">
        <f t="shared" si="62"/>
        <v>163387.07421773794</v>
      </c>
      <c r="G25" s="128">
        <f t="shared" si="62"/>
        <v>168459.00792169195</v>
      </c>
      <c r="H25" s="128">
        <f t="shared" si="62"/>
        <v>174157.58785423564</v>
      </c>
      <c r="I25" s="128">
        <f t="shared" si="62"/>
        <v>179206.52931519362</v>
      </c>
      <c r="J25" s="128">
        <f t="shared" si="62"/>
        <v>182857.05492734225</v>
      </c>
      <c r="K25" s="128">
        <f t="shared" si="62"/>
        <v>186374.02130311556</v>
      </c>
      <c r="L25" s="128">
        <f t="shared" si="62"/>
        <v>189958.10633813296</v>
      </c>
      <c r="M25" s="128">
        <f t="shared" si="62"/>
        <v>193610.58255014324</v>
      </c>
      <c r="N25" s="128">
        <f>N22*N20</f>
        <v>197332.74644757638</v>
      </c>
      <c r="O25" s="128">
        <f t="shared" ref="O25:X25" si="63">O22*O20</f>
        <v>201125.91897964297</v>
      </c>
      <c r="P25" s="128">
        <f t="shared" si="63"/>
        <v>204991.4459948423</v>
      </c>
      <c r="Q25" s="128">
        <f t="shared" si="63"/>
        <v>208930.69870803648</v>
      </c>
      <c r="R25" s="128">
        <f t="shared" si="63"/>
        <v>212945.07417624799</v>
      </c>
      <c r="S25" s="128">
        <f t="shared" si="63"/>
        <v>217035.99578334473</v>
      </c>
      <c r="T25" s="128">
        <f t="shared" si="63"/>
        <v>221204.91373377776</v>
      </c>
      <c r="U25" s="128">
        <f t="shared" si="63"/>
        <v>225453.30555553953</v>
      </c>
      <c r="V25" s="128">
        <f t="shared" si="63"/>
        <v>229782.67661251384</v>
      </c>
      <c r="W25" s="128">
        <f t="shared" si="63"/>
        <v>234194.56062639417</v>
      </c>
      <c r="X25" s="128">
        <f t="shared" si="63"/>
        <v>238690.52020834602</v>
      </c>
    </row>
    <row r="26" spans="1:26">
      <c r="B26" s="203" t="s">
        <v>221</v>
      </c>
      <c r="C26" s="128">
        <f>C23*C20</f>
        <v>78757.500437228387</v>
      </c>
      <c r="D26" s="128">
        <f t="shared" ref="D26:M26" si="64">D23*D20</f>
        <v>71636.174336726996</v>
      </c>
      <c r="E26" s="128">
        <f t="shared" si="64"/>
        <v>72230.80628726448</v>
      </c>
      <c r="F26" s="128">
        <f t="shared" si="64"/>
        <v>68077.947590724143</v>
      </c>
      <c r="G26" s="128">
        <f t="shared" si="64"/>
        <v>70191.253300704979</v>
      </c>
      <c r="H26" s="128">
        <f t="shared" si="64"/>
        <v>72565.661605931513</v>
      </c>
      <c r="I26" s="128">
        <f t="shared" si="64"/>
        <v>74669.387214664006</v>
      </c>
      <c r="J26" s="128">
        <f t="shared" si="64"/>
        <v>76190.439553059274</v>
      </c>
      <c r="K26" s="128">
        <f t="shared" si="64"/>
        <v>77655.84220963149</v>
      </c>
      <c r="L26" s="128">
        <f t="shared" si="64"/>
        <v>79149.210974222064</v>
      </c>
      <c r="M26" s="128">
        <f t="shared" si="64"/>
        <v>80671.076062559689</v>
      </c>
      <c r="N26" s="128">
        <f>N23*N20</f>
        <v>82221.977686490165</v>
      </c>
      <c r="O26" s="128">
        <f>O23*O20</f>
        <v>83802.466241517905</v>
      </c>
      <c r="P26" s="128">
        <f t="shared" ref="P26:X26" si="65">P23*P20</f>
        <v>85413.102497850967</v>
      </c>
      <c r="Q26" s="128">
        <f t="shared" si="65"/>
        <v>87054.457795015202</v>
      </c>
      <c r="R26" s="128">
        <f t="shared" si="65"/>
        <v>88727.114240103328</v>
      </c>
      <c r="S26" s="128">
        <f t="shared" si="65"/>
        <v>90431.664909726969</v>
      </c>
      <c r="T26" s="128">
        <f t="shared" si="65"/>
        <v>92168.71405574074</v>
      </c>
      <c r="U26" s="128">
        <f t="shared" si="65"/>
        <v>93938.877314808138</v>
      </c>
      <c r="V26" s="128">
        <f t="shared" si="65"/>
        <v>95742.781921880771</v>
      </c>
      <c r="W26" s="128">
        <f t="shared" si="65"/>
        <v>97581.066927664244</v>
      </c>
      <c r="X26" s="128">
        <f t="shared" si="65"/>
        <v>99454.383420144179</v>
      </c>
    </row>
    <row r="27" spans="1:26">
      <c r="B27" s="203" t="s">
        <v>222</v>
      </c>
      <c r="C27" s="128">
        <f>C24*C20</f>
        <v>26252.500145742793</v>
      </c>
      <c r="D27" s="128">
        <f t="shared" ref="D27:M27" si="66">D24*D20</f>
        <v>34491.491347312993</v>
      </c>
      <c r="E27" s="128">
        <f t="shared" si="66"/>
        <v>34777.795619794008</v>
      </c>
      <c r="F27" s="128">
        <f t="shared" si="66"/>
        <v>40846.768554434486</v>
      </c>
      <c r="G27" s="128">
        <f t="shared" si="66"/>
        <v>42114.751980422989</v>
      </c>
      <c r="H27" s="128">
        <f t="shared" si="66"/>
        <v>43539.396963558909</v>
      </c>
      <c r="I27" s="128">
        <f t="shared" si="66"/>
        <v>44801.632328798405</v>
      </c>
      <c r="J27" s="128">
        <f t="shared" si="66"/>
        <v>45714.263731835563</v>
      </c>
      <c r="K27" s="128">
        <f t="shared" si="66"/>
        <v>46593.50532577889</v>
      </c>
      <c r="L27" s="128">
        <f t="shared" si="66"/>
        <v>47489.52658453324</v>
      </c>
      <c r="M27" s="128">
        <f t="shared" si="66"/>
        <v>48402.64563753581</v>
      </c>
      <c r="N27" s="128">
        <f>N24*N20</f>
        <v>49333.186611894096</v>
      </c>
      <c r="O27" s="128">
        <f>O24*O20</f>
        <v>50281.479744910743</v>
      </c>
      <c r="P27" s="128">
        <f t="shared" ref="P27:X27" si="67">P24*P20</f>
        <v>51247.861498710576</v>
      </c>
      <c r="Q27" s="128">
        <f t="shared" si="67"/>
        <v>52232.674677009119</v>
      </c>
      <c r="R27" s="128">
        <f t="shared" si="67"/>
        <v>53236.268544061997</v>
      </c>
      <c r="S27" s="128">
        <f t="shared" si="67"/>
        <v>54258.998945836182</v>
      </c>
      <c r="T27" s="128">
        <f t="shared" si="67"/>
        <v>55301.228433444441</v>
      </c>
      <c r="U27" s="128">
        <f t="shared" si="67"/>
        <v>56363.326388884881</v>
      </c>
      <c r="V27" s="128">
        <f t="shared" si="67"/>
        <v>57445.66915312846</v>
      </c>
      <c r="W27" s="128">
        <f t="shared" si="67"/>
        <v>58548.640156598543</v>
      </c>
      <c r="X27" s="128">
        <f t="shared" si="67"/>
        <v>59672.630052086504</v>
      </c>
    </row>
    <row r="28" spans="1:26">
      <c r="E28" s="126"/>
      <c r="F28" s="126"/>
      <c r="G28" s="126"/>
      <c r="H28" s="126"/>
      <c r="I28" s="126"/>
      <c r="J28" s="126"/>
      <c r="L28" s="126"/>
      <c r="M28" s="126"/>
      <c r="N28" s="126"/>
      <c r="O28" s="129"/>
      <c r="P28" s="126"/>
      <c r="Q28" s="126"/>
      <c r="R28" s="126"/>
      <c r="S28" s="126"/>
      <c r="T28" s="126"/>
      <c r="U28" s="126"/>
      <c r="V28" s="126"/>
      <c r="W28" s="126"/>
      <c r="X28" s="126"/>
      <c r="Y28" s="126"/>
    </row>
    <row r="29" spans="1:26">
      <c r="B29" s="216" t="s">
        <v>223</v>
      </c>
      <c r="C29" s="217"/>
      <c r="D29" s="217"/>
      <c r="E29" s="217"/>
      <c r="F29" s="217"/>
      <c r="G29" s="217"/>
      <c r="H29" s="217"/>
      <c r="I29" s="217"/>
      <c r="J29" s="217"/>
      <c r="K29" s="420"/>
      <c r="L29" s="217"/>
      <c r="M29" s="217"/>
      <c r="N29" s="217"/>
      <c r="O29" s="217"/>
      <c r="P29" s="217"/>
      <c r="Q29" s="217"/>
      <c r="R29" s="217"/>
      <c r="S29" s="217"/>
      <c r="T29" s="217"/>
      <c r="U29" s="217"/>
      <c r="V29" s="217"/>
      <c r="W29" s="217"/>
      <c r="X29" s="217"/>
    </row>
    <row r="30" spans="1:26">
      <c r="Y30" s="218"/>
    </row>
    <row r="31" spans="1:26" hidden="1" outlineLevel="1">
      <c r="B31" s="206" t="s">
        <v>521</v>
      </c>
      <c r="C31" s="207"/>
      <c r="D31" s="207"/>
      <c r="E31" s="207"/>
      <c r="F31" s="207"/>
      <c r="G31" s="207"/>
      <c r="H31" s="207"/>
      <c r="I31" s="207"/>
      <c r="J31" s="207"/>
      <c r="K31" s="207">
        <f t="shared" ref="K31:X31" si="68">K32</f>
        <v>0.55574999999999997</v>
      </c>
      <c r="L31" s="207">
        <f t="shared" si="68"/>
        <v>0.54185624999999993</v>
      </c>
      <c r="M31" s="207">
        <f t="shared" si="68"/>
        <v>0.5283098437499999</v>
      </c>
      <c r="N31" s="207">
        <f t="shared" si="68"/>
        <v>0.51510209765624992</v>
      </c>
      <c r="O31" s="207">
        <f t="shared" si="68"/>
        <v>0.50737556619140611</v>
      </c>
      <c r="P31" s="207">
        <f t="shared" si="68"/>
        <v>0.499764932698535</v>
      </c>
      <c r="Q31" s="207">
        <f t="shared" si="68"/>
        <v>0.49226845870805697</v>
      </c>
      <c r="R31" s="207">
        <f t="shared" si="68"/>
        <v>0.4873457741209764</v>
      </c>
      <c r="S31" s="207">
        <f t="shared" si="68"/>
        <v>0.48247231637976662</v>
      </c>
      <c r="T31" s="207">
        <f t="shared" si="68"/>
        <v>0.47764759321596895</v>
      </c>
      <c r="U31" s="207">
        <f t="shared" si="68"/>
        <v>0.47287111728380926</v>
      </c>
      <c r="V31" s="207">
        <f t="shared" si="68"/>
        <v>0.4705067616973902</v>
      </c>
      <c r="W31" s="207">
        <f t="shared" si="68"/>
        <v>0.46815422788890326</v>
      </c>
      <c r="X31" s="207">
        <f t="shared" si="68"/>
        <v>0.46581345674945873</v>
      </c>
      <c r="Y31" s="218"/>
    </row>
    <row r="32" spans="1:26" hidden="1" outlineLevel="1">
      <c r="B32" s="206" t="s">
        <v>500</v>
      </c>
      <c r="C32" s="207"/>
      <c r="D32" s="207"/>
      <c r="E32" s="207"/>
      <c r="F32" s="208"/>
      <c r="G32" s="207"/>
      <c r="H32" s="207"/>
      <c r="I32" s="207"/>
      <c r="J32" s="207"/>
      <c r="K32" s="207">
        <f>J34*0.95</f>
        <v>0.55574999999999997</v>
      </c>
      <c r="L32" s="207">
        <f>K32*0.975</f>
        <v>0.54185624999999993</v>
      </c>
      <c r="M32" s="207">
        <f>L32*0.975</f>
        <v>0.5283098437499999</v>
      </c>
      <c r="N32" s="207">
        <f>M32*0.975</f>
        <v>0.51510209765624992</v>
      </c>
      <c r="O32" s="207">
        <f>N32*0.985</f>
        <v>0.50737556619140611</v>
      </c>
      <c r="P32" s="207">
        <f t="shared" ref="P32" si="69">O32*0.985</f>
        <v>0.499764932698535</v>
      </c>
      <c r="Q32" s="207">
        <f t="shared" ref="Q32" si="70">P32*0.985</f>
        <v>0.49226845870805697</v>
      </c>
      <c r="R32" s="207">
        <f>Q32*0.99</f>
        <v>0.4873457741209764</v>
      </c>
      <c r="S32" s="207">
        <f t="shared" ref="S32" si="71">R32*0.99</f>
        <v>0.48247231637976662</v>
      </c>
      <c r="T32" s="207">
        <f t="shared" ref="T32" si="72">S32*0.99</f>
        <v>0.47764759321596895</v>
      </c>
      <c r="U32" s="207">
        <f t="shared" ref="U32" si="73">T32*0.99</f>
        <v>0.47287111728380926</v>
      </c>
      <c r="V32" s="207">
        <f t="shared" ref="V32" si="74">U32*0.995</f>
        <v>0.4705067616973902</v>
      </c>
      <c r="W32" s="207">
        <f t="shared" ref="W32" si="75">V32*0.995</f>
        <v>0.46815422788890326</v>
      </c>
      <c r="X32" s="207">
        <f t="shared" ref="X32" si="76">W32*0.995</f>
        <v>0.46581345674945873</v>
      </c>
      <c r="Y32" s="218"/>
    </row>
    <row r="33" spans="1:26" hidden="1" outlineLevel="1">
      <c r="B33" s="206" t="s">
        <v>522</v>
      </c>
      <c r="C33" s="207"/>
      <c r="D33" s="207"/>
      <c r="E33" s="207"/>
      <c r="F33" s="207"/>
      <c r="G33" s="207"/>
      <c r="H33" s="207"/>
      <c r="I33" s="207"/>
      <c r="J33" s="207"/>
      <c r="K33" s="207">
        <f>K32*1.1</f>
        <v>0.61132500000000001</v>
      </c>
      <c r="L33" s="207">
        <f>K33*1.1</f>
        <v>0.67245750000000004</v>
      </c>
      <c r="M33" s="207">
        <f>L33*1.1</f>
        <v>0.73970325000000015</v>
      </c>
      <c r="N33" s="207">
        <f>M33</f>
        <v>0.73970325000000015</v>
      </c>
      <c r="O33" s="207">
        <f t="shared" ref="O33:X33" si="77">N33</f>
        <v>0.73970325000000015</v>
      </c>
      <c r="P33" s="207">
        <f t="shared" si="77"/>
        <v>0.73970325000000015</v>
      </c>
      <c r="Q33" s="207">
        <f t="shared" si="77"/>
        <v>0.73970325000000015</v>
      </c>
      <c r="R33" s="207">
        <f t="shared" si="77"/>
        <v>0.73970325000000015</v>
      </c>
      <c r="S33" s="207">
        <f t="shared" si="77"/>
        <v>0.73970325000000015</v>
      </c>
      <c r="T33" s="207">
        <f t="shared" si="77"/>
        <v>0.73970325000000015</v>
      </c>
      <c r="U33" s="207">
        <f t="shared" si="77"/>
        <v>0.73970325000000015</v>
      </c>
      <c r="V33" s="207">
        <f t="shared" si="77"/>
        <v>0.73970325000000015</v>
      </c>
      <c r="W33" s="207">
        <f t="shared" si="77"/>
        <v>0.73970325000000015</v>
      </c>
      <c r="X33" s="207">
        <f t="shared" si="77"/>
        <v>0.73970325000000015</v>
      </c>
      <c r="Y33" s="218"/>
    </row>
    <row r="34" spans="1:26" collapsed="1">
      <c r="A34" s="210" t="s">
        <v>523</v>
      </c>
      <c r="B34" s="219" t="s">
        <v>224</v>
      </c>
      <c r="C34" s="220">
        <v>1</v>
      </c>
      <c r="D34" s="220">
        <f>C34</f>
        <v>1</v>
      </c>
      <c r="E34" s="220">
        <f>D34-2%</f>
        <v>0.98</v>
      </c>
      <c r="F34" s="220">
        <f>E34-1%</f>
        <v>0.97</v>
      </c>
      <c r="G34" s="220">
        <f>F34-10%</f>
        <v>0.87</v>
      </c>
      <c r="H34" s="399">
        <f>G34-12.5%</f>
        <v>0.745</v>
      </c>
      <c r="I34" s="511">
        <v>0.64500000000000002</v>
      </c>
      <c r="J34" s="511">
        <v>0.58499999999999996</v>
      </c>
      <c r="K34" s="423">
        <f t="shared" ref="K34:X34" si="78">CHOOSE($E$1,K31,K32,K33)</f>
        <v>0.55574999999999997</v>
      </c>
      <c r="L34" s="423">
        <f t="shared" si="78"/>
        <v>0.54185624999999993</v>
      </c>
      <c r="M34" s="423">
        <f t="shared" si="78"/>
        <v>0.5283098437499999</v>
      </c>
      <c r="N34" s="423">
        <f t="shared" si="78"/>
        <v>0.51510209765624992</v>
      </c>
      <c r="O34" s="423">
        <f t="shared" si="78"/>
        <v>0.50737556619140611</v>
      </c>
      <c r="P34" s="423">
        <f t="shared" si="78"/>
        <v>0.499764932698535</v>
      </c>
      <c r="Q34" s="423">
        <f t="shared" si="78"/>
        <v>0.49226845870805697</v>
      </c>
      <c r="R34" s="423">
        <f t="shared" si="78"/>
        <v>0.4873457741209764</v>
      </c>
      <c r="S34" s="423">
        <f t="shared" si="78"/>
        <v>0.48247231637976662</v>
      </c>
      <c r="T34" s="423">
        <f t="shared" si="78"/>
        <v>0.47764759321596895</v>
      </c>
      <c r="U34" s="423">
        <f t="shared" si="78"/>
        <v>0.47287111728380926</v>
      </c>
      <c r="V34" s="423">
        <f t="shared" si="78"/>
        <v>0.4705067616973902</v>
      </c>
      <c r="W34" s="423">
        <f t="shared" si="78"/>
        <v>0.46815422788890326</v>
      </c>
      <c r="X34" s="423">
        <f t="shared" si="78"/>
        <v>0.46581345674945873</v>
      </c>
    </row>
    <row r="35" spans="1:26" s="196" customFormat="1" ht="12.75" customHeight="1" outlineLevel="1">
      <c r="B35" s="221" t="s">
        <v>550</v>
      </c>
      <c r="C35" s="222">
        <f>C39/(C34)</f>
        <v>0.27850000000000003</v>
      </c>
      <c r="D35" s="222">
        <f t="shared" ref="D35:X35" si="79">D39/(D34)</f>
        <v>0.26100000000000001</v>
      </c>
      <c r="E35" s="222">
        <f t="shared" si="79"/>
        <v>0.25357142857142856</v>
      </c>
      <c r="F35" s="222">
        <f t="shared" si="79"/>
        <v>0.24690721649484537</v>
      </c>
      <c r="G35" s="222">
        <f t="shared" si="79"/>
        <v>0.2527471264367816</v>
      </c>
      <c r="H35" s="222">
        <f t="shared" si="79"/>
        <v>0.26824999999999999</v>
      </c>
      <c r="I35" s="222">
        <f t="shared" si="79"/>
        <v>0.28999999999999998</v>
      </c>
      <c r="J35" s="222">
        <f t="shared" si="79"/>
        <v>0.28749999999999998</v>
      </c>
      <c r="K35" s="421">
        <f t="shared" si="79"/>
        <v>0.28000000000000003</v>
      </c>
      <c r="L35" s="222">
        <f t="shared" si="79"/>
        <v>0.25900000000000006</v>
      </c>
      <c r="M35" s="222">
        <f t="shared" si="79"/>
        <v>0.25900000000000006</v>
      </c>
      <c r="N35" s="222">
        <f t="shared" si="79"/>
        <v>0.25900000000000006</v>
      </c>
      <c r="O35" s="222">
        <f t="shared" si="79"/>
        <v>0.25900000000000006</v>
      </c>
      <c r="P35" s="222">
        <f t="shared" si="79"/>
        <v>0.25900000000000006</v>
      </c>
      <c r="Q35" s="222">
        <f t="shared" si="79"/>
        <v>0.25900000000000006</v>
      </c>
      <c r="R35" s="222">
        <f t="shared" si="79"/>
        <v>0.25900000000000006</v>
      </c>
      <c r="S35" s="222">
        <f t="shared" si="79"/>
        <v>0.25900000000000006</v>
      </c>
      <c r="T35" s="222">
        <f t="shared" si="79"/>
        <v>0.25900000000000006</v>
      </c>
      <c r="U35" s="222">
        <f t="shared" si="79"/>
        <v>0.22015000000000004</v>
      </c>
      <c r="V35" s="222">
        <f t="shared" si="79"/>
        <v>0.23374999999999999</v>
      </c>
      <c r="W35" s="222">
        <f t="shared" si="79"/>
        <v>0.19868750000000002</v>
      </c>
      <c r="X35" s="222">
        <f t="shared" si="79"/>
        <v>0.168884375</v>
      </c>
    </row>
    <row r="36" spans="1:26" s="119" customFormat="1" outlineLevel="2">
      <c r="B36" s="206" t="s">
        <v>521</v>
      </c>
      <c r="C36" s="207"/>
      <c r="D36" s="207"/>
      <c r="E36" s="207"/>
      <c r="F36" s="207"/>
      <c r="G36" s="207"/>
      <c r="H36" s="207"/>
      <c r="I36" s="207"/>
      <c r="J36" s="207"/>
      <c r="K36" s="207">
        <f t="shared" ref="K36:X36" si="80">K57*K34</f>
        <v>0.17895149999999999</v>
      </c>
      <c r="L36" s="207">
        <f t="shared" si="80"/>
        <v>0.16139188406250002</v>
      </c>
      <c r="M36" s="207">
        <f t="shared" si="80"/>
        <v>0.1573570869609375</v>
      </c>
      <c r="N36" s="207">
        <f t="shared" si="80"/>
        <v>0.15342315978691407</v>
      </c>
      <c r="O36" s="207">
        <f t="shared" si="80"/>
        <v>0.15112181239011033</v>
      </c>
      <c r="P36" s="207">
        <f t="shared" si="80"/>
        <v>0.14885498520425869</v>
      </c>
      <c r="Q36" s="207">
        <f t="shared" si="80"/>
        <v>0.1466221604261948</v>
      </c>
      <c r="R36" s="207">
        <f t="shared" si="80"/>
        <v>0.14515593882193284</v>
      </c>
      <c r="S36" s="207">
        <f t="shared" si="80"/>
        <v>0.1437043794337135</v>
      </c>
      <c r="T36" s="207">
        <f t="shared" si="80"/>
        <v>0.14226733563937638</v>
      </c>
      <c r="U36" s="207">
        <f t="shared" si="80"/>
        <v>0.11971796294053522</v>
      </c>
      <c r="V36" s="207">
        <f t="shared" si="80"/>
        <v>0.1264780988787797</v>
      </c>
      <c r="W36" s="207">
        <f t="shared" si="80"/>
        <v>0.10696885212672794</v>
      </c>
      <c r="X36" s="207">
        <f t="shared" si="80"/>
        <v>9.0468906686180142E-2</v>
      </c>
    </row>
    <row r="37" spans="1:26" s="119" customFormat="1" outlineLevel="2">
      <c r="B37" s="206" t="s">
        <v>500</v>
      </c>
      <c r="C37" s="207"/>
      <c r="D37" s="207"/>
      <c r="E37" s="207"/>
      <c r="F37" s="208"/>
      <c r="G37" s="207"/>
      <c r="H37" s="207"/>
      <c r="I37" s="207"/>
      <c r="J37" s="207"/>
      <c r="K37" s="207">
        <f t="shared" ref="K37:X37" si="81">K58*K34</f>
        <v>0.15561</v>
      </c>
      <c r="L37" s="207">
        <f t="shared" si="81"/>
        <v>0.14034076875000001</v>
      </c>
      <c r="M37" s="207">
        <f t="shared" si="81"/>
        <v>0.13683224953125001</v>
      </c>
      <c r="N37" s="207">
        <f t="shared" si="81"/>
        <v>0.13341144329296875</v>
      </c>
      <c r="O37" s="207">
        <f t="shared" si="81"/>
        <v>0.13141027164357422</v>
      </c>
      <c r="P37" s="207">
        <f t="shared" si="81"/>
        <v>0.1294391175689206</v>
      </c>
      <c r="Q37" s="207">
        <f t="shared" si="81"/>
        <v>0.12749753080538678</v>
      </c>
      <c r="R37" s="207">
        <f t="shared" si="81"/>
        <v>0.12622255549733291</v>
      </c>
      <c r="S37" s="207">
        <f t="shared" si="81"/>
        <v>0.12496032994235959</v>
      </c>
      <c r="T37" s="207">
        <f t="shared" si="81"/>
        <v>0.12371072664293599</v>
      </c>
      <c r="U37" s="207">
        <f t="shared" si="81"/>
        <v>0.10410257647003063</v>
      </c>
      <c r="V37" s="207">
        <f t="shared" si="81"/>
        <v>0.10998095554676496</v>
      </c>
      <c r="W37" s="207">
        <f t="shared" si="81"/>
        <v>9.3016393153676477E-2</v>
      </c>
      <c r="X37" s="207">
        <f t="shared" si="81"/>
        <v>7.8668614509721874E-2</v>
      </c>
    </row>
    <row r="38" spans="1:26" s="119" customFormat="1" outlineLevel="2">
      <c r="B38" s="206" t="s">
        <v>522</v>
      </c>
      <c r="C38" s="207"/>
      <c r="D38" s="207"/>
      <c r="E38" s="207"/>
      <c r="F38" s="207"/>
      <c r="G38" s="207"/>
      <c r="H38" s="207"/>
      <c r="I38" s="207"/>
      <c r="J38" s="207"/>
      <c r="K38" s="207">
        <f t="shared" ref="K38:X38" si="82">K59*K34</f>
        <v>0.14004900000000003</v>
      </c>
      <c r="L38" s="207">
        <f t="shared" si="82"/>
        <v>0.11227261500000001</v>
      </c>
      <c r="M38" s="207">
        <f t="shared" si="82"/>
        <v>9.5782574671875009E-2</v>
      </c>
      <c r="N38" s="207">
        <f t="shared" si="82"/>
        <v>8.0046865975781256E-2</v>
      </c>
      <c r="O38" s="207">
        <f t="shared" si="82"/>
        <v>6.5705135821787108E-2</v>
      </c>
      <c r="P38" s="207">
        <f t="shared" si="82"/>
        <v>6.4719558784460299E-2</v>
      </c>
      <c r="Q38" s="207">
        <f t="shared" si="82"/>
        <v>6.3748765402693391E-2</v>
      </c>
      <c r="R38" s="207">
        <f t="shared" si="82"/>
        <v>6.3111277748666456E-2</v>
      </c>
      <c r="S38" s="207">
        <f t="shared" si="82"/>
        <v>6.2480164971179794E-2</v>
      </c>
      <c r="T38" s="207">
        <f t="shared" si="82"/>
        <v>6.1855363321467995E-2</v>
      </c>
      <c r="U38" s="207">
        <f t="shared" si="82"/>
        <v>5.2051288235015314E-2</v>
      </c>
      <c r="V38" s="207">
        <f t="shared" si="82"/>
        <v>5.4990477773382479E-2</v>
      </c>
      <c r="W38" s="207">
        <f t="shared" si="82"/>
        <v>4.6508196576838239E-2</v>
      </c>
      <c r="X38" s="207">
        <f t="shared" si="82"/>
        <v>3.9334307254860937E-2</v>
      </c>
    </row>
    <row r="39" spans="1:26">
      <c r="A39" s="210" t="s">
        <v>523</v>
      </c>
      <c r="B39" s="211" t="s">
        <v>225</v>
      </c>
      <c r="C39" s="208">
        <v>0.27850000000000003</v>
      </c>
      <c r="D39" s="208">
        <v>0.26100000000000001</v>
      </c>
      <c r="E39" s="208">
        <v>0.2485</v>
      </c>
      <c r="F39" s="208">
        <v>0.23949999999999999</v>
      </c>
      <c r="G39" s="208">
        <v>0.21989</v>
      </c>
      <c r="H39" s="231">
        <f>H34*0.26825</f>
        <v>0.19984625</v>
      </c>
      <c r="I39" s="231">
        <v>0.18704999999999999</v>
      </c>
      <c r="J39" s="231">
        <v>0.16818749999999999</v>
      </c>
      <c r="K39" s="224">
        <f t="shared" ref="K39:X39" si="83">CHOOSE($E$1,K36,K37,K38)</f>
        <v>0.15561</v>
      </c>
      <c r="L39" s="224">
        <f t="shared" si="83"/>
        <v>0.14034076875000001</v>
      </c>
      <c r="M39" s="224">
        <f t="shared" si="83"/>
        <v>0.13683224953125001</v>
      </c>
      <c r="N39" s="224">
        <f>CHOOSE($E$1,N36,N37,N38)</f>
        <v>0.13341144329296875</v>
      </c>
      <c r="O39" s="224">
        <f t="shared" si="83"/>
        <v>0.13141027164357422</v>
      </c>
      <c r="P39" s="224">
        <f t="shared" si="83"/>
        <v>0.1294391175689206</v>
      </c>
      <c r="Q39" s="224">
        <f t="shared" si="83"/>
        <v>0.12749753080538678</v>
      </c>
      <c r="R39" s="224">
        <f t="shared" si="83"/>
        <v>0.12622255549733291</v>
      </c>
      <c r="S39" s="224">
        <f t="shared" si="83"/>
        <v>0.12496032994235959</v>
      </c>
      <c r="T39" s="224">
        <f t="shared" si="83"/>
        <v>0.12371072664293599</v>
      </c>
      <c r="U39" s="224">
        <f t="shared" si="83"/>
        <v>0.10410257647003063</v>
      </c>
      <c r="V39" s="224">
        <f t="shared" si="83"/>
        <v>0.10998095554676496</v>
      </c>
      <c r="W39" s="224">
        <f t="shared" si="83"/>
        <v>9.3016393153676477E-2</v>
      </c>
      <c r="X39" s="224">
        <f t="shared" si="83"/>
        <v>7.8668614509721874E-2</v>
      </c>
      <c r="Z39" s="116" t="s">
        <v>714</v>
      </c>
    </row>
    <row r="40" spans="1:26">
      <c r="B40" s="203" t="s">
        <v>810</v>
      </c>
      <c r="C40" s="125">
        <f>C34-C39-C44</f>
        <v>0.6875</v>
      </c>
      <c r="D40" s="125">
        <f t="shared" ref="D40:H40" si="84">D34-D39-D44</f>
        <v>0.7</v>
      </c>
      <c r="E40" s="125">
        <f t="shared" si="84"/>
        <v>0.6865</v>
      </c>
      <c r="F40" s="125">
        <f t="shared" si="84"/>
        <v>0.68149999999999988</v>
      </c>
      <c r="G40" s="125">
        <f t="shared" si="84"/>
        <v>0.59782000000000002</v>
      </c>
      <c r="H40" s="125">
        <f t="shared" si="84"/>
        <v>0.49515375</v>
      </c>
      <c r="I40" s="125">
        <f t="shared" ref="I40:W40" si="85">I34-I39-I44-I48</f>
        <v>0.40845000000000004</v>
      </c>
      <c r="J40" s="125">
        <f t="shared" si="85"/>
        <v>0.36708749999999996</v>
      </c>
      <c r="K40" s="125">
        <f t="shared" si="85"/>
        <v>0.33619652307692305</v>
      </c>
      <c r="L40" s="125">
        <f t="shared" si="85"/>
        <v>0.33649273124999995</v>
      </c>
      <c r="M40" s="125">
        <f t="shared" si="85"/>
        <v>0.32526513592548068</v>
      </c>
      <c r="N40" s="125">
        <f t="shared" si="85"/>
        <v>0.30701972002134409</v>
      </c>
      <c r="O40" s="125">
        <f t="shared" si="85"/>
        <v>0.29243783036018939</v>
      </c>
      <c r="P40" s="125">
        <f t="shared" si="85"/>
        <v>0.28766336740139375</v>
      </c>
      <c r="Q40" s="125">
        <f t="shared" si="85"/>
        <v>0.28295200097485479</v>
      </c>
      <c r="R40" s="125">
        <f t="shared" si="85"/>
        <v>0.27996300116220446</v>
      </c>
      <c r="S40" s="125">
        <f t="shared" si="85"/>
        <v>0.27699737012396347</v>
      </c>
      <c r="T40" s="125">
        <f t="shared" si="85"/>
        <v>0.27405500394473975</v>
      </c>
      <c r="U40" s="125">
        <f t="shared" si="85"/>
        <v>0.28950684007230126</v>
      </c>
      <c r="V40" s="125">
        <f t="shared" si="85"/>
        <v>0.28172073450189966</v>
      </c>
      <c r="W40" s="125">
        <f t="shared" si="85"/>
        <v>0.29678256557431626</v>
      </c>
      <c r="X40" s="125">
        <f>X34-X39-X44-X48</f>
        <v>0.30923265101944869</v>
      </c>
      <c r="Z40" s="116" t="s">
        <v>715</v>
      </c>
    </row>
    <row r="41" spans="1:26" s="119" customFormat="1" outlineLevel="1">
      <c r="B41" s="206" t="s">
        <v>521</v>
      </c>
      <c r="C41" s="207"/>
      <c r="D41" s="207"/>
      <c r="E41" s="207"/>
      <c r="F41" s="207"/>
      <c r="G41" s="207"/>
      <c r="H41" s="207"/>
      <c r="I41" s="223"/>
      <c r="J41" s="223"/>
      <c r="K41" s="223">
        <f t="shared" ref="K41:X41" si="86">K61*K34</f>
        <v>5.199807461538463E-2</v>
      </c>
      <c r="L41" s="223">
        <f t="shared" si="86"/>
        <v>4.4703140624999999E-2</v>
      </c>
      <c r="M41" s="223">
        <f t="shared" si="86"/>
        <v>4.0679857968749997E-2</v>
      </c>
      <c r="N41" s="223">
        <f t="shared" si="86"/>
        <v>3.9266232904335938E-2</v>
      </c>
      <c r="O41" s="223">
        <f t="shared" si="86"/>
        <v>3.8290467016663186E-2</v>
      </c>
      <c r="P41" s="223">
        <f t="shared" si="86"/>
        <v>3.7338948911299109E-2</v>
      </c>
      <c r="Q41" s="223">
        <f t="shared" si="86"/>
        <v>3.641107603085332E-2</v>
      </c>
      <c r="R41" s="223">
        <f t="shared" si="86"/>
        <v>3.5686495617839348E-2</v>
      </c>
      <c r="S41" s="223">
        <f t="shared" si="86"/>
        <v>3.4976334355044346E-2</v>
      </c>
      <c r="T41" s="223">
        <f t="shared" si="86"/>
        <v>3.4280305301378954E-2</v>
      </c>
      <c r="U41" s="223">
        <f t="shared" si="86"/>
        <v>3.3598127225881513E-2</v>
      </c>
      <c r="V41" s="223">
        <f t="shared" si="86"/>
        <v>3.3095835223854585E-2</v>
      </c>
      <c r="W41" s="223">
        <f t="shared" si="86"/>
        <v>3.2601052487257962E-2</v>
      </c>
      <c r="X41" s="223">
        <f t="shared" si="86"/>
        <v>3.2113666752573454E-2</v>
      </c>
    </row>
    <row r="42" spans="1:26" s="119" customFormat="1" outlineLevel="1">
      <c r="B42" s="206" t="s">
        <v>500</v>
      </c>
      <c r="C42" s="207"/>
      <c r="D42" s="207"/>
      <c r="E42" s="207"/>
      <c r="F42" s="208"/>
      <c r="G42" s="207"/>
      <c r="H42" s="207"/>
      <c r="I42" s="223"/>
      <c r="J42" s="223"/>
      <c r="K42" s="223">
        <f t="shared" ref="K42:X42" si="87">K62*K34</f>
        <v>4.7270976923076934E-2</v>
      </c>
      <c r="L42" s="223">
        <f t="shared" si="87"/>
        <v>4.063921874999999E-2</v>
      </c>
      <c r="M42" s="223">
        <f t="shared" si="87"/>
        <v>3.6981689062499996E-2</v>
      </c>
      <c r="N42" s="223">
        <f t="shared" si="87"/>
        <v>3.5696575367578122E-2</v>
      </c>
      <c r="O42" s="223">
        <f t="shared" si="87"/>
        <v>3.4809515469693797E-2</v>
      </c>
      <c r="P42" s="223">
        <f t="shared" si="87"/>
        <v>3.3944499010271911E-2</v>
      </c>
      <c r="Q42" s="223">
        <f t="shared" si="87"/>
        <v>3.3100978209866655E-2</v>
      </c>
      <c r="R42" s="223">
        <f t="shared" si="87"/>
        <v>3.2442268743490307E-2</v>
      </c>
      <c r="S42" s="223">
        <f t="shared" si="87"/>
        <v>3.1796667595494849E-2</v>
      </c>
      <c r="T42" s="223">
        <f t="shared" si="87"/>
        <v>3.1163913910344499E-2</v>
      </c>
      <c r="U42" s="223">
        <f t="shared" si="87"/>
        <v>3.0543752023528648E-2</v>
      </c>
      <c r="V42" s="223">
        <f t="shared" si="87"/>
        <v>3.0087122930776894E-2</v>
      </c>
      <c r="W42" s="223">
        <f t="shared" si="87"/>
        <v>2.9637320442961784E-2</v>
      </c>
      <c r="X42" s="223">
        <f t="shared" si="87"/>
        <v>2.9194242502339506E-2</v>
      </c>
    </row>
    <row r="43" spans="1:26" s="119" customFormat="1" outlineLevel="1">
      <c r="B43" s="206" t="s">
        <v>522</v>
      </c>
      <c r="C43" s="207"/>
      <c r="D43" s="207"/>
      <c r="E43" s="207"/>
      <c r="F43" s="207"/>
      <c r="G43" s="207"/>
      <c r="H43" s="207"/>
      <c r="I43" s="223"/>
      <c r="J43" s="223"/>
      <c r="K43" s="223">
        <f t="shared" ref="K43:X43" si="88">K63*K34</f>
        <v>3.5453232692307698E-2</v>
      </c>
      <c r="L43" s="223">
        <f t="shared" si="88"/>
        <v>2.0319609374999995E-2</v>
      </c>
      <c r="M43" s="223">
        <f t="shared" si="88"/>
        <v>9.2454222656249991E-3</v>
      </c>
      <c r="N43" s="223">
        <f t="shared" si="88"/>
        <v>3.5696575367578122E-3</v>
      </c>
      <c r="O43" s="223">
        <f t="shared" si="88"/>
        <v>3.4809515469693803E-3</v>
      </c>
      <c r="P43" s="223">
        <f t="shared" si="88"/>
        <v>3.3944499010271911E-3</v>
      </c>
      <c r="Q43" s="223">
        <f t="shared" si="88"/>
        <v>3.3100978209866655E-3</v>
      </c>
      <c r="R43" s="223">
        <f t="shared" si="88"/>
        <v>3.2442268743490309E-3</v>
      </c>
      <c r="S43" s="223">
        <f t="shared" si="88"/>
        <v>3.1796667595494852E-3</v>
      </c>
      <c r="T43" s="223">
        <f t="shared" si="88"/>
        <v>3.1163913910344505E-3</v>
      </c>
      <c r="U43" s="223">
        <f t="shared" si="88"/>
        <v>3.0543752023528647E-3</v>
      </c>
      <c r="V43" s="223">
        <f t="shared" si="88"/>
        <v>3.0087122930776899E-3</v>
      </c>
      <c r="W43" s="223">
        <f t="shared" si="88"/>
        <v>2.9637320442961784E-3</v>
      </c>
      <c r="X43" s="223">
        <f t="shared" si="88"/>
        <v>2.9194242502339506E-3</v>
      </c>
    </row>
    <row r="44" spans="1:26">
      <c r="A44" s="210" t="s">
        <v>523</v>
      </c>
      <c r="B44" s="211" t="s">
        <v>227</v>
      </c>
      <c r="C44" s="208">
        <v>3.4000000000000002E-2</v>
      </c>
      <c r="D44" s="208">
        <v>3.9E-2</v>
      </c>
      <c r="E44" s="208">
        <v>4.4999999999999998E-2</v>
      </c>
      <c r="F44" s="208">
        <v>4.9000000000000002E-2</v>
      </c>
      <c r="G44" s="208">
        <v>5.2290000000000003E-2</v>
      </c>
      <c r="H44" s="231">
        <v>0.05</v>
      </c>
      <c r="I44" s="231">
        <v>4.9500000000000002E-2</v>
      </c>
      <c r="J44" s="231">
        <v>4.9724999999999998E-2</v>
      </c>
      <c r="K44" s="224">
        <f t="shared" ref="K44:X44" si="89">CHOOSE($E$1,K41,K42,K43)</f>
        <v>4.7270976923076934E-2</v>
      </c>
      <c r="L44" s="224">
        <f t="shared" si="89"/>
        <v>4.063921874999999E-2</v>
      </c>
      <c r="M44" s="224">
        <f t="shared" si="89"/>
        <v>3.6981689062499996E-2</v>
      </c>
      <c r="N44" s="224">
        <f t="shared" si="89"/>
        <v>3.5696575367578122E-2</v>
      </c>
      <c r="O44" s="224">
        <f t="shared" si="89"/>
        <v>3.4809515469693797E-2</v>
      </c>
      <c r="P44" s="224">
        <f t="shared" si="89"/>
        <v>3.3944499010271911E-2</v>
      </c>
      <c r="Q44" s="224">
        <f t="shared" si="89"/>
        <v>3.3100978209866655E-2</v>
      </c>
      <c r="R44" s="224">
        <f t="shared" si="89"/>
        <v>3.2442268743490307E-2</v>
      </c>
      <c r="S44" s="224">
        <f t="shared" si="89"/>
        <v>3.1796667595494849E-2</v>
      </c>
      <c r="T44" s="224">
        <f t="shared" si="89"/>
        <v>3.1163913910344499E-2</v>
      </c>
      <c r="U44" s="224">
        <f t="shared" si="89"/>
        <v>3.0543752023528648E-2</v>
      </c>
      <c r="V44" s="224">
        <f t="shared" si="89"/>
        <v>3.0087122930776894E-2</v>
      </c>
      <c r="W44" s="224">
        <f t="shared" si="89"/>
        <v>2.9637320442961784E-2</v>
      </c>
      <c r="X44" s="224">
        <f t="shared" si="89"/>
        <v>2.9194242502339506E-2</v>
      </c>
    </row>
    <row r="45" spans="1:26" hidden="1" outlineLevel="1">
      <c r="A45" s="416"/>
      <c r="B45" s="206" t="s">
        <v>521</v>
      </c>
      <c r="C45" s="208"/>
      <c r="D45" s="208"/>
      <c r="E45" s="208"/>
      <c r="F45" s="208"/>
      <c r="G45" s="208"/>
      <c r="H45" s="231"/>
      <c r="I45" s="223"/>
      <c r="J45" s="223"/>
      <c r="K45" s="223">
        <f t="shared" ref="K45:X45" si="90">K65*K34</f>
        <v>0</v>
      </c>
      <c r="L45" s="223">
        <f t="shared" si="90"/>
        <v>0</v>
      </c>
      <c r="M45" s="223">
        <f t="shared" si="90"/>
        <v>0</v>
      </c>
      <c r="N45" s="223">
        <f t="shared" si="90"/>
        <v>0</v>
      </c>
      <c r="O45" s="223">
        <f t="shared" si="90"/>
        <v>0</v>
      </c>
      <c r="P45" s="223">
        <f t="shared" si="90"/>
        <v>0</v>
      </c>
      <c r="Q45" s="223">
        <f t="shared" si="90"/>
        <v>0</v>
      </c>
      <c r="R45" s="223">
        <f t="shared" si="90"/>
        <v>0</v>
      </c>
      <c r="S45" s="223">
        <f t="shared" si="90"/>
        <v>0</v>
      </c>
      <c r="T45" s="223">
        <f t="shared" si="90"/>
        <v>0</v>
      </c>
      <c r="U45" s="223">
        <f t="shared" si="90"/>
        <v>0</v>
      </c>
      <c r="V45" s="223">
        <f t="shared" si="90"/>
        <v>0</v>
      </c>
      <c r="W45" s="223">
        <f t="shared" si="90"/>
        <v>0</v>
      </c>
      <c r="X45" s="223">
        <f t="shared" si="90"/>
        <v>0</v>
      </c>
    </row>
    <row r="46" spans="1:26" hidden="1" outlineLevel="1">
      <c r="A46" s="416"/>
      <c r="B46" s="206" t="s">
        <v>500</v>
      </c>
      <c r="C46" s="208"/>
      <c r="D46" s="208"/>
      <c r="E46" s="208"/>
      <c r="F46" s="208"/>
      <c r="G46" s="208"/>
      <c r="H46" s="231"/>
      <c r="I46" s="223"/>
      <c r="J46" s="223"/>
      <c r="K46" s="223">
        <f t="shared" ref="K46:X46" si="91">K66*K34</f>
        <v>1.66725E-2</v>
      </c>
      <c r="L46" s="223">
        <f t="shared" si="91"/>
        <v>2.4383531249999996E-2</v>
      </c>
      <c r="M46" s="223">
        <f t="shared" si="91"/>
        <v>2.9230769230769227E-2</v>
      </c>
      <c r="N46" s="223">
        <f t="shared" si="91"/>
        <v>3.8974358974358969E-2</v>
      </c>
      <c r="O46" s="223">
        <f t="shared" si="91"/>
        <v>4.8717948717948711E-2</v>
      </c>
      <c r="P46" s="223">
        <f t="shared" si="91"/>
        <v>4.8717948717948711E-2</v>
      </c>
      <c r="Q46" s="223">
        <f t="shared" si="91"/>
        <v>4.8717948717948704E-2</v>
      </c>
      <c r="R46" s="223">
        <f t="shared" si="91"/>
        <v>4.8717948717948711E-2</v>
      </c>
      <c r="S46" s="223">
        <f t="shared" si="91"/>
        <v>4.8717948717948711E-2</v>
      </c>
      <c r="T46" s="223">
        <f t="shared" si="91"/>
        <v>4.8717948717948711E-2</v>
      </c>
      <c r="U46" s="223">
        <f t="shared" si="91"/>
        <v>4.8717948717948711E-2</v>
      </c>
      <c r="V46" s="223">
        <f t="shared" si="91"/>
        <v>4.8717948717948718E-2</v>
      </c>
      <c r="W46" s="223">
        <f t="shared" si="91"/>
        <v>4.8717948717948711E-2</v>
      </c>
      <c r="X46" s="223">
        <f t="shared" si="91"/>
        <v>4.8717948717948711E-2</v>
      </c>
    </row>
    <row r="47" spans="1:26" hidden="1" outlineLevel="1">
      <c r="A47" s="416"/>
      <c r="B47" s="206" t="s">
        <v>522</v>
      </c>
      <c r="C47" s="208"/>
      <c r="D47" s="208"/>
      <c r="E47" s="208"/>
      <c r="F47" s="208"/>
      <c r="G47" s="208"/>
      <c r="H47" s="231"/>
      <c r="I47" s="223"/>
      <c r="J47" s="223"/>
      <c r="K47" s="223">
        <f t="shared" ref="K47:X47" si="92">K67*K34</f>
        <v>2.77875E-2</v>
      </c>
      <c r="L47" s="223">
        <f t="shared" si="92"/>
        <v>5.1476343749999993E-2</v>
      </c>
      <c r="M47" s="223">
        <f t="shared" si="92"/>
        <v>9.0340983281249995E-2</v>
      </c>
      <c r="N47" s="223">
        <f t="shared" si="92"/>
        <v>0.1321236880488281</v>
      </c>
      <c r="O47" s="223">
        <f t="shared" si="92"/>
        <v>0.16918438254652438</v>
      </c>
      <c r="P47" s="223">
        <f t="shared" si="92"/>
        <v>0.19997594016999179</v>
      </c>
      <c r="Q47" s="223">
        <f t="shared" si="92"/>
        <v>0.21667393117418612</v>
      </c>
      <c r="R47" s="223">
        <f t="shared" si="92"/>
        <v>0.2252325514555665</v>
      </c>
      <c r="S47" s="223">
        <f t="shared" si="92"/>
        <v>0.23412923723806137</v>
      </c>
      <c r="T47" s="223">
        <f t="shared" si="92"/>
        <v>0.23178794486568075</v>
      </c>
      <c r="U47" s="223">
        <f t="shared" si="92"/>
        <v>0.22947006541702394</v>
      </c>
      <c r="V47" s="223">
        <f t="shared" si="92"/>
        <v>0.22832271508993882</v>
      </c>
      <c r="W47" s="223">
        <f t="shared" si="92"/>
        <v>0.22718110151448911</v>
      </c>
      <c r="X47" s="223">
        <f t="shared" si="92"/>
        <v>0.22604519600691667</v>
      </c>
    </row>
    <row r="48" spans="1:26" collapsed="1">
      <c r="A48" s="210" t="s">
        <v>523</v>
      </c>
      <c r="B48" s="211" t="s">
        <v>809</v>
      </c>
      <c r="C48" s="208">
        <v>3.4000000000000002E-2</v>
      </c>
      <c r="D48" s="208"/>
      <c r="E48" s="208"/>
      <c r="F48" s="208"/>
      <c r="G48" s="208"/>
      <c r="H48" s="231"/>
      <c r="I48" s="224"/>
      <c r="J48" s="224"/>
      <c r="K48" s="224">
        <f t="shared" ref="K48:X48" si="93">CHOOSE($E$1,K45,K46,K47)</f>
        <v>1.66725E-2</v>
      </c>
      <c r="L48" s="224">
        <f t="shared" si="93"/>
        <v>2.4383531249999996E-2</v>
      </c>
      <c r="M48" s="224">
        <f t="shared" si="93"/>
        <v>2.9230769230769227E-2</v>
      </c>
      <c r="N48" s="224">
        <f t="shared" si="93"/>
        <v>3.8974358974358969E-2</v>
      </c>
      <c r="O48" s="224">
        <f t="shared" si="93"/>
        <v>4.8717948717948711E-2</v>
      </c>
      <c r="P48" s="224">
        <f t="shared" si="93"/>
        <v>4.8717948717948711E-2</v>
      </c>
      <c r="Q48" s="224">
        <f t="shared" si="93"/>
        <v>4.8717948717948704E-2</v>
      </c>
      <c r="R48" s="224">
        <f t="shared" si="93"/>
        <v>4.8717948717948711E-2</v>
      </c>
      <c r="S48" s="224">
        <f t="shared" si="93"/>
        <v>4.8717948717948711E-2</v>
      </c>
      <c r="T48" s="224">
        <f t="shared" si="93"/>
        <v>4.8717948717948711E-2</v>
      </c>
      <c r="U48" s="224">
        <f t="shared" si="93"/>
        <v>4.8717948717948711E-2</v>
      </c>
      <c r="V48" s="224">
        <f t="shared" si="93"/>
        <v>4.8717948717948718E-2</v>
      </c>
      <c r="W48" s="224">
        <f t="shared" si="93"/>
        <v>4.8717948717948711E-2</v>
      </c>
      <c r="X48" s="224">
        <f t="shared" si="93"/>
        <v>4.8717948717948711E-2</v>
      </c>
    </row>
    <row r="49" spans="1:31">
      <c r="B49" s="219" t="s">
        <v>228</v>
      </c>
      <c r="C49" s="220">
        <f t="shared" ref="C49:X49" si="94">1-C34</f>
        <v>0</v>
      </c>
      <c r="D49" s="220">
        <f t="shared" si="94"/>
        <v>0</v>
      </c>
      <c r="E49" s="220">
        <f t="shared" si="94"/>
        <v>2.0000000000000018E-2</v>
      </c>
      <c r="F49" s="220">
        <f t="shared" si="94"/>
        <v>3.0000000000000027E-2</v>
      </c>
      <c r="G49" s="220">
        <f t="shared" si="94"/>
        <v>0.13</v>
      </c>
      <c r="H49" s="220">
        <f t="shared" si="94"/>
        <v>0.255</v>
      </c>
      <c r="I49" s="220">
        <f t="shared" si="94"/>
        <v>0.35499999999999998</v>
      </c>
      <c r="J49" s="220">
        <f t="shared" si="94"/>
        <v>0.41500000000000004</v>
      </c>
      <c r="K49" s="220">
        <f t="shared" si="94"/>
        <v>0.44425000000000003</v>
      </c>
      <c r="L49" s="220">
        <f t="shared" si="94"/>
        <v>0.45814375000000007</v>
      </c>
      <c r="M49" s="220">
        <f t="shared" si="94"/>
        <v>0.4716901562500001</v>
      </c>
      <c r="N49" s="220">
        <f t="shared" si="94"/>
        <v>0.48489790234375008</v>
      </c>
      <c r="O49" s="220">
        <f t="shared" si="94"/>
        <v>0.49262443380859389</v>
      </c>
      <c r="P49" s="220">
        <f t="shared" si="94"/>
        <v>0.50023506730146505</v>
      </c>
      <c r="Q49" s="220">
        <f t="shared" si="94"/>
        <v>0.50773154129194298</v>
      </c>
      <c r="R49" s="220">
        <f t="shared" si="94"/>
        <v>0.51265422587902365</v>
      </c>
      <c r="S49" s="220">
        <f t="shared" si="94"/>
        <v>0.51752768362023338</v>
      </c>
      <c r="T49" s="220">
        <f t="shared" si="94"/>
        <v>0.52235240678403105</v>
      </c>
      <c r="U49" s="220">
        <f t="shared" si="94"/>
        <v>0.52712888271619074</v>
      </c>
      <c r="V49" s="220">
        <f t="shared" si="94"/>
        <v>0.52949323830260986</v>
      </c>
      <c r="W49" s="220">
        <f t="shared" si="94"/>
        <v>0.53184577211109674</v>
      </c>
      <c r="X49" s="220">
        <f t="shared" si="94"/>
        <v>0.53418654325054127</v>
      </c>
    </row>
    <row r="50" spans="1:31" s="119" customFormat="1" hidden="1" outlineLevel="1">
      <c r="B50" s="206" t="s">
        <v>521</v>
      </c>
      <c r="C50" s="207"/>
      <c r="D50" s="207"/>
      <c r="E50" s="207"/>
      <c r="F50" s="207"/>
      <c r="G50" s="207"/>
      <c r="H50" s="207"/>
      <c r="I50" s="223"/>
      <c r="J50" s="223"/>
      <c r="K50" s="223">
        <f t="shared" ref="K50:X50" si="95">K49*K69</f>
        <v>0.310975</v>
      </c>
      <c r="L50" s="223">
        <f t="shared" si="95"/>
        <v>0.32070062500000002</v>
      </c>
      <c r="M50" s="223">
        <f t="shared" si="95"/>
        <v>0.33018310937500006</v>
      </c>
      <c r="N50" s="223">
        <f t="shared" si="95"/>
        <v>0.33942853164062503</v>
      </c>
      <c r="O50" s="223">
        <f t="shared" si="95"/>
        <v>0.34483710366601572</v>
      </c>
      <c r="P50" s="223">
        <f t="shared" si="95"/>
        <v>0.35016454711102551</v>
      </c>
      <c r="Q50" s="223">
        <f t="shared" si="95"/>
        <v>0.35541207890436005</v>
      </c>
      <c r="R50" s="223">
        <f t="shared" si="95"/>
        <v>0.35885795811531651</v>
      </c>
      <c r="S50" s="223">
        <f t="shared" si="95"/>
        <v>0.36226937853416336</v>
      </c>
      <c r="T50" s="223">
        <f t="shared" si="95"/>
        <v>0.36564668474882173</v>
      </c>
      <c r="U50" s="223">
        <f t="shared" si="95"/>
        <v>0.36899021790133352</v>
      </c>
      <c r="V50" s="223">
        <f t="shared" si="95"/>
        <v>0.37064526681182686</v>
      </c>
      <c r="W50" s="223">
        <f t="shared" si="95"/>
        <v>7.4458408095553541E-2</v>
      </c>
      <c r="X50" s="223">
        <f t="shared" si="95"/>
        <v>0</v>
      </c>
    </row>
    <row r="51" spans="1:31" s="119" customFormat="1" hidden="1" outlineLevel="1">
      <c r="B51" s="206" t="s">
        <v>500</v>
      </c>
      <c r="C51" s="207"/>
      <c r="D51" s="207"/>
      <c r="E51" s="208"/>
      <c r="F51" s="208"/>
      <c r="G51" s="225"/>
      <c r="H51" s="225"/>
      <c r="I51" s="223"/>
      <c r="J51" s="223"/>
      <c r="K51" s="223">
        <f t="shared" ref="K51:X51" si="96">K49*K70</f>
        <v>0.28209875000000001</v>
      </c>
      <c r="L51" s="223">
        <f t="shared" si="96"/>
        <v>0.27637521718750002</v>
      </c>
      <c r="M51" s="223">
        <f t="shared" si="96"/>
        <v>0.2774334095888672</v>
      </c>
      <c r="N51" s="223">
        <f t="shared" si="96"/>
        <v>0.28234977516815407</v>
      </c>
      <c r="O51" s="223">
        <f t="shared" si="96"/>
        <v>0.28398034613335049</v>
      </c>
      <c r="P51" s="223">
        <f t="shared" si="96"/>
        <v>0.28548392778128051</v>
      </c>
      <c r="Q51" s="223">
        <f t="shared" si="96"/>
        <v>0.28686454049276594</v>
      </c>
      <c r="R51" s="223">
        <f t="shared" si="96"/>
        <v>0.28674936242608112</v>
      </c>
      <c r="S51" s="223">
        <f t="shared" si="96"/>
        <v>0.24605400082730028</v>
      </c>
      <c r="T51" s="223">
        <f t="shared" si="96"/>
        <v>0.17384351121534619</v>
      </c>
      <c r="U51" s="223">
        <f t="shared" si="96"/>
        <v>6.1401607660826946E-2</v>
      </c>
      <c r="V51" s="223">
        <f t="shared" si="96"/>
        <v>1.2335403026975514E-2</v>
      </c>
      <c r="W51" s="223">
        <f t="shared" si="96"/>
        <v>1.2390209114311586E-3</v>
      </c>
      <c r="X51" s="223">
        <f t="shared" si="96"/>
        <v>1.2444741171210977E-4</v>
      </c>
      <c r="AA51" s="226"/>
      <c r="AB51" s="227"/>
      <c r="AC51" s="227"/>
      <c r="AD51" s="227"/>
      <c r="AE51" s="226"/>
    </row>
    <row r="52" spans="1:31" s="119" customFormat="1" hidden="1" outlineLevel="1">
      <c r="B52" s="206" t="s">
        <v>522</v>
      </c>
      <c r="C52" s="207"/>
      <c r="D52" s="207"/>
      <c r="E52" s="207"/>
      <c r="F52" s="207"/>
      <c r="G52" s="207"/>
      <c r="H52" s="207"/>
      <c r="I52" s="223"/>
      <c r="J52" s="223"/>
      <c r="K52" s="223">
        <f t="shared" ref="K52:X52" si="97">K49*K71</f>
        <v>0.25388887500000001</v>
      </c>
      <c r="L52" s="223">
        <f t="shared" si="97"/>
        <v>0.24873769546875005</v>
      </c>
      <c r="M52" s="223">
        <f t="shared" si="97"/>
        <v>0.24969006862998047</v>
      </c>
      <c r="N52" s="223">
        <f t="shared" si="97"/>
        <v>0.25411479765133865</v>
      </c>
      <c r="O52" s="223">
        <f t="shared" si="97"/>
        <v>0.12908197551515932</v>
      </c>
      <c r="P52" s="223">
        <f t="shared" si="97"/>
        <v>1.3107618355430695E-2</v>
      </c>
      <c r="Q52" s="223">
        <f t="shared" si="97"/>
        <v>1.3304047847286731E-2</v>
      </c>
      <c r="R52" s="223">
        <f t="shared" si="97"/>
        <v>2.6866073093877738E-3</v>
      </c>
      <c r="S52" s="223">
        <f t="shared" si="97"/>
        <v>2.7121470719188961E-4</v>
      </c>
      <c r="T52" s="223">
        <f t="shared" si="97"/>
        <v>2.7374314368247074E-5</v>
      </c>
      <c r="U52" s="223">
        <f t="shared" si="97"/>
        <v>2.7624629580814601E-5</v>
      </c>
      <c r="V52" s="223">
        <f t="shared" si="97"/>
        <v>2.7748535611035534E-5</v>
      </c>
      <c r="W52" s="223">
        <f t="shared" si="97"/>
        <v>2.7871822111105352E-5</v>
      </c>
      <c r="X52" s="223">
        <f t="shared" si="97"/>
        <v>2.7994492178674827E-5</v>
      </c>
    </row>
    <row r="53" spans="1:31" collapsed="1">
      <c r="A53" s="210" t="s">
        <v>523</v>
      </c>
      <c r="B53" s="211" t="s">
        <v>87</v>
      </c>
      <c r="C53" s="228"/>
      <c r="D53" s="228"/>
      <c r="E53" s="208">
        <v>0</v>
      </c>
      <c r="F53" s="208">
        <v>0</v>
      </c>
      <c r="G53" s="225">
        <v>9.9879999999999997E-2</v>
      </c>
      <c r="H53" s="231">
        <v>0.25745000000000001</v>
      </c>
      <c r="I53" s="231">
        <v>0.27512500000000001</v>
      </c>
      <c r="J53" s="231">
        <v>0.28863250000000001</v>
      </c>
      <c r="K53" s="224">
        <f t="shared" ref="K53:X53" si="98">CHOOSE($E$1,K50,K51,K52)</f>
        <v>0.28209875000000001</v>
      </c>
      <c r="L53" s="224">
        <f t="shared" si="98"/>
        <v>0.27637521718750002</v>
      </c>
      <c r="M53" s="224">
        <f t="shared" si="98"/>
        <v>0.2774334095888672</v>
      </c>
      <c r="N53" s="224">
        <f t="shared" si="98"/>
        <v>0.28234977516815407</v>
      </c>
      <c r="O53" s="224">
        <f t="shared" si="98"/>
        <v>0.28398034613335049</v>
      </c>
      <c r="P53" s="224">
        <f t="shared" si="98"/>
        <v>0.28548392778128051</v>
      </c>
      <c r="Q53" s="224">
        <f t="shared" si="98"/>
        <v>0.28686454049276594</v>
      </c>
      <c r="R53" s="224">
        <f t="shared" si="98"/>
        <v>0.28674936242608112</v>
      </c>
      <c r="S53" s="224">
        <f t="shared" si="98"/>
        <v>0.24605400082730028</v>
      </c>
      <c r="T53" s="224">
        <f t="shared" si="98"/>
        <v>0.17384351121534619</v>
      </c>
      <c r="U53" s="224">
        <f t="shared" si="98"/>
        <v>6.1401607660826946E-2</v>
      </c>
      <c r="V53" s="224">
        <f t="shared" si="98"/>
        <v>1.2335403026975514E-2</v>
      </c>
      <c r="W53" s="224">
        <f t="shared" si="98"/>
        <v>1.2390209114311586E-3</v>
      </c>
      <c r="X53" s="224">
        <f t="shared" si="98"/>
        <v>1.2444741171210977E-4</v>
      </c>
    </row>
    <row r="54" spans="1:31">
      <c r="B54" s="203" t="s">
        <v>75</v>
      </c>
      <c r="E54" s="125">
        <f>E49-E53</f>
        <v>2.0000000000000018E-2</v>
      </c>
      <c r="F54" s="125">
        <f t="shared" ref="F54:X54" si="99">F49-F53</f>
        <v>3.0000000000000027E-2</v>
      </c>
      <c r="G54" s="125">
        <f t="shared" si="99"/>
        <v>3.0120000000000008E-2</v>
      </c>
      <c r="H54" s="125">
        <f t="shared" si="99"/>
        <v>-2.4500000000000077E-3</v>
      </c>
      <c r="I54" s="125">
        <f t="shared" si="99"/>
        <v>7.9874999999999974E-2</v>
      </c>
      <c r="J54" s="125">
        <f t="shared" si="99"/>
        <v>0.12636750000000002</v>
      </c>
      <c r="K54" s="125">
        <f t="shared" si="99"/>
        <v>0.16215125000000002</v>
      </c>
      <c r="L54" s="125">
        <f t="shared" si="99"/>
        <v>0.18176853281250005</v>
      </c>
      <c r="M54" s="125">
        <f t="shared" si="99"/>
        <v>0.19425674666113291</v>
      </c>
      <c r="N54" s="125">
        <f t="shared" si="99"/>
        <v>0.202548127175596</v>
      </c>
      <c r="O54" s="125">
        <f t="shared" si="99"/>
        <v>0.20864408767524339</v>
      </c>
      <c r="P54" s="125">
        <f t="shared" si="99"/>
        <v>0.21475113952018454</v>
      </c>
      <c r="Q54" s="125">
        <f t="shared" si="99"/>
        <v>0.22086700079917704</v>
      </c>
      <c r="R54" s="125">
        <f t="shared" si="99"/>
        <v>0.22590486345294253</v>
      </c>
      <c r="S54" s="125">
        <f t="shared" si="99"/>
        <v>0.2714736827929331</v>
      </c>
      <c r="T54" s="125">
        <f t="shared" si="99"/>
        <v>0.34850889556868486</v>
      </c>
      <c r="U54" s="125">
        <f t="shared" si="99"/>
        <v>0.46572727505536382</v>
      </c>
      <c r="V54" s="125">
        <f t="shared" si="99"/>
        <v>0.5171578352756343</v>
      </c>
      <c r="W54" s="125">
        <f t="shared" si="99"/>
        <v>0.5306067511996656</v>
      </c>
      <c r="X54" s="125">
        <f t="shared" si="99"/>
        <v>0.53406209583882913</v>
      </c>
      <c r="Y54" s="125"/>
    </row>
    <row r="55" spans="1:31">
      <c r="G55" s="411"/>
    </row>
    <row r="56" spans="1:31" outlineLevel="1">
      <c r="B56" s="116" t="s">
        <v>249</v>
      </c>
      <c r="G56" s="411"/>
    </row>
    <row r="57" spans="1:31" outlineLevel="1">
      <c r="B57" s="203" t="s">
        <v>811</v>
      </c>
      <c r="G57" s="411"/>
      <c r="I57" s="129">
        <f>I58*1.15</f>
        <v>0.33349999999999996</v>
      </c>
      <c r="J57" s="129">
        <f t="shared" ref="J57:X57" si="100">J58*1.15</f>
        <v>0.33062499999999995</v>
      </c>
      <c r="K57" s="417">
        <f t="shared" si="100"/>
        <v>0.32200000000000001</v>
      </c>
      <c r="L57" s="129">
        <f t="shared" si="100"/>
        <v>0.29785000000000006</v>
      </c>
      <c r="M57" s="129">
        <f t="shared" si="100"/>
        <v>0.29785000000000006</v>
      </c>
      <c r="N57" s="129">
        <f t="shared" si="100"/>
        <v>0.29785000000000006</v>
      </c>
      <c r="O57" s="129">
        <f t="shared" si="100"/>
        <v>0.29785000000000006</v>
      </c>
      <c r="P57" s="129">
        <f t="shared" si="100"/>
        <v>0.29785000000000006</v>
      </c>
      <c r="Q57" s="129">
        <f t="shared" si="100"/>
        <v>0.29785000000000006</v>
      </c>
      <c r="R57" s="129">
        <f t="shared" si="100"/>
        <v>0.29785000000000006</v>
      </c>
      <c r="S57" s="129">
        <f t="shared" si="100"/>
        <v>0.29785000000000006</v>
      </c>
      <c r="T57" s="129">
        <f t="shared" si="100"/>
        <v>0.29785000000000006</v>
      </c>
      <c r="U57" s="129">
        <f t="shared" si="100"/>
        <v>0.25317250000000002</v>
      </c>
      <c r="V57" s="129">
        <f t="shared" si="100"/>
        <v>0.26881250000000001</v>
      </c>
      <c r="W57" s="129">
        <f t="shared" si="100"/>
        <v>0.228490625</v>
      </c>
      <c r="X57" s="129">
        <f t="shared" si="100"/>
        <v>0.19421703124999998</v>
      </c>
    </row>
    <row r="58" spans="1:31" outlineLevel="1">
      <c r="B58" s="203" t="s">
        <v>500</v>
      </c>
      <c r="G58" s="411"/>
      <c r="I58" s="125">
        <v>0.28999999999999998</v>
      </c>
      <c r="J58" s="125">
        <v>0.28749999999999998</v>
      </c>
      <c r="K58" s="125">
        <v>0.28000000000000003</v>
      </c>
      <c r="L58" s="125">
        <f>K58*0.925</f>
        <v>0.25900000000000006</v>
      </c>
      <c r="M58" s="125">
        <f t="shared" ref="M58:T58" si="101">L58</f>
        <v>0.25900000000000006</v>
      </c>
      <c r="N58" s="125">
        <f t="shared" si="101"/>
        <v>0.25900000000000006</v>
      </c>
      <c r="O58" s="125">
        <f t="shared" si="101"/>
        <v>0.25900000000000006</v>
      </c>
      <c r="P58" s="125">
        <f t="shared" si="101"/>
        <v>0.25900000000000006</v>
      </c>
      <c r="Q58" s="125">
        <f t="shared" si="101"/>
        <v>0.25900000000000006</v>
      </c>
      <c r="R58" s="125">
        <f t="shared" si="101"/>
        <v>0.25900000000000006</v>
      </c>
      <c r="S58" s="125">
        <f t="shared" si="101"/>
        <v>0.25900000000000006</v>
      </c>
      <c r="T58" s="125">
        <f t="shared" si="101"/>
        <v>0.25900000000000006</v>
      </c>
      <c r="U58" s="129">
        <f>T58*0.85</f>
        <v>0.22015000000000004</v>
      </c>
      <c r="V58" s="129">
        <f>0.275*0.85</f>
        <v>0.23375000000000001</v>
      </c>
      <c r="W58" s="129">
        <f t="shared" ref="W58:X58" si="102">V58*0.85</f>
        <v>0.19868750000000002</v>
      </c>
      <c r="X58" s="129">
        <f t="shared" si="102"/>
        <v>0.168884375</v>
      </c>
    </row>
    <row r="59" spans="1:31" outlineLevel="1">
      <c r="B59" s="203" t="s">
        <v>522</v>
      </c>
      <c r="G59" s="411"/>
      <c r="I59" s="129">
        <f>I58*0.9</f>
        <v>0.26100000000000001</v>
      </c>
      <c r="J59" s="129">
        <f t="shared" ref="J59:K59" si="103">J58*0.9</f>
        <v>0.25874999999999998</v>
      </c>
      <c r="K59" s="417">
        <f t="shared" si="103"/>
        <v>0.25200000000000006</v>
      </c>
      <c r="L59" s="129">
        <f>L58*0.8</f>
        <v>0.20720000000000005</v>
      </c>
      <c r="M59" s="129">
        <f>M58*0.7</f>
        <v>0.18130000000000004</v>
      </c>
      <c r="N59" s="129">
        <f>N58*0.6</f>
        <v>0.15540000000000004</v>
      </c>
      <c r="O59" s="129">
        <f>O58*0.5</f>
        <v>0.12950000000000003</v>
      </c>
      <c r="P59" s="129">
        <f t="shared" ref="P59:X59" si="104">P58*0.5</f>
        <v>0.12950000000000003</v>
      </c>
      <c r="Q59" s="129">
        <f t="shared" si="104"/>
        <v>0.12950000000000003</v>
      </c>
      <c r="R59" s="129">
        <f t="shared" si="104"/>
        <v>0.12950000000000003</v>
      </c>
      <c r="S59" s="129">
        <f t="shared" si="104"/>
        <v>0.12950000000000003</v>
      </c>
      <c r="T59" s="129">
        <f t="shared" si="104"/>
        <v>0.12950000000000003</v>
      </c>
      <c r="U59" s="129">
        <f t="shared" si="104"/>
        <v>0.11007500000000002</v>
      </c>
      <c r="V59" s="129">
        <f t="shared" si="104"/>
        <v>0.11687500000000001</v>
      </c>
      <c r="W59" s="129">
        <f t="shared" si="104"/>
        <v>9.9343750000000008E-2</v>
      </c>
      <c r="X59" s="129">
        <f t="shared" si="104"/>
        <v>8.4442187500000002E-2</v>
      </c>
    </row>
    <row r="60" spans="1:31" outlineLevel="1">
      <c r="B60" s="116" t="s">
        <v>227</v>
      </c>
      <c r="G60" s="411"/>
    </row>
    <row r="61" spans="1:31" outlineLevel="1">
      <c r="B61" s="203" t="s">
        <v>811</v>
      </c>
      <c r="G61" s="411"/>
      <c r="I61" s="417">
        <f>I62*1.1</f>
        <v>8.4418604651162799E-2</v>
      </c>
      <c r="J61" s="417">
        <f t="shared" ref="J61:X61" si="105">J62*1.1</f>
        <v>9.3500000000000014E-2</v>
      </c>
      <c r="K61" s="417">
        <f t="shared" si="105"/>
        <v>9.3563786982248556E-2</v>
      </c>
      <c r="L61" s="417">
        <f t="shared" si="105"/>
        <v>8.2500000000000004E-2</v>
      </c>
      <c r="M61" s="417">
        <f t="shared" si="105"/>
        <v>7.7000000000000013E-2</v>
      </c>
      <c r="N61" s="417">
        <f t="shared" si="105"/>
        <v>7.6230000000000006E-2</v>
      </c>
      <c r="O61" s="417">
        <f t="shared" si="105"/>
        <v>7.5467700000000013E-2</v>
      </c>
      <c r="P61" s="417">
        <f t="shared" si="105"/>
        <v>7.4713023000000017E-2</v>
      </c>
      <c r="Q61" s="417">
        <f t="shared" si="105"/>
        <v>7.3965892770000014E-2</v>
      </c>
      <c r="R61" s="417">
        <f t="shared" si="105"/>
        <v>7.3226233842300023E-2</v>
      </c>
      <c r="S61" s="417">
        <f t="shared" si="105"/>
        <v>7.2493971503877028E-2</v>
      </c>
      <c r="T61" s="417">
        <f t="shared" si="105"/>
        <v>7.1769031788838242E-2</v>
      </c>
      <c r="U61" s="417">
        <f t="shared" si="105"/>
        <v>7.1051341470949866E-2</v>
      </c>
      <c r="V61" s="417">
        <f t="shared" si="105"/>
        <v>7.0340828056240368E-2</v>
      </c>
      <c r="W61" s="417">
        <f t="shared" si="105"/>
        <v>6.9637419775677972E-2</v>
      </c>
      <c r="X61" s="417">
        <f t="shared" si="105"/>
        <v>6.8941045577921189E-2</v>
      </c>
    </row>
    <row r="62" spans="1:31" outlineLevel="1">
      <c r="B62" s="203" t="s">
        <v>500</v>
      </c>
      <c r="G62" s="411"/>
      <c r="I62" s="129">
        <v>7.6744186046511634E-2</v>
      </c>
      <c r="J62" s="129">
        <v>8.5000000000000006E-2</v>
      </c>
      <c r="K62" s="417">
        <v>8.5057988165680498E-2</v>
      </c>
      <c r="L62" s="129">
        <v>7.4999999999999997E-2</v>
      </c>
      <c r="M62" s="129">
        <v>7.0000000000000007E-2</v>
      </c>
      <c r="N62" s="129">
        <f>M62*0.99</f>
        <v>6.93E-2</v>
      </c>
      <c r="O62" s="129">
        <f t="shared" ref="O62:X62" si="106">N62*0.99</f>
        <v>6.8607000000000001E-2</v>
      </c>
      <c r="P62" s="129">
        <f t="shared" si="106"/>
        <v>6.7920930000000004E-2</v>
      </c>
      <c r="Q62" s="129">
        <f t="shared" si="106"/>
        <v>6.7241720700000007E-2</v>
      </c>
      <c r="R62" s="129">
        <f t="shared" si="106"/>
        <v>6.6569303493000012E-2</v>
      </c>
      <c r="S62" s="129">
        <f t="shared" si="106"/>
        <v>6.5903610458070014E-2</v>
      </c>
      <c r="T62" s="129">
        <f t="shared" si="106"/>
        <v>6.5244574353489307E-2</v>
      </c>
      <c r="U62" s="129">
        <f t="shared" si="106"/>
        <v>6.4592128609954419E-2</v>
      </c>
      <c r="V62" s="129">
        <f t="shared" si="106"/>
        <v>6.3946207323854878E-2</v>
      </c>
      <c r="W62" s="129">
        <f t="shared" si="106"/>
        <v>6.3306745250616331E-2</v>
      </c>
      <c r="X62" s="129">
        <f t="shared" si="106"/>
        <v>6.2673677798110172E-2</v>
      </c>
      <c r="Y62" s="129"/>
    </row>
    <row r="63" spans="1:31" outlineLevel="1">
      <c r="B63" s="203" t="s">
        <v>522</v>
      </c>
      <c r="G63" s="411"/>
      <c r="I63" s="125">
        <f>I62*0.9</f>
        <v>6.9069767441860469E-2</v>
      </c>
      <c r="J63" s="125">
        <f>J62*0.9</f>
        <v>7.6500000000000012E-2</v>
      </c>
      <c r="K63" s="417">
        <f>K62*0.75</f>
        <v>6.3793491124260374E-2</v>
      </c>
      <c r="L63" s="129">
        <f>L62*0.5</f>
        <v>3.7499999999999999E-2</v>
      </c>
      <c r="M63" s="129">
        <f>M62*0.25</f>
        <v>1.7500000000000002E-2</v>
      </c>
      <c r="N63" s="129">
        <f>N62*0.1</f>
        <v>6.9300000000000004E-3</v>
      </c>
      <c r="O63" s="129">
        <f t="shared" ref="O63:X63" si="107">O62*0.1</f>
        <v>6.8607000000000008E-3</v>
      </c>
      <c r="P63" s="129">
        <f t="shared" si="107"/>
        <v>6.7920930000000008E-3</v>
      </c>
      <c r="Q63" s="129">
        <f t="shared" si="107"/>
        <v>6.7241720700000011E-3</v>
      </c>
      <c r="R63" s="129">
        <f t="shared" si="107"/>
        <v>6.6569303493000014E-3</v>
      </c>
      <c r="S63" s="129">
        <f t="shared" si="107"/>
        <v>6.5903610458070017E-3</v>
      </c>
      <c r="T63" s="129">
        <f t="shared" si="107"/>
        <v>6.5244574353489314E-3</v>
      </c>
      <c r="U63" s="129">
        <f t="shared" si="107"/>
        <v>6.4592128609954422E-3</v>
      </c>
      <c r="V63" s="129">
        <f t="shared" si="107"/>
        <v>6.3946207323854884E-3</v>
      </c>
      <c r="W63" s="129">
        <f t="shared" si="107"/>
        <v>6.3306745250616336E-3</v>
      </c>
      <c r="X63" s="129">
        <f t="shared" si="107"/>
        <v>6.2673677798110172E-3</v>
      </c>
    </row>
    <row r="64" spans="1:31" outlineLevel="1">
      <c r="B64" s="116" t="s">
        <v>809</v>
      </c>
      <c r="G64" s="411"/>
    </row>
    <row r="65" spans="1:26" outlineLevel="1">
      <c r="B65" s="203" t="s">
        <v>811</v>
      </c>
      <c r="G65" s="411"/>
      <c r="K65" s="125">
        <v>0</v>
      </c>
      <c r="L65" s="125">
        <f>K65</f>
        <v>0</v>
      </c>
      <c r="M65" s="125">
        <f t="shared" ref="M65:X65" si="108">L65</f>
        <v>0</v>
      </c>
      <c r="N65" s="125">
        <f t="shared" si="108"/>
        <v>0</v>
      </c>
      <c r="O65" s="125">
        <f t="shared" si="108"/>
        <v>0</v>
      </c>
      <c r="P65" s="125">
        <f t="shared" si="108"/>
        <v>0</v>
      </c>
      <c r="Q65" s="125">
        <f t="shared" si="108"/>
        <v>0</v>
      </c>
      <c r="R65" s="125">
        <f t="shared" si="108"/>
        <v>0</v>
      </c>
      <c r="S65" s="125">
        <f t="shared" si="108"/>
        <v>0</v>
      </c>
      <c r="T65" s="125">
        <f t="shared" si="108"/>
        <v>0</v>
      </c>
      <c r="U65" s="125">
        <f t="shared" si="108"/>
        <v>0</v>
      </c>
      <c r="V65" s="125">
        <f t="shared" si="108"/>
        <v>0</v>
      </c>
      <c r="W65" s="125">
        <f t="shared" si="108"/>
        <v>0</v>
      </c>
      <c r="X65" s="125">
        <f t="shared" si="108"/>
        <v>0</v>
      </c>
    </row>
    <row r="66" spans="1:26" outlineLevel="1">
      <c r="B66" s="203" t="s">
        <v>500</v>
      </c>
      <c r="G66" s="411"/>
      <c r="K66" s="125">
        <v>0.03</v>
      </c>
      <c r="L66" s="125">
        <v>4.4999999999999998E-2</v>
      </c>
      <c r="M66" s="125">
        <v>5.5328837000813945E-2</v>
      </c>
      <c r="N66" s="125">
        <v>7.5663366838719923E-2</v>
      </c>
      <c r="O66" s="125">
        <v>9.6019501064365395E-2</v>
      </c>
      <c r="P66" s="125">
        <v>9.7481726968898882E-2</v>
      </c>
      <c r="Q66" s="125">
        <v>9.8966220272993774E-2</v>
      </c>
      <c r="R66" s="125">
        <v>9.9965879063630081E-2</v>
      </c>
      <c r="S66" s="125">
        <v>0.10097563541780817</v>
      </c>
      <c r="T66" s="125">
        <v>0.10199559133111936</v>
      </c>
      <c r="U66" s="125">
        <v>0.1030258498294135</v>
      </c>
      <c r="V66" s="125">
        <v>0.10354356766775227</v>
      </c>
      <c r="W66" s="125">
        <v>0.10406388710326861</v>
      </c>
      <c r="X66" s="125">
        <v>0.10458682120931519</v>
      </c>
    </row>
    <row r="67" spans="1:26" outlineLevel="1">
      <c r="B67" s="203" t="s">
        <v>522</v>
      </c>
      <c r="G67" s="411"/>
      <c r="K67" s="129">
        <v>0.05</v>
      </c>
      <c r="L67" s="129">
        <v>9.5000000000000001E-2</v>
      </c>
      <c r="M67" s="129">
        <v>0.17100000000000001</v>
      </c>
      <c r="N67" s="129">
        <v>0.25650000000000001</v>
      </c>
      <c r="O67" s="129">
        <v>0.33345000000000002</v>
      </c>
      <c r="P67" s="129">
        <v>0.40014</v>
      </c>
      <c r="Q67" s="129">
        <v>0.44015400000000005</v>
      </c>
      <c r="R67" s="129">
        <v>0.46216170000000006</v>
      </c>
      <c r="S67" s="129">
        <v>0.48526978500000006</v>
      </c>
      <c r="T67" s="129">
        <v>0.48526978500000006</v>
      </c>
      <c r="U67" s="129">
        <v>0.48526978500000006</v>
      </c>
      <c r="V67" s="129">
        <v>0.48526978500000006</v>
      </c>
      <c r="W67" s="129">
        <v>0.48526978500000006</v>
      </c>
      <c r="X67" s="129">
        <v>0.48526978500000006</v>
      </c>
    </row>
    <row r="68" spans="1:26" outlineLevel="1">
      <c r="B68" s="116" t="s">
        <v>87</v>
      </c>
      <c r="G68" s="411"/>
      <c r="K68" s="129"/>
      <c r="L68" s="129"/>
      <c r="M68" s="129"/>
      <c r="N68" s="129"/>
      <c r="O68" s="129"/>
      <c r="P68" s="129"/>
      <c r="Q68" s="129"/>
      <c r="R68" s="129"/>
      <c r="S68" s="129"/>
      <c r="T68" s="129"/>
      <c r="U68" s="129"/>
      <c r="V68" s="129"/>
      <c r="W68" s="129"/>
      <c r="X68" s="129"/>
    </row>
    <row r="69" spans="1:26" outlineLevel="1">
      <c r="B69" s="203" t="s">
        <v>811</v>
      </c>
      <c r="G69" s="411"/>
      <c r="I69" s="129"/>
      <c r="J69" s="129"/>
      <c r="K69" s="129">
        <v>0.7</v>
      </c>
      <c r="L69" s="129">
        <f>K69</f>
        <v>0.7</v>
      </c>
      <c r="M69" s="129">
        <f t="shared" ref="M69:V71" si="109">L69</f>
        <v>0.7</v>
      </c>
      <c r="N69" s="129">
        <f t="shared" si="109"/>
        <v>0.7</v>
      </c>
      <c r="O69" s="129">
        <f t="shared" si="109"/>
        <v>0.7</v>
      </c>
      <c r="P69" s="129">
        <f t="shared" si="109"/>
        <v>0.7</v>
      </c>
      <c r="Q69" s="129">
        <f t="shared" si="109"/>
        <v>0.7</v>
      </c>
      <c r="R69" s="129">
        <f t="shared" si="109"/>
        <v>0.7</v>
      </c>
      <c r="S69" s="129">
        <f t="shared" si="109"/>
        <v>0.7</v>
      </c>
      <c r="T69" s="129">
        <f t="shared" si="109"/>
        <v>0.7</v>
      </c>
      <c r="U69" s="129">
        <f t="shared" si="109"/>
        <v>0.7</v>
      </c>
      <c r="V69" s="129">
        <f t="shared" si="109"/>
        <v>0.7</v>
      </c>
      <c r="W69" s="129">
        <f>V69*0.2</f>
        <v>0.13999999999999999</v>
      </c>
      <c r="X69" s="129">
        <v>0</v>
      </c>
    </row>
    <row r="70" spans="1:26" outlineLevel="1">
      <c r="B70" s="203" t="s">
        <v>500</v>
      </c>
      <c r="G70" s="411"/>
      <c r="I70" s="129"/>
      <c r="J70" s="129"/>
      <c r="K70" s="129">
        <v>0.63500000000000001</v>
      </c>
      <c r="L70" s="129">
        <f>K70*0.95</f>
        <v>0.60324999999999995</v>
      </c>
      <c r="M70" s="129">
        <f>L70*0.975</f>
        <v>0.58816874999999991</v>
      </c>
      <c r="N70" s="129">
        <f>M70*0.99</f>
        <v>0.58228706249999995</v>
      </c>
      <c r="O70" s="129">
        <f t="shared" ref="O70:R70" si="110">N70*0.99</f>
        <v>0.57646419187499998</v>
      </c>
      <c r="P70" s="129">
        <f t="shared" si="110"/>
        <v>0.57069954995624994</v>
      </c>
      <c r="Q70" s="129">
        <f t="shared" si="110"/>
        <v>0.56499255445668739</v>
      </c>
      <c r="R70" s="129">
        <f t="shared" si="110"/>
        <v>0.5593426289121205</v>
      </c>
      <c r="S70" s="129">
        <f>R70*0.85</f>
        <v>0.47544123457530241</v>
      </c>
      <c r="T70" s="129">
        <f>S70*0.7</f>
        <v>0.33280886420271166</v>
      </c>
      <c r="U70" s="129">
        <f>T70*0.35</f>
        <v>0.11648310247094908</v>
      </c>
      <c r="V70" s="129">
        <f>U70*0.2</f>
        <v>2.3296620494189818E-2</v>
      </c>
      <c r="W70" s="129">
        <f>V70*0.1</f>
        <v>2.3296620494189821E-3</v>
      </c>
      <c r="X70" s="129">
        <f>W70*0.1</f>
        <v>2.3296620494189823E-4</v>
      </c>
    </row>
    <row r="71" spans="1:26" outlineLevel="1">
      <c r="B71" s="203" t="s">
        <v>522</v>
      </c>
      <c r="G71" s="411"/>
      <c r="I71" s="129"/>
      <c r="J71" s="129"/>
      <c r="K71" s="129">
        <f>K70*0.9</f>
        <v>0.57150000000000001</v>
      </c>
      <c r="L71" s="129">
        <f t="shared" ref="L71:N71" si="111">L70*0.9</f>
        <v>0.54292499999999999</v>
      </c>
      <c r="M71" s="129">
        <f t="shared" si="111"/>
        <v>0.52935187499999992</v>
      </c>
      <c r="N71" s="129">
        <f t="shared" si="111"/>
        <v>0.52405835624999997</v>
      </c>
      <c r="O71" s="129">
        <f>N71/2</f>
        <v>0.26202917812499998</v>
      </c>
      <c r="P71" s="129">
        <f>O71*0.1</f>
        <v>2.62029178125E-2</v>
      </c>
      <c r="Q71" s="129">
        <f t="shared" ref="Q71:U71" si="112">P71</f>
        <v>2.62029178125E-2</v>
      </c>
      <c r="R71" s="129">
        <f>Q71*0.2</f>
        <v>5.2405835625000006E-3</v>
      </c>
      <c r="S71" s="129">
        <f>R71*0.1</f>
        <v>5.2405835625000008E-4</v>
      </c>
      <c r="T71" s="129">
        <f>S71*0.1</f>
        <v>5.2405835625000012E-5</v>
      </c>
      <c r="U71" s="129">
        <f t="shared" si="112"/>
        <v>5.2405835625000012E-5</v>
      </c>
      <c r="V71" s="129">
        <f t="shared" si="109"/>
        <v>5.2405835625000012E-5</v>
      </c>
      <c r="W71" s="129">
        <f t="shared" ref="W71" si="113">V71</f>
        <v>5.2405835625000012E-5</v>
      </c>
      <c r="X71" s="129">
        <f t="shared" ref="X71" si="114">W71</f>
        <v>5.2405835625000012E-5</v>
      </c>
    </row>
    <row r="72" spans="1:26" outlineLevel="1">
      <c r="G72" s="411"/>
    </row>
    <row r="73" spans="1:26">
      <c r="B73" s="216" t="s">
        <v>229</v>
      </c>
      <c r="C73" s="217"/>
      <c r="D73" s="217"/>
      <c r="E73" s="217"/>
      <c r="F73" s="217"/>
      <c r="G73" s="217"/>
      <c r="H73" s="217"/>
      <c r="I73" s="217"/>
      <c r="J73" s="217"/>
      <c r="K73" s="420"/>
      <c r="L73" s="217"/>
      <c r="M73" s="217"/>
      <c r="N73" s="217"/>
      <c r="O73" s="217"/>
      <c r="P73" s="217"/>
      <c r="Q73" s="217"/>
      <c r="R73" s="217"/>
      <c r="S73" s="217"/>
      <c r="T73" s="217"/>
      <c r="U73" s="217"/>
      <c r="V73" s="217"/>
      <c r="W73" s="217"/>
      <c r="X73" s="217"/>
    </row>
    <row r="75" spans="1:26">
      <c r="B75" s="219" t="s">
        <v>230</v>
      </c>
      <c r="C75" s="229">
        <v>0.56999999999999995</v>
      </c>
      <c r="D75" s="220">
        <f>C75</f>
        <v>0.56999999999999995</v>
      </c>
      <c r="E75" s="220">
        <f t="shared" ref="E75:N76" si="115">D75</f>
        <v>0.56999999999999995</v>
      </c>
      <c r="F75" s="220">
        <f t="shared" si="115"/>
        <v>0.56999999999999995</v>
      </c>
      <c r="G75" s="220">
        <f t="shared" si="115"/>
        <v>0.56999999999999995</v>
      </c>
      <c r="H75" s="220">
        <f t="shared" si="115"/>
        <v>0.56999999999999995</v>
      </c>
      <c r="I75" s="220">
        <f t="shared" si="115"/>
        <v>0.56999999999999995</v>
      </c>
      <c r="J75" s="220">
        <f t="shared" si="115"/>
        <v>0.56999999999999995</v>
      </c>
      <c r="K75" s="220">
        <f t="shared" si="115"/>
        <v>0.56999999999999995</v>
      </c>
      <c r="L75" s="220">
        <f t="shared" si="115"/>
        <v>0.56999999999999995</v>
      </c>
      <c r="M75" s="220">
        <f t="shared" si="115"/>
        <v>0.56999999999999995</v>
      </c>
      <c r="N75" s="220">
        <f t="shared" si="115"/>
        <v>0.56999999999999995</v>
      </c>
      <c r="O75" s="220">
        <f t="shared" ref="O75:O76" si="116">N75</f>
        <v>0.56999999999999995</v>
      </c>
      <c r="P75" s="220">
        <f t="shared" ref="P75:P76" si="117">O75</f>
        <v>0.56999999999999995</v>
      </c>
      <c r="Q75" s="220">
        <f t="shared" ref="Q75:Q76" si="118">P75</f>
        <v>0.56999999999999995</v>
      </c>
      <c r="R75" s="220">
        <f t="shared" ref="R75:R76" si="119">Q75</f>
        <v>0.56999999999999995</v>
      </c>
      <c r="S75" s="220">
        <f t="shared" ref="S75:S76" si="120">R75</f>
        <v>0.56999999999999995</v>
      </c>
      <c r="T75" s="220">
        <f t="shared" ref="T75:T76" si="121">S75</f>
        <v>0.56999999999999995</v>
      </c>
      <c r="U75" s="220">
        <f t="shared" ref="U75:U76" si="122">T75</f>
        <v>0.56999999999999995</v>
      </c>
      <c r="V75" s="220">
        <f t="shared" ref="V75:V76" si="123">U75</f>
        <v>0.56999999999999995</v>
      </c>
      <c r="W75" s="220">
        <f t="shared" ref="W75:W76" si="124">V75</f>
        <v>0.56999999999999995</v>
      </c>
      <c r="X75" s="220">
        <f t="shared" ref="X75:X76" si="125">W75</f>
        <v>0.56999999999999995</v>
      </c>
    </row>
    <row r="76" spans="1:26" s="119" customFormat="1" outlineLevel="1">
      <c r="B76" s="206" t="s">
        <v>521</v>
      </c>
      <c r="C76" s="207"/>
      <c r="D76" s="207"/>
      <c r="E76" s="207"/>
      <c r="F76" s="207"/>
      <c r="G76" s="207"/>
      <c r="H76" s="207"/>
      <c r="I76" s="207"/>
      <c r="J76" s="207"/>
      <c r="K76" s="207">
        <f>J79</f>
        <v>0.10216469249999997</v>
      </c>
      <c r="L76" s="207">
        <f t="shared" si="115"/>
        <v>0.10216469249999997</v>
      </c>
      <c r="M76" s="207">
        <f t="shared" si="115"/>
        <v>0.10216469249999997</v>
      </c>
      <c r="N76" s="207">
        <f>M76</f>
        <v>0.10216469249999997</v>
      </c>
      <c r="O76" s="207">
        <f t="shared" si="116"/>
        <v>0.10216469249999997</v>
      </c>
      <c r="P76" s="207">
        <f t="shared" si="117"/>
        <v>0.10216469249999997</v>
      </c>
      <c r="Q76" s="207">
        <f t="shared" si="118"/>
        <v>0.10216469249999997</v>
      </c>
      <c r="R76" s="207">
        <f t="shared" si="119"/>
        <v>0.10216469249999997</v>
      </c>
      <c r="S76" s="207">
        <f t="shared" si="120"/>
        <v>0.10216469249999997</v>
      </c>
      <c r="T76" s="207">
        <f t="shared" si="121"/>
        <v>0.10216469249999997</v>
      </c>
      <c r="U76" s="207">
        <f t="shared" si="122"/>
        <v>0.10216469249999997</v>
      </c>
      <c r="V76" s="207">
        <f t="shared" si="123"/>
        <v>0.10216469249999997</v>
      </c>
      <c r="W76" s="207">
        <f t="shared" si="124"/>
        <v>0.10216469249999997</v>
      </c>
      <c r="X76" s="207">
        <f t="shared" si="125"/>
        <v>0.10216469249999997</v>
      </c>
      <c r="Z76" s="119" t="s">
        <v>529</v>
      </c>
    </row>
    <row r="77" spans="1:26" s="119" customFormat="1" outlineLevel="1">
      <c r="B77" s="206" t="s">
        <v>500</v>
      </c>
      <c r="C77" s="207"/>
      <c r="D77" s="207"/>
      <c r="E77" s="208"/>
      <c r="F77" s="208"/>
      <c r="G77" s="207"/>
      <c r="H77" s="223"/>
      <c r="I77" s="223"/>
      <c r="J77" s="223"/>
      <c r="K77" s="230">
        <f>J79*0.75</f>
        <v>7.6623519374999977E-2</v>
      </c>
      <c r="L77" s="223">
        <f>K77*0.3</f>
        <v>2.2987055812499994E-2</v>
      </c>
      <c r="M77" s="223">
        <f>L77*0.5</f>
        <v>1.1493527906249997E-2</v>
      </c>
      <c r="N77" s="223">
        <f>M77*0.5</f>
        <v>5.7467639531249984E-3</v>
      </c>
      <c r="O77" s="223">
        <f>N77*0.5</f>
        <v>2.8733819765624992E-3</v>
      </c>
      <c r="P77" s="223">
        <f t="shared" ref="P77:X77" si="126">O77*0.995</f>
        <v>2.8590150666796869E-3</v>
      </c>
      <c r="Q77" s="223">
        <f t="shared" si="126"/>
        <v>2.8447199913462884E-3</v>
      </c>
      <c r="R77" s="223">
        <f t="shared" si="126"/>
        <v>2.8304963913895571E-3</v>
      </c>
      <c r="S77" s="223">
        <f t="shared" si="126"/>
        <v>2.8163439094326093E-3</v>
      </c>
      <c r="T77" s="223">
        <f t="shared" si="126"/>
        <v>2.8022621898854462E-3</v>
      </c>
      <c r="U77" s="223">
        <f t="shared" si="126"/>
        <v>2.7882508789360189E-3</v>
      </c>
      <c r="V77" s="223">
        <f t="shared" si="126"/>
        <v>2.7743096245413388E-3</v>
      </c>
      <c r="W77" s="223">
        <f t="shared" si="126"/>
        <v>2.7604380764186319E-3</v>
      </c>
      <c r="X77" s="223">
        <f t="shared" si="126"/>
        <v>2.7466358860365387E-3</v>
      </c>
      <c r="Z77" s="119" t="s">
        <v>530</v>
      </c>
    </row>
    <row r="78" spans="1:26" s="119" customFormat="1" outlineLevel="1">
      <c r="B78" s="206" t="s">
        <v>522</v>
      </c>
      <c r="C78" s="207"/>
      <c r="D78" s="207"/>
      <c r="E78" s="207"/>
      <c r="F78" s="207"/>
      <c r="G78" s="207"/>
      <c r="H78" s="207"/>
      <c r="I78" s="207"/>
      <c r="J78" s="207"/>
      <c r="K78" s="207">
        <f>K77*0.8</f>
        <v>6.1298815499999985E-2</v>
      </c>
      <c r="L78" s="207">
        <f t="shared" ref="L78:X78" si="127">K78</f>
        <v>6.1298815499999985E-2</v>
      </c>
      <c r="M78" s="207">
        <f t="shared" si="127"/>
        <v>6.1298815499999985E-2</v>
      </c>
      <c r="N78" s="207">
        <f t="shared" si="127"/>
        <v>6.1298815499999985E-2</v>
      </c>
      <c r="O78" s="207">
        <f t="shared" si="127"/>
        <v>6.1298815499999985E-2</v>
      </c>
      <c r="P78" s="207">
        <f t="shared" si="127"/>
        <v>6.1298815499999985E-2</v>
      </c>
      <c r="Q78" s="207">
        <f t="shared" si="127"/>
        <v>6.1298815499999985E-2</v>
      </c>
      <c r="R78" s="207">
        <f t="shared" si="127"/>
        <v>6.1298815499999985E-2</v>
      </c>
      <c r="S78" s="207">
        <f t="shared" si="127"/>
        <v>6.1298815499999985E-2</v>
      </c>
      <c r="T78" s="207">
        <f t="shared" si="127"/>
        <v>6.1298815499999985E-2</v>
      </c>
      <c r="U78" s="207">
        <f t="shared" si="127"/>
        <v>6.1298815499999985E-2</v>
      </c>
      <c r="V78" s="207">
        <f t="shared" si="127"/>
        <v>6.1298815499999985E-2</v>
      </c>
      <c r="W78" s="207">
        <f t="shared" si="127"/>
        <v>6.1298815499999985E-2</v>
      </c>
      <c r="X78" s="207">
        <f t="shared" si="127"/>
        <v>6.1298815499999985E-2</v>
      </c>
      <c r="Z78" s="119" t="s">
        <v>531</v>
      </c>
    </row>
    <row r="79" spans="1:26">
      <c r="A79" s="210" t="s">
        <v>523</v>
      </c>
      <c r="B79" s="211" t="s">
        <v>227</v>
      </c>
      <c r="C79" s="223">
        <f>C75*0.55</f>
        <v>0.3135</v>
      </c>
      <c r="D79" s="223">
        <f>D75*0.4</f>
        <v>0.22799999999999998</v>
      </c>
      <c r="E79" s="230">
        <f>D79-5%</f>
        <v>0.17799999999999999</v>
      </c>
      <c r="F79" s="230">
        <f>E79-4%</f>
        <v>0.13799999999999998</v>
      </c>
      <c r="G79" s="207">
        <f>F79-3%</f>
        <v>0.10799999999999998</v>
      </c>
      <c r="H79" s="231">
        <f>G77*0.975</f>
        <v>0</v>
      </c>
      <c r="I79" s="231">
        <v>0.10372049999999998</v>
      </c>
      <c r="J79" s="231">
        <v>0.10216469249999997</v>
      </c>
      <c r="K79" s="224">
        <f t="shared" ref="K79:X79" si="128">CHOOSE($E$1,K76,K77,K78)</f>
        <v>7.6623519374999977E-2</v>
      </c>
      <c r="L79" s="224">
        <f t="shared" si="128"/>
        <v>2.2987055812499994E-2</v>
      </c>
      <c r="M79" s="224">
        <f t="shared" si="128"/>
        <v>1.1493527906249997E-2</v>
      </c>
      <c r="N79" s="224">
        <f t="shared" si="128"/>
        <v>5.7467639531249984E-3</v>
      </c>
      <c r="O79" s="224">
        <f t="shared" si="128"/>
        <v>2.8733819765624992E-3</v>
      </c>
      <c r="P79" s="224">
        <f t="shared" si="128"/>
        <v>2.8590150666796869E-3</v>
      </c>
      <c r="Q79" s="224">
        <f t="shared" si="128"/>
        <v>2.8447199913462884E-3</v>
      </c>
      <c r="R79" s="224">
        <f t="shared" si="128"/>
        <v>2.8304963913895571E-3</v>
      </c>
      <c r="S79" s="224">
        <f t="shared" si="128"/>
        <v>2.8163439094326093E-3</v>
      </c>
      <c r="T79" s="224">
        <f t="shared" si="128"/>
        <v>2.8022621898854462E-3</v>
      </c>
      <c r="U79" s="224">
        <f t="shared" si="128"/>
        <v>2.7882508789360189E-3</v>
      </c>
      <c r="V79" s="224">
        <f t="shared" si="128"/>
        <v>2.7743096245413388E-3</v>
      </c>
      <c r="W79" s="224">
        <f t="shared" si="128"/>
        <v>2.7604380764186319E-3</v>
      </c>
      <c r="X79" s="224">
        <f t="shared" si="128"/>
        <v>2.7466358860365387E-3</v>
      </c>
    </row>
    <row r="80" spans="1:26" s="119" customFormat="1" hidden="1" outlineLevel="1">
      <c r="B80" s="206" t="s">
        <v>521</v>
      </c>
      <c r="C80" s="207"/>
      <c r="D80" s="207"/>
      <c r="E80" s="207"/>
      <c r="F80" s="207"/>
      <c r="G80" s="207"/>
      <c r="H80" s="207"/>
      <c r="I80" s="207"/>
      <c r="J80" s="207"/>
      <c r="K80" s="207">
        <f>J83</f>
        <v>0.12</v>
      </c>
      <c r="L80" s="207">
        <f t="shared" ref="L80:V80" si="129">K80</f>
        <v>0.12</v>
      </c>
      <c r="M80" s="207">
        <f t="shared" si="129"/>
        <v>0.12</v>
      </c>
      <c r="N80" s="207">
        <f t="shared" si="129"/>
        <v>0.12</v>
      </c>
      <c r="O80" s="207">
        <f t="shared" si="129"/>
        <v>0.12</v>
      </c>
      <c r="P80" s="207">
        <f t="shared" si="129"/>
        <v>0.12</v>
      </c>
      <c r="Q80" s="207">
        <f t="shared" si="129"/>
        <v>0.12</v>
      </c>
      <c r="R80" s="207">
        <f t="shared" si="129"/>
        <v>0.12</v>
      </c>
      <c r="S80" s="207">
        <f t="shared" si="129"/>
        <v>0.12</v>
      </c>
      <c r="T80" s="207">
        <f t="shared" si="129"/>
        <v>0.12</v>
      </c>
      <c r="U80" s="207">
        <f t="shared" si="129"/>
        <v>0.12</v>
      </c>
      <c r="V80" s="207">
        <f t="shared" si="129"/>
        <v>0.12</v>
      </c>
      <c r="W80" s="208">
        <f>V80*0.8</f>
        <v>9.6000000000000002E-2</v>
      </c>
      <c r="X80" s="208">
        <v>0</v>
      </c>
      <c r="Z80" s="119" t="s">
        <v>533</v>
      </c>
    </row>
    <row r="81" spans="1:26" s="119" customFormat="1" hidden="1" outlineLevel="1">
      <c r="B81" s="206" t="s">
        <v>500</v>
      </c>
      <c r="C81" s="207"/>
      <c r="D81" s="207"/>
      <c r="E81" s="208"/>
      <c r="F81" s="208"/>
      <c r="G81" s="208"/>
      <c r="H81" s="223"/>
      <c r="I81" s="223"/>
      <c r="J81" s="223"/>
      <c r="K81" s="230">
        <f>J83*0.95</f>
        <v>0.11399999999999999</v>
      </c>
      <c r="L81" s="230">
        <f t="shared" ref="L81:Q81" si="130">K81*0.95</f>
        <v>0.10829999999999998</v>
      </c>
      <c r="M81" s="230">
        <f t="shared" si="130"/>
        <v>0.10288499999999998</v>
      </c>
      <c r="N81" s="230">
        <f t="shared" si="130"/>
        <v>9.7740749999999973E-2</v>
      </c>
      <c r="O81" s="230">
        <f t="shared" si="130"/>
        <v>9.2853712499999977E-2</v>
      </c>
      <c r="P81" s="230">
        <f t="shared" si="130"/>
        <v>8.8211026874999973E-2</v>
      </c>
      <c r="Q81" s="230">
        <f t="shared" si="130"/>
        <v>8.3800475531249974E-2</v>
      </c>
      <c r="R81" s="223">
        <f t="shared" ref="R81:V82" si="131">Q81</f>
        <v>8.3800475531249974E-2</v>
      </c>
      <c r="S81" s="223">
        <f t="shared" si="131"/>
        <v>8.3800475531249974E-2</v>
      </c>
      <c r="T81" s="223">
        <f t="shared" si="131"/>
        <v>8.3800475531249974E-2</v>
      </c>
      <c r="U81" s="223">
        <f t="shared" si="131"/>
        <v>8.3800475531249974E-2</v>
      </c>
      <c r="V81" s="223">
        <f t="shared" si="131"/>
        <v>8.3800475531249974E-2</v>
      </c>
      <c r="W81" s="225">
        <f>V81*0.2</f>
        <v>1.6760095106249994E-2</v>
      </c>
      <c r="X81" s="225">
        <v>0</v>
      </c>
      <c r="Z81" s="119" t="s">
        <v>532</v>
      </c>
    </row>
    <row r="82" spans="1:26" s="119" customFormat="1" hidden="1" outlineLevel="1">
      <c r="B82" s="206" t="s">
        <v>522</v>
      </c>
      <c r="C82" s="207"/>
      <c r="D82" s="207"/>
      <c r="E82" s="207"/>
      <c r="F82" s="207"/>
      <c r="G82" s="207"/>
      <c r="H82" s="207"/>
      <c r="I82" s="207"/>
      <c r="J82" s="207"/>
      <c r="K82" s="207">
        <f>K81*0.8</f>
        <v>9.1200000000000003E-2</v>
      </c>
      <c r="L82" s="207">
        <f t="shared" ref="L82:M82" si="132">K82</f>
        <v>9.1200000000000003E-2</v>
      </c>
      <c r="M82" s="207">
        <f t="shared" si="132"/>
        <v>9.1200000000000003E-2</v>
      </c>
      <c r="N82" s="207">
        <f>M82</f>
        <v>9.1200000000000003E-2</v>
      </c>
      <c r="O82" s="207">
        <f>N82*0.5</f>
        <v>4.5600000000000002E-2</v>
      </c>
      <c r="P82" s="207">
        <f>O82*0.2</f>
        <v>9.1200000000000014E-3</v>
      </c>
      <c r="Q82" s="207">
        <f>P82*0.05</f>
        <v>4.5600000000000008E-4</v>
      </c>
      <c r="R82" s="207">
        <f t="shared" si="131"/>
        <v>4.5600000000000008E-4</v>
      </c>
      <c r="S82" s="207">
        <f t="shared" si="131"/>
        <v>4.5600000000000008E-4</v>
      </c>
      <c r="T82" s="207">
        <f t="shared" ref="T82:V82" si="133">S82</f>
        <v>4.5600000000000008E-4</v>
      </c>
      <c r="U82" s="207">
        <f t="shared" si="133"/>
        <v>4.5600000000000008E-4</v>
      </c>
      <c r="V82" s="207">
        <f t="shared" si="133"/>
        <v>4.5600000000000008E-4</v>
      </c>
      <c r="W82" s="208">
        <f>V82*0.2</f>
        <v>9.1200000000000021E-5</v>
      </c>
      <c r="X82" s="208">
        <v>0</v>
      </c>
      <c r="Z82" s="119" t="s">
        <v>722</v>
      </c>
    </row>
    <row r="83" spans="1:26" collapsed="1">
      <c r="A83" s="210" t="s">
        <v>523</v>
      </c>
      <c r="B83" s="211" t="s">
        <v>87</v>
      </c>
      <c r="C83" s="207">
        <v>0</v>
      </c>
      <c r="D83" s="228"/>
      <c r="E83" s="228"/>
      <c r="F83" s="228"/>
      <c r="G83" s="208">
        <v>0.05</v>
      </c>
      <c r="H83" s="231">
        <v>0.1</v>
      </c>
      <c r="I83" s="231">
        <v>0.12</v>
      </c>
      <c r="J83" s="231">
        <v>0.12</v>
      </c>
      <c r="K83" s="224">
        <f t="shared" ref="K83:X83" si="134">CHOOSE($E$1,K80,K81,K82)</f>
        <v>0.11399999999999999</v>
      </c>
      <c r="L83" s="224">
        <f t="shared" si="134"/>
        <v>0.10829999999999998</v>
      </c>
      <c r="M83" s="224">
        <f t="shared" si="134"/>
        <v>0.10288499999999998</v>
      </c>
      <c r="N83" s="224">
        <f t="shared" si="134"/>
        <v>9.7740749999999973E-2</v>
      </c>
      <c r="O83" s="224">
        <f t="shared" si="134"/>
        <v>9.2853712499999977E-2</v>
      </c>
      <c r="P83" s="224">
        <f t="shared" si="134"/>
        <v>8.8211026874999973E-2</v>
      </c>
      <c r="Q83" s="224">
        <f t="shared" si="134"/>
        <v>8.3800475531249974E-2</v>
      </c>
      <c r="R83" s="224">
        <f t="shared" si="134"/>
        <v>8.3800475531249974E-2</v>
      </c>
      <c r="S83" s="224">
        <f t="shared" si="134"/>
        <v>8.3800475531249974E-2</v>
      </c>
      <c r="T83" s="224">
        <f t="shared" si="134"/>
        <v>8.3800475531249974E-2</v>
      </c>
      <c r="U83" s="224">
        <f t="shared" si="134"/>
        <v>8.3800475531249974E-2</v>
      </c>
      <c r="V83" s="224">
        <f t="shared" si="134"/>
        <v>8.3800475531249974E-2</v>
      </c>
      <c r="W83" s="224">
        <f t="shared" si="134"/>
        <v>1.6760095106249994E-2</v>
      </c>
      <c r="X83" s="224">
        <f t="shared" si="134"/>
        <v>0</v>
      </c>
    </row>
    <row r="84" spans="1:26" s="119" customFormat="1" hidden="1" outlineLevel="1">
      <c r="B84" s="206" t="s">
        <v>521</v>
      </c>
      <c r="C84" s="207"/>
      <c r="D84" s="207"/>
      <c r="E84" s="207"/>
      <c r="F84" s="207"/>
      <c r="G84" s="207"/>
      <c r="H84" s="207"/>
      <c r="I84" s="207"/>
      <c r="J84" s="207"/>
      <c r="K84" s="207">
        <f t="shared" ref="K84:N84" si="135">K85*1.35</f>
        <v>4.0500000000000001E-2</v>
      </c>
      <c r="L84" s="207">
        <f t="shared" si="135"/>
        <v>0</v>
      </c>
      <c r="M84" s="207">
        <f t="shared" si="135"/>
        <v>0</v>
      </c>
      <c r="N84" s="207">
        <f t="shared" si="135"/>
        <v>0</v>
      </c>
      <c r="O84" s="207">
        <f t="shared" ref="O84" si="136">O85*1.35</f>
        <v>0</v>
      </c>
      <c r="P84" s="207">
        <f t="shared" ref="P84" si="137">P85*1.35</f>
        <v>0</v>
      </c>
      <c r="Q84" s="207">
        <f t="shared" ref="Q84" si="138">Q85*1.35</f>
        <v>0</v>
      </c>
      <c r="R84" s="207">
        <f t="shared" ref="R84" si="139">R85*1.35</f>
        <v>0</v>
      </c>
      <c r="S84" s="207">
        <f t="shared" ref="S84" si="140">S85*1.35</f>
        <v>0</v>
      </c>
      <c r="T84" s="207">
        <f t="shared" ref="T84" si="141">T85*1.35</f>
        <v>0</v>
      </c>
      <c r="U84" s="207">
        <f t="shared" ref="U84" si="142">U85*1.35</f>
        <v>0</v>
      </c>
      <c r="V84" s="207">
        <f t="shared" ref="V84" si="143">V85*1.35</f>
        <v>0</v>
      </c>
      <c r="W84" s="207">
        <f t="shared" ref="W84" si="144">W85*1.35</f>
        <v>0</v>
      </c>
      <c r="X84" s="207">
        <f t="shared" ref="X84" si="145">X85*1.35</f>
        <v>0</v>
      </c>
    </row>
    <row r="85" spans="1:26" s="119" customFormat="1" hidden="1" outlineLevel="1">
      <c r="B85" s="206" t="s">
        <v>500</v>
      </c>
      <c r="C85" s="207"/>
      <c r="D85" s="207"/>
      <c r="E85" s="208"/>
      <c r="F85" s="208"/>
      <c r="G85" s="208"/>
      <c r="H85" s="223"/>
      <c r="I85" s="223"/>
      <c r="J85" s="231"/>
      <c r="K85" s="231">
        <f>J87*2</f>
        <v>0.03</v>
      </c>
      <c r="L85" s="231">
        <v>0</v>
      </c>
      <c r="M85" s="400">
        <f>L85</f>
        <v>0</v>
      </c>
      <c r="N85" s="400">
        <f t="shared" ref="N85:X85" si="146">M85</f>
        <v>0</v>
      </c>
      <c r="O85" s="400">
        <f t="shared" si="146"/>
        <v>0</v>
      </c>
      <c r="P85" s="400">
        <f t="shared" si="146"/>
        <v>0</v>
      </c>
      <c r="Q85" s="400">
        <f t="shared" si="146"/>
        <v>0</v>
      </c>
      <c r="R85" s="400">
        <f t="shared" si="146"/>
        <v>0</v>
      </c>
      <c r="S85" s="400">
        <f t="shared" si="146"/>
        <v>0</v>
      </c>
      <c r="T85" s="400">
        <f t="shared" si="146"/>
        <v>0</v>
      </c>
      <c r="U85" s="400">
        <f t="shared" si="146"/>
        <v>0</v>
      </c>
      <c r="V85" s="400">
        <f t="shared" si="146"/>
        <v>0</v>
      </c>
      <c r="W85" s="400">
        <f t="shared" si="146"/>
        <v>0</v>
      </c>
      <c r="X85" s="400">
        <f t="shared" si="146"/>
        <v>0</v>
      </c>
    </row>
    <row r="86" spans="1:26" s="119" customFormat="1" hidden="1" outlineLevel="1">
      <c r="B86" s="206" t="s">
        <v>522</v>
      </c>
      <c r="C86" s="207"/>
      <c r="D86" s="207"/>
      <c r="E86" s="207"/>
      <c r="F86" s="207"/>
      <c r="G86" s="207"/>
      <c r="H86" s="207"/>
      <c r="I86" s="207"/>
      <c r="J86" s="207"/>
      <c r="K86" s="207">
        <f>K85*0.8</f>
        <v>2.4E-2</v>
      </c>
      <c r="L86" s="207">
        <v>0</v>
      </c>
      <c r="M86" s="207">
        <f>L86</f>
        <v>0</v>
      </c>
      <c r="N86" s="207">
        <f>M86</f>
        <v>0</v>
      </c>
      <c r="O86" s="207">
        <f t="shared" ref="O86:X86" si="147">N86</f>
        <v>0</v>
      </c>
      <c r="P86" s="207">
        <f t="shared" si="147"/>
        <v>0</v>
      </c>
      <c r="Q86" s="207">
        <f t="shared" si="147"/>
        <v>0</v>
      </c>
      <c r="R86" s="207">
        <f t="shared" si="147"/>
        <v>0</v>
      </c>
      <c r="S86" s="207">
        <f t="shared" si="147"/>
        <v>0</v>
      </c>
      <c r="T86" s="207">
        <f t="shared" si="147"/>
        <v>0</v>
      </c>
      <c r="U86" s="207">
        <f t="shared" si="147"/>
        <v>0</v>
      </c>
      <c r="V86" s="207">
        <f t="shared" si="147"/>
        <v>0</v>
      </c>
      <c r="W86" s="207">
        <f t="shared" si="147"/>
        <v>0</v>
      </c>
      <c r="X86" s="207">
        <f t="shared" si="147"/>
        <v>0</v>
      </c>
    </row>
    <row r="87" spans="1:26" collapsed="1">
      <c r="A87" s="210" t="s">
        <v>523</v>
      </c>
      <c r="B87" s="211" t="s">
        <v>559</v>
      </c>
      <c r="C87" s="207"/>
      <c r="D87" s="228"/>
      <c r="E87" s="228"/>
      <c r="F87" s="228"/>
      <c r="G87" s="208"/>
      <c r="H87" s="224"/>
      <c r="I87" s="224"/>
      <c r="J87" s="231">
        <v>1.4999999999999999E-2</v>
      </c>
      <c r="K87" s="224">
        <f>CHOOSE($E$1,K84,K85,K86)</f>
        <v>0.03</v>
      </c>
      <c r="L87" s="224">
        <f>CHOOSE($E$1,L84,L85,L86)</f>
        <v>0</v>
      </c>
      <c r="M87" s="224">
        <f>CHOOSE($E$1,M84,M85,M86)</f>
        <v>0</v>
      </c>
      <c r="N87" s="224">
        <f>CHOOSE($E$1,N84,N85,N86)</f>
        <v>0</v>
      </c>
      <c r="O87" s="224">
        <f t="shared" ref="O87:X87" si="148">CHOOSE($E$1,O84,O85,O86)</f>
        <v>0</v>
      </c>
      <c r="P87" s="224">
        <f t="shared" si="148"/>
        <v>0</v>
      </c>
      <c r="Q87" s="224">
        <f t="shared" si="148"/>
        <v>0</v>
      </c>
      <c r="R87" s="224">
        <f t="shared" si="148"/>
        <v>0</v>
      </c>
      <c r="S87" s="224">
        <f t="shared" si="148"/>
        <v>0</v>
      </c>
      <c r="T87" s="224">
        <f t="shared" si="148"/>
        <v>0</v>
      </c>
      <c r="U87" s="224">
        <f t="shared" si="148"/>
        <v>0</v>
      </c>
      <c r="V87" s="224">
        <f t="shared" si="148"/>
        <v>0</v>
      </c>
      <c r="W87" s="224">
        <f t="shared" si="148"/>
        <v>0</v>
      </c>
      <c r="X87" s="224">
        <f t="shared" si="148"/>
        <v>0</v>
      </c>
    </row>
    <row r="88" spans="1:26" hidden="1" outlineLevel="1">
      <c r="A88" s="416"/>
      <c r="B88" s="206" t="s">
        <v>521</v>
      </c>
      <c r="C88" s="208"/>
      <c r="D88" s="208"/>
      <c r="E88" s="208"/>
      <c r="F88" s="208"/>
      <c r="G88" s="208"/>
      <c r="H88" s="231"/>
      <c r="I88" s="223"/>
      <c r="J88" s="223"/>
      <c r="K88" s="223">
        <v>0.05</v>
      </c>
      <c r="L88" s="223">
        <f>K88*1.75</f>
        <v>8.7500000000000008E-2</v>
      </c>
      <c r="M88" s="223">
        <f>L88*1.5</f>
        <v>0.13125000000000001</v>
      </c>
      <c r="N88" s="223">
        <f>M88*1.35</f>
        <v>0.17718750000000003</v>
      </c>
      <c r="O88" s="223">
        <f>N88*1.2</f>
        <v>0.21262500000000004</v>
      </c>
      <c r="P88" s="223">
        <f>P73*0.4</f>
        <v>0</v>
      </c>
      <c r="Q88" s="223">
        <f>P88</f>
        <v>0</v>
      </c>
      <c r="R88" s="223">
        <f t="shared" ref="R88:X88" si="149">Q88</f>
        <v>0</v>
      </c>
      <c r="S88" s="223">
        <f t="shared" si="149"/>
        <v>0</v>
      </c>
      <c r="T88" s="223">
        <f t="shared" si="149"/>
        <v>0</v>
      </c>
      <c r="U88" s="223">
        <f t="shared" si="149"/>
        <v>0</v>
      </c>
      <c r="V88" s="223">
        <f t="shared" si="149"/>
        <v>0</v>
      </c>
      <c r="W88" s="223">
        <f t="shared" si="149"/>
        <v>0</v>
      </c>
      <c r="X88" s="223">
        <f t="shared" si="149"/>
        <v>0</v>
      </c>
    </row>
    <row r="89" spans="1:26" hidden="1" outlineLevel="1">
      <c r="A89" s="416"/>
      <c r="B89" s="206" t="s">
        <v>500</v>
      </c>
      <c r="C89" s="208"/>
      <c r="D89" s="208"/>
      <c r="E89" s="208"/>
      <c r="F89" s="208"/>
      <c r="G89" s="208"/>
      <c r="H89" s="231"/>
      <c r="I89" s="223"/>
      <c r="J89" s="223"/>
      <c r="K89" s="223">
        <v>6.5000000000000002E-2</v>
      </c>
      <c r="L89" s="223">
        <f>K89*2</f>
        <v>0.13</v>
      </c>
      <c r="M89" s="223">
        <f>L89*1.5</f>
        <v>0.19500000000000001</v>
      </c>
      <c r="N89" s="223">
        <f>M89*1.3</f>
        <v>0.2535</v>
      </c>
      <c r="O89" s="223">
        <f>N89*1.2</f>
        <v>0.30419999999999997</v>
      </c>
      <c r="P89" s="223">
        <f>P75*0.65</f>
        <v>0.3705</v>
      </c>
      <c r="Q89" s="223">
        <f>P89</f>
        <v>0.3705</v>
      </c>
      <c r="R89" s="223">
        <f t="shared" ref="R89:X89" si="150">Q89</f>
        <v>0.3705</v>
      </c>
      <c r="S89" s="223">
        <f t="shared" si="150"/>
        <v>0.3705</v>
      </c>
      <c r="T89" s="223">
        <f t="shared" si="150"/>
        <v>0.3705</v>
      </c>
      <c r="U89" s="223">
        <f t="shared" si="150"/>
        <v>0.3705</v>
      </c>
      <c r="V89" s="223">
        <f t="shared" si="150"/>
        <v>0.3705</v>
      </c>
      <c r="W89" s="223">
        <f t="shared" si="150"/>
        <v>0.3705</v>
      </c>
      <c r="X89" s="223">
        <f t="shared" si="150"/>
        <v>0.3705</v>
      </c>
    </row>
    <row r="90" spans="1:26" hidden="1" outlineLevel="1">
      <c r="A90" s="416"/>
      <c r="B90" s="206" t="s">
        <v>522</v>
      </c>
      <c r="C90" s="208"/>
      <c r="D90" s="208"/>
      <c r="E90" s="208"/>
      <c r="F90" s="208"/>
      <c r="G90" s="208"/>
      <c r="H90" s="231"/>
      <c r="I90" s="223"/>
      <c r="J90" s="223"/>
      <c r="K90" s="223">
        <f>K89*1.1</f>
        <v>7.1500000000000008E-2</v>
      </c>
      <c r="L90" s="223">
        <f t="shared" ref="L90" si="151">L89*1.1</f>
        <v>0.14300000000000002</v>
      </c>
      <c r="M90" s="223">
        <f>M89*1.2</f>
        <v>0.23399999999999999</v>
      </c>
      <c r="N90" s="223">
        <f>N89*1.25</f>
        <v>0.31687500000000002</v>
      </c>
      <c r="O90" s="223">
        <f t="shared" ref="O90:X90" si="152">O89*1.25</f>
        <v>0.38024999999999998</v>
      </c>
      <c r="P90" s="223">
        <f t="shared" si="152"/>
        <v>0.46312500000000001</v>
      </c>
      <c r="Q90" s="223">
        <f t="shared" si="152"/>
        <v>0.46312500000000001</v>
      </c>
      <c r="R90" s="223">
        <f t="shared" si="152"/>
        <v>0.46312500000000001</v>
      </c>
      <c r="S90" s="223">
        <f t="shared" si="152"/>
        <v>0.46312500000000001</v>
      </c>
      <c r="T90" s="223">
        <f t="shared" si="152"/>
        <v>0.46312500000000001</v>
      </c>
      <c r="U90" s="223">
        <f t="shared" si="152"/>
        <v>0.46312500000000001</v>
      </c>
      <c r="V90" s="223">
        <f t="shared" si="152"/>
        <v>0.46312500000000001</v>
      </c>
      <c r="W90" s="223">
        <f t="shared" si="152"/>
        <v>0.46312500000000001</v>
      </c>
      <c r="X90" s="223">
        <f t="shared" si="152"/>
        <v>0.46312500000000001</v>
      </c>
    </row>
    <row r="91" spans="1:26" collapsed="1">
      <c r="A91" s="210" t="s">
        <v>523</v>
      </c>
      <c r="B91" s="211" t="s">
        <v>809</v>
      </c>
      <c r="C91" s="208">
        <v>3.4000000000000002E-2</v>
      </c>
      <c r="D91" s="208"/>
      <c r="E91" s="208"/>
      <c r="F91" s="208"/>
      <c r="G91" s="208"/>
      <c r="H91" s="231"/>
      <c r="I91" s="224"/>
      <c r="J91" s="224"/>
      <c r="K91" s="224">
        <f t="shared" ref="K91:X91" si="153">CHOOSE($E$1,K88,K89,K90)</f>
        <v>6.5000000000000002E-2</v>
      </c>
      <c r="L91" s="224">
        <f t="shared" si="153"/>
        <v>0.13</v>
      </c>
      <c r="M91" s="224">
        <f t="shared" si="153"/>
        <v>0.19500000000000001</v>
      </c>
      <c r="N91" s="224">
        <f t="shared" si="153"/>
        <v>0.2535</v>
      </c>
      <c r="O91" s="224">
        <f t="shared" si="153"/>
        <v>0.30419999999999997</v>
      </c>
      <c r="P91" s="224">
        <f t="shared" si="153"/>
        <v>0.3705</v>
      </c>
      <c r="Q91" s="224">
        <f t="shared" si="153"/>
        <v>0.3705</v>
      </c>
      <c r="R91" s="224">
        <f t="shared" si="153"/>
        <v>0.3705</v>
      </c>
      <c r="S91" s="224">
        <f t="shared" si="153"/>
        <v>0.3705</v>
      </c>
      <c r="T91" s="224">
        <f t="shared" si="153"/>
        <v>0.3705</v>
      </c>
      <c r="U91" s="224">
        <f t="shared" si="153"/>
        <v>0.3705</v>
      </c>
      <c r="V91" s="224">
        <f t="shared" si="153"/>
        <v>0.3705</v>
      </c>
      <c r="W91" s="224">
        <f t="shared" si="153"/>
        <v>0.3705</v>
      </c>
      <c r="X91" s="224">
        <f t="shared" si="153"/>
        <v>0.3705</v>
      </c>
    </row>
    <row r="92" spans="1:26">
      <c r="B92" s="203" t="s">
        <v>75</v>
      </c>
      <c r="C92" s="125">
        <f>C75-C83-C79</f>
        <v>0.25649999999999995</v>
      </c>
      <c r="D92" s="125">
        <f>D75-D83-D79</f>
        <v>0.34199999999999997</v>
      </c>
      <c r="E92" s="125">
        <f>E75-E83-E79-E87</f>
        <v>0.39199999999999996</v>
      </c>
      <c r="F92" s="125">
        <f t="shared" ref="F92" si="154">F75-F83-F79-F87</f>
        <v>0.43199999999999994</v>
      </c>
      <c r="G92" s="125">
        <f t="shared" ref="G92:W92" si="155">G75-G83-G79-G87-G91</f>
        <v>0.41199999999999992</v>
      </c>
      <c r="H92" s="125">
        <f t="shared" si="155"/>
        <v>0.47</v>
      </c>
      <c r="I92" s="125">
        <f t="shared" si="155"/>
        <v>0.34627949999999996</v>
      </c>
      <c r="J92" s="125">
        <f t="shared" si="155"/>
        <v>0.33283530749999996</v>
      </c>
      <c r="K92" s="125">
        <f t="shared" si="155"/>
        <v>0.28437648062499993</v>
      </c>
      <c r="L92" s="125">
        <f t="shared" si="155"/>
        <v>0.3087129441875</v>
      </c>
      <c r="M92" s="125">
        <f t="shared" si="155"/>
        <v>0.26062147209374992</v>
      </c>
      <c r="N92" s="125">
        <f t="shared" si="155"/>
        <v>0.21301248604687495</v>
      </c>
      <c r="O92" s="125">
        <f t="shared" si="155"/>
        <v>0.17007290552343751</v>
      </c>
      <c r="P92" s="125">
        <f t="shared" si="155"/>
        <v>0.10842995805832029</v>
      </c>
      <c r="Q92" s="125">
        <f t="shared" si="155"/>
        <v>0.1128548044774037</v>
      </c>
      <c r="R92" s="125">
        <f t="shared" si="155"/>
        <v>0.11286902807736043</v>
      </c>
      <c r="S92" s="125">
        <f t="shared" si="155"/>
        <v>0.1128831805593174</v>
      </c>
      <c r="T92" s="125">
        <f t="shared" si="155"/>
        <v>0.11289726227886454</v>
      </c>
      <c r="U92" s="125">
        <f t="shared" si="155"/>
        <v>0.11291127358981395</v>
      </c>
      <c r="V92" s="125">
        <f t="shared" si="155"/>
        <v>0.11292521484420864</v>
      </c>
      <c r="W92" s="125">
        <f t="shared" si="155"/>
        <v>0.17997946681733129</v>
      </c>
      <c r="X92" s="125">
        <f>X75-X83-X79-X87-X91</f>
        <v>0.19675336411396344</v>
      </c>
    </row>
    <row r="94" spans="1:26">
      <c r="B94" s="219" t="s">
        <v>231</v>
      </c>
      <c r="C94" s="229">
        <f>1-C75</f>
        <v>0.43000000000000005</v>
      </c>
      <c r="D94" s="220">
        <f>C94</f>
        <v>0.43000000000000005</v>
      </c>
      <c r="E94" s="220">
        <f t="shared" ref="E94:N94" si="156">D94</f>
        <v>0.43000000000000005</v>
      </c>
      <c r="F94" s="220">
        <f t="shared" si="156"/>
        <v>0.43000000000000005</v>
      </c>
      <c r="G94" s="220">
        <f t="shared" si="156"/>
        <v>0.43000000000000005</v>
      </c>
      <c r="H94" s="220">
        <f t="shared" si="156"/>
        <v>0.43000000000000005</v>
      </c>
      <c r="I94" s="220">
        <f t="shared" si="156"/>
        <v>0.43000000000000005</v>
      </c>
      <c r="J94" s="220">
        <f t="shared" si="156"/>
        <v>0.43000000000000005</v>
      </c>
      <c r="K94" s="220">
        <f t="shared" si="156"/>
        <v>0.43000000000000005</v>
      </c>
      <c r="L94" s="220">
        <f t="shared" si="156"/>
        <v>0.43000000000000005</v>
      </c>
      <c r="M94" s="220">
        <f t="shared" si="156"/>
        <v>0.43000000000000005</v>
      </c>
      <c r="N94" s="220">
        <f t="shared" si="156"/>
        <v>0.43000000000000005</v>
      </c>
      <c r="O94" s="220">
        <f t="shared" ref="O94" si="157">N94</f>
        <v>0.43000000000000005</v>
      </c>
      <c r="P94" s="220">
        <f t="shared" ref="P94" si="158">O94</f>
        <v>0.43000000000000005</v>
      </c>
      <c r="Q94" s="220">
        <f t="shared" ref="Q94" si="159">P94</f>
        <v>0.43000000000000005</v>
      </c>
      <c r="R94" s="220">
        <f t="shared" ref="R94" si="160">Q94</f>
        <v>0.43000000000000005</v>
      </c>
      <c r="S94" s="220">
        <f t="shared" ref="S94" si="161">R94</f>
        <v>0.43000000000000005</v>
      </c>
      <c r="T94" s="220">
        <f t="shared" ref="T94" si="162">S94</f>
        <v>0.43000000000000005</v>
      </c>
      <c r="U94" s="220">
        <f t="shared" ref="U94" si="163">T94</f>
        <v>0.43000000000000005</v>
      </c>
      <c r="V94" s="220">
        <f t="shared" ref="V94" si="164">U94</f>
        <v>0.43000000000000005</v>
      </c>
      <c r="W94" s="220">
        <f t="shared" ref="W94" si="165">V94</f>
        <v>0.43000000000000005</v>
      </c>
      <c r="X94" s="220">
        <f t="shared" ref="X94" si="166">W94</f>
        <v>0.43000000000000005</v>
      </c>
    </row>
    <row r="95" spans="1:26" s="119" customFormat="1" hidden="1" outlineLevel="1">
      <c r="B95" s="206" t="s">
        <v>521</v>
      </c>
      <c r="C95" s="207"/>
      <c r="D95" s="207"/>
      <c r="E95" s="207"/>
      <c r="F95" s="207"/>
      <c r="G95" s="207"/>
      <c r="H95" s="207"/>
      <c r="I95" s="207"/>
      <c r="J95" s="207"/>
      <c r="K95" s="207">
        <f>K94-K103</f>
        <v>0.42000000000000004</v>
      </c>
      <c r="L95" s="207">
        <f>L94-L103</f>
        <v>0.42000000000000004</v>
      </c>
      <c r="M95" s="207">
        <f>M94-M103</f>
        <v>0.42000000000000004</v>
      </c>
      <c r="N95" s="207">
        <f>N94-N103</f>
        <v>0.42000000000000004</v>
      </c>
      <c r="O95" s="207">
        <f t="shared" ref="O95:X95" si="167">O94-O103</f>
        <v>0.42000000000000004</v>
      </c>
      <c r="P95" s="207">
        <f t="shared" si="167"/>
        <v>0.42000000000000004</v>
      </c>
      <c r="Q95" s="207">
        <f t="shared" si="167"/>
        <v>0.42000000000000004</v>
      </c>
      <c r="R95" s="207">
        <f t="shared" si="167"/>
        <v>0.42000000000000004</v>
      </c>
      <c r="S95" s="207">
        <f t="shared" si="167"/>
        <v>0.42000000000000004</v>
      </c>
      <c r="T95" s="207">
        <f t="shared" si="167"/>
        <v>0.42000000000000004</v>
      </c>
      <c r="U95" s="207">
        <f t="shared" si="167"/>
        <v>0.42000000000000004</v>
      </c>
      <c r="V95" s="207">
        <f t="shared" si="167"/>
        <v>0.42000000000000004</v>
      </c>
      <c r="W95" s="207">
        <f t="shared" si="167"/>
        <v>0.42000000000000004</v>
      </c>
      <c r="X95" s="207">
        <f t="shared" si="167"/>
        <v>0.42000000000000004</v>
      </c>
    </row>
    <row r="96" spans="1:26" s="119" customFormat="1" hidden="1" outlineLevel="1">
      <c r="B96" s="206" t="s">
        <v>500</v>
      </c>
      <c r="C96" s="207"/>
      <c r="D96" s="207"/>
      <c r="E96" s="208"/>
      <c r="F96" s="208"/>
      <c r="G96" s="225"/>
      <c r="H96" s="223"/>
      <c r="I96" s="223"/>
      <c r="J96" s="223"/>
      <c r="K96" s="230">
        <f t="shared" ref="K96" si="168">K94*0.9</f>
        <v>0.38700000000000007</v>
      </c>
      <c r="L96" s="223">
        <f>L94*0.85</f>
        <v>0.36550000000000005</v>
      </c>
      <c r="M96" s="223">
        <f>M94*0.835</f>
        <v>0.35905000000000004</v>
      </c>
      <c r="N96" s="223">
        <f>N94*0.825</f>
        <v>0.35475000000000001</v>
      </c>
      <c r="O96" s="223">
        <f>O94*0.8</f>
        <v>0.34400000000000008</v>
      </c>
      <c r="P96" s="223">
        <f t="shared" ref="P96:X96" si="169">P94*0.8</f>
        <v>0.34400000000000008</v>
      </c>
      <c r="Q96" s="223">
        <f t="shared" si="169"/>
        <v>0.34400000000000008</v>
      </c>
      <c r="R96" s="223">
        <f t="shared" si="169"/>
        <v>0.34400000000000008</v>
      </c>
      <c r="S96" s="223">
        <f t="shared" si="169"/>
        <v>0.34400000000000008</v>
      </c>
      <c r="T96" s="223">
        <f t="shared" si="169"/>
        <v>0.34400000000000008</v>
      </c>
      <c r="U96" s="223">
        <f t="shared" si="169"/>
        <v>0.34400000000000008</v>
      </c>
      <c r="V96" s="223">
        <f t="shared" si="169"/>
        <v>0.34400000000000008</v>
      </c>
      <c r="W96" s="223">
        <f t="shared" si="169"/>
        <v>0.34400000000000008</v>
      </c>
      <c r="X96" s="223">
        <f t="shared" si="169"/>
        <v>0.34400000000000008</v>
      </c>
    </row>
    <row r="97" spans="1:26" s="119" customFormat="1" hidden="1" outlineLevel="1">
      <c r="B97" s="206" t="s">
        <v>522</v>
      </c>
      <c r="C97" s="207"/>
      <c r="D97" s="207"/>
      <c r="E97" s="207"/>
      <c r="F97" s="207"/>
      <c r="G97" s="207"/>
      <c r="H97" s="207"/>
      <c r="I97" s="207"/>
      <c r="J97" s="207"/>
      <c r="K97" s="207">
        <f>K96*0.975</f>
        <v>0.37732500000000008</v>
      </c>
      <c r="L97" s="207">
        <f t="shared" ref="L97:M97" si="170">K97*0.975</f>
        <v>0.36789187500000009</v>
      </c>
      <c r="M97" s="207">
        <f t="shared" si="170"/>
        <v>0.35869457812500011</v>
      </c>
      <c r="N97" s="207">
        <f>M97*0.9</f>
        <v>0.3228251203125001</v>
      </c>
      <c r="O97" s="207">
        <f>N97*0.85</f>
        <v>0.27440135226562506</v>
      </c>
      <c r="P97" s="207">
        <f>O97*0.9</f>
        <v>0.24696121703906257</v>
      </c>
      <c r="Q97" s="207">
        <f>P97*0.9</f>
        <v>0.22226509533515632</v>
      </c>
      <c r="R97" s="207">
        <f t="shared" ref="R97:X97" si="171">Q97*0.975</f>
        <v>0.21670846795177739</v>
      </c>
      <c r="S97" s="207">
        <f t="shared" si="171"/>
        <v>0.21129075625298296</v>
      </c>
      <c r="T97" s="207">
        <f t="shared" si="171"/>
        <v>0.20600848734665839</v>
      </c>
      <c r="U97" s="207">
        <f t="shared" si="171"/>
        <v>0.20085827516299193</v>
      </c>
      <c r="V97" s="207">
        <f t="shared" si="171"/>
        <v>0.19583681828391714</v>
      </c>
      <c r="W97" s="207">
        <f t="shared" si="171"/>
        <v>0.19094089782681919</v>
      </c>
      <c r="X97" s="207">
        <f t="shared" si="171"/>
        <v>0.18616737538114872</v>
      </c>
    </row>
    <row r="98" spans="1:26" collapsed="1">
      <c r="A98" s="210" t="s">
        <v>523</v>
      </c>
      <c r="B98" s="211" t="s">
        <v>227</v>
      </c>
      <c r="C98" s="223">
        <f>0.55*C94</f>
        <v>0.23650000000000004</v>
      </c>
      <c r="D98" s="223">
        <f>D94*0.7</f>
        <v>0.30099999999999999</v>
      </c>
      <c r="E98" s="223">
        <f>E94*0.85</f>
        <v>0.36550000000000005</v>
      </c>
      <c r="F98" s="223">
        <f>F94*0.9</f>
        <v>0.38700000000000007</v>
      </c>
      <c r="G98" s="223">
        <f>G94*0.9</f>
        <v>0.38700000000000007</v>
      </c>
      <c r="H98" s="231">
        <f>H94*0.89</f>
        <v>0.38270000000000004</v>
      </c>
      <c r="I98" s="231">
        <v>0.38700000000000007</v>
      </c>
      <c r="J98" s="231">
        <v>0.41925000000000001</v>
      </c>
      <c r="K98" s="224">
        <f t="shared" ref="K98:X98" si="172">CHOOSE($E$1,K95,K96,K97)</f>
        <v>0.38700000000000007</v>
      </c>
      <c r="L98" s="224">
        <f t="shared" si="172"/>
        <v>0.36550000000000005</v>
      </c>
      <c r="M98" s="224">
        <f t="shared" si="172"/>
        <v>0.35905000000000004</v>
      </c>
      <c r="N98" s="224">
        <f t="shared" si="172"/>
        <v>0.35475000000000001</v>
      </c>
      <c r="O98" s="224">
        <f t="shared" si="172"/>
        <v>0.34400000000000008</v>
      </c>
      <c r="P98" s="224">
        <f t="shared" si="172"/>
        <v>0.34400000000000008</v>
      </c>
      <c r="Q98" s="224">
        <f t="shared" si="172"/>
        <v>0.34400000000000008</v>
      </c>
      <c r="R98" s="224">
        <f t="shared" si="172"/>
        <v>0.34400000000000008</v>
      </c>
      <c r="S98" s="224">
        <f t="shared" si="172"/>
        <v>0.34400000000000008</v>
      </c>
      <c r="T98" s="224">
        <f t="shared" si="172"/>
        <v>0.34400000000000008</v>
      </c>
      <c r="U98" s="224">
        <f t="shared" si="172"/>
        <v>0.34400000000000008</v>
      </c>
      <c r="V98" s="224">
        <f t="shared" si="172"/>
        <v>0.34400000000000008</v>
      </c>
      <c r="W98" s="224">
        <f t="shared" si="172"/>
        <v>0.34400000000000008</v>
      </c>
      <c r="X98" s="224">
        <f t="shared" si="172"/>
        <v>0.34400000000000008</v>
      </c>
      <c r="Z98" s="116" t="s">
        <v>232</v>
      </c>
    </row>
    <row r="99" spans="1:26" hidden="1" outlineLevel="1">
      <c r="A99" s="416"/>
      <c r="B99" s="206" t="s">
        <v>521</v>
      </c>
      <c r="C99" s="208"/>
      <c r="D99" s="208"/>
      <c r="E99" s="208"/>
      <c r="F99" s="208"/>
      <c r="G99" s="208"/>
      <c r="H99" s="231"/>
      <c r="I99" s="223"/>
      <c r="J99" s="223"/>
      <c r="K99" s="223">
        <v>0</v>
      </c>
      <c r="L99" s="223">
        <f>K99*1.75</f>
        <v>0</v>
      </c>
      <c r="M99" s="223">
        <f>L99*1.5</f>
        <v>0</v>
      </c>
      <c r="N99" s="223">
        <f>M99*1.35</f>
        <v>0</v>
      </c>
      <c r="O99" s="223">
        <f>N99*1.2</f>
        <v>0</v>
      </c>
      <c r="P99" s="223">
        <f t="shared" ref="P99:X99" si="173">O99*1.2</f>
        <v>0</v>
      </c>
      <c r="Q99" s="223">
        <f t="shared" si="173"/>
        <v>0</v>
      </c>
      <c r="R99" s="223">
        <f t="shared" si="173"/>
        <v>0</v>
      </c>
      <c r="S99" s="223">
        <f t="shared" si="173"/>
        <v>0</v>
      </c>
      <c r="T99" s="223">
        <f t="shared" si="173"/>
        <v>0</v>
      </c>
      <c r="U99" s="223">
        <f t="shared" si="173"/>
        <v>0</v>
      </c>
      <c r="V99" s="223">
        <f t="shared" si="173"/>
        <v>0</v>
      </c>
      <c r="W99" s="223">
        <f t="shared" si="173"/>
        <v>0</v>
      </c>
      <c r="X99" s="223">
        <f t="shared" si="173"/>
        <v>0</v>
      </c>
    </row>
    <row r="100" spans="1:26" hidden="1" outlineLevel="1">
      <c r="A100" s="416"/>
      <c r="B100" s="206" t="s">
        <v>500</v>
      </c>
      <c r="C100" s="208"/>
      <c r="D100" s="208"/>
      <c r="E100" s="208"/>
      <c r="F100" s="208"/>
      <c r="G100" s="208"/>
      <c r="H100" s="231"/>
      <c r="I100" s="223"/>
      <c r="J100" s="223"/>
      <c r="K100" s="223">
        <f>K94*0.05</f>
        <v>2.1500000000000005E-2</v>
      </c>
      <c r="L100" s="223">
        <f>L94*0.095</f>
        <v>4.0850000000000004E-2</v>
      </c>
      <c r="M100" s="223">
        <f>M94*0.11</f>
        <v>4.7300000000000009E-2</v>
      </c>
      <c r="N100" s="223">
        <f>N94*0.125</f>
        <v>5.3750000000000006E-2</v>
      </c>
      <c r="O100" s="223">
        <f>O94*0.15</f>
        <v>6.4500000000000002E-2</v>
      </c>
      <c r="P100" s="223">
        <f t="shared" ref="P100:X100" si="174">P94*0.15</f>
        <v>6.4500000000000002E-2</v>
      </c>
      <c r="Q100" s="223">
        <f t="shared" si="174"/>
        <v>6.4500000000000002E-2</v>
      </c>
      <c r="R100" s="223">
        <f t="shared" si="174"/>
        <v>6.4500000000000002E-2</v>
      </c>
      <c r="S100" s="223">
        <f t="shared" si="174"/>
        <v>6.4500000000000002E-2</v>
      </c>
      <c r="T100" s="223">
        <f t="shared" si="174"/>
        <v>6.4500000000000002E-2</v>
      </c>
      <c r="U100" s="223">
        <f t="shared" si="174"/>
        <v>6.4500000000000002E-2</v>
      </c>
      <c r="V100" s="223">
        <f t="shared" si="174"/>
        <v>6.4500000000000002E-2</v>
      </c>
      <c r="W100" s="223">
        <f t="shared" si="174"/>
        <v>6.4500000000000002E-2</v>
      </c>
      <c r="X100" s="223">
        <f t="shared" si="174"/>
        <v>6.4500000000000002E-2</v>
      </c>
    </row>
    <row r="101" spans="1:26" hidden="1" outlineLevel="1">
      <c r="A101" s="416"/>
      <c r="B101" s="206" t="s">
        <v>522</v>
      </c>
      <c r="C101" s="208"/>
      <c r="D101" s="208"/>
      <c r="E101" s="208"/>
      <c r="F101" s="208"/>
      <c r="G101" s="208"/>
      <c r="H101" s="231"/>
      <c r="I101" s="223"/>
      <c r="J101" s="223"/>
      <c r="K101" s="223">
        <f>K95*0.05</f>
        <v>2.1000000000000005E-2</v>
      </c>
      <c r="L101" s="223">
        <f>L94*0.1</f>
        <v>4.300000000000001E-2</v>
      </c>
      <c r="M101" s="223">
        <f>M94*0.175</f>
        <v>7.5249999999999997E-2</v>
      </c>
      <c r="N101" s="223">
        <f>N94*0.25</f>
        <v>0.10750000000000001</v>
      </c>
      <c r="O101" s="223">
        <f>O94*0.35</f>
        <v>0.15049999999999999</v>
      </c>
      <c r="P101" s="223">
        <f>P94*0.425</f>
        <v>0.18275000000000002</v>
      </c>
      <c r="Q101" s="223">
        <f>Q94*0.45</f>
        <v>0.19350000000000003</v>
      </c>
      <c r="R101" s="223">
        <f t="shared" ref="R101:X101" si="175">R94*0.45</f>
        <v>0.19350000000000003</v>
      </c>
      <c r="S101" s="223">
        <f t="shared" si="175"/>
        <v>0.19350000000000003</v>
      </c>
      <c r="T101" s="223">
        <f t="shared" si="175"/>
        <v>0.19350000000000003</v>
      </c>
      <c r="U101" s="223">
        <f t="shared" si="175"/>
        <v>0.19350000000000003</v>
      </c>
      <c r="V101" s="223">
        <f t="shared" si="175"/>
        <v>0.19350000000000003</v>
      </c>
      <c r="W101" s="223">
        <f t="shared" si="175"/>
        <v>0.19350000000000003</v>
      </c>
      <c r="X101" s="223">
        <f t="shared" si="175"/>
        <v>0.19350000000000003</v>
      </c>
    </row>
    <row r="102" spans="1:26" collapsed="1">
      <c r="A102" s="210" t="s">
        <v>523</v>
      </c>
      <c r="B102" s="211" t="s">
        <v>809</v>
      </c>
      <c r="C102" s="208">
        <v>3.4000000000000002E-2</v>
      </c>
      <c r="D102" s="208"/>
      <c r="E102" s="208"/>
      <c r="F102" s="208"/>
      <c r="G102" s="208"/>
      <c r="H102" s="231"/>
      <c r="I102" s="224"/>
      <c r="J102" s="224"/>
      <c r="K102" s="224">
        <f t="shared" ref="K102:X102" si="176">CHOOSE($E$1,K99,K100,K101)</f>
        <v>2.1500000000000005E-2</v>
      </c>
      <c r="L102" s="224">
        <f t="shared" si="176"/>
        <v>4.0850000000000004E-2</v>
      </c>
      <c r="M102" s="224">
        <f t="shared" si="176"/>
        <v>4.7300000000000009E-2</v>
      </c>
      <c r="N102" s="224">
        <f t="shared" si="176"/>
        <v>5.3750000000000006E-2</v>
      </c>
      <c r="O102" s="224">
        <f t="shared" si="176"/>
        <v>6.4500000000000002E-2</v>
      </c>
      <c r="P102" s="224">
        <f t="shared" si="176"/>
        <v>6.4500000000000002E-2</v>
      </c>
      <c r="Q102" s="224">
        <f t="shared" si="176"/>
        <v>6.4500000000000002E-2</v>
      </c>
      <c r="R102" s="224">
        <f t="shared" si="176"/>
        <v>6.4500000000000002E-2</v>
      </c>
      <c r="S102" s="224">
        <f t="shared" si="176"/>
        <v>6.4500000000000002E-2</v>
      </c>
      <c r="T102" s="224">
        <f t="shared" si="176"/>
        <v>6.4500000000000002E-2</v>
      </c>
      <c r="U102" s="224">
        <f t="shared" si="176"/>
        <v>6.4500000000000002E-2</v>
      </c>
      <c r="V102" s="224">
        <f t="shared" si="176"/>
        <v>6.4500000000000002E-2</v>
      </c>
      <c r="W102" s="224">
        <f t="shared" si="176"/>
        <v>6.4500000000000002E-2</v>
      </c>
      <c r="X102" s="224">
        <f t="shared" si="176"/>
        <v>6.4500000000000002E-2</v>
      </c>
    </row>
    <row r="103" spans="1:26">
      <c r="B103" s="203" t="s">
        <v>87</v>
      </c>
      <c r="G103" s="125">
        <v>0.01</v>
      </c>
      <c r="H103" s="125">
        <f>G103</f>
        <v>0.01</v>
      </c>
      <c r="I103" s="125">
        <f t="shared" ref="I103:N103" si="177">H103</f>
        <v>0.01</v>
      </c>
      <c r="J103" s="125">
        <f t="shared" si="177"/>
        <v>0.01</v>
      </c>
      <c r="K103" s="125">
        <f t="shared" si="177"/>
        <v>0.01</v>
      </c>
      <c r="L103" s="125">
        <f t="shared" si="177"/>
        <v>0.01</v>
      </c>
      <c r="M103" s="125">
        <f t="shared" si="177"/>
        <v>0.01</v>
      </c>
      <c r="N103" s="125">
        <f t="shared" si="177"/>
        <v>0.01</v>
      </c>
      <c r="O103" s="125">
        <f t="shared" ref="O103" si="178">N103</f>
        <v>0.01</v>
      </c>
      <c r="P103" s="125">
        <f t="shared" ref="P103" si="179">O103</f>
        <v>0.01</v>
      </c>
      <c r="Q103" s="125">
        <f t="shared" ref="Q103" si="180">P103</f>
        <v>0.01</v>
      </c>
      <c r="R103" s="125">
        <f t="shared" ref="R103" si="181">Q103</f>
        <v>0.01</v>
      </c>
      <c r="S103" s="125">
        <f t="shared" ref="S103" si="182">R103</f>
        <v>0.01</v>
      </c>
      <c r="T103" s="125">
        <f t="shared" ref="T103" si="183">S103</f>
        <v>0.01</v>
      </c>
      <c r="U103" s="125">
        <f t="shared" ref="U103" si="184">T103</f>
        <v>0.01</v>
      </c>
      <c r="V103" s="125">
        <f t="shared" ref="V103" si="185">U103</f>
        <v>0.01</v>
      </c>
      <c r="W103" s="125">
        <f t="shared" ref="W103" si="186">V103</f>
        <v>0.01</v>
      </c>
      <c r="X103" s="125">
        <f t="shared" ref="X103" si="187">W103</f>
        <v>0.01</v>
      </c>
      <c r="Y103" s="125"/>
    </row>
    <row r="104" spans="1:26">
      <c r="B104" s="203" t="s">
        <v>75</v>
      </c>
      <c r="C104" s="125">
        <f>C94-C103-C98</f>
        <v>0.19350000000000001</v>
      </c>
      <c r="D104" s="125">
        <f t="shared" ref="D104:F104" si="188">D94-D103-D98</f>
        <v>0.12900000000000006</v>
      </c>
      <c r="E104" s="125">
        <f t="shared" si="188"/>
        <v>6.4500000000000002E-2</v>
      </c>
      <c r="F104" s="125">
        <f t="shared" si="188"/>
        <v>4.2999999999999983E-2</v>
      </c>
      <c r="G104" s="125">
        <f t="shared" ref="G104:J104" si="189">G94-G103-G98-G102</f>
        <v>3.2999999999999974E-2</v>
      </c>
      <c r="H104" s="125">
        <f t="shared" si="189"/>
        <v>3.73E-2</v>
      </c>
      <c r="I104" s="125">
        <f t="shared" si="189"/>
        <v>3.2999999999999974E-2</v>
      </c>
      <c r="J104" s="125">
        <f t="shared" si="189"/>
        <v>7.5000000000002842E-4</v>
      </c>
      <c r="K104" s="125">
        <f>K94-K103-K98-K102</f>
        <v>1.1499999999999969E-2</v>
      </c>
      <c r="L104" s="125">
        <f t="shared" ref="L104:X104" si="190">L94-L103-L98-L102</f>
        <v>1.3649999999999989E-2</v>
      </c>
      <c r="M104" s="125">
        <f t="shared" si="190"/>
        <v>1.3649999999999995E-2</v>
      </c>
      <c r="N104" s="125">
        <f t="shared" si="190"/>
        <v>1.1500000000000024E-2</v>
      </c>
      <c r="O104" s="125">
        <f t="shared" si="190"/>
        <v>1.1499999999999955E-2</v>
      </c>
      <c r="P104" s="125">
        <f t="shared" si="190"/>
        <v>1.1499999999999955E-2</v>
      </c>
      <c r="Q104" s="125">
        <f t="shared" si="190"/>
        <v>1.1499999999999955E-2</v>
      </c>
      <c r="R104" s="125">
        <f t="shared" si="190"/>
        <v>1.1499999999999955E-2</v>
      </c>
      <c r="S104" s="125">
        <f t="shared" si="190"/>
        <v>1.1499999999999955E-2</v>
      </c>
      <c r="T104" s="125">
        <f t="shared" si="190"/>
        <v>1.1499999999999955E-2</v>
      </c>
      <c r="U104" s="125">
        <f t="shared" si="190"/>
        <v>1.1499999999999955E-2</v>
      </c>
      <c r="V104" s="125">
        <f t="shared" si="190"/>
        <v>1.1499999999999955E-2</v>
      </c>
      <c r="W104" s="125">
        <f t="shared" si="190"/>
        <v>1.1499999999999955E-2</v>
      </c>
      <c r="X104" s="125">
        <f t="shared" si="190"/>
        <v>1.1499999999999955E-2</v>
      </c>
    </row>
    <row r="106" spans="1:26">
      <c r="B106" s="193" t="s">
        <v>812</v>
      </c>
      <c r="C106" s="204"/>
      <c r="D106" s="205"/>
      <c r="E106" s="205"/>
      <c r="F106" s="205"/>
      <c r="G106" s="205"/>
      <c r="H106" s="205"/>
      <c r="I106" s="205"/>
      <c r="J106" s="205"/>
      <c r="K106" s="418"/>
      <c r="L106" s="205"/>
      <c r="M106" s="205"/>
      <c r="N106" s="205"/>
      <c r="O106" s="205"/>
      <c r="P106" s="205"/>
      <c r="Q106" s="205"/>
      <c r="R106" s="205"/>
      <c r="S106" s="205"/>
      <c r="T106" s="205"/>
      <c r="U106" s="205"/>
      <c r="V106" s="205"/>
      <c r="W106" s="205"/>
      <c r="X106" s="205"/>
    </row>
    <row r="107" spans="1:26">
      <c r="B107" s="116" t="s">
        <v>813</v>
      </c>
      <c r="C107" s="128">
        <f>C11</f>
        <v>42951.204800000007</v>
      </c>
      <c r="D107" s="128">
        <f t="shared" ref="D107:X107" si="191">D11</f>
        <v>43308.576079999999</v>
      </c>
      <c r="E107" s="128">
        <f t="shared" si="191"/>
        <v>43625.094940000003</v>
      </c>
      <c r="F107" s="128">
        <f t="shared" si="191"/>
        <v>43950.753560000012</v>
      </c>
      <c r="G107" s="128">
        <f t="shared" si="191"/>
        <v>44278.843201340518</v>
      </c>
      <c r="H107" s="128">
        <f t="shared" si="191"/>
        <v>45055.475831559044</v>
      </c>
      <c r="I107" s="128">
        <f t="shared" si="191"/>
        <v>45845.730277496135</v>
      </c>
      <c r="J107" s="128">
        <f t="shared" si="191"/>
        <v>46649.845460176046</v>
      </c>
      <c r="K107" s="128">
        <f t="shared" si="191"/>
        <v>47468.064491199148</v>
      </c>
      <c r="L107" s="128">
        <f t="shared" si="191"/>
        <v>48300.634746242911</v>
      </c>
      <c r="M107" s="128">
        <f t="shared" si="191"/>
        <v>49147.807939852079</v>
      </c>
      <c r="N107" s="128">
        <f t="shared" si="191"/>
        <v>50009.840201540588</v>
      </c>
      <c r="O107" s="128">
        <f t="shared" si="191"/>
        <v>50886.992153228333</v>
      </c>
      <c r="P107" s="128">
        <f t="shared" si="191"/>
        <v>51779.528988036036</v>
      </c>
      <c r="Q107" s="128">
        <f t="shared" si="191"/>
        <v>52687.720550462349</v>
      </c>
      <c r="R107" s="128">
        <f t="shared" si="191"/>
        <v>53611.841417966993</v>
      </c>
      <c r="S107" s="128">
        <f t="shared" si="191"/>
        <v>54552.170983984965</v>
      </c>
      <c r="T107" s="128">
        <f t="shared" si="191"/>
        <v>55508.993542396791</v>
      </c>
      <c r="U107" s="128">
        <f t="shared" si="191"/>
        <v>56482.598373480316</v>
      </c>
      <c r="V107" s="128">
        <f t="shared" si="191"/>
        <v>57473.279831370004</v>
      </c>
      <c r="W107" s="128">
        <f t="shared" si="191"/>
        <v>58481.337433050328</v>
      </c>
      <c r="X107" s="128">
        <f t="shared" si="191"/>
        <v>59507.075948910031</v>
      </c>
      <c r="Z107" s="202" t="s">
        <v>212</v>
      </c>
    </row>
    <row r="108" spans="1:26" s="119" customFormat="1" ht="12.75" hidden="1" customHeight="1" outlineLevel="1">
      <c r="B108" s="206" t="s">
        <v>521</v>
      </c>
      <c r="C108" s="207"/>
      <c r="D108" s="207"/>
      <c r="E108" s="207"/>
      <c r="F108" s="207"/>
      <c r="G108" s="207"/>
      <c r="H108" s="207"/>
      <c r="I108" s="209"/>
      <c r="J108" s="209"/>
      <c r="K108" s="207">
        <f>K109*1.15</f>
        <v>0.34499999999999997</v>
      </c>
      <c r="L108" s="207">
        <f t="shared" ref="L108:X108" si="192">L109*1.15</f>
        <v>0.45999999999999996</v>
      </c>
      <c r="M108" s="207">
        <f t="shared" si="192"/>
        <v>0.57499999999999996</v>
      </c>
      <c r="N108" s="207">
        <f t="shared" si="192"/>
        <v>0.69</v>
      </c>
      <c r="O108" s="207">
        <f t="shared" si="192"/>
        <v>0.72449999999999992</v>
      </c>
      <c r="P108" s="207">
        <f t="shared" si="192"/>
        <v>0.7607250000000001</v>
      </c>
      <c r="Q108" s="207">
        <f t="shared" si="192"/>
        <v>0.79876125000000009</v>
      </c>
      <c r="R108" s="207">
        <f t="shared" si="192"/>
        <v>0.83869931250000018</v>
      </c>
      <c r="S108" s="207">
        <f t="shared" si="192"/>
        <v>0.84042431250000016</v>
      </c>
      <c r="T108" s="207">
        <f t="shared" si="192"/>
        <v>0.84214931250000014</v>
      </c>
      <c r="U108" s="207">
        <f t="shared" si="192"/>
        <v>0.8438743125</v>
      </c>
      <c r="V108" s="207">
        <f t="shared" si="192"/>
        <v>0.84559931249999998</v>
      </c>
      <c r="W108" s="207">
        <f t="shared" si="192"/>
        <v>0.84732431249999995</v>
      </c>
      <c r="X108" s="207">
        <f t="shared" si="192"/>
        <v>0.84904931249999982</v>
      </c>
      <c r="Z108" s="119" t="s">
        <v>528</v>
      </c>
    </row>
    <row r="109" spans="1:26" s="119" customFormat="1" ht="12.75" hidden="1" customHeight="1" outlineLevel="1">
      <c r="B109" s="206" t="s">
        <v>500</v>
      </c>
      <c r="C109" s="207"/>
      <c r="D109" s="207"/>
      <c r="E109" s="207"/>
      <c r="F109" s="208"/>
      <c r="G109" s="209"/>
      <c r="H109" s="209"/>
      <c r="I109" s="209"/>
      <c r="J109" s="209"/>
      <c r="K109" s="207">
        <v>0.3</v>
      </c>
      <c r="L109" s="207">
        <v>0.4</v>
      </c>
      <c r="M109" s="207">
        <v>0.5</v>
      </c>
      <c r="N109" s="207">
        <v>0.6</v>
      </c>
      <c r="O109" s="207">
        <f>N109*1.05</f>
        <v>0.63</v>
      </c>
      <c r="P109" s="207">
        <f t="shared" ref="P109:R109" si="193">O109*1.05</f>
        <v>0.66150000000000009</v>
      </c>
      <c r="Q109" s="207">
        <f t="shared" si="193"/>
        <v>0.69457500000000016</v>
      </c>
      <c r="R109" s="207">
        <f t="shared" si="193"/>
        <v>0.72930375000000025</v>
      </c>
      <c r="S109" s="207">
        <f t="shared" ref="S109" si="194">R109+0.0015</f>
        <v>0.7308037500000002</v>
      </c>
      <c r="T109" s="207">
        <f t="shared" ref="T109" si="195">S109+0.0015</f>
        <v>0.73230375000000014</v>
      </c>
      <c r="U109" s="207">
        <f t="shared" ref="U109" si="196">T109+0.0015</f>
        <v>0.73380375000000009</v>
      </c>
      <c r="V109" s="207">
        <f t="shared" ref="V109" si="197">U109+0.0015</f>
        <v>0.73530375000000003</v>
      </c>
      <c r="W109" s="207">
        <f t="shared" ref="W109" si="198">V109+0.0015</f>
        <v>0.73680374999999998</v>
      </c>
      <c r="X109" s="207">
        <f t="shared" ref="X109" si="199">W109+0.0015</f>
        <v>0.73830374999999993</v>
      </c>
      <c r="Z109" s="119" t="s">
        <v>527</v>
      </c>
    </row>
    <row r="110" spans="1:26" s="119" customFormat="1" ht="12.75" hidden="1" customHeight="1" outlineLevel="1">
      <c r="B110" s="206" t="s">
        <v>522</v>
      </c>
      <c r="C110" s="207"/>
      <c r="D110" s="207"/>
      <c r="E110" s="207"/>
      <c r="F110" s="207"/>
      <c r="G110" s="207"/>
      <c r="H110" s="209"/>
      <c r="I110" s="209"/>
      <c r="J110" s="209"/>
      <c r="K110" s="207">
        <f>K109*0.5</f>
        <v>0.15</v>
      </c>
      <c r="L110" s="207">
        <f t="shared" ref="L110:X110" si="200">L109*0.5</f>
        <v>0.2</v>
      </c>
      <c r="M110" s="207">
        <f t="shared" si="200"/>
        <v>0.25</v>
      </c>
      <c r="N110" s="207">
        <f t="shared" si="200"/>
        <v>0.3</v>
      </c>
      <c r="O110" s="207">
        <f t="shared" si="200"/>
        <v>0.315</v>
      </c>
      <c r="P110" s="207">
        <f t="shared" si="200"/>
        <v>0.33075000000000004</v>
      </c>
      <c r="Q110" s="207">
        <f t="shared" si="200"/>
        <v>0.34728750000000008</v>
      </c>
      <c r="R110" s="207">
        <f t="shared" si="200"/>
        <v>0.36465187500000013</v>
      </c>
      <c r="S110" s="207">
        <f t="shared" si="200"/>
        <v>0.3654018750000001</v>
      </c>
      <c r="T110" s="207">
        <f t="shared" si="200"/>
        <v>0.36615187500000007</v>
      </c>
      <c r="U110" s="207">
        <f t="shared" si="200"/>
        <v>0.36690187500000004</v>
      </c>
      <c r="V110" s="207">
        <f t="shared" si="200"/>
        <v>0.36765187500000002</v>
      </c>
      <c r="W110" s="207">
        <f t="shared" si="200"/>
        <v>0.36840187499999999</v>
      </c>
      <c r="X110" s="207">
        <f t="shared" si="200"/>
        <v>0.36915187499999996</v>
      </c>
      <c r="Z110" s="119" t="s">
        <v>526</v>
      </c>
    </row>
    <row r="111" spans="1:26" collapsed="1">
      <c r="A111" s="210" t="s">
        <v>523</v>
      </c>
      <c r="B111" s="211" t="s">
        <v>213</v>
      </c>
      <c r="C111" s="209"/>
      <c r="D111" s="209"/>
      <c r="E111" s="209"/>
      <c r="F111" s="209"/>
      <c r="G111" s="209"/>
      <c r="H111" s="408"/>
      <c r="I111" s="212"/>
      <c r="J111" s="212"/>
      <c r="K111" s="212">
        <f t="shared" ref="K111:N111" si="201">CHOOSE($E$1,K108,K109,K110)</f>
        <v>0.3</v>
      </c>
      <c r="L111" s="212">
        <f t="shared" si="201"/>
        <v>0.4</v>
      </c>
      <c r="M111" s="212">
        <f t="shared" si="201"/>
        <v>0.5</v>
      </c>
      <c r="N111" s="212">
        <f t="shared" si="201"/>
        <v>0.6</v>
      </c>
      <c r="O111" s="212">
        <f>CHOOSE($E$1,O108,O109,O110)</f>
        <v>0.63</v>
      </c>
      <c r="P111" s="212">
        <f t="shared" ref="P111:X111" si="202">CHOOSE($E$1,P108,P109,P110)</f>
        <v>0.66150000000000009</v>
      </c>
      <c r="Q111" s="212">
        <f t="shared" si="202"/>
        <v>0.69457500000000016</v>
      </c>
      <c r="R111" s="212">
        <f t="shared" si="202"/>
        <v>0.72930375000000025</v>
      </c>
      <c r="S111" s="212">
        <f t="shared" si="202"/>
        <v>0.7308037500000002</v>
      </c>
      <c r="T111" s="212">
        <f t="shared" si="202"/>
        <v>0.73230375000000014</v>
      </c>
      <c r="U111" s="212">
        <f t="shared" si="202"/>
        <v>0.73380375000000009</v>
      </c>
      <c r="V111" s="212">
        <f t="shared" si="202"/>
        <v>0.73530375000000003</v>
      </c>
      <c r="W111" s="212">
        <f t="shared" si="202"/>
        <v>0.73680374999999998</v>
      </c>
      <c r="X111" s="212">
        <f t="shared" si="202"/>
        <v>0.73830374999999993</v>
      </c>
      <c r="Z111" s="116" t="s">
        <v>214</v>
      </c>
    </row>
    <row r="112" spans="1:26">
      <c r="B112" s="116" t="s">
        <v>814</v>
      </c>
      <c r="C112" s="128">
        <f>C111*C107</f>
        <v>0</v>
      </c>
      <c r="D112" s="128">
        <f t="shared" ref="D112:M112" si="203">D111*D107</f>
        <v>0</v>
      </c>
      <c r="E112" s="128">
        <f t="shared" si="203"/>
        <v>0</v>
      </c>
      <c r="F112" s="128">
        <f t="shared" si="203"/>
        <v>0</v>
      </c>
      <c r="G112" s="128">
        <f t="shared" si="203"/>
        <v>0</v>
      </c>
      <c r="H112" s="128">
        <f t="shared" si="203"/>
        <v>0</v>
      </c>
      <c r="I112" s="128">
        <f t="shared" si="203"/>
        <v>0</v>
      </c>
      <c r="J112" s="128">
        <f t="shared" si="203"/>
        <v>0</v>
      </c>
      <c r="K112" s="128">
        <f t="shared" si="203"/>
        <v>14240.419347359744</v>
      </c>
      <c r="L112" s="128">
        <f t="shared" si="203"/>
        <v>19320.253898497165</v>
      </c>
      <c r="M112" s="128">
        <f t="shared" si="203"/>
        <v>24573.903969926039</v>
      </c>
      <c r="N112" s="128">
        <f>N111*N107</f>
        <v>30005.904120924351</v>
      </c>
      <c r="O112" s="128">
        <f>O111*O107</f>
        <v>32058.805056533849</v>
      </c>
      <c r="P112" s="128">
        <f t="shared" ref="P112:X112" si="204">P111*P107</f>
        <v>34252.15842558584</v>
      </c>
      <c r="Q112" s="128">
        <f t="shared" si="204"/>
        <v>36595.573501337392</v>
      </c>
      <c r="R112" s="128">
        <f t="shared" si="204"/>
        <v>39099.316990528656</v>
      </c>
      <c r="S112" s="128">
        <f t="shared" si="204"/>
        <v>39866.931125737414</v>
      </c>
      <c r="T112" s="128">
        <f t="shared" si="204"/>
        <v>40649.444129822965</v>
      </c>
      <c r="U112" s="128">
        <f t="shared" si="204"/>
        <v>41447.142496203764</v>
      </c>
      <c r="V112" s="128">
        <f t="shared" si="204"/>
        <v>42260.318184805736</v>
      </c>
      <c r="W112" s="128">
        <f t="shared" si="204"/>
        <v>43089.268725686852</v>
      </c>
      <c r="X112" s="128">
        <f t="shared" si="204"/>
        <v>43934.29732461508</v>
      </c>
    </row>
    <row r="114" spans="1:26">
      <c r="B114" s="216" t="s">
        <v>815</v>
      </c>
      <c r="C114" s="217"/>
      <c r="D114" s="217"/>
      <c r="E114" s="217"/>
      <c r="F114" s="217"/>
      <c r="G114" s="217"/>
      <c r="H114" s="217"/>
      <c r="I114" s="217"/>
      <c r="J114" s="217"/>
      <c r="K114" s="420"/>
      <c r="L114" s="217"/>
      <c r="M114" s="217"/>
      <c r="N114" s="217"/>
      <c r="O114" s="217"/>
      <c r="P114" s="217"/>
      <c r="Q114" s="217"/>
      <c r="R114" s="217"/>
      <c r="S114" s="217"/>
      <c r="T114" s="217"/>
      <c r="U114" s="217"/>
      <c r="V114" s="217"/>
      <c r="W114" s="217"/>
      <c r="X114" s="217"/>
    </row>
    <row r="115" spans="1:26" outlineLevel="1">
      <c r="A115" s="416"/>
      <c r="B115" s="206" t="s">
        <v>521</v>
      </c>
      <c r="C115" s="208"/>
      <c r="D115" s="208"/>
      <c r="E115" s="208"/>
      <c r="F115" s="208"/>
      <c r="G115" s="208"/>
      <c r="H115" s="231"/>
      <c r="I115" s="223"/>
      <c r="J115" s="223"/>
      <c r="K115" s="223">
        <v>0.65</v>
      </c>
      <c r="L115" s="223">
        <v>0.75</v>
      </c>
      <c r="M115" s="223">
        <v>0.85</v>
      </c>
      <c r="N115" s="223">
        <v>0.95</v>
      </c>
      <c r="O115" s="223">
        <f t="shared" ref="O115:X115" si="205">N115</f>
        <v>0.95</v>
      </c>
      <c r="P115" s="223">
        <f t="shared" si="205"/>
        <v>0.95</v>
      </c>
      <c r="Q115" s="223">
        <f t="shared" si="205"/>
        <v>0.95</v>
      </c>
      <c r="R115" s="223">
        <f t="shared" si="205"/>
        <v>0.95</v>
      </c>
      <c r="S115" s="223">
        <f t="shared" si="205"/>
        <v>0.95</v>
      </c>
      <c r="T115" s="223">
        <f t="shared" si="205"/>
        <v>0.95</v>
      </c>
      <c r="U115" s="223">
        <f t="shared" si="205"/>
        <v>0.95</v>
      </c>
      <c r="V115" s="223">
        <f t="shared" si="205"/>
        <v>0.95</v>
      </c>
      <c r="W115" s="223">
        <f t="shared" si="205"/>
        <v>0.95</v>
      </c>
      <c r="X115" s="223">
        <f t="shared" si="205"/>
        <v>0.95</v>
      </c>
    </row>
    <row r="116" spans="1:26" outlineLevel="1">
      <c r="A116" s="416"/>
      <c r="B116" s="206" t="s">
        <v>500</v>
      </c>
      <c r="C116" s="208"/>
      <c r="D116" s="208"/>
      <c r="E116" s="208"/>
      <c r="F116" s="208"/>
      <c r="G116" s="208"/>
      <c r="H116" s="231"/>
      <c r="I116" s="223"/>
      <c r="J116" s="223"/>
      <c r="K116" s="223">
        <v>0.4</v>
      </c>
      <c r="L116" s="223">
        <v>0.65</v>
      </c>
      <c r="M116" s="223">
        <v>0.75</v>
      </c>
      <c r="N116" s="223">
        <v>0.8</v>
      </c>
      <c r="O116" s="223">
        <v>0.85</v>
      </c>
      <c r="P116" s="223">
        <f t="shared" ref="P116:X116" si="206">O116</f>
        <v>0.85</v>
      </c>
      <c r="Q116" s="223">
        <f t="shared" si="206"/>
        <v>0.85</v>
      </c>
      <c r="R116" s="223">
        <f t="shared" si="206"/>
        <v>0.85</v>
      </c>
      <c r="S116" s="223">
        <f t="shared" si="206"/>
        <v>0.85</v>
      </c>
      <c r="T116" s="223">
        <f t="shared" si="206"/>
        <v>0.85</v>
      </c>
      <c r="U116" s="223">
        <f t="shared" si="206"/>
        <v>0.85</v>
      </c>
      <c r="V116" s="223">
        <f t="shared" si="206"/>
        <v>0.85</v>
      </c>
      <c r="W116" s="223">
        <f t="shared" si="206"/>
        <v>0.85</v>
      </c>
      <c r="X116" s="223">
        <f t="shared" si="206"/>
        <v>0.85</v>
      </c>
    </row>
    <row r="117" spans="1:26" outlineLevel="1">
      <c r="A117" s="416"/>
      <c r="B117" s="206" t="s">
        <v>522</v>
      </c>
      <c r="C117" s="208"/>
      <c r="D117" s="208"/>
      <c r="E117" s="208"/>
      <c r="F117" s="208"/>
      <c r="G117" s="208"/>
      <c r="H117" s="231"/>
      <c r="I117" s="223"/>
      <c r="J117" s="223"/>
      <c r="K117" s="223">
        <v>0.15</v>
      </c>
      <c r="L117" s="223">
        <v>0.3</v>
      </c>
      <c r="M117" s="223">
        <v>0.35</v>
      </c>
      <c r="N117" s="223">
        <v>0.4</v>
      </c>
      <c r="O117" s="223">
        <f>N117</f>
        <v>0.4</v>
      </c>
      <c r="P117" s="223">
        <f>O117</f>
        <v>0.4</v>
      </c>
      <c r="Q117" s="223">
        <f t="shared" ref="Q117:X117" si="207">P117</f>
        <v>0.4</v>
      </c>
      <c r="R117" s="223">
        <f t="shared" si="207"/>
        <v>0.4</v>
      </c>
      <c r="S117" s="223">
        <f t="shared" si="207"/>
        <v>0.4</v>
      </c>
      <c r="T117" s="223">
        <f t="shared" si="207"/>
        <v>0.4</v>
      </c>
      <c r="U117" s="223">
        <f t="shared" si="207"/>
        <v>0.4</v>
      </c>
      <c r="V117" s="223">
        <f t="shared" si="207"/>
        <v>0.4</v>
      </c>
      <c r="W117" s="223">
        <f t="shared" si="207"/>
        <v>0.4</v>
      </c>
      <c r="X117" s="223">
        <f t="shared" si="207"/>
        <v>0.4</v>
      </c>
    </row>
    <row r="118" spans="1:26">
      <c r="A118" s="210" t="s">
        <v>523</v>
      </c>
      <c r="B118" s="211" t="s">
        <v>809</v>
      </c>
      <c r="C118" s="208"/>
      <c r="D118" s="208"/>
      <c r="E118" s="208"/>
      <c r="F118" s="208"/>
      <c r="G118" s="208"/>
      <c r="H118" s="231"/>
      <c r="I118" s="224"/>
      <c r="J118" s="224"/>
      <c r="K118" s="224">
        <f t="shared" ref="K118:X118" si="208">CHOOSE($E$1,K115,K116,K117)</f>
        <v>0.4</v>
      </c>
      <c r="L118" s="224">
        <f t="shared" si="208"/>
        <v>0.65</v>
      </c>
      <c r="M118" s="224">
        <f t="shared" si="208"/>
        <v>0.75</v>
      </c>
      <c r="N118" s="224">
        <f t="shared" si="208"/>
        <v>0.8</v>
      </c>
      <c r="O118" s="224">
        <f t="shared" si="208"/>
        <v>0.85</v>
      </c>
      <c r="P118" s="224">
        <f t="shared" si="208"/>
        <v>0.85</v>
      </c>
      <c r="Q118" s="224">
        <f t="shared" si="208"/>
        <v>0.85</v>
      </c>
      <c r="R118" s="224">
        <f t="shared" si="208"/>
        <v>0.85</v>
      </c>
      <c r="S118" s="224">
        <f t="shared" si="208"/>
        <v>0.85</v>
      </c>
      <c r="T118" s="224">
        <f t="shared" si="208"/>
        <v>0.85</v>
      </c>
      <c r="U118" s="224">
        <f t="shared" si="208"/>
        <v>0.85</v>
      </c>
      <c r="V118" s="224">
        <f t="shared" si="208"/>
        <v>0.85</v>
      </c>
      <c r="W118" s="224">
        <f t="shared" si="208"/>
        <v>0.85</v>
      </c>
      <c r="X118" s="224">
        <f t="shared" si="208"/>
        <v>0.85</v>
      </c>
    </row>
    <row r="119" spans="1:26">
      <c r="B119" s="203" t="s">
        <v>75</v>
      </c>
      <c r="G119" s="125">
        <f>1-G118</f>
        <v>1</v>
      </c>
      <c r="H119" s="125">
        <f t="shared" ref="H119:X119" si="209">1-H118</f>
        <v>1</v>
      </c>
      <c r="I119" s="125">
        <f t="shared" si="209"/>
        <v>1</v>
      </c>
      <c r="J119" s="125">
        <f t="shared" si="209"/>
        <v>1</v>
      </c>
      <c r="K119" s="125">
        <f t="shared" si="209"/>
        <v>0.6</v>
      </c>
      <c r="L119" s="125">
        <f t="shared" si="209"/>
        <v>0.35</v>
      </c>
      <c r="M119" s="125">
        <f t="shared" si="209"/>
        <v>0.25</v>
      </c>
      <c r="N119" s="125">
        <f t="shared" si="209"/>
        <v>0.19999999999999996</v>
      </c>
      <c r="O119" s="125">
        <f t="shared" si="209"/>
        <v>0.15000000000000002</v>
      </c>
      <c r="P119" s="125">
        <f t="shared" si="209"/>
        <v>0.15000000000000002</v>
      </c>
      <c r="Q119" s="125">
        <f t="shared" si="209"/>
        <v>0.15000000000000002</v>
      </c>
      <c r="R119" s="125">
        <f t="shared" si="209"/>
        <v>0.15000000000000002</v>
      </c>
      <c r="S119" s="125">
        <f t="shared" si="209"/>
        <v>0.15000000000000002</v>
      </c>
      <c r="T119" s="125">
        <f t="shared" si="209"/>
        <v>0.15000000000000002</v>
      </c>
      <c r="U119" s="125">
        <f t="shared" si="209"/>
        <v>0.15000000000000002</v>
      </c>
      <c r="V119" s="125">
        <f t="shared" si="209"/>
        <v>0.15000000000000002</v>
      </c>
      <c r="W119" s="125">
        <f t="shared" si="209"/>
        <v>0.15000000000000002</v>
      </c>
      <c r="X119" s="125">
        <f t="shared" si="209"/>
        <v>0.15000000000000002</v>
      </c>
      <c r="Y119" s="125"/>
    </row>
    <row r="121" spans="1:26">
      <c r="B121" s="216" t="s">
        <v>233</v>
      </c>
      <c r="C121" s="217"/>
      <c r="D121" s="217"/>
      <c r="E121" s="217"/>
      <c r="F121" s="217"/>
      <c r="G121" s="217"/>
      <c r="H121" s="217"/>
      <c r="I121" s="217"/>
      <c r="J121" s="217"/>
      <c r="K121" s="420"/>
      <c r="L121" s="217"/>
      <c r="M121" s="217"/>
      <c r="N121" s="217"/>
      <c r="O121" s="217"/>
      <c r="P121" s="217"/>
      <c r="Q121" s="217"/>
      <c r="R121" s="217"/>
      <c r="S121" s="217"/>
      <c r="T121" s="217"/>
      <c r="U121" s="217"/>
      <c r="V121" s="217"/>
      <c r="W121" s="217"/>
      <c r="X121" s="217"/>
    </row>
    <row r="123" spans="1:26">
      <c r="B123" s="219" t="s">
        <v>234</v>
      </c>
      <c r="C123" s="219"/>
      <c r="D123" s="219"/>
      <c r="E123" s="219"/>
      <c r="F123" s="219"/>
      <c r="G123" s="219"/>
      <c r="H123" s="219"/>
      <c r="I123" s="219"/>
      <c r="J123" s="219"/>
      <c r="K123" s="220"/>
      <c r="L123" s="219"/>
      <c r="M123" s="219"/>
      <c r="N123" s="219"/>
      <c r="O123" s="219"/>
      <c r="P123" s="219"/>
      <c r="Q123" s="219"/>
      <c r="R123" s="219"/>
      <c r="S123" s="219"/>
      <c r="T123" s="219"/>
      <c r="U123" s="219"/>
      <c r="V123" s="219"/>
      <c r="W123" s="219"/>
      <c r="X123" s="219"/>
    </row>
    <row r="124" spans="1:26">
      <c r="B124" s="116" t="s">
        <v>235</v>
      </c>
      <c r="C124" s="128">
        <f t="shared" ref="C124:X124" si="210">C39*(C22+C23)*C20</f>
        <v>65801.891615304325</v>
      </c>
      <c r="D124" s="128">
        <f t="shared" si="210"/>
        <v>60246.022617187395</v>
      </c>
      <c r="E124" s="128">
        <f t="shared" si="210"/>
        <v>57836.81172324127</v>
      </c>
      <c r="F124" s="128">
        <f t="shared" si="210"/>
        <v>55435.87272312666</v>
      </c>
      <c r="G124" s="128">
        <f t="shared" si="210"/>
        <v>52476.805940192862</v>
      </c>
      <c r="H124" s="128">
        <f t="shared" si="210"/>
        <v>49306.716192428932</v>
      </c>
      <c r="I124" s="128">
        <f t="shared" si="210"/>
        <v>47487.490186909861</v>
      </c>
      <c r="J124" s="128">
        <f t="shared" si="210"/>
        <v>43568.55047792253</v>
      </c>
      <c r="K124" s="128">
        <f t="shared" si="210"/>
        <v>41085.687061218567</v>
      </c>
      <c r="L124" s="128">
        <f t="shared" si="210"/>
        <v>37766.72778786609</v>
      </c>
      <c r="M124" s="128">
        <f t="shared" si="210"/>
        <v>37530.576353138495</v>
      </c>
      <c r="N124" s="128">
        <f t="shared" si="210"/>
        <v>37295.799226093543</v>
      </c>
      <c r="O124" s="128">
        <f t="shared" si="210"/>
        <v>37442.516500877704</v>
      </c>
      <c r="P124" s="128">
        <f t="shared" si="210"/>
        <v>37589.708494895029</v>
      </c>
      <c r="Q124" s="128">
        <f t="shared" si="210"/>
        <v>37737.376609185056</v>
      </c>
      <c r="R124" s="128">
        <f t="shared" si="210"/>
        <v>38077.834544384772</v>
      </c>
      <c r="S124" s="128">
        <f t="shared" si="210"/>
        <v>38421.260326811702</v>
      </c>
      <c r="T124" s="128">
        <f t="shared" si="210"/>
        <v>38767.679204574291</v>
      </c>
      <c r="U124" s="128">
        <f t="shared" si="210"/>
        <v>33249.549141190371</v>
      </c>
      <c r="V124" s="128">
        <f t="shared" si="210"/>
        <v>35801.600984411532</v>
      </c>
      <c r="W124" s="128">
        <f t="shared" si="210"/>
        <v>30860.572211376035</v>
      </c>
      <c r="X124" s="128">
        <f t="shared" si="210"/>
        <v>26601.391071976748</v>
      </c>
    </row>
    <row r="125" spans="1:26" hidden="1" outlineLevel="1">
      <c r="B125" s="232" t="s">
        <v>236</v>
      </c>
      <c r="C125" s="233">
        <v>65815.585310328286</v>
      </c>
      <c r="D125" s="233">
        <v>59999.613839975296</v>
      </c>
      <c r="E125" s="233">
        <v>57883.154711895637</v>
      </c>
      <c r="F125" s="233">
        <v>55444.978091198151</v>
      </c>
      <c r="G125" s="233">
        <v>51057.491379551939</v>
      </c>
      <c r="H125" s="233"/>
      <c r="I125" s="233"/>
      <c r="J125" s="232"/>
      <c r="K125" s="422"/>
      <c r="L125" s="232"/>
      <c r="M125" s="232"/>
      <c r="N125" s="232"/>
      <c r="O125" s="232"/>
      <c r="P125" s="232"/>
      <c r="Q125" s="232"/>
      <c r="R125" s="232"/>
      <c r="S125" s="232"/>
      <c r="T125" s="232"/>
      <c r="U125" s="232"/>
      <c r="V125" s="232"/>
      <c r="W125" s="232"/>
      <c r="X125" s="232"/>
    </row>
    <row r="126" spans="1:26" collapsed="1">
      <c r="B126" s="116" t="s">
        <v>237</v>
      </c>
      <c r="C126" s="123">
        <f>C128*1000000/C124</f>
        <v>21370.206319007149</v>
      </c>
      <c r="D126" s="123">
        <f>D128*1000000/D124</f>
        <v>24758.480895541579</v>
      </c>
      <c r="E126" s="123">
        <f>E128*1000000/E124</f>
        <v>28160.265952998921</v>
      </c>
      <c r="F126" s="123">
        <f>F128*1000000/F124</f>
        <v>32361.7165541904</v>
      </c>
      <c r="G126" s="445">
        <f t="shared" ref="G126:J126" si="211">G128*1000000/G124</f>
        <v>36244.583981877346</v>
      </c>
      <c r="H126" s="445">
        <f t="shared" si="211"/>
        <v>40237.926051636838</v>
      </c>
      <c r="I126" s="445">
        <f t="shared" si="211"/>
        <v>42481.714490695311</v>
      </c>
      <c r="J126" s="445">
        <f t="shared" si="211"/>
        <v>45452.510544354162</v>
      </c>
      <c r="K126" s="123">
        <f t="shared" ref="K126:M126" si="212">J126*(1+K127)</f>
        <v>46361.560755241248</v>
      </c>
      <c r="L126" s="123">
        <f t="shared" si="212"/>
        <v>45434.329540136423</v>
      </c>
      <c r="M126" s="123">
        <f t="shared" si="212"/>
        <v>45434.329540136423</v>
      </c>
      <c r="N126" s="123">
        <f>M126*(1+N127)</f>
        <v>45434.329540136423</v>
      </c>
      <c r="O126" s="123">
        <f>N126*(1+O127)</f>
        <v>44525.642949333691</v>
      </c>
      <c r="P126" s="123">
        <f t="shared" ref="P126:X126" si="213">O126*(1+P127)</f>
        <v>43635.130090347018</v>
      </c>
      <c r="Q126" s="123">
        <f t="shared" si="213"/>
        <v>42107.900537184869</v>
      </c>
      <c r="R126" s="123">
        <f t="shared" si="213"/>
        <v>40634.124018383394</v>
      </c>
      <c r="S126" s="123">
        <f t="shared" si="213"/>
        <v>39211.929677739972</v>
      </c>
      <c r="T126" s="123">
        <f t="shared" si="213"/>
        <v>37839.512139019069</v>
      </c>
      <c r="U126" s="123">
        <f t="shared" si="213"/>
        <v>36515.1292141534</v>
      </c>
      <c r="V126" s="123">
        <f t="shared" si="213"/>
        <v>35237.099691658026</v>
      </c>
      <c r="W126" s="123">
        <f t="shared" si="213"/>
        <v>34003.801202449991</v>
      </c>
      <c r="X126" s="123">
        <f t="shared" si="213"/>
        <v>32813.668160364243</v>
      </c>
    </row>
    <row r="127" spans="1:26" s="196" customFormat="1">
      <c r="B127" s="197" t="s">
        <v>238</v>
      </c>
      <c r="D127" s="234">
        <f>D126/C126-1</f>
        <v>0.15855132729911081</v>
      </c>
      <c r="E127" s="234">
        <f>E126/D126-1</f>
        <v>0.1373987795054874</v>
      </c>
      <c r="F127" s="234">
        <f>F126/E126-1</f>
        <v>0.14919783102204853</v>
      </c>
      <c r="G127" s="234">
        <f t="shared" ref="G127:J127" si="214">G126/F126-1</f>
        <v>0.11998335815051719</v>
      </c>
      <c r="H127" s="234">
        <f t="shared" si="214"/>
        <v>0.11017762189672808</v>
      </c>
      <c r="I127" s="234">
        <f t="shared" si="214"/>
        <v>5.5763024072837286E-2</v>
      </c>
      <c r="J127" s="234">
        <f t="shared" si="214"/>
        <v>6.9931171311589546E-2</v>
      </c>
      <c r="K127" s="235">
        <v>0.02</v>
      </c>
      <c r="L127" s="235">
        <v>-0.02</v>
      </c>
      <c r="M127" s="236">
        <v>0</v>
      </c>
      <c r="N127" s="236">
        <f t="shared" ref="N127:R127" si="215">M127</f>
        <v>0</v>
      </c>
      <c r="O127" s="235">
        <v>-0.02</v>
      </c>
      <c r="P127" s="236">
        <f t="shared" si="215"/>
        <v>-0.02</v>
      </c>
      <c r="Q127" s="235">
        <v>-3.5000000000000003E-2</v>
      </c>
      <c r="R127" s="236">
        <f t="shared" si="215"/>
        <v>-3.5000000000000003E-2</v>
      </c>
      <c r="S127" s="236">
        <f t="shared" ref="S127:X127" si="216">R127</f>
        <v>-3.5000000000000003E-2</v>
      </c>
      <c r="T127" s="236">
        <f t="shared" si="216"/>
        <v>-3.5000000000000003E-2</v>
      </c>
      <c r="U127" s="236">
        <f t="shared" si="216"/>
        <v>-3.5000000000000003E-2</v>
      </c>
      <c r="V127" s="236">
        <f t="shared" si="216"/>
        <v>-3.5000000000000003E-2</v>
      </c>
      <c r="W127" s="236">
        <f t="shared" si="216"/>
        <v>-3.5000000000000003E-2</v>
      </c>
      <c r="X127" s="236">
        <f t="shared" si="216"/>
        <v>-3.5000000000000003E-2</v>
      </c>
      <c r="Y127" s="236"/>
    </row>
    <row r="128" spans="1:26">
      <c r="B128" s="237" t="s">
        <v>239</v>
      </c>
      <c r="C128" s="238">
        <v>1406.2</v>
      </c>
      <c r="D128" s="238">
        <v>1491.6</v>
      </c>
      <c r="E128" s="238">
        <v>1628.7</v>
      </c>
      <c r="F128" s="238">
        <v>1794</v>
      </c>
      <c r="G128" s="238">
        <v>1902</v>
      </c>
      <c r="H128" s="238">
        <v>1984</v>
      </c>
      <c r="I128" s="238">
        <v>2017.35</v>
      </c>
      <c r="J128" s="238">
        <v>1980.3000000000002</v>
      </c>
      <c r="K128" s="238">
        <f t="shared" ref="K128:X128" si="217">K126*K124/1000000</f>
        <v>1904.7965768595138</v>
      </c>
      <c r="L128" s="238">
        <f t="shared" si="217"/>
        <v>1715.9059559665354</v>
      </c>
      <c r="M128" s="238">
        <f t="shared" si="217"/>
        <v>1705.1765738597458</v>
      </c>
      <c r="N128" s="238">
        <f t="shared" si="217"/>
        <v>1694.5096325010988</v>
      </c>
      <c r="O128" s="238">
        <f t="shared" si="217"/>
        <v>1667.1521208426157</v>
      </c>
      <c r="P128" s="238">
        <f t="shared" si="217"/>
        <v>1640.2318202329668</v>
      </c>
      <c r="Q128" s="238">
        <f t="shared" si="217"/>
        <v>1589.0417007938511</v>
      </c>
      <c r="R128" s="238">
        <f t="shared" si="217"/>
        <v>1547.2594512280143</v>
      </c>
      <c r="S128" s="238">
        <f t="shared" si="217"/>
        <v>1506.5717580650812</v>
      </c>
      <c r="T128" s="238">
        <f t="shared" si="217"/>
        <v>1466.9500678630859</v>
      </c>
      <c r="U128" s="238">
        <f t="shared" si="217"/>
        <v>1214.1115832029097</v>
      </c>
      <c r="V128" s="238">
        <f t="shared" si="217"/>
        <v>1261.5445830086712</v>
      </c>
      <c r="W128" s="238">
        <f t="shared" si="217"/>
        <v>1049.3767624694833</v>
      </c>
      <c r="X128" s="238">
        <f t="shared" si="217"/>
        <v>872.88921923992109</v>
      </c>
      <c r="Z128" s="392"/>
    </row>
    <row r="130" spans="1:24">
      <c r="B130" s="219" t="s">
        <v>227</v>
      </c>
      <c r="C130" s="219"/>
      <c r="D130" s="219"/>
      <c r="E130" s="219"/>
      <c r="F130" s="219"/>
      <c r="G130" s="219"/>
      <c r="H130" s="219"/>
      <c r="I130" s="219"/>
      <c r="J130" s="219"/>
      <c r="K130" s="220"/>
      <c r="L130" s="219"/>
      <c r="M130" s="219"/>
      <c r="N130" s="219"/>
      <c r="O130" s="219"/>
      <c r="P130" s="219"/>
      <c r="Q130" s="219"/>
      <c r="R130" s="219"/>
      <c r="S130" s="219"/>
      <c r="T130" s="219"/>
      <c r="U130" s="219"/>
      <c r="V130" s="219"/>
      <c r="W130" s="219"/>
      <c r="X130" s="219"/>
    </row>
    <row r="131" spans="1:24">
      <c r="B131" s="116" t="s">
        <v>235</v>
      </c>
      <c r="C131" s="128">
        <f t="shared" ref="C131:X131" si="218">(C98+C79)*C27+C44*(C26+C25)</f>
        <v>22472.140124755831</v>
      </c>
      <c r="D131" s="128">
        <f t="shared" si="218"/>
        <v>27248.278164377261</v>
      </c>
      <c r="E131" s="128">
        <f t="shared" si="218"/>
        <v>29375.198831011396</v>
      </c>
      <c r="F131" s="128">
        <f t="shared" si="218"/>
        <v>32786.339559692751</v>
      </c>
      <c r="G131" s="128">
        <f t="shared" si="218"/>
        <v>33325.82438962852</v>
      </c>
      <c r="H131" s="128">
        <f t="shared" si="218"/>
        <v>28998.689690962354</v>
      </c>
      <c r="I131" s="128">
        <f t="shared" si="218"/>
        <v>34551.937285432075</v>
      </c>
      <c r="J131" s="128">
        <f t="shared" si="218"/>
        <v>36717.225429636906</v>
      </c>
      <c r="K131" s="128">
        <f t="shared" si="218"/>
        <v>34082.79450426963</v>
      </c>
      <c r="L131" s="128">
        <f t="shared" si="218"/>
        <v>29385.377500237228</v>
      </c>
      <c r="M131" s="128">
        <f t="shared" si="218"/>
        <v>28078.686088890339</v>
      </c>
      <c r="N131" s="128">
        <f t="shared" si="218"/>
        <v>27763.60040849767</v>
      </c>
      <c r="O131" s="128">
        <f t="shared" si="218"/>
        <v>27359.525963014094</v>
      </c>
      <c r="P131" s="128">
        <f t="shared" si="218"/>
        <v>27633.419672605058</v>
      </c>
      <c r="Q131" s="128">
        <f t="shared" si="218"/>
        <v>27914.025638597799</v>
      </c>
      <c r="R131" s="128">
        <f t="shared" si="218"/>
        <v>28250.89165420246</v>
      </c>
      <c r="S131" s="128">
        <f t="shared" si="218"/>
        <v>28594.354642002661</v>
      </c>
      <c r="T131" s="128">
        <f t="shared" si="218"/>
        <v>28944.539880803044</v>
      </c>
      <c r="U131" s="128">
        <f t="shared" si="218"/>
        <v>29301.575003965383</v>
      </c>
      <c r="V131" s="128">
        <f t="shared" si="218"/>
        <v>29714.806749517786</v>
      </c>
      <c r="W131" s="128">
        <f t="shared" si="218"/>
        <v>30135.292698465084</v>
      </c>
      <c r="X131" s="128">
        <f t="shared" si="218"/>
        <v>30563.168042493369</v>
      </c>
    </row>
    <row r="132" spans="1:24" hidden="1" outlineLevel="1">
      <c r="B132" s="232" t="s">
        <v>236</v>
      </c>
      <c r="C132" s="233">
        <v>22675</v>
      </c>
      <c r="D132" s="233">
        <v>27125</v>
      </c>
      <c r="E132" s="233">
        <v>29475</v>
      </c>
      <c r="F132" s="233">
        <v>32900</v>
      </c>
      <c r="G132" s="233">
        <v>33838.788992264555</v>
      </c>
      <c r="H132" s="233"/>
      <c r="I132" s="233"/>
      <c r="J132" s="232"/>
      <c r="K132" s="232"/>
      <c r="L132" s="232"/>
      <c r="M132" s="232"/>
      <c r="N132" s="232"/>
      <c r="O132" s="232"/>
      <c r="P132" s="232"/>
      <c r="Q132" s="232"/>
      <c r="R132" s="232"/>
      <c r="S132" s="232"/>
      <c r="T132" s="232"/>
      <c r="U132" s="232"/>
      <c r="V132" s="232"/>
      <c r="W132" s="232"/>
      <c r="X132" s="232"/>
    </row>
    <row r="133" spans="1:24" collapsed="1">
      <c r="B133" s="116" t="s">
        <v>237</v>
      </c>
      <c r="C133" s="123">
        <f>C135*1000000/C131</f>
        <v>22650.268162010692</v>
      </c>
      <c r="D133" s="123">
        <f>D135*1000000/D131</f>
        <v>21762.843010581568</v>
      </c>
      <c r="E133" s="123">
        <f>E135*1000000/E131</f>
        <v>25429.615108218168</v>
      </c>
      <c r="F133" s="123">
        <f>F135*1000000/F131</f>
        <v>27023.449762877492</v>
      </c>
      <c r="G133" s="445">
        <f t="shared" ref="G133:K133" si="219">G135*1000000/G131</f>
        <v>28711.840572550263</v>
      </c>
      <c r="H133" s="445">
        <f t="shared" si="219"/>
        <v>35346.424646195257</v>
      </c>
      <c r="I133" s="445">
        <f t="shared" si="219"/>
        <v>31925.85095554377</v>
      </c>
      <c r="J133" s="445">
        <f t="shared" si="219"/>
        <v>32216.48657159162</v>
      </c>
      <c r="K133" s="445">
        <f t="shared" si="219"/>
        <v>32679.245237959338</v>
      </c>
      <c r="L133" s="123">
        <f t="shared" ref="L133:N133" si="220">K133*(1+L134)</f>
        <v>32679.245237959338</v>
      </c>
      <c r="M133" s="123">
        <f t="shared" si="220"/>
        <v>33006.037690338933</v>
      </c>
      <c r="N133" s="123">
        <f t="shared" si="220"/>
        <v>33336.098067242325</v>
      </c>
      <c r="O133" s="123">
        <f t="shared" ref="O133" si="221">N133*(1+O134)</f>
        <v>33669.459047914752</v>
      </c>
      <c r="P133" s="123">
        <f t="shared" ref="P133" si="222">O133*(1+P134)</f>
        <v>34006.153638393902</v>
      </c>
      <c r="Q133" s="123">
        <f t="shared" ref="Q133" si="223">P133*(1+Q134)</f>
        <v>34346.215174777841</v>
      </c>
      <c r="R133" s="123">
        <f t="shared" ref="R133" si="224">Q133*(1+R134)</f>
        <v>34689.67732652562</v>
      </c>
      <c r="S133" s="123">
        <f t="shared" ref="S133" si="225">R133*(1+S134)</f>
        <v>35036.57409979088</v>
      </c>
      <c r="T133" s="123">
        <f t="shared" ref="T133" si="226">S133*(1+T134)</f>
        <v>35386.939840788786</v>
      </c>
      <c r="U133" s="123">
        <f t="shared" ref="U133" si="227">T133*(1+U134)</f>
        <v>35740.809239196671</v>
      </c>
      <c r="V133" s="123">
        <f t="shared" ref="V133" si="228">U133*(1+V134)</f>
        <v>36098.217331588639</v>
      </c>
      <c r="W133" s="123">
        <f t="shared" ref="W133" si="229">V133*(1+W134)</f>
        <v>36459.199504904529</v>
      </c>
      <c r="X133" s="123">
        <f t="shared" ref="X133" si="230">W133*(1+X134)</f>
        <v>36823.791499953571</v>
      </c>
    </row>
    <row r="134" spans="1:24">
      <c r="B134" s="197" t="s">
        <v>238</v>
      </c>
      <c r="C134" s="196"/>
      <c r="D134" s="234">
        <f>D133/C133-1</f>
        <v>-3.9179454524848611E-2</v>
      </c>
      <c r="E134" s="234">
        <f>E133/D133-1</f>
        <v>0.16848773369608638</v>
      </c>
      <c r="F134" s="234">
        <f>F133/E133-1</f>
        <v>6.2676318452977275E-2</v>
      </c>
      <c r="G134" s="234">
        <f t="shared" ref="G134:J134" si="231">G133/F133-1</f>
        <v>6.2478729565909719E-2</v>
      </c>
      <c r="H134" s="234">
        <f t="shared" si="231"/>
        <v>0.23107484373495502</v>
      </c>
      <c r="I134" s="234">
        <f t="shared" si="231"/>
        <v>-9.677283416611937E-2</v>
      </c>
      <c r="J134" s="234">
        <f t="shared" si="231"/>
        <v>9.1034571467665248E-3</v>
      </c>
      <c r="K134" s="235">
        <v>0.02</v>
      </c>
      <c r="L134" s="236">
        <v>0</v>
      </c>
      <c r="M134" s="236">
        <v>0.01</v>
      </c>
      <c r="N134" s="236">
        <f t="shared" ref="N134" si="232">M134</f>
        <v>0.01</v>
      </c>
      <c r="O134" s="236">
        <f t="shared" ref="O134" si="233">N134</f>
        <v>0.01</v>
      </c>
      <c r="P134" s="236">
        <f t="shared" ref="P134" si="234">O134</f>
        <v>0.01</v>
      </c>
      <c r="Q134" s="236">
        <f t="shared" ref="Q134" si="235">P134</f>
        <v>0.01</v>
      </c>
      <c r="R134" s="236">
        <f t="shared" ref="R134" si="236">Q134</f>
        <v>0.01</v>
      </c>
      <c r="S134" s="236">
        <f t="shared" ref="S134" si="237">R134</f>
        <v>0.01</v>
      </c>
      <c r="T134" s="236">
        <f t="shared" ref="T134" si="238">S134</f>
        <v>0.01</v>
      </c>
      <c r="U134" s="236">
        <f t="shared" ref="U134" si="239">T134</f>
        <v>0.01</v>
      </c>
      <c r="V134" s="236">
        <f t="shared" ref="V134" si="240">U134</f>
        <v>0.01</v>
      </c>
      <c r="W134" s="236">
        <f t="shared" ref="W134" si="241">V134</f>
        <v>0.01</v>
      </c>
      <c r="X134" s="236">
        <f t="shared" ref="X134" si="242">W134</f>
        <v>0.01</v>
      </c>
    </row>
    <row r="135" spans="1:24">
      <c r="B135" s="237" t="s">
        <v>240</v>
      </c>
      <c r="C135" s="238">
        <v>509</v>
      </c>
      <c r="D135" s="238">
        <v>593</v>
      </c>
      <c r="E135" s="238">
        <v>747</v>
      </c>
      <c r="F135" s="238">
        <v>886</v>
      </c>
      <c r="G135" s="238">
        <v>956.84575682382126</v>
      </c>
      <c r="H135" s="238">
        <v>1025</v>
      </c>
      <c r="I135" s="238">
        <v>1103.0999999999999</v>
      </c>
      <c r="J135" s="238">
        <v>1182.8999999999999</v>
      </c>
      <c r="K135" s="238">
        <v>1113.8</v>
      </c>
      <c r="L135" s="238">
        <f t="shared" ref="L135:X135" si="243">L133*L131/1000000</f>
        <v>960.29195774026493</v>
      </c>
      <c r="M135" s="238">
        <f t="shared" si="243"/>
        <v>926.76617134511002</v>
      </c>
      <c r="N135" s="238">
        <f t="shared" si="243"/>
        <v>925.53010591740735</v>
      </c>
      <c r="O135" s="238">
        <f t="shared" si="243"/>
        <v>921.18043898206338</v>
      </c>
      <c r="P135" s="238">
        <f t="shared" si="243"/>
        <v>939.7063149408242</v>
      </c>
      <c r="Q135" s="238">
        <f t="shared" si="243"/>
        <v>958.74113097754537</v>
      </c>
      <c r="R135" s="238">
        <f t="shared" si="243"/>
        <v>980.0143156709189</v>
      </c>
      <c r="S135" s="238">
        <f t="shared" si="243"/>
        <v>1001.8482252502256</v>
      </c>
      <c r="T135" s="238">
        <f t="shared" si="243"/>
        <v>1024.2586914812891</v>
      </c>
      <c r="U135" s="238">
        <f t="shared" si="243"/>
        <v>1047.2620026247403</v>
      </c>
      <c r="V135" s="238">
        <f t="shared" si="243"/>
        <v>1072.65155201025</v>
      </c>
      <c r="W135" s="238">
        <f t="shared" si="243"/>
        <v>1098.7086486320311</v>
      </c>
      <c r="X135" s="238">
        <f t="shared" si="243"/>
        <v>1125.4517275748201</v>
      </c>
    </row>
    <row r="137" spans="1:24">
      <c r="B137" s="219" t="s">
        <v>87</v>
      </c>
      <c r="C137" s="219"/>
      <c r="D137" s="219"/>
      <c r="E137" s="219"/>
      <c r="F137" s="219"/>
      <c r="G137" s="219"/>
      <c r="H137" s="219"/>
      <c r="I137" s="219"/>
      <c r="J137" s="219"/>
      <c r="K137" s="220"/>
      <c r="L137" s="219"/>
      <c r="M137" s="219"/>
      <c r="N137" s="219"/>
      <c r="O137" s="219"/>
      <c r="P137" s="219"/>
      <c r="Q137" s="219"/>
      <c r="R137" s="219"/>
      <c r="S137" s="219"/>
      <c r="T137" s="219"/>
      <c r="U137" s="219"/>
      <c r="V137" s="219"/>
      <c r="W137" s="219"/>
      <c r="X137" s="219"/>
    </row>
    <row r="138" spans="1:24" ht="12.75" customHeight="1">
      <c r="B138" s="116" t="s">
        <v>235</v>
      </c>
      <c r="C138" s="128"/>
      <c r="D138" s="128"/>
      <c r="E138" s="128"/>
      <c r="F138" s="128"/>
      <c r="G138" s="128">
        <f t="shared" ref="G138:X138" si="244">(G103+G83)*G27+G53*(G25+G26)</f>
        <v>26363.273209718383</v>
      </c>
      <c r="H138" s="128">
        <f t="shared" si="244"/>
        <v>68308.234239511512</v>
      </c>
      <c r="I138" s="128">
        <f t="shared" si="244"/>
        <v>75671.823738020859</v>
      </c>
      <c r="J138" s="128">
        <f t="shared" si="244"/>
        <v>80712.380235753124</v>
      </c>
      <c r="K138" s="128">
        <f t="shared" si="244"/>
        <v>80260.089120013145</v>
      </c>
      <c r="L138" s="128">
        <f t="shared" si="244"/>
        <v>79992.604263897883</v>
      </c>
      <c r="M138" s="128">
        <f t="shared" si="244"/>
        <v>81558.828389405084</v>
      </c>
      <c r="N138" s="128">
        <f t="shared" si="244"/>
        <v>84247.408031904459</v>
      </c>
      <c r="O138" s="128">
        <f t="shared" si="244"/>
        <v>86085.698320079522</v>
      </c>
      <c r="P138" s="128">
        <f>(P103+P83)*P27+P53*(P25+P26)</f>
        <v>87938.93625217957</v>
      </c>
      <c r="Q138" s="128">
        <f t="shared" si="244"/>
        <v>89807.095635899881</v>
      </c>
      <c r="R138" s="128">
        <f t="shared" si="244"/>
        <v>91497.894995011695</v>
      </c>
      <c r="S138" s="128">
        <f t="shared" si="244"/>
        <v>80743.167941510168</v>
      </c>
      <c r="T138" s="128">
        <f t="shared" si="244"/>
        <v>59665.253301740253</v>
      </c>
      <c r="U138" s="128">
        <f t="shared" si="244"/>
        <v>24898.100320340633</v>
      </c>
      <c r="V138" s="128">
        <f t="shared" si="244"/>
        <v>9403.9188103370707</v>
      </c>
      <c r="W138" s="128">
        <f t="shared" si="244"/>
        <v>1977.8441193748586</v>
      </c>
      <c r="X138" s="128">
        <f t="shared" si="244"/>
        <v>638.80755856107146</v>
      </c>
    </row>
    <row r="139" spans="1:24" hidden="1" outlineLevel="1">
      <c r="B139" s="232" t="s">
        <v>236</v>
      </c>
      <c r="C139" s="233"/>
      <c r="D139" s="233"/>
      <c r="E139" s="233"/>
      <c r="F139" s="233"/>
      <c r="G139" s="233">
        <v>26363.273209718383</v>
      </c>
      <c r="H139" s="233"/>
      <c r="I139" s="233"/>
      <c r="J139" s="232"/>
      <c r="K139" s="232"/>
      <c r="L139" s="232"/>
      <c r="M139" s="232"/>
      <c r="N139" s="232"/>
      <c r="O139" s="232"/>
      <c r="P139" s="232"/>
      <c r="Q139" s="232"/>
      <c r="R139" s="232"/>
      <c r="S139" s="232"/>
      <c r="T139" s="232"/>
      <c r="U139" s="232"/>
      <c r="V139" s="232"/>
      <c r="W139" s="232"/>
      <c r="X139" s="232"/>
    </row>
    <row r="140" spans="1:24" collapsed="1">
      <c r="B140" s="116" t="s">
        <v>237</v>
      </c>
      <c r="C140" s="123"/>
      <c r="D140" s="123"/>
      <c r="E140" s="123"/>
      <c r="F140" s="123"/>
      <c r="G140" s="445">
        <f t="shared" ref="G140:J140" si="245">G145*1000000/G138</f>
        <v>32867.6941253478</v>
      </c>
      <c r="H140" s="445">
        <f t="shared" si="245"/>
        <v>35515.48399704833</v>
      </c>
      <c r="I140" s="445">
        <f t="shared" si="245"/>
        <v>38431.741913189704</v>
      </c>
      <c r="J140" s="445">
        <f t="shared" si="245"/>
        <v>39267.829677956295</v>
      </c>
      <c r="K140" s="123">
        <f>J140*(1+K144)</f>
        <v>40642.203716684766</v>
      </c>
      <c r="L140" s="123">
        <f>K140*(1+L144)</f>
        <v>41455.047791018464</v>
      </c>
      <c r="M140" s="123">
        <f>L140*(1+M144)</f>
        <v>42284.148746838837</v>
      </c>
      <c r="N140" s="123">
        <f>M140*(1+N144)</f>
        <v>42284.148746838837</v>
      </c>
      <c r="O140" s="123">
        <f>N140*(1+O144)</f>
        <v>42284.148746838837</v>
      </c>
      <c r="P140" s="123">
        <f t="shared" ref="P140" si="246">O140*(1+P144)</f>
        <v>41438.465771902062</v>
      </c>
      <c r="Q140" s="123">
        <f t="shared" ref="Q140" si="247">P140*(1+Q144)</f>
        <v>40609.696456464022</v>
      </c>
      <c r="R140" s="123">
        <f t="shared" ref="R140" si="248">Q140*(1+R144)</f>
        <v>39797.502527334742</v>
      </c>
      <c r="S140" s="123">
        <f t="shared" ref="S140" si="249">R140*(1+S144)</f>
        <v>39001.552476788049</v>
      </c>
      <c r="T140" s="123">
        <f t="shared" ref="T140" si="250">S140*(1+T144)</f>
        <v>38221.521427252286</v>
      </c>
      <c r="U140" s="123">
        <f t="shared" ref="U140" si="251">T140*(1+U144)</f>
        <v>37457.090998707237</v>
      </c>
      <c r="V140" s="123">
        <f t="shared" ref="V140" si="252">U140*(1+V144)</f>
        <v>36707.949178733092</v>
      </c>
      <c r="W140" s="123">
        <f t="shared" ref="W140" si="253">V140*(1+W144)</f>
        <v>35973.790195158428</v>
      </c>
      <c r="X140" s="123">
        <f t="shared" ref="X140" si="254">W140*(1+X144)</f>
        <v>35254.314391255262</v>
      </c>
    </row>
    <row r="141" spans="1:24" hidden="1" outlineLevel="1">
      <c r="A141" s="416"/>
      <c r="B141" s="206" t="s">
        <v>521</v>
      </c>
      <c r="C141" s="208"/>
      <c r="D141" s="208"/>
      <c r="E141" s="208"/>
      <c r="F141" s="208"/>
      <c r="G141" s="208"/>
      <c r="H141" s="231"/>
      <c r="I141" s="223"/>
      <c r="J141" s="223"/>
      <c r="K141" s="223">
        <v>0.06</v>
      </c>
      <c r="L141" s="223">
        <f t="shared" ref="L141:X141" si="255">L142*1.5</f>
        <v>0.03</v>
      </c>
      <c r="M141" s="223">
        <f t="shared" si="255"/>
        <v>0.03</v>
      </c>
      <c r="N141" s="223">
        <f t="shared" si="255"/>
        <v>0</v>
      </c>
      <c r="O141" s="223">
        <f t="shared" si="255"/>
        <v>0</v>
      </c>
      <c r="P141" s="223">
        <f t="shared" si="255"/>
        <v>-0.03</v>
      </c>
      <c r="Q141" s="223">
        <f t="shared" si="255"/>
        <v>-0.03</v>
      </c>
      <c r="R141" s="223">
        <f t="shared" si="255"/>
        <v>-0.03</v>
      </c>
      <c r="S141" s="223">
        <f t="shared" si="255"/>
        <v>-0.03</v>
      </c>
      <c r="T141" s="223">
        <f t="shared" si="255"/>
        <v>-0.03</v>
      </c>
      <c r="U141" s="223">
        <f t="shared" si="255"/>
        <v>-0.03</v>
      </c>
      <c r="V141" s="223">
        <f t="shared" si="255"/>
        <v>-0.03</v>
      </c>
      <c r="W141" s="223">
        <f t="shared" si="255"/>
        <v>-0.03</v>
      </c>
      <c r="X141" s="223">
        <f t="shared" si="255"/>
        <v>-0.03</v>
      </c>
    </row>
    <row r="142" spans="1:24" hidden="1" outlineLevel="1">
      <c r="A142" s="416"/>
      <c r="B142" s="206" t="s">
        <v>500</v>
      </c>
      <c r="C142" s="208"/>
      <c r="D142" s="208"/>
      <c r="E142" s="208"/>
      <c r="F142" s="208"/>
      <c r="G142" s="208"/>
      <c r="H142" s="231"/>
      <c r="I142" s="223"/>
      <c r="J142" s="223"/>
      <c r="K142" s="223">
        <v>3.5000000000000003E-2</v>
      </c>
      <c r="L142" s="223">
        <v>0.02</v>
      </c>
      <c r="M142" s="223">
        <f t="shared" ref="M142" si="256">L142</f>
        <v>0.02</v>
      </c>
      <c r="N142" s="223">
        <v>0</v>
      </c>
      <c r="O142" s="223">
        <f t="shared" ref="O142" si="257">N142</f>
        <v>0</v>
      </c>
      <c r="P142" s="223">
        <v>-0.02</v>
      </c>
      <c r="Q142" s="223">
        <f t="shared" ref="Q142:Q143" si="258">P142</f>
        <v>-0.02</v>
      </c>
      <c r="R142" s="223">
        <f t="shared" ref="R142:R143" si="259">Q142</f>
        <v>-0.02</v>
      </c>
      <c r="S142" s="223">
        <f t="shared" ref="S142:S143" si="260">R142</f>
        <v>-0.02</v>
      </c>
      <c r="T142" s="223">
        <f t="shared" ref="T142:T143" si="261">S142</f>
        <v>-0.02</v>
      </c>
      <c r="U142" s="223">
        <f t="shared" ref="U142:U143" si="262">T142</f>
        <v>-0.02</v>
      </c>
      <c r="V142" s="223">
        <f t="shared" ref="V142:V143" si="263">U142</f>
        <v>-0.02</v>
      </c>
      <c r="W142" s="223">
        <f t="shared" ref="W142:W143" si="264">V142</f>
        <v>-0.02</v>
      </c>
      <c r="X142" s="223">
        <f t="shared" ref="X142:X143" si="265">W142</f>
        <v>-0.02</v>
      </c>
    </row>
    <row r="143" spans="1:24" hidden="1" outlineLevel="1">
      <c r="A143" s="416"/>
      <c r="B143" s="206" t="s">
        <v>522</v>
      </c>
      <c r="C143" s="208"/>
      <c r="D143" s="208"/>
      <c r="E143" s="208"/>
      <c r="F143" s="208"/>
      <c r="G143" s="208"/>
      <c r="H143" s="231"/>
      <c r="I143" s="223"/>
      <c r="J143" s="223"/>
      <c r="K143" s="223">
        <v>0.03</v>
      </c>
      <c r="L143" s="223">
        <v>0</v>
      </c>
      <c r="M143" s="223">
        <v>-0.02</v>
      </c>
      <c r="N143" s="223">
        <f>M143*1.5</f>
        <v>-0.03</v>
      </c>
      <c r="O143" s="223">
        <f>N143*1.5</f>
        <v>-4.4999999999999998E-2</v>
      </c>
      <c r="P143" s="223">
        <f>O143</f>
        <v>-4.4999999999999998E-2</v>
      </c>
      <c r="Q143" s="223">
        <f t="shared" si="258"/>
        <v>-4.4999999999999998E-2</v>
      </c>
      <c r="R143" s="223">
        <f t="shared" si="259"/>
        <v>-4.4999999999999998E-2</v>
      </c>
      <c r="S143" s="223">
        <f t="shared" si="260"/>
        <v>-4.4999999999999998E-2</v>
      </c>
      <c r="T143" s="223">
        <f t="shared" si="261"/>
        <v>-4.4999999999999998E-2</v>
      </c>
      <c r="U143" s="223">
        <f t="shared" si="262"/>
        <v>-4.4999999999999998E-2</v>
      </c>
      <c r="V143" s="223">
        <f t="shared" si="263"/>
        <v>-4.4999999999999998E-2</v>
      </c>
      <c r="W143" s="223">
        <f t="shared" si="264"/>
        <v>-4.4999999999999998E-2</v>
      </c>
      <c r="X143" s="223">
        <f t="shared" si="265"/>
        <v>-4.4999999999999998E-2</v>
      </c>
    </row>
    <row r="144" spans="1:24" collapsed="1">
      <c r="A144" s="210"/>
      <c r="B144" s="211" t="s">
        <v>238</v>
      </c>
      <c r="C144" s="208"/>
      <c r="D144" s="208"/>
      <c r="E144" s="208"/>
      <c r="F144" s="208"/>
      <c r="G144" s="208"/>
      <c r="H144" s="512">
        <f t="shared" ref="H144" si="266">H140/G140-1</f>
        <v>8.0559039572494218E-2</v>
      </c>
      <c r="I144" s="512">
        <f t="shared" ref="I144" si="267">I140/H140-1</f>
        <v>8.21122954817044E-2</v>
      </c>
      <c r="J144" s="512">
        <f t="shared" ref="J144" si="268">J140/I140-1</f>
        <v>2.1755135810787918E-2</v>
      </c>
      <c r="K144" s="224">
        <f t="shared" ref="K144:X144" si="269">CHOOSE($E$1,K141,K142,K143)</f>
        <v>3.5000000000000003E-2</v>
      </c>
      <c r="L144" s="224">
        <f t="shared" si="269"/>
        <v>0.02</v>
      </c>
      <c r="M144" s="224">
        <f t="shared" si="269"/>
        <v>0.02</v>
      </c>
      <c r="N144" s="224">
        <f t="shared" si="269"/>
        <v>0</v>
      </c>
      <c r="O144" s="224">
        <f t="shared" si="269"/>
        <v>0</v>
      </c>
      <c r="P144" s="224">
        <f t="shared" si="269"/>
        <v>-0.02</v>
      </c>
      <c r="Q144" s="224">
        <f t="shared" si="269"/>
        <v>-0.02</v>
      </c>
      <c r="R144" s="224">
        <f t="shared" si="269"/>
        <v>-0.02</v>
      </c>
      <c r="S144" s="224">
        <f t="shared" si="269"/>
        <v>-0.02</v>
      </c>
      <c r="T144" s="224">
        <f t="shared" si="269"/>
        <v>-0.02</v>
      </c>
      <c r="U144" s="224">
        <f t="shared" si="269"/>
        <v>-0.02</v>
      </c>
      <c r="V144" s="224">
        <f t="shared" si="269"/>
        <v>-0.02</v>
      </c>
      <c r="W144" s="224">
        <f t="shared" si="269"/>
        <v>-0.02</v>
      </c>
      <c r="X144" s="224">
        <f t="shared" si="269"/>
        <v>-0.02</v>
      </c>
    </row>
    <row r="145" spans="1:24">
      <c r="B145" s="237" t="s">
        <v>250</v>
      </c>
      <c r="C145" s="238"/>
      <c r="D145" s="238"/>
      <c r="E145" s="238"/>
      <c r="F145" s="238"/>
      <c r="G145" s="238">
        <v>866.5</v>
      </c>
      <c r="H145" s="238">
        <v>2426</v>
      </c>
      <c r="I145" s="238">
        <v>2908.2</v>
      </c>
      <c r="J145" s="238">
        <v>3169.3999999999996</v>
      </c>
      <c r="K145" s="238">
        <f t="shared" ref="K145:X145" si="270">K140*K138/1000000</f>
        <v>3261.9468923348491</v>
      </c>
      <c r="L145" s="238">
        <f t="shared" si="270"/>
        <v>3316.0972326879137</v>
      </c>
      <c r="M145" s="238">
        <f t="shared" si="270"/>
        <v>3448.6456312355067</v>
      </c>
      <c r="N145" s="238">
        <f t="shared" si="270"/>
        <v>3562.3299327566729</v>
      </c>
      <c r="O145" s="238">
        <f t="shared" si="270"/>
        <v>3640.0604727417367</v>
      </c>
      <c r="P145" s="238">
        <f t="shared" si="270"/>
        <v>3644.0545999034202</v>
      </c>
      <c r="Q145" s="238">
        <f t="shared" si="270"/>
        <v>3647.038893410529</v>
      </c>
      <c r="R145" s="238">
        <f t="shared" si="270"/>
        <v>3641.3877073097869</v>
      </c>
      <c r="S145" s="238">
        <f t="shared" si="270"/>
        <v>3149.1089016129195</v>
      </c>
      <c r="T145" s="238">
        <f t="shared" si="270"/>
        <v>2280.4967575349001</v>
      </c>
      <c r="U145" s="238">
        <f t="shared" si="270"/>
        <v>932.61040939394093</v>
      </c>
      <c r="V145" s="238">
        <f t="shared" si="270"/>
        <v>345.19857377078534</v>
      </c>
      <c r="W145" s="238">
        <f t="shared" si="270"/>
        <v>71.15054938911905</v>
      </c>
      <c r="X145" s="238">
        <f t="shared" si="270"/>
        <v>22.520722505022221</v>
      </c>
    </row>
    <row r="147" spans="1:24">
      <c r="B147" s="219" t="s">
        <v>559</v>
      </c>
      <c r="C147" s="219"/>
      <c r="D147" s="219"/>
      <c r="E147" s="219"/>
      <c r="F147" s="219"/>
      <c r="G147" s="219"/>
      <c r="H147" s="219"/>
      <c r="I147" s="219"/>
      <c r="J147" s="219"/>
      <c r="K147" s="220"/>
      <c r="L147" s="219"/>
      <c r="M147" s="219"/>
      <c r="N147" s="219"/>
      <c r="O147" s="219"/>
      <c r="P147" s="219"/>
      <c r="Q147" s="219"/>
      <c r="R147" s="219"/>
      <c r="S147" s="219"/>
      <c r="T147" s="219"/>
      <c r="U147" s="219"/>
      <c r="V147" s="219"/>
      <c r="W147" s="219"/>
      <c r="X147" s="219"/>
    </row>
    <row r="148" spans="1:24">
      <c r="B148" s="116" t="s">
        <v>235</v>
      </c>
      <c r="C148" s="128"/>
      <c r="D148" s="128"/>
      <c r="E148" s="128"/>
      <c r="F148" s="128"/>
      <c r="G148" s="128"/>
      <c r="H148" s="128"/>
      <c r="I148" s="128"/>
      <c r="J148" s="128">
        <f>J87*J27/2</f>
        <v>342.85697798876669</v>
      </c>
      <c r="K148" s="128">
        <f t="shared" ref="K148:X148" si="271">K87*K27</f>
        <v>1397.8051597733665</v>
      </c>
      <c r="L148" s="128">
        <f t="shared" si="271"/>
        <v>0</v>
      </c>
      <c r="M148" s="128">
        <f t="shared" si="271"/>
        <v>0</v>
      </c>
      <c r="N148" s="128">
        <f t="shared" si="271"/>
        <v>0</v>
      </c>
      <c r="O148" s="128">
        <f t="shared" si="271"/>
        <v>0</v>
      </c>
      <c r="P148" s="128">
        <f t="shared" si="271"/>
        <v>0</v>
      </c>
      <c r="Q148" s="128">
        <f t="shared" si="271"/>
        <v>0</v>
      </c>
      <c r="R148" s="128">
        <f t="shared" si="271"/>
        <v>0</v>
      </c>
      <c r="S148" s="128">
        <f t="shared" si="271"/>
        <v>0</v>
      </c>
      <c r="T148" s="128">
        <f t="shared" si="271"/>
        <v>0</v>
      </c>
      <c r="U148" s="128">
        <f t="shared" si="271"/>
        <v>0</v>
      </c>
      <c r="V148" s="128">
        <f t="shared" si="271"/>
        <v>0</v>
      </c>
      <c r="W148" s="128">
        <f t="shared" si="271"/>
        <v>0</v>
      </c>
      <c r="X148" s="128">
        <f t="shared" si="271"/>
        <v>0</v>
      </c>
    </row>
    <row r="149" spans="1:24" hidden="1" outlineLevel="1">
      <c r="B149" s="232" t="s">
        <v>236</v>
      </c>
      <c r="C149" s="233"/>
      <c r="D149" s="233"/>
      <c r="E149" s="233"/>
      <c r="F149" s="233"/>
      <c r="G149" s="233"/>
      <c r="H149" s="233"/>
      <c r="I149" s="233"/>
      <c r="J149" s="232"/>
      <c r="K149" s="232"/>
      <c r="L149" s="232"/>
      <c r="M149" s="232"/>
      <c r="N149" s="232"/>
      <c r="O149" s="232"/>
      <c r="P149" s="232"/>
      <c r="Q149" s="232"/>
      <c r="R149" s="232"/>
      <c r="S149" s="232"/>
      <c r="T149" s="232"/>
      <c r="U149" s="232"/>
      <c r="V149" s="232"/>
      <c r="W149" s="232"/>
      <c r="X149" s="232"/>
    </row>
    <row r="150" spans="1:24" ht="12.75" customHeight="1" collapsed="1">
      <c r="B150" s="116" t="s">
        <v>237</v>
      </c>
      <c r="C150" s="123"/>
      <c r="D150" s="123"/>
      <c r="E150" s="123"/>
      <c r="F150" s="123"/>
      <c r="G150" s="123"/>
      <c r="H150" s="123"/>
      <c r="I150" s="123"/>
      <c r="J150" s="445">
        <v>45000</v>
      </c>
      <c r="K150" s="123">
        <f>J150*(1+K151)</f>
        <v>45000</v>
      </c>
      <c r="L150" s="123">
        <f t="shared" ref="L150:X150" si="272">K150*(1+L151)</f>
        <v>45000</v>
      </c>
      <c r="M150" s="123">
        <f t="shared" si="272"/>
        <v>45000</v>
      </c>
      <c r="N150" s="123">
        <f t="shared" si="272"/>
        <v>45000</v>
      </c>
      <c r="O150" s="123">
        <f t="shared" si="272"/>
        <v>45000</v>
      </c>
      <c r="P150" s="123">
        <f t="shared" si="272"/>
        <v>45000</v>
      </c>
      <c r="Q150" s="123">
        <f t="shared" si="272"/>
        <v>45000</v>
      </c>
      <c r="R150" s="123">
        <f t="shared" si="272"/>
        <v>45000</v>
      </c>
      <c r="S150" s="123">
        <f t="shared" si="272"/>
        <v>45000</v>
      </c>
      <c r="T150" s="123">
        <f t="shared" si="272"/>
        <v>45000</v>
      </c>
      <c r="U150" s="123">
        <f t="shared" si="272"/>
        <v>45000</v>
      </c>
      <c r="V150" s="123">
        <f t="shared" si="272"/>
        <v>45000</v>
      </c>
      <c r="W150" s="123">
        <f t="shared" si="272"/>
        <v>45000</v>
      </c>
      <c r="X150" s="123">
        <f t="shared" si="272"/>
        <v>45000</v>
      </c>
    </row>
    <row r="151" spans="1:24">
      <c r="B151" s="197" t="s">
        <v>238</v>
      </c>
      <c r="C151" s="196"/>
      <c r="D151" s="234"/>
      <c r="E151" s="234"/>
      <c r="F151" s="234"/>
      <c r="G151" s="196"/>
      <c r="H151" s="69"/>
      <c r="I151" s="69"/>
      <c r="J151" s="235">
        <v>0</v>
      </c>
      <c r="K151" s="69">
        <v>0</v>
      </c>
      <c r="L151" s="69">
        <f t="shared" ref="L151:X151" si="273">K151</f>
        <v>0</v>
      </c>
      <c r="M151" s="69">
        <f t="shared" si="273"/>
        <v>0</v>
      </c>
      <c r="N151" s="235">
        <v>0</v>
      </c>
      <c r="O151" s="69">
        <f t="shared" si="273"/>
        <v>0</v>
      </c>
      <c r="P151" s="69">
        <f t="shared" si="273"/>
        <v>0</v>
      </c>
      <c r="Q151" s="69">
        <f t="shared" si="273"/>
        <v>0</v>
      </c>
      <c r="R151" s="69">
        <f t="shared" si="273"/>
        <v>0</v>
      </c>
      <c r="S151" s="69">
        <f t="shared" si="273"/>
        <v>0</v>
      </c>
      <c r="T151" s="69">
        <f t="shared" si="273"/>
        <v>0</v>
      </c>
      <c r="U151" s="69">
        <f t="shared" si="273"/>
        <v>0</v>
      </c>
      <c r="V151" s="69">
        <f t="shared" si="273"/>
        <v>0</v>
      </c>
      <c r="W151" s="69">
        <f t="shared" si="273"/>
        <v>0</v>
      </c>
      <c r="X151" s="69">
        <f t="shared" si="273"/>
        <v>0</v>
      </c>
    </row>
    <row r="152" spans="1:24">
      <c r="B152" s="237" t="s">
        <v>560</v>
      </c>
      <c r="C152" s="238"/>
      <c r="D152" s="238"/>
      <c r="E152" s="238"/>
      <c r="F152" s="238"/>
      <c r="G152" s="238">
        <f>G150*G148/1000000</f>
        <v>0</v>
      </c>
      <c r="H152" s="238">
        <f t="shared" ref="H152:X152" si="274">H150*H148/1000000</f>
        <v>0</v>
      </c>
      <c r="I152" s="238">
        <f t="shared" si="274"/>
        <v>0</v>
      </c>
      <c r="J152" s="238">
        <f>'Zinbryta Collaboration'!BT5</f>
        <v>6.1</v>
      </c>
      <c r="K152" s="238">
        <f t="shared" si="274"/>
        <v>62.90123218980149</v>
      </c>
      <c r="L152" s="238">
        <f t="shared" si="274"/>
        <v>0</v>
      </c>
      <c r="M152" s="238">
        <f t="shared" si="274"/>
        <v>0</v>
      </c>
      <c r="N152" s="238">
        <f t="shared" si="274"/>
        <v>0</v>
      </c>
      <c r="O152" s="238">
        <f t="shared" si="274"/>
        <v>0</v>
      </c>
      <c r="P152" s="238">
        <f t="shared" si="274"/>
        <v>0</v>
      </c>
      <c r="Q152" s="238">
        <f t="shared" si="274"/>
        <v>0</v>
      </c>
      <c r="R152" s="238">
        <f t="shared" si="274"/>
        <v>0</v>
      </c>
      <c r="S152" s="238">
        <f t="shared" si="274"/>
        <v>0</v>
      </c>
      <c r="T152" s="238">
        <f t="shared" si="274"/>
        <v>0</v>
      </c>
      <c r="U152" s="238">
        <f t="shared" si="274"/>
        <v>0</v>
      </c>
      <c r="V152" s="238">
        <f t="shared" si="274"/>
        <v>0</v>
      </c>
      <c r="W152" s="238">
        <f t="shared" si="274"/>
        <v>0</v>
      </c>
      <c r="X152" s="238">
        <f t="shared" si="274"/>
        <v>0</v>
      </c>
    </row>
    <row r="154" spans="1:24">
      <c r="B154" s="219" t="s">
        <v>809</v>
      </c>
      <c r="C154" s="219"/>
      <c r="D154" s="219"/>
      <c r="E154" s="219"/>
      <c r="F154" s="219"/>
      <c r="G154" s="219"/>
      <c r="H154" s="219"/>
      <c r="I154" s="219"/>
      <c r="J154" s="219"/>
      <c r="K154" s="220"/>
      <c r="L154" s="219"/>
      <c r="M154" s="219"/>
      <c r="N154" s="219"/>
      <c r="O154" s="219"/>
      <c r="P154" s="219"/>
      <c r="Q154" s="219"/>
      <c r="R154" s="219"/>
      <c r="S154" s="219"/>
      <c r="T154" s="219"/>
      <c r="U154" s="219"/>
      <c r="V154" s="219"/>
      <c r="W154" s="219"/>
      <c r="X154" s="219"/>
    </row>
    <row r="155" spans="1:24">
      <c r="B155" s="116" t="s">
        <v>235</v>
      </c>
      <c r="C155" s="128"/>
      <c r="D155" s="128"/>
      <c r="E155" s="128"/>
      <c r="F155" s="128"/>
      <c r="G155" s="128">
        <f>G118*G112+(G102+G91)*G27+G48*(G25+G26)</f>
        <v>0</v>
      </c>
      <c r="H155" s="128">
        <f t="shared" ref="H155:X155" si="275">H118*H112+(H102+H91)*H27+H48*(H25+H26)</f>
        <v>0</v>
      </c>
      <c r="I155" s="128">
        <f t="shared" si="275"/>
        <v>0</v>
      </c>
      <c r="J155" s="128">
        <f t="shared" si="275"/>
        <v>0</v>
      </c>
      <c r="K155" s="128">
        <f>K118*K112+(K102+K91)*K27+K48*(K25+K26)</f>
        <v>14128.543849040048</v>
      </c>
      <c r="L155" s="128">
        <f t="shared" si="275"/>
        <v>27233.537332280135</v>
      </c>
      <c r="M155" s="128">
        <f t="shared" si="275"/>
        <v>38175.852882560008</v>
      </c>
      <c r="N155" s="128">
        <f>N118*N112+(N102+N91)*N27+N48*(N25+N26)</f>
        <v>50057.811054622951</v>
      </c>
      <c r="O155" s="128">
        <f t="shared" si="275"/>
        <v>59669.892339494814</v>
      </c>
      <c r="P155" s="128">
        <f t="shared" si="275"/>
        <v>65555.068314613149</v>
      </c>
      <c r="Q155" s="128">
        <f t="shared" si="275"/>
        <v>68247.240636425442</v>
      </c>
      <c r="R155" s="128">
        <f t="shared" si="275"/>
        <v>71089.046463515493</v>
      </c>
      <c r="S155" s="128">
        <f t="shared" si="275"/>
        <v>72468.749724388268</v>
      </c>
      <c r="T155" s="128">
        <f t="shared" si="275"/>
        <v>73874.98220710516</v>
      </c>
      <c r="U155" s="128">
        <f t="shared" si="275"/>
        <v>75308.250086929416</v>
      </c>
      <c r="V155" s="128">
        <f t="shared" si="275"/>
        <v>76769.069133961122</v>
      </c>
      <c r="W155" s="128">
        <f t="shared" si="275"/>
        <v>78257.964893998069</v>
      </c>
      <c r="X155" s="128">
        <f t="shared" si="275"/>
        <v>79775.472872788945</v>
      </c>
    </row>
    <row r="156" spans="1:24" hidden="1" outlineLevel="1">
      <c r="B156" s="232" t="s">
        <v>236</v>
      </c>
      <c r="C156" s="233"/>
      <c r="D156" s="233"/>
      <c r="E156" s="233"/>
      <c r="F156" s="233"/>
      <c r="G156" s="233"/>
      <c r="H156" s="233"/>
      <c r="I156" s="233"/>
      <c r="J156" s="232"/>
      <c r="K156" s="232"/>
      <c r="L156" s="232"/>
      <c r="M156" s="232"/>
      <c r="N156" s="232"/>
      <c r="O156" s="232"/>
      <c r="P156" s="232"/>
      <c r="Q156" s="232"/>
      <c r="R156" s="232"/>
      <c r="S156" s="232"/>
      <c r="T156" s="232"/>
      <c r="U156" s="232"/>
      <c r="V156" s="232"/>
      <c r="W156" s="232"/>
      <c r="X156" s="232"/>
    </row>
    <row r="157" spans="1:24" hidden="1" outlineLevel="1">
      <c r="A157" s="416"/>
      <c r="B157" s="206" t="s">
        <v>521</v>
      </c>
      <c r="C157" s="208"/>
      <c r="D157" s="208"/>
      <c r="E157" s="208"/>
      <c r="F157" s="208"/>
      <c r="G157" s="208"/>
      <c r="H157" s="231"/>
      <c r="I157" s="223"/>
      <c r="J157" s="223"/>
      <c r="K157" s="425">
        <v>37500</v>
      </c>
      <c r="L157" s="424">
        <f>K157*(1+L161)</f>
        <v>38625</v>
      </c>
      <c r="M157" s="424">
        <f t="shared" ref="M157:X157" si="276">L157*(1+M161)</f>
        <v>39783.75</v>
      </c>
      <c r="N157" s="424">
        <f t="shared" si="276"/>
        <v>40977.262500000004</v>
      </c>
      <c r="O157" s="424">
        <f t="shared" si="276"/>
        <v>42206.580375000005</v>
      </c>
      <c r="P157" s="424">
        <f t="shared" si="276"/>
        <v>43472.777786250008</v>
      </c>
      <c r="Q157" s="424">
        <f t="shared" si="276"/>
        <v>44776.961119837506</v>
      </c>
      <c r="R157" s="424">
        <f t="shared" si="276"/>
        <v>46120.269953432631</v>
      </c>
      <c r="S157" s="424">
        <f t="shared" si="276"/>
        <v>47503.878052035609</v>
      </c>
      <c r="T157" s="424">
        <f t="shared" si="276"/>
        <v>48928.99439359668</v>
      </c>
      <c r="U157" s="424">
        <f t="shared" si="276"/>
        <v>50396.864225404584</v>
      </c>
      <c r="V157" s="424">
        <f t="shared" si="276"/>
        <v>51908.770152166726</v>
      </c>
      <c r="W157" s="424">
        <f t="shared" si="276"/>
        <v>53466.033256731731</v>
      </c>
      <c r="X157" s="424">
        <f t="shared" si="276"/>
        <v>55070.014254433685</v>
      </c>
    </row>
    <row r="158" spans="1:24" hidden="1" outlineLevel="1">
      <c r="A158" s="416"/>
      <c r="B158" s="206" t="s">
        <v>500</v>
      </c>
      <c r="C158" s="208"/>
      <c r="D158" s="208"/>
      <c r="E158" s="208"/>
      <c r="F158" s="208"/>
      <c r="G158" s="208"/>
      <c r="H158" s="231"/>
      <c r="I158" s="223"/>
      <c r="J158" s="223"/>
      <c r="K158" s="425">
        <f>K160</f>
        <v>55000</v>
      </c>
      <c r="L158" s="424">
        <f>L160</f>
        <v>53500</v>
      </c>
      <c r="M158" s="424">
        <f>L160*(1+M161)</f>
        <v>55105</v>
      </c>
      <c r="N158" s="424">
        <f t="shared" ref="N158:X158" si="277">M158*(1+N161)</f>
        <v>56758.15</v>
      </c>
      <c r="O158" s="424">
        <f t="shared" si="277"/>
        <v>58460.894500000002</v>
      </c>
      <c r="P158" s="424">
        <f t="shared" si="277"/>
        <v>60214.721335000002</v>
      </c>
      <c r="Q158" s="424">
        <f t="shared" si="277"/>
        <v>62021.162975050007</v>
      </c>
      <c r="R158" s="424">
        <f t="shared" si="277"/>
        <v>63881.797864301509</v>
      </c>
      <c r="S158" s="424">
        <f t="shared" si="277"/>
        <v>65798.251800230559</v>
      </c>
      <c r="T158" s="424">
        <f t="shared" si="277"/>
        <v>67772.199354237484</v>
      </c>
      <c r="U158" s="424">
        <f t="shared" si="277"/>
        <v>69805.365334864604</v>
      </c>
      <c r="V158" s="424">
        <f t="shared" si="277"/>
        <v>71899.526294910538</v>
      </c>
      <c r="W158" s="424">
        <f t="shared" si="277"/>
        <v>74056.512083757858</v>
      </c>
      <c r="X158" s="424">
        <f t="shared" si="277"/>
        <v>76278.207446270593</v>
      </c>
    </row>
    <row r="159" spans="1:24" hidden="1" outlineLevel="1">
      <c r="A159" s="416"/>
      <c r="B159" s="206" t="s">
        <v>522</v>
      </c>
      <c r="C159" s="208"/>
      <c r="D159" s="208"/>
      <c r="E159" s="208"/>
      <c r="F159" s="208"/>
      <c r="G159" s="208"/>
      <c r="H159" s="231"/>
      <c r="I159" s="223"/>
      <c r="J159" s="223"/>
      <c r="K159" s="425">
        <v>50000</v>
      </c>
      <c r="L159" s="424">
        <f>K159*(1+L161)</f>
        <v>51500</v>
      </c>
      <c r="M159" s="424">
        <f t="shared" ref="M159:X159" si="278">L159*(1+M161)</f>
        <v>53045</v>
      </c>
      <c r="N159" s="424">
        <f t="shared" si="278"/>
        <v>54636.35</v>
      </c>
      <c r="O159" s="424">
        <f t="shared" si="278"/>
        <v>56275.440499999997</v>
      </c>
      <c r="P159" s="424">
        <f t="shared" si="278"/>
        <v>57963.703714999996</v>
      </c>
      <c r="Q159" s="424">
        <f t="shared" si="278"/>
        <v>59702.614826450001</v>
      </c>
      <c r="R159" s="424">
        <f t="shared" si="278"/>
        <v>61493.693271243501</v>
      </c>
      <c r="S159" s="424">
        <f t="shared" si="278"/>
        <v>63338.504069380804</v>
      </c>
      <c r="T159" s="424">
        <f t="shared" si="278"/>
        <v>65238.659191462233</v>
      </c>
      <c r="U159" s="424">
        <f t="shared" si="278"/>
        <v>67195.818967206098</v>
      </c>
      <c r="V159" s="424">
        <f t="shared" si="278"/>
        <v>69211.693536222287</v>
      </c>
      <c r="W159" s="424">
        <f t="shared" si="278"/>
        <v>71288.04434230896</v>
      </c>
      <c r="X159" s="424">
        <f t="shared" si="278"/>
        <v>73426.685672578227</v>
      </c>
    </row>
    <row r="160" spans="1:24" ht="12.75" customHeight="1" collapsed="1">
      <c r="B160" s="116" t="s">
        <v>237</v>
      </c>
      <c r="C160" s="123"/>
      <c r="D160" s="123"/>
      <c r="E160" s="123"/>
      <c r="F160" s="123"/>
      <c r="G160" s="123"/>
      <c r="H160" s="123"/>
      <c r="I160" s="123"/>
      <c r="J160" s="123"/>
      <c r="K160" s="248">
        <v>55000</v>
      </c>
      <c r="L160" s="248">
        <v>53500</v>
      </c>
      <c r="M160" s="123">
        <f t="shared" ref="M160:X160" si="279">CHOOSE($E$1,M157,M158,M159)</f>
        <v>55105</v>
      </c>
      <c r="N160" s="123">
        <f t="shared" si="279"/>
        <v>56758.15</v>
      </c>
      <c r="O160" s="123">
        <f t="shared" si="279"/>
        <v>58460.894500000002</v>
      </c>
      <c r="P160" s="123">
        <f t="shared" si="279"/>
        <v>60214.721335000002</v>
      </c>
      <c r="Q160" s="123">
        <f t="shared" si="279"/>
        <v>62021.162975050007</v>
      </c>
      <c r="R160" s="123">
        <f t="shared" si="279"/>
        <v>63881.797864301509</v>
      </c>
      <c r="S160" s="123">
        <f t="shared" si="279"/>
        <v>65798.251800230559</v>
      </c>
      <c r="T160" s="123">
        <f t="shared" si="279"/>
        <v>67772.199354237484</v>
      </c>
      <c r="U160" s="123">
        <f t="shared" si="279"/>
        <v>69805.365334864604</v>
      </c>
      <c r="V160" s="123">
        <f t="shared" si="279"/>
        <v>71899.526294910538</v>
      </c>
      <c r="W160" s="123">
        <f t="shared" si="279"/>
        <v>74056.512083757858</v>
      </c>
      <c r="X160" s="123">
        <f t="shared" si="279"/>
        <v>76278.207446270593</v>
      </c>
    </row>
    <row r="161" spans="2:24">
      <c r="B161" s="197" t="s">
        <v>238</v>
      </c>
      <c r="C161" s="196"/>
      <c r="D161" s="234"/>
      <c r="E161" s="234"/>
      <c r="F161" s="234"/>
      <c r="G161" s="196"/>
      <c r="H161" s="69"/>
      <c r="I161" s="69"/>
      <c r="J161" s="235"/>
      <c r="K161" s="69"/>
      <c r="L161" s="235">
        <v>0.03</v>
      </c>
      <c r="M161" s="69">
        <f t="shared" ref="M161" si="280">L161</f>
        <v>0.03</v>
      </c>
      <c r="N161" s="69">
        <f t="shared" ref="N161:O161" si="281">M161</f>
        <v>0.03</v>
      </c>
      <c r="O161" s="69">
        <f t="shared" si="281"/>
        <v>0.03</v>
      </c>
      <c r="P161" s="69">
        <f t="shared" ref="P161" si="282">O161</f>
        <v>0.03</v>
      </c>
      <c r="Q161" s="69">
        <f t="shared" ref="Q161" si="283">P161</f>
        <v>0.03</v>
      </c>
      <c r="R161" s="69">
        <f t="shared" ref="R161" si="284">Q161</f>
        <v>0.03</v>
      </c>
      <c r="S161" s="69">
        <f t="shared" ref="S161" si="285">R161</f>
        <v>0.03</v>
      </c>
      <c r="T161" s="69">
        <f t="shared" ref="T161" si="286">S161</f>
        <v>0.03</v>
      </c>
      <c r="U161" s="69">
        <f t="shared" ref="U161" si="287">T161</f>
        <v>0.03</v>
      </c>
      <c r="V161" s="69">
        <f t="shared" ref="V161" si="288">U161</f>
        <v>0.03</v>
      </c>
      <c r="W161" s="69">
        <f t="shared" ref="W161" si="289">V161</f>
        <v>0.03</v>
      </c>
      <c r="X161" s="69">
        <f t="shared" ref="X161" si="290">W161</f>
        <v>0.03</v>
      </c>
    </row>
    <row r="162" spans="2:24">
      <c r="B162" s="237" t="s">
        <v>912</v>
      </c>
      <c r="C162" s="238"/>
      <c r="D162" s="238"/>
      <c r="E162" s="238"/>
      <c r="F162" s="238"/>
      <c r="G162" s="238">
        <f>G160*G155/1000000</f>
        <v>0</v>
      </c>
      <c r="H162" s="238">
        <f t="shared" ref="H162:X162" si="291">H160*H155/1000000</f>
        <v>0</v>
      </c>
      <c r="I162" s="238">
        <f t="shared" si="291"/>
        <v>0</v>
      </c>
      <c r="J162" s="238">
        <f t="shared" si="291"/>
        <v>0</v>
      </c>
      <c r="K162" s="238">
        <f t="shared" si="291"/>
        <v>777.06991169720266</v>
      </c>
      <c r="L162" s="238">
        <f t="shared" si="291"/>
        <v>1456.9942472769874</v>
      </c>
      <c r="M162" s="238">
        <f t="shared" si="291"/>
        <v>2103.6803730934689</v>
      </c>
      <c r="N162" s="238">
        <f t="shared" si="291"/>
        <v>2841.1887485099478</v>
      </c>
      <c r="O162" s="238">
        <f t="shared" si="291"/>
        <v>3488.3552808855648</v>
      </c>
      <c r="P162" s="238">
        <f t="shared" si="291"/>
        <v>3947.380170661319</v>
      </c>
      <c r="Q162" s="238">
        <f t="shared" si="291"/>
        <v>4232.7732341091978</v>
      </c>
      <c r="R162" s="238">
        <f t="shared" si="291"/>
        <v>4541.2960965482353</v>
      </c>
      <c r="S162" s="238">
        <f t="shared" si="291"/>
        <v>4768.3170420131883</v>
      </c>
      <c r="T162" s="238">
        <f t="shared" si="291"/>
        <v>5006.6700214306784</v>
      </c>
      <c r="U162" s="238">
        <f t="shared" si="291"/>
        <v>5256.9199100474571</v>
      </c>
      <c r="V162" s="238">
        <f t="shared" si="291"/>
        <v>5519.6597048330432</v>
      </c>
      <c r="W162" s="238">
        <f t="shared" si="291"/>
        <v>5795.5119228226658</v>
      </c>
      <c r="X162" s="238">
        <f t="shared" si="291"/>
        <v>6085.1300689149275</v>
      </c>
    </row>
    <row r="164" spans="2:24">
      <c r="K164" s="249">
        <f>K118*K112</f>
        <v>5696.1677389438983</v>
      </c>
      <c r="L164" s="249">
        <f t="shared" ref="L164:O164" si="292">L118*L112</f>
        <v>12558.165034023157</v>
      </c>
      <c r="M164" s="249">
        <f t="shared" si="292"/>
        <v>18430.427977444531</v>
      </c>
      <c r="N164" s="128">
        <f t="shared" si="292"/>
        <v>24004.723296739481</v>
      </c>
      <c r="O164" s="249">
        <f t="shared" si="292"/>
        <v>27249.984298053772</v>
      </c>
      <c r="P164" s="249">
        <f t="shared" ref="P164:X164" si="293">P118*P112</f>
        <v>29114.334661747962</v>
      </c>
      <c r="Q164" s="249">
        <f t="shared" si="293"/>
        <v>31106.237476136783</v>
      </c>
      <c r="R164" s="249">
        <f t="shared" si="293"/>
        <v>33234.419441949358</v>
      </c>
      <c r="S164" s="249">
        <f t="shared" si="293"/>
        <v>33886.891456876801</v>
      </c>
      <c r="T164" s="249">
        <f t="shared" si="293"/>
        <v>34552.027510349522</v>
      </c>
      <c r="U164" s="249">
        <f t="shared" si="293"/>
        <v>35230.071121773195</v>
      </c>
      <c r="V164" s="249">
        <f t="shared" si="293"/>
        <v>35921.270457084873</v>
      </c>
      <c r="W164" s="249">
        <f t="shared" si="293"/>
        <v>36625.878416833824</v>
      </c>
      <c r="X164" s="249">
        <f t="shared" si="293"/>
        <v>37344.152725922817</v>
      </c>
    </row>
    <row r="165" spans="2:24">
      <c r="K165" s="445">
        <f>(K102+K91)*K27+K48*(K25+K26)</f>
        <v>8432.3761100961492</v>
      </c>
      <c r="L165" s="445">
        <f t="shared" ref="L165:O165" si="294">(L102+L91)*L27+L48*(L25+L26)</f>
        <v>14675.372298256978</v>
      </c>
      <c r="M165" s="445">
        <f t="shared" si="294"/>
        <v>19745.424905115473</v>
      </c>
      <c r="N165" s="128">
        <f t="shared" si="294"/>
        <v>26053.087757883462</v>
      </c>
      <c r="O165" s="445">
        <f t="shared" si="294"/>
        <v>32419.908041441042</v>
      </c>
      <c r="P165" s="445">
        <f t="shared" ref="P165:X165" si="295">(P102+P91)*P27+P48*(P25+P26)</f>
        <v>36440.733652865179</v>
      </c>
      <c r="Q165" s="445">
        <f t="shared" si="295"/>
        <v>37141.003160288659</v>
      </c>
      <c r="R165" s="445">
        <f t="shared" si="295"/>
        <v>37854.627021566135</v>
      </c>
      <c r="S165" s="445">
        <f t="shared" si="295"/>
        <v>38581.858267511459</v>
      </c>
      <c r="T165" s="445">
        <f t="shared" si="295"/>
        <v>39322.954696755638</v>
      </c>
      <c r="U165" s="445">
        <f t="shared" si="295"/>
        <v>40078.178965156214</v>
      </c>
      <c r="V165" s="445">
        <f t="shared" si="295"/>
        <v>40847.798676876257</v>
      </c>
      <c r="W165" s="445">
        <f t="shared" si="295"/>
        <v>41632.086477164237</v>
      </c>
      <c r="X165" s="445">
        <f t="shared" si="295"/>
        <v>42431.320146866128</v>
      </c>
    </row>
    <row r="166" spans="2:24">
      <c r="K166" s="445"/>
      <c r="N166" s="128">
        <f>N164+N165</f>
        <v>50057.811054622944</v>
      </c>
    </row>
    <row r="170" spans="2:24">
      <c r="J170" s="116" t="s">
        <v>922</v>
      </c>
      <c r="K170" s="238">
        <f>K160*K164/1000000</f>
        <v>313.28922564191441</v>
      </c>
      <c r="L170" s="238">
        <f t="shared" ref="L170:U170" si="296">L160*L164/1000000</f>
        <v>671.86182932023894</v>
      </c>
      <c r="M170" s="238">
        <f t="shared" si="296"/>
        <v>1015.6087336970809</v>
      </c>
      <c r="N170" s="238">
        <f t="shared" si="296"/>
        <v>1362.4636855848341</v>
      </c>
      <c r="O170" s="238">
        <f t="shared" si="296"/>
        <v>1593.0584571751783</v>
      </c>
      <c r="P170" s="238">
        <f t="shared" si="296"/>
        <v>1753.1115485110849</v>
      </c>
      <c r="Q170" s="238">
        <f t="shared" si="296"/>
        <v>1929.2450240480875</v>
      </c>
      <c r="R170" s="238">
        <f t="shared" si="296"/>
        <v>2123.0744649280209</v>
      </c>
      <c r="S170" s="238">
        <f t="shared" si="296"/>
        <v>2229.6982168066615</v>
      </c>
      <c r="T170" s="238">
        <f t="shared" si="296"/>
        <v>2341.6668965245058</v>
      </c>
      <c r="U170" s="238">
        <f t="shared" si="296"/>
        <v>2459.2479854286412</v>
      </c>
      <c r="V170" s="238">
        <f t="shared" ref="V170:X170" si="297">V160*V164/1000000</f>
        <v>2582.7223297757669</v>
      </c>
      <c r="W170" s="238">
        <f t="shared" si="297"/>
        <v>2712.3848075545002</v>
      </c>
      <c r="X170" s="238">
        <f t="shared" si="297"/>
        <v>2848.5450285331522</v>
      </c>
    </row>
    <row r="171" spans="2:24">
      <c r="J171" s="116" t="s">
        <v>921</v>
      </c>
      <c r="K171" s="238">
        <f>K160*K165/1000000</f>
        <v>463.78068605528819</v>
      </c>
      <c r="L171" s="238">
        <f t="shared" ref="L171:X171" si="298">L160*L165/1000000</f>
        <v>785.13241795674833</v>
      </c>
      <c r="M171" s="238">
        <f t="shared" si="298"/>
        <v>1088.071639396388</v>
      </c>
      <c r="N171" s="238">
        <f t="shared" si="298"/>
        <v>1478.7250629251132</v>
      </c>
      <c r="O171" s="238">
        <f t="shared" si="298"/>
        <v>1895.2968237103864</v>
      </c>
      <c r="P171" s="238">
        <f t="shared" si="298"/>
        <v>2194.2686221502331</v>
      </c>
      <c r="Q171" s="238">
        <f t="shared" si="298"/>
        <v>2303.5282100611107</v>
      </c>
      <c r="R171" s="238">
        <f t="shared" si="298"/>
        <v>2418.2216316202134</v>
      </c>
      <c r="S171" s="238">
        <f t="shared" si="298"/>
        <v>2538.6188252065263</v>
      </c>
      <c r="T171" s="238">
        <f t="shared" si="298"/>
        <v>2665.0031249061722</v>
      </c>
      <c r="U171" s="238">
        <f t="shared" si="298"/>
        <v>2797.6719246188154</v>
      </c>
      <c r="V171" s="238">
        <f t="shared" si="298"/>
        <v>2936.9373750572763</v>
      </c>
      <c r="W171" s="238">
        <f t="shared" si="298"/>
        <v>3083.1271152681657</v>
      </c>
      <c r="X171" s="238">
        <f t="shared" si="298"/>
        <v>3236.5850403817753</v>
      </c>
    </row>
  </sheetData>
  <mergeCells count="2">
    <mergeCell ref="E1:F1"/>
    <mergeCell ref="H1:J1"/>
  </mergeCells>
  <phoneticPr fontId="16" type="noConversion"/>
  <hyperlinks>
    <hyperlink ref="Z7" r:id="rId1"/>
    <hyperlink ref="Z9" r:id="rId2"/>
    <hyperlink ref="Z8" r:id="rId3"/>
    <hyperlink ref="Z15" r:id="rId4"/>
    <hyperlink ref="Z107" r:id="rId5"/>
  </hyperlink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181"/>
  <sheetViews>
    <sheetView zoomScaleNormal="100" workbookViewId="0">
      <pane xSplit="2" ySplit="11" topLeftCell="C53" activePane="bottomRight" state="frozen"/>
      <selection pane="topRight" activeCell="C1" sqref="C1"/>
      <selection pane="bottomLeft" activeCell="A11" sqref="A11"/>
      <selection pane="bottomRight" activeCell="L76" sqref="L76"/>
    </sheetView>
  </sheetViews>
  <sheetFormatPr defaultRowHeight="12.75" outlineLevelRow="2"/>
  <cols>
    <col min="1" max="1" width="2.140625" style="120" customWidth="1"/>
    <col min="2" max="2" width="32.28515625" style="116" customWidth="1"/>
    <col min="3" max="8" width="9.140625" style="116"/>
    <col min="9" max="9" width="9.140625" style="116" customWidth="1"/>
    <col min="10" max="11" width="9.140625" style="116"/>
    <col min="12" max="12" width="9.140625" style="116" customWidth="1"/>
    <col min="13" max="24" width="9.140625" style="116"/>
    <col min="25" max="25" width="3" style="116" customWidth="1"/>
    <col min="26" max="16384" width="9.140625" style="116"/>
  </cols>
  <sheetData>
    <row r="1" spans="1:26">
      <c r="A1" s="90"/>
      <c r="B1" s="89" t="s">
        <v>524</v>
      </c>
      <c r="E1" s="562">
        <f>DCF!C28</f>
        <v>2</v>
      </c>
      <c r="F1" s="562"/>
      <c r="G1" s="88"/>
      <c r="H1" s="563" t="s">
        <v>525</v>
      </c>
      <c r="I1" s="563"/>
      <c r="J1" s="563"/>
    </row>
    <row r="2" spans="1:26">
      <c r="A2" s="90"/>
      <c r="D2" s="239"/>
    </row>
    <row r="3" spans="1:26">
      <c r="A3" s="240">
        <v>1</v>
      </c>
      <c r="B3" s="193" t="s">
        <v>241</v>
      </c>
      <c r="C3" s="193">
        <v>2009</v>
      </c>
      <c r="D3" s="193">
        <v>2010</v>
      </c>
      <c r="E3" s="193">
        <v>2011</v>
      </c>
      <c r="F3" s="193">
        <v>2012</v>
      </c>
      <c r="G3" s="193">
        <v>2013</v>
      </c>
      <c r="H3" s="195">
        <f>G3+1</f>
        <v>2014</v>
      </c>
      <c r="I3" s="195">
        <f t="shared" ref="I3:N3" si="0">H3+1</f>
        <v>2015</v>
      </c>
      <c r="J3" s="195">
        <f t="shared" si="0"/>
        <v>2016</v>
      </c>
      <c r="K3" s="195">
        <f t="shared" si="0"/>
        <v>2017</v>
      </c>
      <c r="L3" s="195">
        <f t="shared" si="0"/>
        <v>2018</v>
      </c>
      <c r="M3" s="195">
        <f t="shared" si="0"/>
        <v>2019</v>
      </c>
      <c r="N3" s="195">
        <f t="shared" si="0"/>
        <v>2020</v>
      </c>
      <c r="O3" s="195">
        <v>2021</v>
      </c>
      <c r="P3" s="195">
        <v>2022</v>
      </c>
      <c r="Q3" s="195">
        <v>2023</v>
      </c>
      <c r="R3" s="195">
        <v>2024</v>
      </c>
      <c r="S3" s="195">
        <v>2025</v>
      </c>
      <c r="T3" s="195">
        <v>2026</v>
      </c>
      <c r="U3" s="195">
        <v>2027</v>
      </c>
      <c r="V3" s="195">
        <v>2028</v>
      </c>
      <c r="W3" s="195">
        <v>2029</v>
      </c>
      <c r="X3" s="195">
        <v>2030</v>
      </c>
    </row>
    <row r="4" spans="1:26" ht="5.25" customHeight="1">
      <c r="A4" s="240">
        <v>2</v>
      </c>
    </row>
    <row r="5" spans="1:26" hidden="1" outlineLevel="2">
      <c r="A5" s="240">
        <v>3</v>
      </c>
      <c r="B5" s="116" t="s">
        <v>242</v>
      </c>
      <c r="C5" s="126">
        <f>D5/(1+D6)</f>
        <v>499.54542971086744</v>
      </c>
      <c r="D5" s="126">
        <v>501.04406599999999</v>
      </c>
      <c r="E5" s="126">
        <f t="shared" ref="E5:M5" si="1">D5*(1+E6)</f>
        <v>502.54719819799993</v>
      </c>
      <c r="F5" s="126">
        <f t="shared" si="1"/>
        <v>504.0548397925939</v>
      </c>
      <c r="G5" s="126">
        <f t="shared" si="1"/>
        <v>505.56700431197163</v>
      </c>
      <c r="H5" s="126">
        <f t="shared" si="1"/>
        <v>507.0837053249075</v>
      </c>
      <c r="I5" s="126">
        <f t="shared" si="1"/>
        <v>508.60495644088218</v>
      </c>
      <c r="J5" s="126">
        <f t="shared" si="1"/>
        <v>510.13077131020475</v>
      </c>
      <c r="K5" s="126">
        <f t="shared" si="1"/>
        <v>511.66116362413533</v>
      </c>
      <c r="L5" s="126">
        <f t="shared" si="1"/>
        <v>513.19614711500765</v>
      </c>
      <c r="M5" s="126">
        <f t="shared" si="1"/>
        <v>514.73573555635267</v>
      </c>
      <c r="N5" s="126">
        <f>M5*(1+N6)</f>
        <v>516.27994276302172</v>
      </c>
      <c r="O5" s="126">
        <f t="shared" ref="O5:X5" si="2">N5*(1+O6)</f>
        <v>517.82878259131076</v>
      </c>
      <c r="P5" s="126">
        <f t="shared" si="2"/>
        <v>519.38226893908461</v>
      </c>
      <c r="Q5" s="126">
        <f t="shared" si="2"/>
        <v>520.94041574590176</v>
      </c>
      <c r="R5" s="126">
        <f t="shared" si="2"/>
        <v>522.50323699313935</v>
      </c>
      <c r="S5" s="126">
        <f t="shared" si="2"/>
        <v>524.07074670411873</v>
      </c>
      <c r="T5" s="126">
        <f t="shared" si="2"/>
        <v>525.64295894423105</v>
      </c>
      <c r="U5" s="126">
        <f t="shared" si="2"/>
        <v>527.21988782106371</v>
      </c>
      <c r="V5" s="126">
        <f t="shared" si="2"/>
        <v>528.80154748452685</v>
      </c>
      <c r="W5" s="126">
        <f t="shared" si="2"/>
        <v>530.38795212698039</v>
      </c>
      <c r="X5" s="126">
        <f t="shared" si="2"/>
        <v>531.97911598336123</v>
      </c>
    </row>
    <row r="6" spans="1:26" s="196" customFormat="1" hidden="1" outlineLevel="2">
      <c r="A6" s="241"/>
      <c r="B6" s="197" t="s">
        <v>201</v>
      </c>
      <c r="D6" s="198">
        <v>3.0000000000000001E-3</v>
      </c>
      <c r="E6" s="198">
        <f>D6</f>
        <v>3.0000000000000001E-3</v>
      </c>
      <c r="F6" s="198">
        <f>E6</f>
        <v>3.0000000000000001E-3</v>
      </c>
      <c r="G6" s="199">
        <f>F6</f>
        <v>3.0000000000000001E-3</v>
      </c>
      <c r="H6" s="199">
        <f t="shared" ref="H6:M6" si="3">G6</f>
        <v>3.0000000000000001E-3</v>
      </c>
      <c r="I6" s="199">
        <f t="shared" si="3"/>
        <v>3.0000000000000001E-3</v>
      </c>
      <c r="J6" s="199">
        <f t="shared" si="3"/>
        <v>3.0000000000000001E-3</v>
      </c>
      <c r="K6" s="199">
        <f t="shared" si="3"/>
        <v>3.0000000000000001E-3</v>
      </c>
      <c r="L6" s="199">
        <f t="shared" si="3"/>
        <v>3.0000000000000001E-3</v>
      </c>
      <c r="M6" s="199">
        <f t="shared" si="3"/>
        <v>3.0000000000000001E-3</v>
      </c>
      <c r="N6" s="199">
        <f>M6</f>
        <v>3.0000000000000001E-3</v>
      </c>
      <c r="O6" s="199">
        <f t="shared" ref="O6:X7" si="4">N6</f>
        <v>3.0000000000000001E-3</v>
      </c>
      <c r="P6" s="199">
        <f t="shared" si="4"/>
        <v>3.0000000000000001E-3</v>
      </c>
      <c r="Q6" s="199">
        <f t="shared" si="4"/>
        <v>3.0000000000000001E-3</v>
      </c>
      <c r="R6" s="199">
        <f t="shared" si="4"/>
        <v>3.0000000000000001E-3</v>
      </c>
      <c r="S6" s="199">
        <f t="shared" si="4"/>
        <v>3.0000000000000001E-3</v>
      </c>
      <c r="T6" s="199">
        <f t="shared" si="4"/>
        <v>3.0000000000000001E-3</v>
      </c>
      <c r="U6" s="199">
        <f t="shared" si="4"/>
        <v>3.0000000000000001E-3</v>
      </c>
      <c r="V6" s="199">
        <f t="shared" si="4"/>
        <v>3.0000000000000001E-3</v>
      </c>
      <c r="W6" s="199">
        <f t="shared" si="4"/>
        <v>3.0000000000000001E-3</v>
      </c>
      <c r="X6" s="199">
        <f t="shared" si="4"/>
        <v>3.0000000000000001E-3</v>
      </c>
    </row>
    <row r="7" spans="1:26" hidden="1" outlineLevel="2">
      <c r="B7" s="116" t="s">
        <v>202</v>
      </c>
      <c r="C7" s="200">
        <f>108/100000</f>
        <v>1.08E-3</v>
      </c>
      <c r="D7" s="201">
        <f>C7</f>
        <v>1.08E-3</v>
      </c>
      <c r="E7" s="201">
        <f t="shared" ref="E7:N7" si="5">D7</f>
        <v>1.08E-3</v>
      </c>
      <c r="F7" s="201">
        <f t="shared" si="5"/>
        <v>1.08E-3</v>
      </c>
      <c r="G7" s="201">
        <f t="shared" si="5"/>
        <v>1.08E-3</v>
      </c>
      <c r="H7" s="201">
        <f t="shared" si="5"/>
        <v>1.08E-3</v>
      </c>
      <c r="I7" s="201">
        <f t="shared" si="5"/>
        <v>1.08E-3</v>
      </c>
      <c r="J7" s="201">
        <f t="shared" si="5"/>
        <v>1.08E-3</v>
      </c>
      <c r="K7" s="201">
        <f t="shared" si="5"/>
        <v>1.08E-3</v>
      </c>
      <c r="L7" s="201">
        <f t="shared" si="5"/>
        <v>1.08E-3</v>
      </c>
      <c r="M7" s="201">
        <f t="shared" si="5"/>
        <v>1.08E-3</v>
      </c>
      <c r="N7" s="201">
        <f t="shared" si="5"/>
        <v>1.08E-3</v>
      </c>
      <c r="O7" s="201">
        <f t="shared" si="4"/>
        <v>1.08E-3</v>
      </c>
      <c r="P7" s="201">
        <f t="shared" si="4"/>
        <v>1.08E-3</v>
      </c>
      <c r="Q7" s="201">
        <f t="shared" si="4"/>
        <v>1.08E-3</v>
      </c>
      <c r="R7" s="201">
        <f t="shared" si="4"/>
        <v>1.08E-3</v>
      </c>
      <c r="S7" s="201">
        <f t="shared" si="4"/>
        <v>1.08E-3</v>
      </c>
      <c r="T7" s="201">
        <f t="shared" si="4"/>
        <v>1.08E-3</v>
      </c>
      <c r="U7" s="201">
        <f t="shared" si="4"/>
        <v>1.08E-3</v>
      </c>
      <c r="V7" s="201">
        <f t="shared" si="4"/>
        <v>1.08E-3</v>
      </c>
      <c r="W7" s="201">
        <f t="shared" si="4"/>
        <v>1.08E-3</v>
      </c>
      <c r="X7" s="201">
        <f t="shared" si="4"/>
        <v>1.08E-3</v>
      </c>
      <c r="Z7" s="202" t="s">
        <v>203</v>
      </c>
    </row>
    <row r="8" spans="1:26" hidden="1" outlineLevel="1" collapsed="1">
      <c r="B8" s="116" t="s">
        <v>243</v>
      </c>
      <c r="C8" s="128">
        <f>C7*C5*1000000</f>
        <v>539509.06408773677</v>
      </c>
      <c r="D8" s="128">
        <f t="shared" ref="D8:X8" si="6">D7*D5*1000000</f>
        <v>541127.59127999994</v>
      </c>
      <c r="E8" s="128">
        <f t="shared" si="6"/>
        <v>542750.97405384004</v>
      </c>
      <c r="F8" s="128">
        <f t="shared" si="6"/>
        <v>544379.2269760014</v>
      </c>
      <c r="G8" s="128">
        <f t="shared" si="6"/>
        <v>546012.36465692939</v>
      </c>
      <c r="H8" s="128">
        <f t="shared" si="6"/>
        <v>547650.40175090008</v>
      </c>
      <c r="I8" s="128">
        <f t="shared" si="6"/>
        <v>549293.35295615275</v>
      </c>
      <c r="J8" s="128">
        <f t="shared" si="6"/>
        <v>550941.23301502119</v>
      </c>
      <c r="K8" s="128">
        <f t="shared" si="6"/>
        <v>552594.05671406619</v>
      </c>
      <c r="L8" s="128">
        <f t="shared" si="6"/>
        <v>554251.83888420823</v>
      </c>
      <c r="M8" s="128">
        <f t="shared" si="6"/>
        <v>555914.59440086083</v>
      </c>
      <c r="N8" s="128">
        <f t="shared" si="6"/>
        <v>557582.33818406344</v>
      </c>
      <c r="O8" s="128">
        <f t="shared" si="6"/>
        <v>559255.08519861568</v>
      </c>
      <c r="P8" s="128">
        <f t="shared" si="6"/>
        <v>560932.85045421135</v>
      </c>
      <c r="Q8" s="128">
        <f t="shared" si="6"/>
        <v>562615.64900557394</v>
      </c>
      <c r="R8" s="128">
        <f t="shared" si="6"/>
        <v>564303.4959525906</v>
      </c>
      <c r="S8" s="128">
        <f t="shared" si="6"/>
        <v>565996.40644044825</v>
      </c>
      <c r="T8" s="128">
        <f t="shared" si="6"/>
        <v>567694.39565976954</v>
      </c>
      <c r="U8" s="128">
        <f t="shared" si="6"/>
        <v>569397.47884674883</v>
      </c>
      <c r="V8" s="128">
        <f t="shared" si="6"/>
        <v>571105.67128328909</v>
      </c>
      <c r="W8" s="128">
        <f t="shared" si="6"/>
        <v>572818.98829713883</v>
      </c>
      <c r="X8" s="128">
        <f t="shared" si="6"/>
        <v>574537.44526203012</v>
      </c>
      <c r="Z8" s="202" t="s">
        <v>203</v>
      </c>
    </row>
    <row r="9" spans="1:26" hidden="1" outlineLevel="1">
      <c r="B9" s="116" t="s">
        <v>244</v>
      </c>
      <c r="C9" s="128">
        <f t="shared" ref="C9:E10" si="7">D9/1.025</f>
        <v>21742.815475194122</v>
      </c>
      <c r="D9" s="128">
        <f t="shared" si="7"/>
        <v>22286.385862073974</v>
      </c>
      <c r="E9" s="128">
        <f t="shared" si="7"/>
        <v>22843.545508625823</v>
      </c>
      <c r="F9" s="128">
        <f>G9/1.025</f>
        <v>23414.634146341465</v>
      </c>
      <c r="G9" s="128">
        <v>24000</v>
      </c>
      <c r="H9" s="128">
        <f>G9*1.025</f>
        <v>24599.999999999996</v>
      </c>
      <c r="I9" s="128">
        <f t="shared" ref="I9:N10" si="8">H9*1.025</f>
        <v>25214.999999999993</v>
      </c>
      <c r="J9" s="128">
        <f t="shared" si="8"/>
        <v>25845.374999999989</v>
      </c>
      <c r="K9" s="128">
        <f t="shared" si="8"/>
        <v>26491.509374999987</v>
      </c>
      <c r="L9" s="128">
        <f t="shared" si="8"/>
        <v>27153.797109374984</v>
      </c>
      <c r="M9" s="128">
        <f t="shared" si="8"/>
        <v>27832.642037109355</v>
      </c>
      <c r="N9" s="128">
        <f t="shared" si="8"/>
        <v>28528.458088037089</v>
      </c>
      <c r="O9" s="128">
        <f t="shared" ref="O9:O10" si="9">N9*1.025</f>
        <v>29241.669540238014</v>
      </c>
      <c r="P9" s="128">
        <f t="shared" ref="P9:P10" si="10">O9*1.025</f>
        <v>29972.711278743962</v>
      </c>
      <c r="Q9" s="128">
        <f t="shared" ref="Q9:Q10" si="11">P9*1.025</f>
        <v>30722.029060712557</v>
      </c>
      <c r="R9" s="128">
        <f t="shared" ref="R9:R10" si="12">Q9*1.025</f>
        <v>31490.079787230366</v>
      </c>
      <c r="S9" s="128">
        <f t="shared" ref="S9:S10" si="13">R9*1.025</f>
        <v>32277.331781911122</v>
      </c>
      <c r="T9" s="128">
        <f t="shared" ref="T9:T10" si="14">S9*1.025</f>
        <v>33084.265076458898</v>
      </c>
      <c r="U9" s="128">
        <f t="shared" ref="U9:U10" si="15">T9*1.025</f>
        <v>33911.371703370365</v>
      </c>
      <c r="V9" s="128">
        <f t="shared" ref="V9:V10" si="16">U9*1.025</f>
        <v>34759.155995954621</v>
      </c>
      <c r="W9" s="128">
        <f t="shared" ref="W9:W10" si="17">V9*1.025</f>
        <v>35628.134895853487</v>
      </c>
      <c r="X9" s="128">
        <f t="shared" ref="X9:X10" si="18">W9*1.025</f>
        <v>36518.83826824982</v>
      </c>
      <c r="Z9" s="202"/>
    </row>
    <row r="10" spans="1:26" hidden="1" outlineLevel="1">
      <c r="B10" s="116" t="s">
        <v>245</v>
      </c>
      <c r="C10" s="128">
        <f t="shared" si="7"/>
        <v>135892.5967199633</v>
      </c>
      <c r="D10" s="128">
        <f t="shared" si="7"/>
        <v>139289.91163796236</v>
      </c>
      <c r="E10" s="128">
        <f t="shared" si="7"/>
        <v>142772.1594289114</v>
      </c>
      <c r="F10" s="128">
        <f>G10/1.025</f>
        <v>146341.46341463417</v>
      </c>
      <c r="G10" s="128">
        <v>150000</v>
      </c>
      <c r="H10" s="128">
        <f>G10*1.025</f>
        <v>153750</v>
      </c>
      <c r="I10" s="128">
        <f t="shared" si="8"/>
        <v>157593.75</v>
      </c>
      <c r="J10" s="128">
        <f t="shared" si="8"/>
        <v>161533.59375</v>
      </c>
      <c r="K10" s="128">
        <f t="shared" si="8"/>
        <v>165571.93359375</v>
      </c>
      <c r="L10" s="128">
        <f t="shared" si="8"/>
        <v>169711.23193359372</v>
      </c>
      <c r="M10" s="128">
        <f t="shared" si="8"/>
        <v>173954.01273193356</v>
      </c>
      <c r="N10" s="128">
        <f t="shared" si="8"/>
        <v>178302.86305023188</v>
      </c>
      <c r="O10" s="128">
        <f t="shared" si="9"/>
        <v>182760.43462648767</v>
      </c>
      <c r="P10" s="128">
        <f t="shared" si="10"/>
        <v>187329.44549214985</v>
      </c>
      <c r="Q10" s="128">
        <f t="shared" si="11"/>
        <v>192012.68162945358</v>
      </c>
      <c r="R10" s="128">
        <f t="shared" si="12"/>
        <v>196812.9986701899</v>
      </c>
      <c r="S10" s="128">
        <f t="shared" si="13"/>
        <v>201733.32363694464</v>
      </c>
      <c r="T10" s="128">
        <f t="shared" si="14"/>
        <v>206776.65672786825</v>
      </c>
      <c r="U10" s="128">
        <f t="shared" si="15"/>
        <v>211946.07314606494</v>
      </c>
      <c r="V10" s="128">
        <f t="shared" si="16"/>
        <v>217244.72497471655</v>
      </c>
      <c r="W10" s="128">
        <f t="shared" si="17"/>
        <v>222675.84309908445</v>
      </c>
      <c r="X10" s="128">
        <f t="shared" si="18"/>
        <v>228242.73917656153</v>
      </c>
      <c r="Z10" s="202"/>
    </row>
    <row r="11" spans="1:26" hidden="1" outlineLevel="1">
      <c r="B11" s="116" t="s">
        <v>246</v>
      </c>
      <c r="C11" s="128">
        <v>100000</v>
      </c>
      <c r="D11" s="128">
        <f>C11*1.1</f>
        <v>110000.00000000001</v>
      </c>
      <c r="E11" s="128">
        <f t="shared" ref="E11:N11" si="19">D11*1.1</f>
        <v>121000.00000000003</v>
      </c>
      <c r="F11" s="128">
        <f t="shared" si="19"/>
        <v>133100.00000000003</v>
      </c>
      <c r="G11" s="128">
        <f t="shared" si="19"/>
        <v>146410.00000000006</v>
      </c>
      <c r="H11" s="128">
        <f t="shared" si="19"/>
        <v>161051.00000000009</v>
      </c>
      <c r="I11" s="128">
        <f t="shared" si="19"/>
        <v>177156.10000000012</v>
      </c>
      <c r="J11" s="128">
        <f t="shared" si="19"/>
        <v>194871.71000000014</v>
      </c>
      <c r="K11" s="128">
        <f t="shared" si="19"/>
        <v>214358.88100000017</v>
      </c>
      <c r="L11" s="128">
        <f t="shared" si="19"/>
        <v>235794.76910000021</v>
      </c>
      <c r="M11" s="128">
        <f t="shared" si="19"/>
        <v>259374.24601000026</v>
      </c>
      <c r="N11" s="128">
        <f t="shared" si="19"/>
        <v>285311.67061100033</v>
      </c>
      <c r="O11" s="128">
        <f t="shared" ref="O11" si="20">N11*1.1</f>
        <v>313842.8376721004</v>
      </c>
      <c r="P11" s="128">
        <f t="shared" ref="P11" si="21">O11*1.1</f>
        <v>345227.12143931049</v>
      </c>
      <c r="Q11" s="128">
        <f t="shared" ref="Q11" si="22">P11*1.1</f>
        <v>379749.83358324156</v>
      </c>
      <c r="R11" s="128">
        <f t="shared" ref="R11" si="23">Q11*1.1</f>
        <v>417724.81694156578</v>
      </c>
      <c r="S11" s="128">
        <f t="shared" ref="S11" si="24">R11*1.1</f>
        <v>459497.29863572237</v>
      </c>
      <c r="T11" s="128">
        <f t="shared" ref="T11" si="25">S11*1.1</f>
        <v>505447.02849929465</v>
      </c>
      <c r="U11" s="128">
        <f t="shared" ref="U11" si="26">T11*1.1</f>
        <v>555991.73134922411</v>
      </c>
      <c r="V11" s="128">
        <f t="shared" ref="V11" si="27">U11*1.1</f>
        <v>611590.90448414662</v>
      </c>
      <c r="W11" s="128">
        <f t="shared" ref="W11" si="28">V11*1.1</f>
        <v>672749.9949325613</v>
      </c>
      <c r="X11" s="128">
        <f t="shared" ref="X11" si="29">W11*1.1</f>
        <v>740024.99442581751</v>
      </c>
      <c r="Z11" s="202"/>
    </row>
    <row r="12" spans="1:26" collapsed="1">
      <c r="B12" s="116" t="s">
        <v>247</v>
      </c>
      <c r="C12" s="128">
        <f>C10+C9+C8+C11</f>
        <v>797144.47628289415</v>
      </c>
      <c r="D12" s="128">
        <f t="shared" ref="D12:N12" si="30">D10+D9+D8+D11</f>
        <v>812703.88878003624</v>
      </c>
      <c r="E12" s="128">
        <f t="shared" si="30"/>
        <v>829366.67899137724</v>
      </c>
      <c r="F12" s="128">
        <f t="shared" si="30"/>
        <v>847235.3245369771</v>
      </c>
      <c r="G12" s="128">
        <f t="shared" si="30"/>
        <v>866422.36465692939</v>
      </c>
      <c r="H12" s="128">
        <f t="shared" si="30"/>
        <v>887051.4017509002</v>
      </c>
      <c r="I12" s="128">
        <f t="shared" si="30"/>
        <v>909258.20295615285</v>
      </c>
      <c r="J12" s="128">
        <f t="shared" si="30"/>
        <v>933191.91176502127</v>
      </c>
      <c r="K12" s="128">
        <f t="shared" si="30"/>
        <v>959016.38068281638</v>
      </c>
      <c r="L12" s="128">
        <f t="shared" si="30"/>
        <v>986911.63702717703</v>
      </c>
      <c r="M12" s="128">
        <f t="shared" si="30"/>
        <v>1017075.495179904</v>
      </c>
      <c r="N12" s="128">
        <f t="shared" si="30"/>
        <v>1049725.3299333327</v>
      </c>
      <c r="O12" s="128">
        <f t="shared" ref="O12:X12" si="31">O10+O9+O8+O11</f>
        <v>1085100.0270374417</v>
      </c>
      <c r="P12" s="128">
        <f t="shared" si="31"/>
        <v>1123462.1286644158</v>
      </c>
      <c r="Q12" s="128">
        <f t="shared" si="31"/>
        <v>1165100.1932789816</v>
      </c>
      <c r="R12" s="128">
        <f t="shared" si="31"/>
        <v>1210331.3913515767</v>
      </c>
      <c r="S12" s="128">
        <f t="shared" si="31"/>
        <v>1259504.3604950262</v>
      </c>
      <c r="T12" s="128">
        <f t="shared" si="31"/>
        <v>1313002.3459633915</v>
      </c>
      <c r="U12" s="128">
        <f t="shared" si="31"/>
        <v>1371246.6550454083</v>
      </c>
      <c r="V12" s="128">
        <f t="shared" si="31"/>
        <v>1434700.4567381069</v>
      </c>
      <c r="W12" s="128">
        <f t="shared" si="31"/>
        <v>1503872.9612246379</v>
      </c>
      <c r="X12" s="128">
        <f t="shared" si="31"/>
        <v>1579324.017132659</v>
      </c>
      <c r="Z12" s="202"/>
    </row>
    <row r="13" spans="1:26">
      <c r="B13" s="203" t="s">
        <v>205</v>
      </c>
      <c r="C13" s="128">
        <f>C12*0.725</f>
        <v>577929.74530509824</v>
      </c>
      <c r="D13" s="128">
        <f>D12*0.725</f>
        <v>589210.3193655262</v>
      </c>
      <c r="E13" s="128">
        <f>E12*0.725</f>
        <v>601290.84226874844</v>
      </c>
      <c r="F13" s="128">
        <f>F12*0.725</f>
        <v>614245.61028930836</v>
      </c>
      <c r="G13" s="128">
        <f>G12*0.725</f>
        <v>628156.2143762738</v>
      </c>
      <c r="H13" s="128">
        <f t="shared" ref="H13:M13" si="32">H12*0.725</f>
        <v>643112.26626940258</v>
      </c>
      <c r="I13" s="128">
        <f t="shared" si="32"/>
        <v>659212.1971432108</v>
      </c>
      <c r="J13" s="128">
        <f t="shared" si="32"/>
        <v>676564.13602964045</v>
      </c>
      <c r="K13" s="128">
        <f t="shared" si="32"/>
        <v>695286.8759950418</v>
      </c>
      <c r="L13" s="128">
        <f t="shared" si="32"/>
        <v>715510.93684470328</v>
      </c>
      <c r="M13" s="128">
        <f t="shared" si="32"/>
        <v>737379.73400543036</v>
      </c>
      <c r="N13" s="128">
        <f>N12*0.725</f>
        <v>761050.86420166621</v>
      </c>
      <c r="O13" s="128">
        <f t="shared" ref="O13:X13" si="33">O12*0.725</f>
        <v>786697.51960214518</v>
      </c>
      <c r="P13" s="128">
        <f t="shared" si="33"/>
        <v>814510.04328170139</v>
      </c>
      <c r="Q13" s="128">
        <f t="shared" si="33"/>
        <v>844697.64012726163</v>
      </c>
      <c r="R13" s="128">
        <f t="shared" si="33"/>
        <v>877490.25872989302</v>
      </c>
      <c r="S13" s="128">
        <f t="shared" si="33"/>
        <v>913140.66135889397</v>
      </c>
      <c r="T13" s="128">
        <f t="shared" si="33"/>
        <v>951926.70082345884</v>
      </c>
      <c r="U13" s="128">
        <f t="shared" si="33"/>
        <v>994153.82490792102</v>
      </c>
      <c r="V13" s="128">
        <f t="shared" si="33"/>
        <v>1040157.8311351275</v>
      </c>
      <c r="W13" s="128">
        <f t="shared" si="33"/>
        <v>1090307.8968878624</v>
      </c>
      <c r="X13" s="128">
        <f t="shared" si="33"/>
        <v>1145009.9124211776</v>
      </c>
      <c r="Z13" s="202" t="s">
        <v>206</v>
      </c>
    </row>
    <row r="14" spans="1:26">
      <c r="B14" s="203" t="s">
        <v>207</v>
      </c>
      <c r="C14" s="128">
        <f>C12*0.125</f>
        <v>99643.059535361768</v>
      </c>
      <c r="D14" s="128">
        <f>D12*0.125</f>
        <v>101587.98609750453</v>
      </c>
      <c r="E14" s="128">
        <f>E12*0.125</f>
        <v>103670.83487392215</v>
      </c>
      <c r="F14" s="128">
        <f>F12*0.125</f>
        <v>105904.41556712214</v>
      </c>
      <c r="G14" s="128">
        <f>G12*0.125</f>
        <v>108302.79558211617</v>
      </c>
      <c r="H14" s="128">
        <f t="shared" ref="H14:M14" si="34">H12*0.125</f>
        <v>110881.42521886253</v>
      </c>
      <c r="I14" s="128">
        <f t="shared" si="34"/>
        <v>113657.27536951911</v>
      </c>
      <c r="J14" s="128">
        <f t="shared" si="34"/>
        <v>116648.98897062766</v>
      </c>
      <c r="K14" s="128">
        <f t="shared" si="34"/>
        <v>119877.04758535205</v>
      </c>
      <c r="L14" s="128">
        <f t="shared" si="34"/>
        <v>123363.95462839713</v>
      </c>
      <c r="M14" s="128">
        <f t="shared" si="34"/>
        <v>127134.43689748801</v>
      </c>
      <c r="N14" s="128">
        <f>N12*0.125</f>
        <v>131215.66624166659</v>
      </c>
      <c r="O14" s="128">
        <f t="shared" ref="O14:X14" si="35">O12*0.125</f>
        <v>135637.50337968022</v>
      </c>
      <c r="P14" s="128">
        <f t="shared" si="35"/>
        <v>140432.76608305197</v>
      </c>
      <c r="Q14" s="128">
        <f t="shared" si="35"/>
        <v>145637.5241598727</v>
      </c>
      <c r="R14" s="128">
        <f t="shared" si="35"/>
        <v>151291.42391894708</v>
      </c>
      <c r="S14" s="128">
        <f t="shared" si="35"/>
        <v>157438.04506187828</v>
      </c>
      <c r="T14" s="128">
        <f t="shared" si="35"/>
        <v>164125.29324542393</v>
      </c>
      <c r="U14" s="128">
        <f t="shared" si="35"/>
        <v>171405.83188067604</v>
      </c>
      <c r="V14" s="128">
        <f t="shared" si="35"/>
        <v>179337.55709226336</v>
      </c>
      <c r="W14" s="128">
        <f t="shared" si="35"/>
        <v>187984.12015307974</v>
      </c>
      <c r="X14" s="128">
        <f t="shared" si="35"/>
        <v>197415.50214158237</v>
      </c>
    </row>
    <row r="15" spans="1:26">
      <c r="B15" s="203" t="s">
        <v>208</v>
      </c>
      <c r="C15" s="128">
        <f>C12*0.1</f>
        <v>79714.447628289417</v>
      </c>
      <c r="D15" s="128">
        <f>D12*0.1</f>
        <v>81270.388878003636</v>
      </c>
      <c r="E15" s="128">
        <f>E12*0.1</f>
        <v>82936.667899137727</v>
      </c>
      <c r="F15" s="128">
        <f>F12*0.1</f>
        <v>84723.532453697713</v>
      </c>
      <c r="G15" s="128">
        <f>G12*0.1</f>
        <v>86642.236465692942</v>
      </c>
      <c r="H15" s="128">
        <f t="shared" ref="H15:M15" si="36">H12*0.1</f>
        <v>88705.140175090026</v>
      </c>
      <c r="I15" s="128">
        <f t="shared" si="36"/>
        <v>90925.820295615296</v>
      </c>
      <c r="J15" s="128">
        <f t="shared" si="36"/>
        <v>93319.191176502136</v>
      </c>
      <c r="K15" s="128">
        <f t="shared" si="36"/>
        <v>95901.638068281638</v>
      </c>
      <c r="L15" s="128">
        <f t="shared" si="36"/>
        <v>98691.163702717706</v>
      </c>
      <c r="M15" s="128">
        <f t="shared" si="36"/>
        <v>101707.54951799041</v>
      </c>
      <c r="N15" s="128">
        <f>N12*0.1</f>
        <v>104972.53299333328</v>
      </c>
      <c r="O15" s="128">
        <f t="shared" ref="O15:X15" si="37">O12*0.1</f>
        <v>108510.00270374418</v>
      </c>
      <c r="P15" s="128">
        <f t="shared" si="37"/>
        <v>112346.21286644158</v>
      </c>
      <c r="Q15" s="128">
        <f t="shared" si="37"/>
        <v>116510.01932789816</v>
      </c>
      <c r="R15" s="128">
        <f t="shared" si="37"/>
        <v>121033.13913515767</v>
      </c>
      <c r="S15" s="128">
        <f t="shared" si="37"/>
        <v>125950.43604950263</v>
      </c>
      <c r="T15" s="128">
        <f t="shared" si="37"/>
        <v>131300.23459633914</v>
      </c>
      <c r="U15" s="128">
        <f t="shared" si="37"/>
        <v>137124.66550454084</v>
      </c>
      <c r="V15" s="128">
        <f t="shared" si="37"/>
        <v>143470.0456738107</v>
      </c>
      <c r="W15" s="128">
        <f t="shared" si="37"/>
        <v>150387.2961224638</v>
      </c>
      <c r="X15" s="128">
        <f t="shared" si="37"/>
        <v>157932.40171326592</v>
      </c>
    </row>
    <row r="16" spans="1:26">
      <c r="B16" s="203" t="s">
        <v>209</v>
      </c>
      <c r="C16" s="128">
        <f>C12*0.05</f>
        <v>39857.223814144709</v>
      </c>
      <c r="D16" s="128">
        <f>D12*0.05</f>
        <v>40635.194439001818</v>
      </c>
      <c r="E16" s="128">
        <f>E12*0.05</f>
        <v>41468.333949568863</v>
      </c>
      <c r="F16" s="128">
        <f>F12*0.05</f>
        <v>42361.766226848857</v>
      </c>
      <c r="G16" s="128">
        <f>G12*0.05</f>
        <v>43321.118232846471</v>
      </c>
      <c r="H16" s="128">
        <f t="shared" ref="H16:M16" si="38">H12*0.05</f>
        <v>44352.570087545013</v>
      </c>
      <c r="I16" s="128">
        <f t="shared" si="38"/>
        <v>45462.910147807648</v>
      </c>
      <c r="J16" s="128">
        <f t="shared" si="38"/>
        <v>46659.595588251068</v>
      </c>
      <c r="K16" s="128">
        <f t="shared" si="38"/>
        <v>47950.819034140819</v>
      </c>
      <c r="L16" s="128">
        <f t="shared" si="38"/>
        <v>49345.581851358853</v>
      </c>
      <c r="M16" s="128">
        <f t="shared" si="38"/>
        <v>50853.774758995205</v>
      </c>
      <c r="N16" s="128">
        <f>N12*0.05</f>
        <v>52486.266496666642</v>
      </c>
      <c r="O16" s="128">
        <f t="shared" ref="O16:X16" si="39">O12*0.05</f>
        <v>54255.001351872088</v>
      </c>
      <c r="P16" s="128">
        <f t="shared" si="39"/>
        <v>56173.10643322079</v>
      </c>
      <c r="Q16" s="128">
        <f t="shared" si="39"/>
        <v>58255.00966394908</v>
      </c>
      <c r="R16" s="128">
        <f t="shared" si="39"/>
        <v>60516.569567578837</v>
      </c>
      <c r="S16" s="128">
        <f t="shared" si="39"/>
        <v>62975.218024751317</v>
      </c>
      <c r="T16" s="128">
        <f t="shared" si="39"/>
        <v>65650.117298169571</v>
      </c>
      <c r="U16" s="128">
        <f t="shared" si="39"/>
        <v>68562.33275227042</v>
      </c>
      <c r="V16" s="128">
        <f t="shared" si="39"/>
        <v>71735.022836905351</v>
      </c>
      <c r="W16" s="128">
        <f t="shared" si="39"/>
        <v>75193.648061231899</v>
      </c>
      <c r="X16" s="128">
        <f t="shared" si="39"/>
        <v>78966.20085663296</v>
      </c>
    </row>
    <row r="18" spans="1:26">
      <c r="B18" s="193" t="s">
        <v>210</v>
      </c>
      <c r="C18" s="204"/>
      <c r="D18" s="205"/>
      <c r="E18" s="205"/>
      <c r="F18" s="205"/>
      <c r="G18" s="205"/>
      <c r="H18" s="205"/>
      <c r="I18" s="205"/>
      <c r="J18" s="205"/>
      <c r="K18" s="205"/>
      <c r="L18" s="205"/>
      <c r="M18" s="205"/>
      <c r="N18" s="205"/>
      <c r="O18" s="205"/>
      <c r="P18" s="205"/>
      <c r="Q18" s="205"/>
      <c r="R18" s="205"/>
      <c r="S18" s="205"/>
      <c r="T18" s="205"/>
      <c r="U18" s="205"/>
      <c r="V18" s="205"/>
      <c r="W18" s="205"/>
      <c r="X18" s="205"/>
    </row>
    <row r="19" spans="1:26">
      <c r="B19" s="116" t="s">
        <v>211</v>
      </c>
      <c r="C19" s="128">
        <f>C13</f>
        <v>577929.74530509824</v>
      </c>
      <c r="D19" s="128">
        <f t="shared" ref="D19:M19" si="40">D13</f>
        <v>589210.3193655262</v>
      </c>
      <c r="E19" s="128">
        <f t="shared" si="40"/>
        <v>601290.84226874844</v>
      </c>
      <c r="F19" s="128">
        <f t="shared" si="40"/>
        <v>614245.61028930836</v>
      </c>
      <c r="G19" s="128">
        <f t="shared" si="40"/>
        <v>628156.2143762738</v>
      </c>
      <c r="H19" s="128">
        <f t="shared" si="40"/>
        <v>643112.26626940258</v>
      </c>
      <c r="I19" s="128">
        <f t="shared" si="40"/>
        <v>659212.1971432108</v>
      </c>
      <c r="J19" s="128">
        <f t="shared" si="40"/>
        <v>676564.13602964045</v>
      </c>
      <c r="K19" s="128">
        <f t="shared" si="40"/>
        <v>695286.8759950418</v>
      </c>
      <c r="L19" s="128">
        <f t="shared" si="40"/>
        <v>715510.93684470328</v>
      </c>
      <c r="M19" s="128">
        <f t="shared" si="40"/>
        <v>737379.73400543036</v>
      </c>
      <c r="N19" s="128">
        <f>N13</f>
        <v>761050.86420166621</v>
      </c>
      <c r="O19" s="128">
        <f t="shared" ref="O19:X19" si="41">O13</f>
        <v>786697.51960214518</v>
      </c>
      <c r="P19" s="128">
        <f t="shared" si="41"/>
        <v>814510.04328170139</v>
      </c>
      <c r="Q19" s="128">
        <f t="shared" si="41"/>
        <v>844697.64012726163</v>
      </c>
      <c r="R19" s="128">
        <f t="shared" si="41"/>
        <v>877490.25872989302</v>
      </c>
      <c r="S19" s="128">
        <f t="shared" si="41"/>
        <v>913140.66135889397</v>
      </c>
      <c r="T19" s="128">
        <f t="shared" si="41"/>
        <v>951926.70082345884</v>
      </c>
      <c r="U19" s="128">
        <f t="shared" si="41"/>
        <v>994153.82490792102</v>
      </c>
      <c r="V19" s="128">
        <f t="shared" si="41"/>
        <v>1040157.8311351275</v>
      </c>
      <c r="W19" s="128">
        <f t="shared" si="41"/>
        <v>1090307.8968878624</v>
      </c>
      <c r="X19" s="128">
        <f t="shared" si="41"/>
        <v>1145009.9124211776</v>
      </c>
      <c r="Z19" s="202" t="s">
        <v>212</v>
      </c>
    </row>
    <row r="20" spans="1:26" s="119" customFormat="1" hidden="1" outlineLevel="1">
      <c r="A20" s="242"/>
      <c r="B20" s="206" t="s">
        <v>521</v>
      </c>
      <c r="C20" s="207"/>
      <c r="D20" s="207"/>
      <c r="E20" s="207"/>
      <c r="F20" s="207"/>
      <c r="G20" s="207"/>
      <c r="H20" s="207"/>
      <c r="I20" s="207">
        <f>I21*1.02</f>
        <v>0.81495450000000003</v>
      </c>
      <c r="J20" s="207">
        <f t="shared" ref="J20:M20" si="42">I20*1.02</f>
        <v>0.83125358999999999</v>
      </c>
      <c r="K20" s="207">
        <f t="shared" si="42"/>
        <v>0.84787866180000004</v>
      </c>
      <c r="L20" s="207">
        <f t="shared" si="42"/>
        <v>0.86483623503600005</v>
      </c>
      <c r="M20" s="207">
        <f t="shared" si="42"/>
        <v>0.88213295973672001</v>
      </c>
      <c r="N20" s="207">
        <f>M20*1.02</f>
        <v>0.89977561893145441</v>
      </c>
      <c r="O20" s="207">
        <f t="shared" ref="O20:Q20" si="43">N20*1.02</f>
        <v>0.91777113131008348</v>
      </c>
      <c r="P20" s="207">
        <f t="shared" si="43"/>
        <v>0.93612655393628519</v>
      </c>
      <c r="Q20" s="207">
        <f t="shared" si="43"/>
        <v>0.95484908501501087</v>
      </c>
      <c r="R20" s="208">
        <v>0.95</v>
      </c>
      <c r="S20" s="207">
        <f>R20</f>
        <v>0.95</v>
      </c>
      <c r="T20" s="207">
        <f t="shared" ref="T20:X20" si="44">S20</f>
        <v>0.95</v>
      </c>
      <c r="U20" s="207">
        <f t="shared" si="44"/>
        <v>0.95</v>
      </c>
      <c r="V20" s="207">
        <f t="shared" si="44"/>
        <v>0.95</v>
      </c>
      <c r="W20" s="207">
        <f t="shared" si="44"/>
        <v>0.95</v>
      </c>
      <c r="X20" s="207">
        <f t="shared" si="44"/>
        <v>0.95</v>
      </c>
      <c r="Z20" s="119" t="s">
        <v>528</v>
      </c>
    </row>
    <row r="21" spans="1:26" s="119" customFormat="1" hidden="1" outlineLevel="1">
      <c r="A21" s="242"/>
      <c r="B21" s="206" t="s">
        <v>500</v>
      </c>
      <c r="C21" s="207"/>
      <c r="D21" s="207"/>
      <c r="E21" s="207"/>
      <c r="F21" s="208"/>
      <c r="G21" s="209"/>
      <c r="H21" s="209"/>
      <c r="I21" s="209">
        <f>H23*1.005</f>
        <v>0.79897499999999999</v>
      </c>
      <c r="J21" s="209">
        <f t="shared" ref="J21:X21" si="45">I21*1.005</f>
        <v>0.80296987499999994</v>
      </c>
      <c r="K21" s="209">
        <f t="shared" si="45"/>
        <v>0.80698472437499991</v>
      </c>
      <c r="L21" s="209">
        <f t="shared" si="45"/>
        <v>0.81101964799687487</v>
      </c>
      <c r="M21" s="209">
        <f t="shared" si="45"/>
        <v>0.81507474623685916</v>
      </c>
      <c r="N21" s="209">
        <f t="shared" si="45"/>
        <v>0.81915011996804332</v>
      </c>
      <c r="O21" s="209">
        <f t="shared" si="45"/>
        <v>0.82324587056788345</v>
      </c>
      <c r="P21" s="209">
        <f t="shared" si="45"/>
        <v>0.82736209992072274</v>
      </c>
      <c r="Q21" s="209">
        <f t="shared" si="45"/>
        <v>0.83149891042032631</v>
      </c>
      <c r="R21" s="209">
        <f t="shared" si="45"/>
        <v>0.83565640497242788</v>
      </c>
      <c r="S21" s="209">
        <f t="shared" si="45"/>
        <v>0.83983468699728991</v>
      </c>
      <c r="T21" s="209">
        <f t="shared" si="45"/>
        <v>0.84403386043227624</v>
      </c>
      <c r="U21" s="209">
        <f t="shared" si="45"/>
        <v>0.84825402973443753</v>
      </c>
      <c r="V21" s="209">
        <f t="shared" si="45"/>
        <v>0.85249529988310968</v>
      </c>
      <c r="W21" s="209">
        <f t="shared" si="45"/>
        <v>0.85675777638252515</v>
      </c>
      <c r="X21" s="209">
        <f t="shared" si="45"/>
        <v>0.86104156526443765</v>
      </c>
      <c r="Z21" s="119" t="s">
        <v>527</v>
      </c>
    </row>
    <row r="22" spans="1:26" s="119" customFormat="1" hidden="1" outlineLevel="1">
      <c r="A22" s="242"/>
      <c r="B22" s="206" t="s">
        <v>522</v>
      </c>
      <c r="C22" s="207"/>
      <c r="D22" s="207"/>
      <c r="E22" s="207"/>
      <c r="F22" s="207"/>
      <c r="G22" s="207"/>
      <c r="H22" s="209"/>
      <c r="I22" s="209">
        <f>I21-0.01</f>
        <v>0.78897499999999998</v>
      </c>
      <c r="J22" s="209">
        <f t="shared" ref="J22:M22" si="46">I22</f>
        <v>0.78897499999999998</v>
      </c>
      <c r="K22" s="209">
        <f t="shared" si="46"/>
        <v>0.78897499999999998</v>
      </c>
      <c r="L22" s="209">
        <f t="shared" si="46"/>
        <v>0.78897499999999998</v>
      </c>
      <c r="M22" s="209">
        <f t="shared" si="46"/>
        <v>0.78897499999999998</v>
      </c>
      <c r="N22" s="209">
        <f>M22</f>
        <v>0.78897499999999998</v>
      </c>
      <c r="O22" s="209">
        <f t="shared" ref="O22:X22" si="47">N22</f>
        <v>0.78897499999999998</v>
      </c>
      <c r="P22" s="209">
        <f t="shared" si="47"/>
        <v>0.78897499999999998</v>
      </c>
      <c r="Q22" s="209">
        <f t="shared" si="47"/>
        <v>0.78897499999999998</v>
      </c>
      <c r="R22" s="209">
        <f t="shared" si="47"/>
        <v>0.78897499999999998</v>
      </c>
      <c r="S22" s="209">
        <f t="shared" si="47"/>
        <v>0.78897499999999998</v>
      </c>
      <c r="T22" s="209">
        <f t="shared" si="47"/>
        <v>0.78897499999999998</v>
      </c>
      <c r="U22" s="209">
        <f t="shared" si="47"/>
        <v>0.78897499999999998</v>
      </c>
      <c r="V22" s="209">
        <f t="shared" si="47"/>
        <v>0.78897499999999998</v>
      </c>
      <c r="W22" s="209">
        <f t="shared" si="47"/>
        <v>0.78897499999999998</v>
      </c>
      <c r="X22" s="209">
        <f t="shared" si="47"/>
        <v>0.78897499999999998</v>
      </c>
      <c r="Z22" s="119" t="s">
        <v>526</v>
      </c>
    </row>
    <row r="23" spans="1:26" collapsed="1">
      <c r="A23" s="243" t="s">
        <v>523</v>
      </c>
      <c r="B23" s="211" t="s">
        <v>213</v>
      </c>
      <c r="C23" s="209">
        <v>0.64746430694156609</v>
      </c>
      <c r="D23" s="209">
        <v>0.69745097526246314</v>
      </c>
      <c r="E23" s="209">
        <v>0.74869237505030639</v>
      </c>
      <c r="F23" s="209">
        <v>0.7609323255723951</v>
      </c>
      <c r="G23" s="209">
        <f>F23+0.02</f>
        <v>0.78093232557239511</v>
      </c>
      <c r="H23" s="209">
        <v>0.79500000000000004</v>
      </c>
      <c r="I23" s="212">
        <f t="shared" ref="I23:X23" si="48">CHOOSE($E$1,I20,I21,I22)</f>
        <v>0.79897499999999999</v>
      </c>
      <c r="J23" s="212">
        <f t="shared" si="48"/>
        <v>0.80296987499999994</v>
      </c>
      <c r="K23" s="212">
        <f t="shared" si="48"/>
        <v>0.80698472437499991</v>
      </c>
      <c r="L23" s="212">
        <f t="shared" si="48"/>
        <v>0.81101964799687487</v>
      </c>
      <c r="M23" s="212">
        <f t="shared" si="48"/>
        <v>0.81507474623685916</v>
      </c>
      <c r="N23" s="212">
        <f t="shared" si="48"/>
        <v>0.81915011996804332</v>
      </c>
      <c r="O23" s="212">
        <f t="shared" si="48"/>
        <v>0.82324587056788345</v>
      </c>
      <c r="P23" s="212">
        <f t="shared" si="48"/>
        <v>0.82736209992072274</v>
      </c>
      <c r="Q23" s="212">
        <f t="shared" si="48"/>
        <v>0.83149891042032631</v>
      </c>
      <c r="R23" s="212">
        <f t="shared" si="48"/>
        <v>0.83565640497242788</v>
      </c>
      <c r="S23" s="212">
        <f t="shared" si="48"/>
        <v>0.83983468699728991</v>
      </c>
      <c r="T23" s="212">
        <f t="shared" si="48"/>
        <v>0.84403386043227624</v>
      </c>
      <c r="U23" s="212">
        <f t="shared" si="48"/>
        <v>0.84825402973443753</v>
      </c>
      <c r="V23" s="212">
        <f t="shared" si="48"/>
        <v>0.85249529988310968</v>
      </c>
      <c r="W23" s="212">
        <f t="shared" si="48"/>
        <v>0.85675777638252515</v>
      </c>
      <c r="X23" s="212">
        <f t="shared" si="48"/>
        <v>0.86104156526443765</v>
      </c>
      <c r="Z23" s="116" t="s">
        <v>214</v>
      </c>
    </row>
    <row r="24" spans="1:26">
      <c r="B24" s="116" t="s">
        <v>215</v>
      </c>
      <c r="C24" s="128">
        <f>C23*C19</f>
        <v>374188.88200488122</v>
      </c>
      <c r="D24" s="128">
        <f t="shared" ref="D24:X24" si="49">D23*D19</f>
        <v>410945.31187619362</v>
      </c>
      <c r="E24" s="128">
        <f t="shared" si="49"/>
        <v>450181.86879418843</v>
      </c>
      <c r="F24" s="128">
        <f t="shared" si="49"/>
        <v>467399.34071007848</v>
      </c>
      <c r="G24" s="128">
        <f t="shared" si="49"/>
        <v>490547.49331561546</v>
      </c>
      <c r="H24" s="128">
        <f t="shared" si="49"/>
        <v>511274.25168417505</v>
      </c>
      <c r="I24" s="128">
        <f t="shared" si="49"/>
        <v>526694.06521249679</v>
      </c>
      <c r="J24" s="128">
        <f t="shared" si="49"/>
        <v>543260.61973720335</v>
      </c>
      <c r="K24" s="128">
        <f t="shared" si="49"/>
        <v>561085.88798641355</v>
      </c>
      <c r="L24" s="128">
        <f t="shared" si="49"/>
        <v>580293.42813770543</v>
      </c>
      <c r="M24" s="128">
        <f t="shared" si="49"/>
        <v>601019.59957467881</v>
      </c>
      <c r="N24" s="128">
        <f t="shared" si="49"/>
        <v>623414.90671257791</v>
      </c>
      <c r="O24" s="128">
        <f t="shared" si="49"/>
        <v>647645.48439846258</v>
      </c>
      <c r="P24" s="128">
        <f t="shared" si="49"/>
        <v>673894.73981606727</v>
      </c>
      <c r="Q24" s="128">
        <f t="shared" si="49"/>
        <v>702365.16740043892</v>
      </c>
      <c r="R24" s="128">
        <f t="shared" si="49"/>
        <v>733280.35500854801</v>
      </c>
      <c r="S24" s="128">
        <f t="shared" si="49"/>
        <v>766887.20151684503</v>
      </c>
      <c r="T24" s="128">
        <f t="shared" si="49"/>
        <v>803458.36814458447</v>
      </c>
      <c r="U24" s="128">
        <f t="shared" si="49"/>
        <v>843294.98815404845</v>
      </c>
      <c r="V24" s="128">
        <f t="shared" si="49"/>
        <v>886729.66217930545</v>
      </c>
      <c r="W24" s="128">
        <f t="shared" si="49"/>
        <v>934129.76930995251</v>
      </c>
      <c r="X24" s="128">
        <f t="shared" si="49"/>
        <v>985901.12723442749</v>
      </c>
    </row>
    <row r="25" spans="1:26">
      <c r="B25" s="213" t="s">
        <v>216</v>
      </c>
      <c r="C25" s="214"/>
      <c r="D25" s="214"/>
      <c r="E25" s="214"/>
      <c r="F25" s="214"/>
      <c r="G25" s="214"/>
      <c r="H25" s="214"/>
      <c r="I25" s="214"/>
      <c r="J25" s="214"/>
      <c r="K25" s="214"/>
      <c r="L25" s="214"/>
      <c r="M25" s="214"/>
      <c r="N25" s="214"/>
      <c r="O25" s="214"/>
      <c r="P25" s="214"/>
      <c r="Q25" s="214"/>
      <c r="R25" s="214"/>
      <c r="S25" s="214"/>
      <c r="T25" s="214"/>
      <c r="U25" s="214"/>
      <c r="V25" s="214"/>
      <c r="W25" s="214"/>
      <c r="X25" s="214"/>
    </row>
    <row r="26" spans="1:26">
      <c r="B26" s="203" t="s">
        <v>217</v>
      </c>
      <c r="C26" s="215">
        <v>0.6</v>
      </c>
      <c r="D26" s="125">
        <f>C26</f>
        <v>0.6</v>
      </c>
      <c r="E26" s="125">
        <f t="shared" ref="E26:N28" si="50">D26</f>
        <v>0.6</v>
      </c>
      <c r="F26" s="125">
        <f t="shared" si="50"/>
        <v>0.6</v>
      </c>
      <c r="G26" s="125">
        <f t="shared" si="50"/>
        <v>0.6</v>
      </c>
      <c r="H26" s="125">
        <f t="shared" si="50"/>
        <v>0.6</v>
      </c>
      <c r="I26" s="125">
        <f t="shared" si="50"/>
        <v>0.6</v>
      </c>
      <c r="J26" s="125">
        <f t="shared" si="50"/>
        <v>0.6</v>
      </c>
      <c r="K26" s="125">
        <f t="shared" si="50"/>
        <v>0.6</v>
      </c>
      <c r="L26" s="125">
        <f t="shared" si="50"/>
        <v>0.6</v>
      </c>
      <c r="M26" s="125">
        <f t="shared" si="50"/>
        <v>0.6</v>
      </c>
      <c r="N26" s="125">
        <f t="shared" si="50"/>
        <v>0.6</v>
      </c>
      <c r="O26" s="125">
        <f t="shared" ref="O26:O28" si="51">N26</f>
        <v>0.6</v>
      </c>
      <c r="P26" s="125">
        <f t="shared" ref="P26:P28" si="52">O26</f>
        <v>0.6</v>
      </c>
      <c r="Q26" s="125">
        <f t="shared" ref="Q26:Q28" si="53">P26</f>
        <v>0.6</v>
      </c>
      <c r="R26" s="125">
        <f t="shared" ref="R26:R28" si="54">Q26</f>
        <v>0.6</v>
      </c>
      <c r="S26" s="125">
        <f t="shared" ref="S26:S28" si="55">R26</f>
        <v>0.6</v>
      </c>
      <c r="T26" s="125">
        <f t="shared" ref="T26:T28" si="56">S26</f>
        <v>0.6</v>
      </c>
      <c r="U26" s="125">
        <f t="shared" ref="U26:U28" si="57">T26</f>
        <v>0.6</v>
      </c>
      <c r="V26" s="125">
        <f t="shared" ref="V26:V28" si="58">U26</f>
        <v>0.6</v>
      </c>
      <c r="W26" s="125">
        <f t="shared" ref="W26:W28" si="59">V26</f>
        <v>0.6</v>
      </c>
      <c r="X26" s="125">
        <f t="shared" ref="X26:X28" si="60">W26</f>
        <v>0.6</v>
      </c>
    </row>
    <row r="27" spans="1:26">
      <c r="B27" s="203" t="s">
        <v>218</v>
      </c>
      <c r="C27" s="63">
        <f>1-C28-C26</f>
        <v>0.32999999999999996</v>
      </c>
      <c r="D27" s="63">
        <f>1-D28-D26</f>
        <v>0.32000000000000006</v>
      </c>
      <c r="E27" s="63">
        <f>1-E28-E26</f>
        <v>0.31000000000000005</v>
      </c>
      <c r="F27" s="63">
        <f>1-F28-F26</f>
        <v>0.30000000000000004</v>
      </c>
      <c r="G27" s="63">
        <f>1-G28-G26</f>
        <v>0.27</v>
      </c>
      <c r="H27" s="125">
        <f t="shared" si="50"/>
        <v>0.27</v>
      </c>
      <c r="I27" s="125">
        <f t="shared" si="50"/>
        <v>0.27</v>
      </c>
      <c r="J27" s="125">
        <f t="shared" si="50"/>
        <v>0.27</v>
      </c>
      <c r="K27" s="125">
        <f t="shared" si="50"/>
        <v>0.27</v>
      </c>
      <c r="L27" s="125">
        <f t="shared" si="50"/>
        <v>0.27</v>
      </c>
      <c r="M27" s="125">
        <f t="shared" si="50"/>
        <v>0.27</v>
      </c>
      <c r="N27" s="125">
        <f t="shared" si="50"/>
        <v>0.27</v>
      </c>
      <c r="O27" s="125">
        <f t="shared" si="51"/>
        <v>0.27</v>
      </c>
      <c r="P27" s="125">
        <f t="shared" si="52"/>
        <v>0.27</v>
      </c>
      <c r="Q27" s="125">
        <f t="shared" si="53"/>
        <v>0.27</v>
      </c>
      <c r="R27" s="125">
        <f t="shared" si="54"/>
        <v>0.27</v>
      </c>
      <c r="S27" s="125">
        <f t="shared" si="55"/>
        <v>0.27</v>
      </c>
      <c r="T27" s="125">
        <f t="shared" si="56"/>
        <v>0.27</v>
      </c>
      <c r="U27" s="125">
        <f t="shared" si="57"/>
        <v>0.27</v>
      </c>
      <c r="V27" s="125">
        <f t="shared" si="58"/>
        <v>0.27</v>
      </c>
      <c r="W27" s="125">
        <f t="shared" si="59"/>
        <v>0.27</v>
      </c>
      <c r="X27" s="125">
        <f t="shared" si="60"/>
        <v>0.27</v>
      </c>
    </row>
    <row r="28" spans="1:26">
      <c r="B28" s="203" t="s">
        <v>219</v>
      </c>
      <c r="C28" s="215">
        <v>7.0000000000000007E-2</v>
      </c>
      <c r="D28" s="215">
        <v>0.08</v>
      </c>
      <c r="E28" s="215">
        <v>0.09</v>
      </c>
      <c r="F28" s="215">
        <v>0.1</v>
      </c>
      <c r="G28" s="215">
        <v>0.13</v>
      </c>
      <c r="H28" s="215">
        <v>0.14000000000000001</v>
      </c>
      <c r="I28" s="215">
        <v>0.15</v>
      </c>
      <c r="J28" s="125">
        <f t="shared" si="50"/>
        <v>0.15</v>
      </c>
      <c r="K28" s="125">
        <f t="shared" si="50"/>
        <v>0.15</v>
      </c>
      <c r="L28" s="125">
        <f t="shared" si="50"/>
        <v>0.15</v>
      </c>
      <c r="M28" s="125">
        <f t="shared" si="50"/>
        <v>0.15</v>
      </c>
      <c r="N28" s="125">
        <f t="shared" si="50"/>
        <v>0.15</v>
      </c>
      <c r="O28" s="125">
        <f t="shared" si="51"/>
        <v>0.15</v>
      </c>
      <c r="P28" s="125">
        <f t="shared" si="52"/>
        <v>0.15</v>
      </c>
      <c r="Q28" s="125">
        <f t="shared" si="53"/>
        <v>0.15</v>
      </c>
      <c r="R28" s="125">
        <f t="shared" si="54"/>
        <v>0.15</v>
      </c>
      <c r="S28" s="125">
        <f t="shared" si="55"/>
        <v>0.15</v>
      </c>
      <c r="T28" s="125">
        <f t="shared" si="56"/>
        <v>0.15</v>
      </c>
      <c r="U28" s="125">
        <f t="shared" si="57"/>
        <v>0.15</v>
      </c>
      <c r="V28" s="125">
        <f t="shared" si="58"/>
        <v>0.15</v>
      </c>
      <c r="W28" s="125">
        <f t="shared" si="59"/>
        <v>0.15</v>
      </c>
      <c r="X28" s="125">
        <f t="shared" si="60"/>
        <v>0.15</v>
      </c>
    </row>
    <row r="29" spans="1:26">
      <c r="B29" s="203" t="s">
        <v>220</v>
      </c>
      <c r="C29" s="128">
        <f>C26*C24</f>
        <v>224513.32920292873</v>
      </c>
      <c r="D29" s="128">
        <f t="shared" ref="D29:N29" si="61">D26*D24</f>
        <v>246567.18712571615</v>
      </c>
      <c r="E29" s="128">
        <f t="shared" si="61"/>
        <v>270109.12127651303</v>
      </c>
      <c r="F29" s="128">
        <f t="shared" si="61"/>
        <v>280439.60442604707</v>
      </c>
      <c r="G29" s="128">
        <f t="shared" si="61"/>
        <v>294328.49598936929</v>
      </c>
      <c r="H29" s="128">
        <f t="shared" si="61"/>
        <v>306764.55101050501</v>
      </c>
      <c r="I29" s="128">
        <f t="shared" si="61"/>
        <v>316016.43912749807</v>
      </c>
      <c r="J29" s="128">
        <f t="shared" si="61"/>
        <v>325956.371842322</v>
      </c>
      <c r="K29" s="128">
        <f t="shared" si="61"/>
        <v>336651.53279184812</v>
      </c>
      <c r="L29" s="128">
        <f t="shared" si="61"/>
        <v>348176.05688262323</v>
      </c>
      <c r="M29" s="128">
        <f t="shared" si="61"/>
        <v>360611.75974480726</v>
      </c>
      <c r="N29" s="128">
        <f t="shared" si="61"/>
        <v>374048.94402754674</v>
      </c>
      <c r="O29" s="128">
        <f t="shared" ref="O29:X29" si="62">O26*O24</f>
        <v>388587.29063907755</v>
      </c>
      <c r="P29" s="128">
        <f t="shared" si="62"/>
        <v>404336.84388964035</v>
      </c>
      <c r="Q29" s="128">
        <f t="shared" si="62"/>
        <v>421419.10044026334</v>
      </c>
      <c r="R29" s="128">
        <f t="shared" si="62"/>
        <v>439968.21300512878</v>
      </c>
      <c r="S29" s="128">
        <f t="shared" si="62"/>
        <v>460132.320910107</v>
      </c>
      <c r="T29" s="128">
        <f t="shared" si="62"/>
        <v>482075.02088675066</v>
      </c>
      <c r="U29" s="128">
        <f t="shared" si="62"/>
        <v>505976.99289242906</v>
      </c>
      <c r="V29" s="128">
        <f t="shared" si="62"/>
        <v>532037.79730758327</v>
      </c>
      <c r="W29" s="128">
        <f t="shared" si="62"/>
        <v>560477.86158597143</v>
      </c>
      <c r="X29" s="128">
        <f t="shared" si="62"/>
        <v>591540.67634065647</v>
      </c>
    </row>
    <row r="30" spans="1:26">
      <c r="B30" s="203" t="s">
        <v>221</v>
      </c>
      <c r="C30" s="128">
        <f>C27*C24</f>
        <v>123482.33106161079</v>
      </c>
      <c r="D30" s="128">
        <f t="shared" ref="D30:N30" si="63">D27*D24</f>
        <v>131502.49980038198</v>
      </c>
      <c r="E30" s="128">
        <f t="shared" si="63"/>
        <v>139556.37932619842</v>
      </c>
      <c r="F30" s="128">
        <f t="shared" si="63"/>
        <v>140219.80221302356</v>
      </c>
      <c r="G30" s="128">
        <f t="shared" si="63"/>
        <v>132447.82319521619</v>
      </c>
      <c r="H30" s="128">
        <f t="shared" si="63"/>
        <v>138044.04795472728</v>
      </c>
      <c r="I30" s="128">
        <f t="shared" si="63"/>
        <v>142207.39760737415</v>
      </c>
      <c r="J30" s="128">
        <f t="shared" si="63"/>
        <v>146680.36732904491</v>
      </c>
      <c r="K30" s="128">
        <f t="shared" si="63"/>
        <v>151493.18975633167</v>
      </c>
      <c r="L30" s="128">
        <f t="shared" si="63"/>
        <v>156679.22559718048</v>
      </c>
      <c r="M30" s="128">
        <f t="shared" si="63"/>
        <v>162275.29188516329</v>
      </c>
      <c r="N30" s="128">
        <f t="shared" si="63"/>
        <v>168322.02481239603</v>
      </c>
      <c r="O30" s="128">
        <f t="shared" ref="O30:X30" si="64">O27*O24</f>
        <v>174864.2807875849</v>
      </c>
      <c r="P30" s="128">
        <f t="shared" si="64"/>
        <v>181951.57975033816</v>
      </c>
      <c r="Q30" s="128">
        <f t="shared" si="64"/>
        <v>189638.59519811854</v>
      </c>
      <c r="R30" s="128">
        <f t="shared" si="64"/>
        <v>197985.69585230798</v>
      </c>
      <c r="S30" s="128">
        <f t="shared" si="64"/>
        <v>207059.54440954817</v>
      </c>
      <c r="T30" s="128">
        <f t="shared" si="64"/>
        <v>216933.75939903781</v>
      </c>
      <c r="U30" s="128">
        <f t="shared" si="64"/>
        <v>227689.6468015931</v>
      </c>
      <c r="V30" s="128">
        <f t="shared" si="64"/>
        <v>239417.0087884125</v>
      </c>
      <c r="W30" s="128">
        <f t="shared" si="64"/>
        <v>252215.0377136872</v>
      </c>
      <c r="X30" s="128">
        <f t="shared" si="64"/>
        <v>266193.30435329542</v>
      </c>
    </row>
    <row r="31" spans="1:26">
      <c r="B31" s="203" t="s">
        <v>222</v>
      </c>
      <c r="C31" s="128">
        <f>C28*C24</f>
        <v>26193.221740341687</v>
      </c>
      <c r="D31" s="128">
        <f t="shared" ref="D31:N31" si="65">D28*D24</f>
        <v>32875.624950095487</v>
      </c>
      <c r="E31" s="128">
        <f t="shared" si="65"/>
        <v>40516.368191476955</v>
      </c>
      <c r="F31" s="128">
        <f t="shared" si="65"/>
        <v>46739.934071007854</v>
      </c>
      <c r="G31" s="128">
        <f t="shared" si="65"/>
        <v>63771.174131030013</v>
      </c>
      <c r="H31" s="128">
        <f t="shared" si="65"/>
        <v>71578.395235784512</v>
      </c>
      <c r="I31" s="128">
        <f t="shared" si="65"/>
        <v>79004.109781874518</v>
      </c>
      <c r="J31" s="128">
        <f t="shared" si="65"/>
        <v>81489.092960580499</v>
      </c>
      <c r="K31" s="128">
        <f t="shared" si="65"/>
        <v>84162.88319796203</v>
      </c>
      <c r="L31" s="128">
        <f t="shared" si="65"/>
        <v>87044.014220655808</v>
      </c>
      <c r="M31" s="128">
        <f t="shared" si="65"/>
        <v>90152.939936201816</v>
      </c>
      <c r="N31" s="128">
        <f t="shared" si="65"/>
        <v>93512.236006886684</v>
      </c>
      <c r="O31" s="128">
        <f t="shared" ref="O31:X31" si="66">O28*O24</f>
        <v>97146.822659769387</v>
      </c>
      <c r="P31" s="128">
        <f t="shared" si="66"/>
        <v>101084.21097241009</v>
      </c>
      <c r="Q31" s="128">
        <f t="shared" si="66"/>
        <v>105354.77511006584</v>
      </c>
      <c r="R31" s="128">
        <f t="shared" si="66"/>
        <v>109992.0532512822</v>
      </c>
      <c r="S31" s="128">
        <f t="shared" si="66"/>
        <v>115033.08022752675</v>
      </c>
      <c r="T31" s="128">
        <f t="shared" si="66"/>
        <v>120518.75522168766</v>
      </c>
      <c r="U31" s="128">
        <f t="shared" si="66"/>
        <v>126494.24822310726</v>
      </c>
      <c r="V31" s="128">
        <f t="shared" si="66"/>
        <v>133009.44932689582</v>
      </c>
      <c r="W31" s="128">
        <f t="shared" si="66"/>
        <v>140119.46539649286</v>
      </c>
      <c r="X31" s="128">
        <f t="shared" si="66"/>
        <v>147885.16908516412</v>
      </c>
    </row>
    <row r="32" spans="1:26">
      <c r="E32" s="126"/>
      <c r="F32" s="126"/>
      <c r="G32" s="126"/>
      <c r="H32" s="126"/>
      <c r="I32" s="126"/>
      <c r="J32" s="126"/>
      <c r="K32" s="126"/>
      <c r="L32" s="126"/>
      <c r="M32" s="126"/>
      <c r="N32" s="126"/>
      <c r="O32" s="126"/>
      <c r="P32" s="126"/>
      <c r="Q32" s="126"/>
      <c r="R32" s="126"/>
      <c r="S32" s="126"/>
      <c r="T32" s="126"/>
      <c r="U32" s="126"/>
      <c r="V32" s="126"/>
      <c r="W32" s="126"/>
      <c r="X32" s="126"/>
      <c r="Y32" s="126"/>
    </row>
    <row r="33" spans="1:25">
      <c r="B33" s="216" t="s">
        <v>223</v>
      </c>
      <c r="C33" s="217"/>
      <c r="D33" s="217"/>
      <c r="E33" s="217"/>
      <c r="F33" s="217"/>
      <c r="G33" s="217"/>
      <c r="H33" s="217"/>
      <c r="I33" s="217"/>
      <c r="J33" s="217"/>
      <c r="K33" s="217"/>
      <c r="L33" s="217"/>
      <c r="M33" s="217"/>
      <c r="N33" s="217"/>
      <c r="O33" s="217"/>
      <c r="P33" s="217"/>
      <c r="Q33" s="217"/>
      <c r="R33" s="217"/>
      <c r="S33" s="217"/>
      <c r="T33" s="217"/>
      <c r="U33" s="217"/>
      <c r="V33" s="217"/>
      <c r="W33" s="217"/>
      <c r="X33" s="217"/>
    </row>
    <row r="34" spans="1:25">
      <c r="Y34" s="218"/>
    </row>
    <row r="35" spans="1:25" hidden="1" outlineLevel="1">
      <c r="A35" s="116"/>
      <c r="B35" s="206" t="s">
        <v>521</v>
      </c>
      <c r="C35" s="207"/>
      <c r="D35" s="207"/>
      <c r="E35" s="207"/>
      <c r="F35" s="207"/>
      <c r="G35" s="207"/>
      <c r="H35" s="207"/>
      <c r="I35" s="207">
        <f>I36</f>
        <v>0.68</v>
      </c>
      <c r="J35" s="207">
        <f t="shared" ref="J35:X35" si="67">J36</f>
        <v>0.63</v>
      </c>
      <c r="K35" s="207">
        <f t="shared" si="67"/>
        <v>0.61424999999999996</v>
      </c>
      <c r="L35" s="207">
        <f t="shared" si="67"/>
        <v>0.59889375</v>
      </c>
      <c r="M35" s="207">
        <f t="shared" si="67"/>
        <v>0.58392140625</v>
      </c>
      <c r="N35" s="207">
        <f t="shared" si="67"/>
        <v>0.56932337109374997</v>
      </c>
      <c r="O35" s="207">
        <f t="shared" si="67"/>
        <v>0.5607835205273437</v>
      </c>
      <c r="P35" s="207">
        <f t="shared" si="67"/>
        <v>0.55237176771943353</v>
      </c>
      <c r="Q35" s="207">
        <f t="shared" si="67"/>
        <v>0.54408619120364199</v>
      </c>
      <c r="R35" s="207">
        <f t="shared" si="67"/>
        <v>0.53864532929160558</v>
      </c>
      <c r="S35" s="207">
        <f t="shared" si="67"/>
        <v>0.53325887599868949</v>
      </c>
      <c r="T35" s="207">
        <f t="shared" si="67"/>
        <v>0.52792628723870261</v>
      </c>
      <c r="U35" s="207">
        <f t="shared" si="67"/>
        <v>0.5226470243663156</v>
      </c>
      <c r="V35" s="207">
        <f t="shared" si="67"/>
        <v>0.52003378924448407</v>
      </c>
      <c r="W35" s="207">
        <f t="shared" si="67"/>
        <v>0.51743362029826168</v>
      </c>
      <c r="X35" s="207">
        <f t="shared" si="67"/>
        <v>0.51484645219677039</v>
      </c>
      <c r="Y35" s="218"/>
    </row>
    <row r="36" spans="1:25" hidden="1" outlineLevel="1">
      <c r="A36" s="116"/>
      <c r="B36" s="206" t="s">
        <v>500</v>
      </c>
      <c r="C36" s="207"/>
      <c r="D36" s="207"/>
      <c r="E36" s="207"/>
      <c r="F36" s="208"/>
      <c r="G36" s="207"/>
      <c r="H36" s="207"/>
      <c r="I36" s="207">
        <f>H38-10%</f>
        <v>0.68</v>
      </c>
      <c r="J36" s="207">
        <f>I36-5%</f>
        <v>0.63</v>
      </c>
      <c r="K36" s="207">
        <f>J36*0.975</f>
        <v>0.61424999999999996</v>
      </c>
      <c r="L36" s="207">
        <f>K36*0.975</f>
        <v>0.59889375</v>
      </c>
      <c r="M36" s="207">
        <f>L36*0.975</f>
        <v>0.58392140625</v>
      </c>
      <c r="N36" s="207">
        <f>M36*0.975</f>
        <v>0.56932337109374997</v>
      </c>
      <c r="O36" s="207">
        <f>N36*0.985</f>
        <v>0.5607835205273437</v>
      </c>
      <c r="P36" s="207">
        <f t="shared" ref="P36:Q36" si="68">O36*0.985</f>
        <v>0.55237176771943353</v>
      </c>
      <c r="Q36" s="207">
        <f t="shared" si="68"/>
        <v>0.54408619120364199</v>
      </c>
      <c r="R36" s="207">
        <f>Q36*0.99</f>
        <v>0.53864532929160558</v>
      </c>
      <c r="S36" s="207">
        <f t="shared" ref="S36:U36" si="69">R36*0.99</f>
        <v>0.53325887599868949</v>
      </c>
      <c r="T36" s="207">
        <f t="shared" si="69"/>
        <v>0.52792628723870261</v>
      </c>
      <c r="U36" s="207">
        <f t="shared" si="69"/>
        <v>0.5226470243663156</v>
      </c>
      <c r="V36" s="207">
        <f t="shared" ref="V36:X36" si="70">U36*0.995</f>
        <v>0.52003378924448407</v>
      </c>
      <c r="W36" s="207">
        <f t="shared" si="70"/>
        <v>0.51743362029826168</v>
      </c>
      <c r="X36" s="207">
        <f t="shared" si="70"/>
        <v>0.51484645219677039</v>
      </c>
      <c r="Y36" s="218"/>
    </row>
    <row r="37" spans="1:25" hidden="1" outlineLevel="1">
      <c r="A37" s="116"/>
      <c r="B37" s="206" t="s">
        <v>522</v>
      </c>
      <c r="C37" s="207"/>
      <c r="D37" s="207"/>
      <c r="E37" s="207"/>
      <c r="F37" s="207"/>
      <c r="G37" s="207"/>
      <c r="H37" s="207"/>
      <c r="I37" s="207">
        <f>I36</f>
        <v>0.68</v>
      </c>
      <c r="J37" s="207">
        <f>J36</f>
        <v>0.63</v>
      </c>
      <c r="K37" s="207">
        <f>K36*1.1</f>
        <v>0.67567500000000003</v>
      </c>
      <c r="L37" s="207">
        <f>K37*1.1</f>
        <v>0.74324250000000014</v>
      </c>
      <c r="M37" s="207">
        <f>L37*1.1</f>
        <v>0.81756675000000023</v>
      </c>
      <c r="N37" s="207">
        <f>M37</f>
        <v>0.81756675000000023</v>
      </c>
      <c r="O37" s="207">
        <f t="shared" ref="O37:X37" si="71">N37</f>
        <v>0.81756675000000023</v>
      </c>
      <c r="P37" s="207">
        <f t="shared" si="71"/>
        <v>0.81756675000000023</v>
      </c>
      <c r="Q37" s="207">
        <f t="shared" si="71"/>
        <v>0.81756675000000023</v>
      </c>
      <c r="R37" s="207">
        <f t="shared" si="71"/>
        <v>0.81756675000000023</v>
      </c>
      <c r="S37" s="207">
        <f t="shared" si="71"/>
        <v>0.81756675000000023</v>
      </c>
      <c r="T37" s="207">
        <f t="shared" si="71"/>
        <v>0.81756675000000023</v>
      </c>
      <c r="U37" s="207">
        <f t="shared" si="71"/>
        <v>0.81756675000000023</v>
      </c>
      <c r="V37" s="207">
        <f t="shared" si="71"/>
        <v>0.81756675000000023</v>
      </c>
      <c r="W37" s="207">
        <f t="shared" si="71"/>
        <v>0.81756675000000023</v>
      </c>
      <c r="X37" s="207">
        <f t="shared" si="71"/>
        <v>0.81756675000000023</v>
      </c>
      <c r="Y37" s="218"/>
    </row>
    <row r="38" spans="1:25" collapsed="1">
      <c r="B38" s="219" t="s">
        <v>224</v>
      </c>
      <c r="C38" s="220">
        <v>1</v>
      </c>
      <c r="D38" s="220">
        <f>C38</f>
        <v>1</v>
      </c>
      <c r="E38" s="220">
        <f>D38-1%</f>
        <v>0.99</v>
      </c>
      <c r="F38" s="220">
        <f>E38-1%</f>
        <v>0.98</v>
      </c>
      <c r="G38" s="220">
        <f>F38-10%</f>
        <v>0.88</v>
      </c>
      <c r="H38" s="220">
        <f>G38-10%</f>
        <v>0.78</v>
      </c>
      <c r="I38" s="423">
        <f t="shared" ref="I38:X38" si="72">CHOOSE($E$1,I35,I36,I37)</f>
        <v>0.68</v>
      </c>
      <c r="J38" s="423">
        <f t="shared" si="72"/>
        <v>0.63</v>
      </c>
      <c r="K38" s="423">
        <f t="shared" si="72"/>
        <v>0.61424999999999996</v>
      </c>
      <c r="L38" s="423">
        <f t="shared" si="72"/>
        <v>0.59889375</v>
      </c>
      <c r="M38" s="423">
        <f t="shared" si="72"/>
        <v>0.58392140625</v>
      </c>
      <c r="N38" s="423">
        <f t="shared" si="72"/>
        <v>0.56932337109374997</v>
      </c>
      <c r="O38" s="423">
        <f t="shared" si="72"/>
        <v>0.5607835205273437</v>
      </c>
      <c r="P38" s="423">
        <f t="shared" si="72"/>
        <v>0.55237176771943353</v>
      </c>
      <c r="Q38" s="423">
        <f t="shared" si="72"/>
        <v>0.54408619120364199</v>
      </c>
      <c r="R38" s="423">
        <f t="shared" si="72"/>
        <v>0.53864532929160558</v>
      </c>
      <c r="S38" s="423">
        <f t="shared" si="72"/>
        <v>0.53325887599868949</v>
      </c>
      <c r="T38" s="423">
        <f t="shared" si="72"/>
        <v>0.52792628723870261</v>
      </c>
      <c r="U38" s="423">
        <f t="shared" si="72"/>
        <v>0.5226470243663156</v>
      </c>
      <c r="V38" s="423">
        <f t="shared" si="72"/>
        <v>0.52003378924448407</v>
      </c>
      <c r="W38" s="423">
        <f t="shared" si="72"/>
        <v>0.51743362029826168</v>
      </c>
      <c r="X38" s="423">
        <f t="shared" si="72"/>
        <v>0.51484645219677039</v>
      </c>
    </row>
    <row r="39" spans="1:25" s="196" customFormat="1" ht="12.75" hidden="1" customHeight="1" outlineLevel="1">
      <c r="A39" s="241"/>
      <c r="B39" s="221" t="s">
        <v>551</v>
      </c>
      <c r="C39" s="222">
        <f>C43/C38</f>
        <v>0.224</v>
      </c>
      <c r="D39" s="222">
        <f t="shared" ref="D39:N39" si="73">D43/D38</f>
        <v>0.2349</v>
      </c>
      <c r="E39" s="222">
        <f t="shared" si="73"/>
        <v>0.23131313131313133</v>
      </c>
      <c r="F39" s="222">
        <f t="shared" si="73"/>
        <v>0.24540816326530612</v>
      </c>
      <c r="G39" s="222">
        <f t="shared" si="73"/>
        <v>0.27094318181818183</v>
      </c>
      <c r="H39" s="222">
        <f t="shared" si="73"/>
        <v>0.29025000000000001</v>
      </c>
      <c r="I39" s="222">
        <f t="shared" si="73"/>
        <v>0.315</v>
      </c>
      <c r="J39" s="222">
        <f t="shared" si="73"/>
        <v>0.28249999999999997</v>
      </c>
      <c r="K39" s="222">
        <f t="shared" si="73"/>
        <v>0.26500000000000001</v>
      </c>
      <c r="L39" s="222">
        <f t="shared" si="73"/>
        <v>0.26</v>
      </c>
      <c r="M39" s="222">
        <f t="shared" si="73"/>
        <v>0.26</v>
      </c>
      <c r="N39" s="222">
        <f t="shared" si="73"/>
        <v>0.26</v>
      </c>
      <c r="O39" s="222">
        <f t="shared" ref="O39:X39" si="74">O43/O38</f>
        <v>0.26</v>
      </c>
      <c r="P39" s="222">
        <f t="shared" si="74"/>
        <v>0.26</v>
      </c>
      <c r="Q39" s="222">
        <f t="shared" si="74"/>
        <v>0.26</v>
      </c>
      <c r="R39" s="222">
        <f t="shared" si="74"/>
        <v>0.26</v>
      </c>
      <c r="S39" s="222">
        <f t="shared" si="74"/>
        <v>0.26</v>
      </c>
      <c r="T39" s="222">
        <f t="shared" si="74"/>
        <v>0.26</v>
      </c>
      <c r="U39" s="222">
        <f t="shared" si="74"/>
        <v>0.26</v>
      </c>
      <c r="V39" s="222">
        <f t="shared" si="74"/>
        <v>0.26</v>
      </c>
      <c r="W39" s="222">
        <f t="shared" si="74"/>
        <v>0.26</v>
      </c>
      <c r="X39" s="222">
        <f t="shared" si="74"/>
        <v>0.26</v>
      </c>
    </row>
    <row r="40" spans="1:25" s="119" customFormat="1" ht="12.75" hidden="1" customHeight="1" outlineLevel="1">
      <c r="A40" s="242"/>
      <c r="B40" s="206" t="s">
        <v>521</v>
      </c>
      <c r="C40" s="207"/>
      <c r="D40" s="207"/>
      <c r="E40" s="207"/>
      <c r="F40" s="207"/>
      <c r="G40" s="207"/>
      <c r="H40" s="207">
        <f>H38*0.28</f>
        <v>0.21840000000000004</v>
      </c>
      <c r="I40" s="207">
        <f>I38*I62</f>
        <v>0.24632999999999999</v>
      </c>
      <c r="J40" s="207">
        <f t="shared" ref="J40:X40" si="75">J38*J62</f>
        <v>0.20467124999999997</v>
      </c>
      <c r="K40" s="207">
        <f t="shared" si="75"/>
        <v>0.18719268749999995</v>
      </c>
      <c r="L40" s="207">
        <f t="shared" si="75"/>
        <v>0.17906923124999999</v>
      </c>
      <c r="M40" s="207">
        <f t="shared" si="75"/>
        <v>0.17459250046874999</v>
      </c>
      <c r="N40" s="207">
        <f t="shared" si="75"/>
        <v>0.17022768795703125</v>
      </c>
      <c r="O40" s="207">
        <f t="shared" si="75"/>
        <v>0.16767427263767576</v>
      </c>
      <c r="P40" s="207">
        <f t="shared" si="75"/>
        <v>0.16515915854811061</v>
      </c>
      <c r="Q40" s="207">
        <f t="shared" si="75"/>
        <v>0.16268177116988894</v>
      </c>
      <c r="R40" s="207">
        <f t="shared" si="75"/>
        <v>0.16105495345819007</v>
      </c>
      <c r="S40" s="207">
        <f t="shared" si="75"/>
        <v>0.15944440392360815</v>
      </c>
      <c r="T40" s="207">
        <f t="shared" si="75"/>
        <v>0.15784995988437206</v>
      </c>
      <c r="U40" s="207">
        <f t="shared" si="75"/>
        <v>0.15627146028552835</v>
      </c>
      <c r="V40" s="207">
        <f t="shared" si="75"/>
        <v>0.15549010298410074</v>
      </c>
      <c r="W40" s="207">
        <f t="shared" si="75"/>
        <v>0.15471265246918023</v>
      </c>
      <c r="X40" s="207">
        <f t="shared" si="75"/>
        <v>0.15393908920683433</v>
      </c>
    </row>
    <row r="41" spans="1:25" s="119" customFormat="1" ht="12.75" hidden="1" customHeight="1" outlineLevel="1">
      <c r="A41" s="242"/>
      <c r="B41" s="206" t="s">
        <v>500</v>
      </c>
      <c r="C41" s="207"/>
      <c r="D41" s="207"/>
      <c r="E41" s="207"/>
      <c r="F41" s="208"/>
      <c r="G41" s="207">
        <f>G43</f>
        <v>0.23843</v>
      </c>
      <c r="H41" s="207">
        <f>H38*0.29025</f>
        <v>0.22639500000000001</v>
      </c>
      <c r="I41" s="207">
        <f>I63*I38</f>
        <v>0.21420000000000003</v>
      </c>
      <c r="J41" s="207">
        <f t="shared" ref="J41:X41" si="76">J63*J38</f>
        <v>0.17797499999999999</v>
      </c>
      <c r="K41" s="207">
        <f t="shared" si="76"/>
        <v>0.16277625000000001</v>
      </c>
      <c r="L41" s="207">
        <f t="shared" si="76"/>
        <v>0.15571237500000001</v>
      </c>
      <c r="M41" s="207">
        <f t="shared" si="76"/>
        <v>0.15181956562500001</v>
      </c>
      <c r="N41" s="207">
        <f t="shared" si="76"/>
        <v>0.14802407648437499</v>
      </c>
      <c r="O41" s="207">
        <f t="shared" si="76"/>
        <v>0.14580371533710937</v>
      </c>
      <c r="P41" s="207">
        <f t="shared" si="76"/>
        <v>0.14361665960705272</v>
      </c>
      <c r="Q41" s="207">
        <f t="shared" si="76"/>
        <v>0.14146240971294693</v>
      </c>
      <c r="R41" s="207">
        <f t="shared" si="76"/>
        <v>0.14004778561581746</v>
      </c>
      <c r="S41" s="207">
        <f t="shared" si="76"/>
        <v>0.13864730775965928</v>
      </c>
      <c r="T41" s="207">
        <f t="shared" si="76"/>
        <v>0.13726083468206268</v>
      </c>
      <c r="U41" s="207">
        <f t="shared" si="76"/>
        <v>0.13588822633524206</v>
      </c>
      <c r="V41" s="207">
        <f t="shared" si="76"/>
        <v>0.13520878520356586</v>
      </c>
      <c r="W41" s="207">
        <f t="shared" si="76"/>
        <v>0.13453274127754805</v>
      </c>
      <c r="X41" s="207">
        <f t="shared" si="76"/>
        <v>0.13386007757116031</v>
      </c>
    </row>
    <row r="42" spans="1:25" s="119" customFormat="1" ht="12.75" hidden="1" customHeight="1" outlineLevel="1">
      <c r="A42" s="242"/>
      <c r="B42" s="206" t="s">
        <v>522</v>
      </c>
      <c r="C42" s="207"/>
      <c r="D42" s="207"/>
      <c r="E42" s="207"/>
      <c r="F42" s="207"/>
      <c r="G42" s="207"/>
      <c r="H42" s="207">
        <f>G43-4%</f>
        <v>0.19843</v>
      </c>
      <c r="I42" s="207">
        <f>I38*I64</f>
        <v>0.19278000000000003</v>
      </c>
      <c r="J42" s="207">
        <f t="shared" ref="J42:X42" si="77">J38*J64</f>
        <v>0.16017749999999997</v>
      </c>
      <c r="K42" s="207">
        <f t="shared" si="77"/>
        <v>0.14649862499999999</v>
      </c>
      <c r="L42" s="207">
        <f t="shared" si="77"/>
        <v>0.12456990000000001</v>
      </c>
      <c r="M42" s="207">
        <f t="shared" si="77"/>
        <v>0.117660163359375</v>
      </c>
      <c r="N42" s="207">
        <f t="shared" si="77"/>
        <v>0.11101805736328126</v>
      </c>
      <c r="O42" s="207">
        <f t="shared" si="77"/>
        <v>0.10570769361940428</v>
      </c>
      <c r="P42" s="207">
        <f t="shared" si="77"/>
        <v>0.1005316617249369</v>
      </c>
      <c r="Q42" s="207">
        <f t="shared" si="77"/>
        <v>9.8316374750498106E-2</v>
      </c>
      <c r="R42" s="207">
        <f t="shared" si="77"/>
        <v>9.6282852610874506E-2</v>
      </c>
      <c r="S42" s="207">
        <f t="shared" si="77"/>
        <v>9.3586932737770009E-2</v>
      </c>
      <c r="T42" s="207">
        <f t="shared" si="77"/>
        <v>9.2651063410392323E-2</v>
      </c>
      <c r="U42" s="207">
        <f t="shared" si="77"/>
        <v>9.1724552776288396E-2</v>
      </c>
      <c r="V42" s="207">
        <f t="shared" si="77"/>
        <v>9.1265930012406959E-2</v>
      </c>
      <c r="W42" s="207">
        <f t="shared" si="77"/>
        <v>9.0809600362344936E-2</v>
      </c>
      <c r="X42" s="207">
        <f t="shared" si="77"/>
        <v>9.0355552360533206E-2</v>
      </c>
    </row>
    <row r="43" spans="1:25" collapsed="1">
      <c r="A43" s="243" t="s">
        <v>523</v>
      </c>
      <c r="B43" s="211" t="s">
        <v>225</v>
      </c>
      <c r="C43" s="208">
        <v>0.224</v>
      </c>
      <c r="D43" s="208">
        <v>0.2349</v>
      </c>
      <c r="E43" s="208">
        <v>0.22900000000000001</v>
      </c>
      <c r="F43" s="208">
        <v>0.24049999999999999</v>
      </c>
      <c r="G43" s="207">
        <v>0.23843</v>
      </c>
      <c r="H43" s="224">
        <f t="shared" ref="H43:X43" si="78">CHOOSE($E$1,H40,H41,H42)</f>
        <v>0.22639500000000001</v>
      </c>
      <c r="I43" s="224">
        <f t="shared" si="78"/>
        <v>0.21420000000000003</v>
      </c>
      <c r="J43" s="224">
        <f t="shared" si="78"/>
        <v>0.17797499999999999</v>
      </c>
      <c r="K43" s="224">
        <f t="shared" si="78"/>
        <v>0.16277625000000001</v>
      </c>
      <c r="L43" s="224">
        <f t="shared" si="78"/>
        <v>0.15571237500000001</v>
      </c>
      <c r="M43" s="224">
        <f t="shared" si="78"/>
        <v>0.15181956562500001</v>
      </c>
      <c r="N43" s="224">
        <f t="shared" si="78"/>
        <v>0.14802407648437499</v>
      </c>
      <c r="O43" s="224">
        <f t="shared" si="78"/>
        <v>0.14580371533710937</v>
      </c>
      <c r="P43" s="224">
        <f t="shared" si="78"/>
        <v>0.14361665960705272</v>
      </c>
      <c r="Q43" s="224">
        <f t="shared" si="78"/>
        <v>0.14146240971294693</v>
      </c>
      <c r="R43" s="224">
        <f t="shared" si="78"/>
        <v>0.14004778561581746</v>
      </c>
      <c r="S43" s="224">
        <f t="shared" si="78"/>
        <v>0.13864730775965928</v>
      </c>
      <c r="T43" s="224">
        <f t="shared" si="78"/>
        <v>0.13726083468206268</v>
      </c>
      <c r="U43" s="224">
        <f t="shared" si="78"/>
        <v>0.13588822633524206</v>
      </c>
      <c r="V43" s="224">
        <f t="shared" si="78"/>
        <v>0.13520878520356586</v>
      </c>
      <c r="W43" s="224">
        <f t="shared" si="78"/>
        <v>0.13453274127754805</v>
      </c>
      <c r="X43" s="224">
        <f t="shared" si="78"/>
        <v>0.13386007757116031</v>
      </c>
    </row>
    <row r="44" spans="1:25">
      <c r="B44" s="203" t="s">
        <v>226</v>
      </c>
      <c r="C44" s="125">
        <f>C38-C43-C48-C53</f>
        <v>0.75600000000000001</v>
      </c>
      <c r="D44" s="125">
        <f t="shared" ref="D44:G44" si="79">D38-D43-D48-D53</f>
        <v>0.74109999999999998</v>
      </c>
      <c r="E44" s="125">
        <f t="shared" si="79"/>
        <v>0.73399999999999999</v>
      </c>
      <c r="F44" s="125">
        <f t="shared" si="79"/>
        <v>0.70950000000000002</v>
      </c>
      <c r="G44" s="125">
        <f t="shared" si="79"/>
        <v>0.61187000000000002</v>
      </c>
      <c r="H44" s="125">
        <f>H38-H43-H48-H53-H52</f>
        <v>0.52420200000000006</v>
      </c>
      <c r="I44" s="125">
        <f t="shared" ref="I44:X44" si="80">I38-I43-I48-I53-I52</f>
        <v>0.43669102999999998</v>
      </c>
      <c r="J44" s="125">
        <f t="shared" si="80"/>
        <v>0.37274231517903228</v>
      </c>
      <c r="K44" s="125">
        <f t="shared" si="80"/>
        <v>0.32248389202724193</v>
      </c>
      <c r="L44" s="125">
        <f t="shared" si="80"/>
        <v>0.27158975232421695</v>
      </c>
      <c r="M44" s="125">
        <f t="shared" si="80"/>
        <v>0.22668888082589983</v>
      </c>
      <c r="N44" s="125">
        <f t="shared" si="80"/>
        <v>0.1900704644082658</v>
      </c>
      <c r="O44" s="125">
        <f t="shared" si="80"/>
        <v>0.17310149406036701</v>
      </c>
      <c r="P44" s="125">
        <f t="shared" si="80"/>
        <v>0.15654758009381217</v>
      </c>
      <c r="Q44" s="125">
        <f t="shared" si="80"/>
        <v>0.15069194413692752</v>
      </c>
      <c r="R44" s="125">
        <f t="shared" si="80"/>
        <v>0.14666940931094286</v>
      </c>
      <c r="S44" s="125">
        <f t="shared" si="80"/>
        <v>0.14295363829475649</v>
      </c>
      <c r="T44" s="125">
        <f t="shared" si="80"/>
        <v>0.13927502498873201</v>
      </c>
      <c r="U44" s="125">
        <f t="shared" si="80"/>
        <v>0.13563319781576777</v>
      </c>
      <c r="V44" s="125">
        <f t="shared" si="80"/>
        <v>0.13369235213545785</v>
      </c>
      <c r="W44" s="125">
        <f t="shared" si="80"/>
        <v>0.13202778440353857</v>
      </c>
      <c r="X44" s="125">
        <f t="shared" si="80"/>
        <v>0.13037024172383754</v>
      </c>
    </row>
    <row r="45" spans="1:25" s="119" customFormat="1" ht="12.75" hidden="1" customHeight="1" outlineLevel="1">
      <c r="A45" s="242"/>
      <c r="B45" s="206" t="s">
        <v>521</v>
      </c>
      <c r="C45" s="207"/>
      <c r="D45" s="207"/>
      <c r="E45" s="207"/>
      <c r="F45" s="207"/>
      <c r="G45" s="207"/>
      <c r="H45" s="207">
        <f>G48*1.05</f>
        <v>3.1184999999999997E-2</v>
      </c>
      <c r="I45" s="207">
        <f>I66*I38</f>
        <v>3.2019867E-2</v>
      </c>
      <c r="J45" s="207">
        <f t="shared" ref="J45:X45" si="81">J66*J38</f>
        <v>3.2210953303064511E-2</v>
      </c>
      <c r="K45" s="207">
        <f t="shared" si="81"/>
        <v>3.1888843770033863E-2</v>
      </c>
      <c r="L45" s="207">
        <f t="shared" si="81"/>
        <v>3.4200784943361325E-2</v>
      </c>
      <c r="M45" s="207">
        <f t="shared" si="81"/>
        <v>3.1254255779010198E-2</v>
      </c>
      <c r="N45" s="207">
        <f t="shared" si="81"/>
        <v>3.0941713221220093E-2</v>
      </c>
      <c r="O45" s="207">
        <f t="shared" si="81"/>
        <v>3.0632296089007888E-2</v>
      </c>
      <c r="P45" s="207">
        <f t="shared" si="81"/>
        <v>3.0325973128117804E-2</v>
      </c>
      <c r="Q45" s="207">
        <f t="shared" si="81"/>
        <v>3.0022713396836619E-2</v>
      </c>
      <c r="R45" s="207">
        <f t="shared" si="81"/>
        <v>2.9722486262868254E-2</v>
      </c>
      <c r="S45" s="207">
        <f t="shared" si="81"/>
        <v>2.9425261400239568E-2</v>
      </c>
      <c r="T45" s="207">
        <f t="shared" si="81"/>
        <v>2.9131008786237176E-2</v>
      </c>
      <c r="U45" s="207">
        <f t="shared" si="81"/>
        <v>2.8839698698374806E-2</v>
      </c>
      <c r="V45" s="207">
        <f t="shared" si="81"/>
        <v>2.8551301711391058E-2</v>
      </c>
      <c r="W45" s="207">
        <f t="shared" si="81"/>
        <v>2.8265788694277157E-2</v>
      </c>
      <c r="X45" s="207">
        <f t="shared" si="81"/>
        <v>2.7983130807334378E-2</v>
      </c>
    </row>
    <row r="46" spans="1:25" s="119" customFormat="1" ht="12.75" hidden="1" customHeight="1" outlineLevel="1">
      <c r="A46" s="242"/>
      <c r="B46" s="206" t="s">
        <v>500</v>
      </c>
      <c r="C46" s="207"/>
      <c r="D46" s="207"/>
      <c r="E46" s="207"/>
      <c r="F46" s="208"/>
      <c r="G46" s="223"/>
      <c r="H46" s="223">
        <f>G48*0.99</f>
        <v>2.9402999999999999E-2</v>
      </c>
      <c r="I46" s="230">
        <f>I67*I38</f>
        <v>2.9108969999999998E-2</v>
      </c>
      <c r="J46" s="230">
        <f t="shared" ref="J46:X46" si="82">J67*J38</f>
        <v>2.9282684820967738E-2</v>
      </c>
      <c r="K46" s="230">
        <f t="shared" si="82"/>
        <v>2.8989857972758059E-2</v>
      </c>
      <c r="L46" s="230">
        <f t="shared" si="82"/>
        <v>3.1091622675783019E-2</v>
      </c>
      <c r="M46" s="230">
        <f t="shared" si="82"/>
        <v>2.8412959799100176E-2</v>
      </c>
      <c r="N46" s="230">
        <f t="shared" si="82"/>
        <v>2.8128830201109171E-2</v>
      </c>
      <c r="O46" s="230">
        <f t="shared" si="82"/>
        <v>2.7847541899098077E-2</v>
      </c>
      <c r="P46" s="230">
        <f t="shared" si="82"/>
        <v>2.7569066480107093E-2</v>
      </c>
      <c r="Q46" s="230">
        <f t="shared" si="82"/>
        <v>2.7293375815306015E-2</v>
      </c>
      <c r="R46" s="230">
        <f t="shared" si="82"/>
        <v>2.7020442057152958E-2</v>
      </c>
      <c r="S46" s="230">
        <f t="shared" si="82"/>
        <v>2.6750237636581426E-2</v>
      </c>
      <c r="T46" s="230">
        <f t="shared" si="82"/>
        <v>2.6482735260215613E-2</v>
      </c>
      <c r="U46" s="230">
        <f t="shared" si="82"/>
        <v>2.6217907907613459E-2</v>
      </c>
      <c r="V46" s="230">
        <f t="shared" si="82"/>
        <v>2.5955728828537323E-2</v>
      </c>
      <c r="W46" s="230">
        <f t="shared" si="82"/>
        <v>2.5696171540251958E-2</v>
      </c>
      <c r="X46" s="230">
        <f t="shared" si="82"/>
        <v>2.5439209824849433E-2</v>
      </c>
    </row>
    <row r="47" spans="1:25" s="119" customFormat="1" ht="12.75" hidden="1" customHeight="1" outlineLevel="1">
      <c r="A47" s="242"/>
      <c r="B47" s="206" t="s">
        <v>522</v>
      </c>
      <c r="C47" s="207"/>
      <c r="D47" s="207"/>
      <c r="E47" s="207"/>
      <c r="F47" s="207"/>
      <c r="G47" s="207"/>
      <c r="H47" s="207">
        <f>G48*0.95</f>
        <v>2.8214999999999997E-2</v>
      </c>
      <c r="I47" s="207">
        <f>I68*I38</f>
        <v>2.6198073000000002E-2</v>
      </c>
      <c r="J47" s="207">
        <f t="shared" ref="J47:X47" si="83">J68*J38</f>
        <v>2.6354416338870965E-2</v>
      </c>
      <c r="K47" s="207">
        <f t="shared" si="83"/>
        <v>2.174239347956854E-2</v>
      </c>
      <c r="L47" s="207">
        <f t="shared" si="83"/>
        <v>1.554581133789151E-2</v>
      </c>
      <c r="M47" s="207">
        <f t="shared" si="83"/>
        <v>7.1032399497750441E-3</v>
      </c>
      <c r="N47" s="207">
        <f t="shared" si="83"/>
        <v>2.8128830201109177E-3</v>
      </c>
      <c r="O47" s="207">
        <f t="shared" si="83"/>
        <v>2.7847541899098079E-3</v>
      </c>
      <c r="P47" s="207">
        <f t="shared" si="83"/>
        <v>2.7569066480107093E-3</v>
      </c>
      <c r="Q47" s="207">
        <f t="shared" si="83"/>
        <v>2.729337581530602E-3</v>
      </c>
      <c r="R47" s="207">
        <f t="shared" si="83"/>
        <v>2.7020442057152957E-3</v>
      </c>
      <c r="S47" s="207">
        <f t="shared" si="83"/>
        <v>2.6750237636581427E-3</v>
      </c>
      <c r="T47" s="207">
        <f t="shared" si="83"/>
        <v>2.6482735260215614E-3</v>
      </c>
      <c r="U47" s="207">
        <f t="shared" si="83"/>
        <v>2.6217907907613459E-3</v>
      </c>
      <c r="V47" s="207">
        <f t="shared" si="83"/>
        <v>2.5955728828537328E-3</v>
      </c>
      <c r="W47" s="207">
        <f t="shared" si="83"/>
        <v>2.569617154025196E-3</v>
      </c>
      <c r="X47" s="207">
        <f t="shared" si="83"/>
        <v>2.543920982484944E-3</v>
      </c>
    </row>
    <row r="48" spans="1:25" collapsed="1">
      <c r="A48" s="243" t="s">
        <v>523</v>
      </c>
      <c r="B48" s="211" t="s">
        <v>227</v>
      </c>
      <c r="C48" s="208">
        <v>0.02</v>
      </c>
      <c r="D48" s="208">
        <v>2.4E-2</v>
      </c>
      <c r="E48" s="208">
        <v>2.7E-2</v>
      </c>
      <c r="F48" s="208">
        <v>0.03</v>
      </c>
      <c r="G48" s="223">
        <f>F48*0.99</f>
        <v>2.9699999999999997E-2</v>
      </c>
      <c r="H48" s="224">
        <f t="shared" ref="H48:X48" si="84">CHOOSE($E$1,H45,H46,H47)</f>
        <v>2.9402999999999999E-2</v>
      </c>
      <c r="I48" s="224">
        <f t="shared" si="84"/>
        <v>2.9108969999999998E-2</v>
      </c>
      <c r="J48" s="224">
        <f t="shared" si="84"/>
        <v>2.9282684820967738E-2</v>
      </c>
      <c r="K48" s="224">
        <f t="shared" si="84"/>
        <v>2.8989857972758059E-2</v>
      </c>
      <c r="L48" s="224">
        <f t="shared" si="84"/>
        <v>3.1091622675783019E-2</v>
      </c>
      <c r="M48" s="224">
        <f t="shared" si="84"/>
        <v>2.8412959799100176E-2</v>
      </c>
      <c r="N48" s="224">
        <f t="shared" si="84"/>
        <v>2.8128830201109171E-2</v>
      </c>
      <c r="O48" s="224">
        <f t="shared" si="84"/>
        <v>2.7847541899098077E-2</v>
      </c>
      <c r="P48" s="224">
        <f t="shared" si="84"/>
        <v>2.7569066480107093E-2</v>
      </c>
      <c r="Q48" s="224">
        <f t="shared" si="84"/>
        <v>2.7293375815306015E-2</v>
      </c>
      <c r="R48" s="224">
        <f t="shared" si="84"/>
        <v>2.7020442057152958E-2</v>
      </c>
      <c r="S48" s="224">
        <f t="shared" si="84"/>
        <v>2.6750237636581426E-2</v>
      </c>
      <c r="T48" s="224">
        <f t="shared" si="84"/>
        <v>2.6482735260215613E-2</v>
      </c>
      <c r="U48" s="224">
        <f t="shared" si="84"/>
        <v>2.6217907907613459E-2</v>
      </c>
      <c r="V48" s="224">
        <f t="shared" si="84"/>
        <v>2.5955728828537323E-2</v>
      </c>
      <c r="W48" s="224">
        <f t="shared" si="84"/>
        <v>2.5696171540251958E-2</v>
      </c>
      <c r="X48" s="224">
        <f t="shared" si="84"/>
        <v>2.5439209824849433E-2</v>
      </c>
    </row>
    <row r="49" spans="1:25" hidden="1" outlineLevel="1">
      <c r="A49" s="416"/>
      <c r="B49" s="206" t="s">
        <v>521</v>
      </c>
      <c r="C49" s="208"/>
      <c r="D49" s="208"/>
      <c r="E49" s="208"/>
      <c r="F49" s="208"/>
      <c r="G49" s="208"/>
      <c r="H49" s="231"/>
      <c r="I49" s="223"/>
      <c r="J49" s="223"/>
      <c r="K49" s="223"/>
      <c r="L49" s="223">
        <f>L70*L38</f>
        <v>0</v>
      </c>
      <c r="M49" s="223">
        <f t="shared" ref="M49:X49" si="85">M70*M38</f>
        <v>0</v>
      </c>
      <c r="N49" s="223">
        <f t="shared" si="85"/>
        <v>0</v>
      </c>
      <c r="O49" s="223">
        <f t="shared" si="85"/>
        <v>0</v>
      </c>
      <c r="P49" s="223">
        <f t="shared" si="85"/>
        <v>0</v>
      </c>
      <c r="Q49" s="223">
        <f t="shared" si="85"/>
        <v>0</v>
      </c>
      <c r="R49" s="223">
        <f t="shared" si="85"/>
        <v>0</v>
      </c>
      <c r="S49" s="223">
        <f t="shared" si="85"/>
        <v>0</v>
      </c>
      <c r="T49" s="223">
        <f t="shared" si="85"/>
        <v>0</v>
      </c>
      <c r="U49" s="223">
        <f t="shared" si="85"/>
        <v>0</v>
      </c>
      <c r="V49" s="223">
        <f t="shared" si="85"/>
        <v>0</v>
      </c>
      <c r="W49" s="223">
        <f t="shared" si="85"/>
        <v>0</v>
      </c>
      <c r="X49" s="223">
        <f t="shared" si="85"/>
        <v>0</v>
      </c>
    </row>
    <row r="50" spans="1:25" hidden="1" outlineLevel="1">
      <c r="A50" s="416"/>
      <c r="B50" s="206" t="s">
        <v>500</v>
      </c>
      <c r="C50" s="208"/>
      <c r="D50" s="208"/>
      <c r="E50" s="208"/>
      <c r="F50" s="208"/>
      <c r="G50" s="208"/>
      <c r="H50" s="231"/>
      <c r="I50" s="223"/>
      <c r="J50" s="223"/>
      <c r="K50" s="223"/>
      <c r="L50" s="223">
        <f>L71*L38</f>
        <v>1.0500000000000001E-2</v>
      </c>
      <c r="M50" s="223">
        <f t="shared" ref="M50:X50" si="86">M71*M38</f>
        <v>2.0999999999999998E-2</v>
      </c>
      <c r="N50" s="223">
        <f t="shared" si="86"/>
        <v>3.15E-2</v>
      </c>
      <c r="O50" s="223">
        <f t="shared" si="86"/>
        <v>4.243076923076923E-2</v>
      </c>
      <c r="P50" s="223">
        <f t="shared" si="86"/>
        <v>5.3038461538461541E-2</v>
      </c>
      <c r="Q50" s="223">
        <f t="shared" si="86"/>
        <v>5.3038461538461541E-2</v>
      </c>
      <c r="R50" s="223">
        <f t="shared" si="86"/>
        <v>5.3307692307692306E-2</v>
      </c>
      <c r="S50" s="223">
        <f t="shared" si="86"/>
        <v>5.3307692307692306E-2</v>
      </c>
      <c r="T50" s="223">
        <f t="shared" si="86"/>
        <v>5.3307692307692306E-2</v>
      </c>
      <c r="U50" s="223">
        <f t="shared" si="86"/>
        <v>5.3307692307692313E-2</v>
      </c>
      <c r="V50" s="223">
        <f t="shared" si="86"/>
        <v>5.3576923076923084E-2</v>
      </c>
      <c r="W50" s="223">
        <f t="shared" si="86"/>
        <v>5.3576923076923091E-2</v>
      </c>
      <c r="X50" s="223">
        <f t="shared" si="86"/>
        <v>5.3576923076923091E-2</v>
      </c>
    </row>
    <row r="51" spans="1:25" hidden="1" outlineLevel="1">
      <c r="A51" s="416"/>
      <c r="B51" s="206" t="s">
        <v>522</v>
      </c>
      <c r="C51" s="208"/>
      <c r="D51" s="208"/>
      <c r="E51" s="208"/>
      <c r="F51" s="208"/>
      <c r="G51" s="208"/>
      <c r="H51" s="231"/>
      <c r="I51" s="223"/>
      <c r="J51" s="223"/>
      <c r="K51" s="223"/>
      <c r="L51" s="223">
        <f>L72*L38</f>
        <v>2.9944687500000001E-2</v>
      </c>
      <c r="M51" s="223">
        <f t="shared" ref="M51:X51" si="87">M72*M38</f>
        <v>5.5472533593749998E-2</v>
      </c>
      <c r="N51" s="223">
        <f t="shared" si="87"/>
        <v>9.7354296457031253E-2</v>
      </c>
      <c r="O51" s="223">
        <f t="shared" si="87"/>
        <v>0.14384097301526366</v>
      </c>
      <c r="P51" s="223">
        <f t="shared" si="87"/>
        <v>0.18418836594604512</v>
      </c>
      <c r="Q51" s="223">
        <f t="shared" si="87"/>
        <v>0.21771064854822531</v>
      </c>
      <c r="R51" s="223">
        <f t="shared" si="87"/>
        <v>0.23708689626901738</v>
      </c>
      <c r="S51" s="223">
        <f t="shared" si="87"/>
        <v>0.24645182867164356</v>
      </c>
      <c r="T51" s="223">
        <f t="shared" si="87"/>
        <v>0.25618667590417349</v>
      </c>
      <c r="U51" s="223">
        <f t="shared" si="87"/>
        <v>0.25362480914513175</v>
      </c>
      <c r="V51" s="223">
        <f t="shared" si="87"/>
        <v>0.25235668509940612</v>
      </c>
      <c r="W51" s="223">
        <f t="shared" si="87"/>
        <v>0.25109490167390913</v>
      </c>
      <c r="X51" s="223">
        <f t="shared" si="87"/>
        <v>0.24983942716553958</v>
      </c>
    </row>
    <row r="52" spans="1:25" collapsed="1">
      <c r="A52" s="210" t="s">
        <v>523</v>
      </c>
      <c r="B52" s="211" t="s">
        <v>809</v>
      </c>
      <c r="C52" s="208">
        <v>3.4000000000000002E-2</v>
      </c>
      <c r="D52" s="208"/>
      <c r="E52" s="208"/>
      <c r="F52" s="208"/>
      <c r="G52" s="208"/>
      <c r="H52" s="231"/>
      <c r="I52" s="224"/>
      <c r="J52" s="224"/>
      <c r="K52" s="224"/>
      <c r="L52" s="224">
        <f t="shared" ref="L52:X52" si="88">CHOOSE($E$1,L49,L50,L51)</f>
        <v>1.0500000000000001E-2</v>
      </c>
      <c r="M52" s="224">
        <f t="shared" si="88"/>
        <v>2.0999999999999998E-2</v>
      </c>
      <c r="N52" s="224">
        <f t="shared" si="88"/>
        <v>3.15E-2</v>
      </c>
      <c r="O52" s="224">
        <f t="shared" si="88"/>
        <v>4.243076923076923E-2</v>
      </c>
      <c r="P52" s="224">
        <f t="shared" si="88"/>
        <v>5.3038461538461541E-2</v>
      </c>
      <c r="Q52" s="224">
        <f t="shared" si="88"/>
        <v>5.3038461538461541E-2</v>
      </c>
      <c r="R52" s="224">
        <f t="shared" si="88"/>
        <v>5.3307692307692306E-2</v>
      </c>
      <c r="S52" s="224">
        <f t="shared" si="88"/>
        <v>5.3307692307692306E-2</v>
      </c>
      <c r="T52" s="224">
        <f t="shared" si="88"/>
        <v>5.3307692307692306E-2</v>
      </c>
      <c r="U52" s="224">
        <f t="shared" si="88"/>
        <v>5.3307692307692313E-2</v>
      </c>
      <c r="V52" s="224">
        <f t="shared" si="88"/>
        <v>5.3576923076923084E-2</v>
      </c>
      <c r="W52" s="224">
        <f t="shared" si="88"/>
        <v>5.3576923076923091E-2</v>
      </c>
      <c r="X52" s="224">
        <f t="shared" si="88"/>
        <v>5.3576923076923091E-2</v>
      </c>
    </row>
    <row r="53" spans="1:25">
      <c r="B53" s="203" t="s">
        <v>75</v>
      </c>
      <c r="C53" s="215">
        <v>0</v>
      </c>
      <c r="D53" s="125">
        <f t="shared" ref="D53:I53" si="89">C53</f>
        <v>0</v>
      </c>
      <c r="E53" s="125">
        <f t="shared" si="89"/>
        <v>0</v>
      </c>
      <c r="F53" s="125">
        <f t="shared" si="89"/>
        <v>0</v>
      </c>
      <c r="G53" s="125">
        <f t="shared" si="89"/>
        <v>0</v>
      </c>
      <c r="H53" s="125">
        <f t="shared" si="89"/>
        <v>0</v>
      </c>
      <c r="I53" s="125">
        <f t="shared" si="89"/>
        <v>0</v>
      </c>
      <c r="J53" s="125">
        <v>0.05</v>
      </c>
      <c r="K53" s="125">
        <v>0.1</v>
      </c>
      <c r="L53" s="129">
        <f>K53*1.3</f>
        <v>0.13</v>
      </c>
      <c r="M53" s="129">
        <f>L53*1.2</f>
        <v>0.156</v>
      </c>
      <c r="N53" s="129">
        <f>M53*1.1</f>
        <v>0.1716</v>
      </c>
      <c r="O53" s="129">
        <f>N53</f>
        <v>0.1716</v>
      </c>
      <c r="P53" s="129">
        <f t="shared" ref="P53:X53" si="90">O53</f>
        <v>0.1716</v>
      </c>
      <c r="Q53" s="129">
        <f t="shared" si="90"/>
        <v>0.1716</v>
      </c>
      <c r="R53" s="129">
        <f t="shared" si="90"/>
        <v>0.1716</v>
      </c>
      <c r="S53" s="129">
        <f t="shared" si="90"/>
        <v>0.1716</v>
      </c>
      <c r="T53" s="129">
        <f t="shared" si="90"/>
        <v>0.1716</v>
      </c>
      <c r="U53" s="129">
        <f t="shared" si="90"/>
        <v>0.1716</v>
      </c>
      <c r="V53" s="129">
        <f t="shared" si="90"/>
        <v>0.1716</v>
      </c>
      <c r="W53" s="129">
        <f t="shared" si="90"/>
        <v>0.1716</v>
      </c>
      <c r="X53" s="129">
        <f t="shared" si="90"/>
        <v>0.1716</v>
      </c>
    </row>
    <row r="54" spans="1:25">
      <c r="B54" s="219" t="s">
        <v>228</v>
      </c>
      <c r="C54" s="220">
        <f>1-C38</f>
        <v>0</v>
      </c>
      <c r="D54" s="220">
        <f t="shared" ref="D54:X54" si="91">1-D38</f>
        <v>0</v>
      </c>
      <c r="E54" s="220">
        <f t="shared" si="91"/>
        <v>1.0000000000000009E-2</v>
      </c>
      <c r="F54" s="220">
        <f t="shared" si="91"/>
        <v>2.0000000000000018E-2</v>
      </c>
      <c r="G54" s="220">
        <f t="shared" si="91"/>
        <v>0.12</v>
      </c>
      <c r="H54" s="220">
        <f t="shared" si="91"/>
        <v>0.21999999999999997</v>
      </c>
      <c r="I54" s="220">
        <f t="shared" si="91"/>
        <v>0.31999999999999995</v>
      </c>
      <c r="J54" s="220">
        <f t="shared" si="91"/>
        <v>0.37</v>
      </c>
      <c r="K54" s="220">
        <f t="shared" si="91"/>
        <v>0.38575000000000004</v>
      </c>
      <c r="L54" s="220">
        <f t="shared" si="91"/>
        <v>0.40110625</v>
      </c>
      <c r="M54" s="220">
        <f t="shared" si="91"/>
        <v>0.41607859375</v>
      </c>
      <c r="N54" s="220">
        <f t="shared" si="91"/>
        <v>0.43067662890625003</v>
      </c>
      <c r="O54" s="220">
        <f t="shared" si="91"/>
        <v>0.4392164794726563</v>
      </c>
      <c r="P54" s="220">
        <f t="shared" si="91"/>
        <v>0.44762823228056647</v>
      </c>
      <c r="Q54" s="220">
        <f t="shared" si="91"/>
        <v>0.45591380879635801</v>
      </c>
      <c r="R54" s="220">
        <f t="shared" si="91"/>
        <v>0.46135467070839442</v>
      </c>
      <c r="S54" s="220">
        <f t="shared" si="91"/>
        <v>0.46674112400131051</v>
      </c>
      <c r="T54" s="220">
        <f t="shared" si="91"/>
        <v>0.47207371276129739</v>
      </c>
      <c r="U54" s="220">
        <f t="shared" si="91"/>
        <v>0.4773529756336844</v>
      </c>
      <c r="V54" s="220">
        <f t="shared" si="91"/>
        <v>0.47996621075551593</v>
      </c>
      <c r="W54" s="220">
        <f t="shared" si="91"/>
        <v>0.48256637970173832</v>
      </c>
      <c r="X54" s="220">
        <f t="shared" si="91"/>
        <v>0.48515354780322961</v>
      </c>
    </row>
    <row r="55" spans="1:25" s="119" customFormat="1" ht="12.75" customHeight="1" outlineLevel="1">
      <c r="A55" s="242"/>
      <c r="B55" s="206" t="s">
        <v>521</v>
      </c>
      <c r="C55" s="207"/>
      <c r="D55" s="207"/>
      <c r="E55" s="207"/>
      <c r="F55" s="207"/>
      <c r="G55" s="207"/>
      <c r="H55" s="207">
        <f>H56*1.1</f>
        <v>8.1620000000000012E-2</v>
      </c>
      <c r="I55" s="428">
        <f>I74*I54</f>
        <v>0.13119999999999998</v>
      </c>
      <c r="J55" s="428">
        <f t="shared" ref="J55:X55" si="92">J74*J54</f>
        <v>0.14411499999999999</v>
      </c>
      <c r="K55" s="428">
        <f t="shared" si="92"/>
        <v>0.14273714374999999</v>
      </c>
      <c r="L55" s="428">
        <f t="shared" si="92"/>
        <v>0.14841934015624997</v>
      </c>
      <c r="M55" s="428">
        <f t="shared" si="92"/>
        <v>0.15395948165234372</v>
      </c>
      <c r="N55" s="428">
        <f t="shared" si="92"/>
        <v>0.15936111961103513</v>
      </c>
      <c r="O55" s="428">
        <f t="shared" si="92"/>
        <v>0.16252107781686961</v>
      </c>
      <c r="P55" s="428">
        <f t="shared" si="92"/>
        <v>0.16563363664961658</v>
      </c>
      <c r="Q55" s="428">
        <f t="shared" si="92"/>
        <v>0.16869950709987233</v>
      </c>
      <c r="R55" s="428">
        <f t="shared" si="92"/>
        <v>0.17071276202887362</v>
      </c>
      <c r="S55" s="428">
        <f t="shared" si="92"/>
        <v>0.17270588440858489</v>
      </c>
      <c r="T55" s="428">
        <f t="shared" si="92"/>
        <v>0.17467907556449905</v>
      </c>
      <c r="U55" s="428">
        <f t="shared" si="92"/>
        <v>0.17663253480885405</v>
      </c>
      <c r="V55" s="428">
        <f t="shared" si="92"/>
        <v>0.17759949713480974</v>
      </c>
      <c r="W55" s="428">
        <f t="shared" si="92"/>
        <v>3.5712324929827136E-2</v>
      </c>
      <c r="X55" s="428">
        <f t="shared" si="92"/>
        <v>0</v>
      </c>
    </row>
    <row r="56" spans="1:25" s="119" customFormat="1" ht="12.75" customHeight="1" outlineLevel="1">
      <c r="A56" s="242"/>
      <c r="B56" s="206" t="s">
        <v>500</v>
      </c>
      <c r="C56" s="207"/>
      <c r="D56" s="207"/>
      <c r="E56" s="208"/>
      <c r="F56" s="208"/>
      <c r="G56" s="225"/>
      <c r="H56" s="225">
        <v>7.4200000000000002E-2</v>
      </c>
      <c r="I56" s="428">
        <f>I75*I54</f>
        <v>0.13119999999999998</v>
      </c>
      <c r="J56" s="428">
        <f t="shared" ref="J56:X56" si="93">J75*J54</f>
        <v>0.14615</v>
      </c>
      <c r="K56" s="428">
        <f t="shared" si="93"/>
        <v>0.16201500000000002</v>
      </c>
      <c r="L56" s="428">
        <f t="shared" si="93"/>
        <v>0.17688785625</v>
      </c>
      <c r="M56" s="428">
        <f t="shared" si="93"/>
        <v>0.17890339334765626</v>
      </c>
      <c r="N56" s="428">
        <f t="shared" si="93"/>
        <v>0.18055067892611573</v>
      </c>
      <c r="O56" s="428">
        <f t="shared" si="93"/>
        <v>0.17952753303929342</v>
      </c>
      <c r="P56" s="428">
        <f t="shared" si="93"/>
        <v>0.17839164993909579</v>
      </c>
      <c r="Q56" s="428">
        <f t="shared" si="93"/>
        <v>0.17715132882183141</v>
      </c>
      <c r="R56" s="428">
        <f t="shared" si="93"/>
        <v>0.17926544754132792</v>
      </c>
      <c r="S56" s="428">
        <f t="shared" si="93"/>
        <v>0.12695089755154065</v>
      </c>
      <c r="T56" s="428">
        <f t="shared" si="93"/>
        <v>6.4200665490712822E-2</v>
      </c>
      <c r="U56" s="428">
        <f t="shared" si="93"/>
        <v>1.6229657509626471E-2</v>
      </c>
      <c r="V56" s="428">
        <f t="shared" si="93"/>
        <v>3.2637011244831724E-3</v>
      </c>
      <c r="W56" s="428">
        <f t="shared" si="93"/>
        <v>6.5627637978565227E-4</v>
      </c>
      <c r="X56" s="428">
        <f t="shared" si="93"/>
        <v>1.31958970780045E-4</v>
      </c>
    </row>
    <row r="57" spans="1:25" s="119" customFormat="1" ht="12.75" customHeight="1" outlineLevel="1">
      <c r="A57" s="242"/>
      <c r="B57" s="206" t="s">
        <v>522</v>
      </c>
      <c r="C57" s="207"/>
      <c r="D57" s="207"/>
      <c r="E57" s="207"/>
      <c r="F57" s="207"/>
      <c r="G57" s="207"/>
      <c r="H57" s="207">
        <f>H56*0.9</f>
        <v>6.6780000000000006E-2</v>
      </c>
      <c r="I57" s="428">
        <f>I76*I54</f>
        <v>0.12479999999999998</v>
      </c>
      <c r="J57" s="428">
        <f t="shared" ref="J57:X57" si="94">J76*J54</f>
        <v>0.16650000000000001</v>
      </c>
      <c r="K57" s="428">
        <f t="shared" si="94"/>
        <v>0.20830500000000005</v>
      </c>
      <c r="L57" s="428">
        <f t="shared" si="94"/>
        <v>0.23264162499999999</v>
      </c>
      <c r="M57" s="428">
        <f t="shared" si="94"/>
        <v>0.24964715625</v>
      </c>
      <c r="N57" s="428">
        <f t="shared" si="94"/>
        <v>0.25840597734374998</v>
      </c>
      <c r="O57" s="428">
        <f t="shared" si="94"/>
        <v>0.26352988768359376</v>
      </c>
      <c r="P57" s="428">
        <f t="shared" si="94"/>
        <v>0.26857693936833987</v>
      </c>
      <c r="Q57" s="428">
        <f t="shared" si="94"/>
        <v>0.27354828527781477</v>
      </c>
      <c r="R57" s="428">
        <f t="shared" si="94"/>
        <v>0.27681280242503664</v>
      </c>
      <c r="S57" s="428">
        <f t="shared" si="94"/>
        <v>0.11425580779638658</v>
      </c>
      <c r="T57" s="428">
        <f t="shared" si="94"/>
        <v>5.7780598941641531E-2</v>
      </c>
      <c r="U57" s="428">
        <f t="shared" si="94"/>
        <v>1.4606691758663823E-2</v>
      </c>
      <c r="V57" s="428">
        <f t="shared" si="94"/>
        <v>2.9373310120348554E-3</v>
      </c>
      <c r="W57" s="428">
        <f t="shared" si="94"/>
        <v>5.9064874180708704E-4</v>
      </c>
      <c r="X57" s="428">
        <f t="shared" si="94"/>
        <v>1.187630737020405E-4</v>
      </c>
    </row>
    <row r="58" spans="1:25">
      <c r="A58" s="243" t="s">
        <v>523</v>
      </c>
      <c r="B58" s="211" t="s">
        <v>87</v>
      </c>
      <c r="C58" s="228"/>
      <c r="D58" s="228"/>
      <c r="E58" s="208">
        <v>0</v>
      </c>
      <c r="F58" s="208">
        <v>0</v>
      </c>
      <c r="G58" s="225">
        <v>0</v>
      </c>
      <c r="H58" s="224">
        <f t="shared" ref="H58:X58" si="95">CHOOSE($E$1,H55,H56,H57)</f>
        <v>7.4200000000000002E-2</v>
      </c>
      <c r="I58" s="224">
        <f t="shared" si="95"/>
        <v>0.13119999999999998</v>
      </c>
      <c r="J58" s="224">
        <f t="shared" si="95"/>
        <v>0.14615</v>
      </c>
      <c r="K58" s="224">
        <f t="shared" si="95"/>
        <v>0.16201500000000002</v>
      </c>
      <c r="L58" s="224">
        <f t="shared" si="95"/>
        <v>0.17688785625</v>
      </c>
      <c r="M58" s="224">
        <f t="shared" si="95"/>
        <v>0.17890339334765626</v>
      </c>
      <c r="N58" s="224">
        <f t="shared" si="95"/>
        <v>0.18055067892611573</v>
      </c>
      <c r="O58" s="224">
        <f t="shared" si="95"/>
        <v>0.17952753303929342</v>
      </c>
      <c r="P58" s="224">
        <f t="shared" si="95"/>
        <v>0.17839164993909579</v>
      </c>
      <c r="Q58" s="224">
        <f t="shared" si="95"/>
        <v>0.17715132882183141</v>
      </c>
      <c r="R58" s="224">
        <f t="shared" si="95"/>
        <v>0.17926544754132792</v>
      </c>
      <c r="S58" s="224">
        <f t="shared" si="95"/>
        <v>0.12695089755154065</v>
      </c>
      <c r="T58" s="224">
        <f t="shared" si="95"/>
        <v>6.4200665490712822E-2</v>
      </c>
      <c r="U58" s="224">
        <f t="shared" si="95"/>
        <v>1.6229657509626471E-2</v>
      </c>
      <c r="V58" s="224">
        <f t="shared" si="95"/>
        <v>3.2637011244831724E-3</v>
      </c>
      <c r="W58" s="224">
        <f t="shared" si="95"/>
        <v>6.5627637978565227E-4</v>
      </c>
      <c r="X58" s="224">
        <f t="shared" si="95"/>
        <v>1.31958970780045E-4</v>
      </c>
    </row>
    <row r="59" spans="1:25">
      <c r="B59" s="203" t="s">
        <v>75</v>
      </c>
      <c r="E59" s="125">
        <f>E54-E58</f>
        <v>1.0000000000000009E-2</v>
      </c>
      <c r="F59" s="125">
        <f t="shared" ref="F59:X59" si="96">F54-F58</f>
        <v>2.0000000000000018E-2</v>
      </c>
      <c r="G59" s="125">
        <f t="shared" si="96"/>
        <v>0.12</v>
      </c>
      <c r="H59" s="125">
        <f t="shared" si="96"/>
        <v>0.14579999999999999</v>
      </c>
      <c r="I59" s="125">
        <f t="shared" si="96"/>
        <v>0.18879999999999997</v>
      </c>
      <c r="J59" s="125">
        <f t="shared" si="96"/>
        <v>0.22384999999999999</v>
      </c>
      <c r="K59" s="125">
        <f t="shared" si="96"/>
        <v>0.22373500000000002</v>
      </c>
      <c r="L59" s="125">
        <f t="shared" si="96"/>
        <v>0.22421839374999999</v>
      </c>
      <c r="M59" s="125">
        <f t="shared" si="96"/>
        <v>0.23717520040234374</v>
      </c>
      <c r="N59" s="125">
        <f t="shared" si="96"/>
        <v>0.25012594998013427</v>
      </c>
      <c r="O59" s="125">
        <f t="shared" si="96"/>
        <v>0.25968894643336288</v>
      </c>
      <c r="P59" s="125">
        <f t="shared" si="96"/>
        <v>0.26923658234147069</v>
      </c>
      <c r="Q59" s="125">
        <f t="shared" si="96"/>
        <v>0.27876247997452663</v>
      </c>
      <c r="R59" s="125">
        <f t="shared" si="96"/>
        <v>0.28208922316706653</v>
      </c>
      <c r="S59" s="125">
        <f t="shared" si="96"/>
        <v>0.33979022644976986</v>
      </c>
      <c r="T59" s="125">
        <f t="shared" si="96"/>
        <v>0.4078730472705846</v>
      </c>
      <c r="U59" s="125">
        <f t="shared" si="96"/>
        <v>0.46112331812405793</v>
      </c>
      <c r="V59" s="125">
        <f t="shared" si="96"/>
        <v>0.47670250963103278</v>
      </c>
      <c r="W59" s="125">
        <f t="shared" si="96"/>
        <v>0.48191010332195267</v>
      </c>
      <c r="X59" s="125">
        <f t="shared" si="96"/>
        <v>0.48502158883244956</v>
      </c>
      <c r="Y59" s="125"/>
    </row>
    <row r="60" spans="1:25">
      <c r="B60" s="203"/>
      <c r="E60" s="125"/>
      <c r="F60" s="125"/>
      <c r="G60" s="125"/>
      <c r="H60" s="125"/>
      <c r="I60" s="125"/>
      <c r="J60" s="125"/>
      <c r="K60" s="125"/>
      <c r="L60" s="125"/>
      <c r="M60" s="125"/>
      <c r="N60" s="125"/>
      <c r="O60" s="125"/>
      <c r="P60" s="125"/>
      <c r="Q60" s="125"/>
      <c r="R60" s="125"/>
      <c r="S60" s="125"/>
      <c r="T60" s="125"/>
      <c r="U60" s="125"/>
      <c r="V60" s="125"/>
      <c r="W60" s="125"/>
      <c r="X60" s="125"/>
      <c r="Y60" s="125"/>
    </row>
    <row r="61" spans="1:25" outlineLevel="1">
      <c r="A61" s="116"/>
      <c r="B61" s="116" t="s">
        <v>249</v>
      </c>
      <c r="G61" s="411"/>
      <c r="K61" s="125"/>
    </row>
    <row r="62" spans="1:25" outlineLevel="1">
      <c r="A62" s="116"/>
      <c r="B62" s="203" t="s">
        <v>811</v>
      </c>
      <c r="G62" s="411"/>
      <c r="I62" s="129">
        <f>I63*1.15</f>
        <v>0.36224999999999996</v>
      </c>
      <c r="J62" s="129">
        <f t="shared" ref="J62:X62" si="97">J63*1.15</f>
        <v>0.32487499999999997</v>
      </c>
      <c r="K62" s="417">
        <f t="shared" si="97"/>
        <v>0.30474999999999997</v>
      </c>
      <c r="L62" s="129">
        <f t="shared" si="97"/>
        <v>0.29899999999999999</v>
      </c>
      <c r="M62" s="129">
        <f t="shared" si="97"/>
        <v>0.29899999999999999</v>
      </c>
      <c r="N62" s="129">
        <f t="shared" si="97"/>
        <v>0.29899999999999999</v>
      </c>
      <c r="O62" s="129">
        <f t="shared" si="97"/>
        <v>0.29899999999999999</v>
      </c>
      <c r="P62" s="129">
        <f t="shared" si="97"/>
        <v>0.29899999999999999</v>
      </c>
      <c r="Q62" s="129">
        <f t="shared" si="97"/>
        <v>0.29899999999999999</v>
      </c>
      <c r="R62" s="129">
        <f t="shared" si="97"/>
        <v>0.29899999999999999</v>
      </c>
      <c r="S62" s="129">
        <f t="shared" si="97"/>
        <v>0.29899999999999999</v>
      </c>
      <c r="T62" s="129">
        <f t="shared" si="97"/>
        <v>0.29899999999999999</v>
      </c>
      <c r="U62" s="129">
        <f t="shared" si="97"/>
        <v>0.29899999999999999</v>
      </c>
      <c r="V62" s="129">
        <f t="shared" si="97"/>
        <v>0.29899999999999999</v>
      </c>
      <c r="W62" s="129">
        <f t="shared" si="97"/>
        <v>0.29899999999999999</v>
      </c>
      <c r="X62" s="129">
        <f t="shared" si="97"/>
        <v>0.29899999999999999</v>
      </c>
    </row>
    <row r="63" spans="1:25" outlineLevel="1">
      <c r="A63" s="116"/>
      <c r="B63" s="203" t="s">
        <v>500</v>
      </c>
      <c r="G63" s="411"/>
      <c r="I63" s="125">
        <v>0.315</v>
      </c>
      <c r="J63" s="125">
        <v>0.28249999999999997</v>
      </c>
      <c r="K63" s="125">
        <v>0.26500000000000001</v>
      </c>
      <c r="L63" s="125">
        <f>K63-0.5%</f>
        <v>0.26</v>
      </c>
      <c r="M63" s="125">
        <f>L63</f>
        <v>0.26</v>
      </c>
      <c r="N63" s="125">
        <f t="shared" ref="N63:X63" si="98">M63</f>
        <v>0.26</v>
      </c>
      <c r="O63" s="125">
        <f t="shared" si="98"/>
        <v>0.26</v>
      </c>
      <c r="P63" s="125">
        <f t="shared" si="98"/>
        <v>0.26</v>
      </c>
      <c r="Q63" s="125">
        <f t="shared" si="98"/>
        <v>0.26</v>
      </c>
      <c r="R63" s="125">
        <f t="shared" si="98"/>
        <v>0.26</v>
      </c>
      <c r="S63" s="125">
        <f t="shared" si="98"/>
        <v>0.26</v>
      </c>
      <c r="T63" s="125">
        <f t="shared" si="98"/>
        <v>0.26</v>
      </c>
      <c r="U63" s="125">
        <f t="shared" si="98"/>
        <v>0.26</v>
      </c>
      <c r="V63" s="125">
        <f t="shared" si="98"/>
        <v>0.26</v>
      </c>
      <c r="W63" s="125">
        <f t="shared" si="98"/>
        <v>0.26</v>
      </c>
      <c r="X63" s="125">
        <f t="shared" si="98"/>
        <v>0.26</v>
      </c>
    </row>
    <row r="64" spans="1:25" outlineLevel="1">
      <c r="A64" s="116"/>
      <c r="B64" s="203" t="s">
        <v>522</v>
      </c>
      <c r="G64" s="411"/>
      <c r="I64" s="129">
        <f>I63*0.9</f>
        <v>0.28350000000000003</v>
      </c>
      <c r="J64" s="129">
        <f t="shared" ref="J64:K64" si="99">J63*0.9</f>
        <v>0.25424999999999998</v>
      </c>
      <c r="K64" s="417">
        <f t="shared" si="99"/>
        <v>0.23850000000000002</v>
      </c>
      <c r="L64" s="129">
        <f>L63*0.8</f>
        <v>0.20800000000000002</v>
      </c>
      <c r="M64" s="129">
        <f>M63*0.775</f>
        <v>0.20150000000000001</v>
      </c>
      <c r="N64" s="129">
        <f>N63*0.75</f>
        <v>0.19500000000000001</v>
      </c>
      <c r="O64" s="129">
        <f>O63*0.725</f>
        <v>0.1885</v>
      </c>
      <c r="P64" s="129">
        <f>P63*0.7</f>
        <v>0.182</v>
      </c>
      <c r="Q64" s="129">
        <f>Q63*0.695</f>
        <v>0.1807</v>
      </c>
      <c r="R64" s="129">
        <f>R63*0.6875</f>
        <v>0.17875000000000002</v>
      </c>
      <c r="S64" s="129">
        <f>S63*0.675</f>
        <v>0.17550000000000002</v>
      </c>
      <c r="T64" s="129">
        <f t="shared" ref="T64:X64" si="100">T63*0.675</f>
        <v>0.17550000000000002</v>
      </c>
      <c r="U64" s="129">
        <f t="shared" si="100"/>
        <v>0.17550000000000002</v>
      </c>
      <c r="V64" s="129">
        <f t="shared" si="100"/>
        <v>0.17550000000000002</v>
      </c>
      <c r="W64" s="129">
        <f t="shared" si="100"/>
        <v>0.17550000000000002</v>
      </c>
      <c r="X64" s="129">
        <f t="shared" si="100"/>
        <v>0.17550000000000002</v>
      </c>
    </row>
    <row r="65" spans="1:24" outlineLevel="1">
      <c r="A65" s="116"/>
      <c r="B65" s="116" t="s">
        <v>227</v>
      </c>
      <c r="G65" s="411"/>
      <c r="K65" s="125"/>
    </row>
    <row r="66" spans="1:24" outlineLevel="1">
      <c r="A66" s="116"/>
      <c r="B66" s="203" t="s">
        <v>811</v>
      </c>
      <c r="G66" s="411"/>
      <c r="I66" s="417">
        <f>I67*1.1</f>
        <v>4.7088039705882351E-2</v>
      </c>
      <c r="J66" s="417">
        <f t="shared" ref="J66:X66" si="101">J67*1.1</f>
        <v>5.1128497306451609E-2</v>
      </c>
      <c r="K66" s="417">
        <f t="shared" si="101"/>
        <v>5.1915089572704708E-2</v>
      </c>
      <c r="L66" s="417">
        <f t="shared" si="101"/>
        <v>5.7106598529975183E-2</v>
      </c>
      <c r="M66" s="417">
        <f t="shared" si="101"/>
        <v>5.3524764539337688E-2</v>
      </c>
      <c r="N66" s="417">
        <f t="shared" si="101"/>
        <v>5.43482224553275E-2</v>
      </c>
      <c r="O66" s="417">
        <f t="shared" si="101"/>
        <v>5.4624101757131185E-2</v>
      </c>
      <c r="P66" s="417">
        <f t="shared" si="101"/>
        <v>5.4901381461482102E-2</v>
      </c>
      <c r="Q66" s="417">
        <f t="shared" si="101"/>
        <v>5.518006867702261E-2</v>
      </c>
      <c r="R66" s="417">
        <f t="shared" si="101"/>
        <v>5.518006867702261E-2</v>
      </c>
      <c r="S66" s="417">
        <f t="shared" si="101"/>
        <v>5.518006867702261E-2</v>
      </c>
      <c r="T66" s="417">
        <f t="shared" si="101"/>
        <v>5.518006867702261E-2</v>
      </c>
      <c r="U66" s="417">
        <f t="shared" si="101"/>
        <v>5.518006867702261E-2</v>
      </c>
      <c r="V66" s="417">
        <f t="shared" si="101"/>
        <v>5.4902781899751139E-2</v>
      </c>
      <c r="W66" s="417">
        <f t="shared" si="101"/>
        <v>5.4626888523370491E-2</v>
      </c>
      <c r="X66" s="417">
        <f t="shared" si="101"/>
        <v>5.4352381545866107E-2</v>
      </c>
    </row>
    <row r="67" spans="1:24" outlineLevel="1">
      <c r="A67" s="116"/>
      <c r="B67" s="203" t="s">
        <v>500</v>
      </c>
      <c r="G67" s="411"/>
      <c r="I67" s="417">
        <v>4.2807308823529407E-2</v>
      </c>
      <c r="J67" s="417">
        <v>4.6480452096774184E-2</v>
      </c>
      <c r="K67" s="417">
        <v>4.7195535975186095E-2</v>
      </c>
      <c r="L67" s="417">
        <f>K67*1.1</f>
        <v>5.1915089572704708E-2</v>
      </c>
      <c r="M67" s="417">
        <v>4.865887685394335E-2</v>
      </c>
      <c r="N67" s="417">
        <v>4.9407474959388631E-2</v>
      </c>
      <c r="O67" s="417">
        <v>4.9658274324664707E-2</v>
      </c>
      <c r="P67" s="417">
        <v>4.9910346783165541E-2</v>
      </c>
      <c r="Q67" s="417">
        <v>5.016369879729328E-2</v>
      </c>
      <c r="R67" s="417">
        <v>5.016369879729328E-2</v>
      </c>
      <c r="S67" s="417">
        <v>5.016369879729328E-2</v>
      </c>
      <c r="T67" s="417">
        <v>5.016369879729328E-2</v>
      </c>
      <c r="U67" s="417">
        <v>5.016369879729328E-2</v>
      </c>
      <c r="V67" s="417">
        <v>4.9911619908864668E-2</v>
      </c>
      <c r="W67" s="417">
        <v>4.9660807748518623E-2</v>
      </c>
      <c r="X67" s="417">
        <v>4.9411255950787367E-2</v>
      </c>
    </row>
    <row r="68" spans="1:24" outlineLevel="1">
      <c r="A68" s="116"/>
      <c r="B68" s="203" t="s">
        <v>522</v>
      </c>
      <c r="G68" s="411"/>
      <c r="I68" s="125">
        <f>I67*0.9</f>
        <v>3.8526577941176469E-2</v>
      </c>
      <c r="J68" s="125">
        <f>J67*0.9</f>
        <v>4.1832406887096767E-2</v>
      </c>
      <c r="K68" s="417">
        <f>K67*0.75</f>
        <v>3.5396651981389568E-2</v>
      </c>
      <c r="L68" s="129">
        <f>L67*0.5</f>
        <v>2.5957544786352354E-2</v>
      </c>
      <c r="M68" s="129">
        <f>M67*0.25</f>
        <v>1.2164719213485838E-2</v>
      </c>
      <c r="N68" s="129">
        <f>N67*0.1</f>
        <v>4.9407474959388634E-3</v>
      </c>
      <c r="O68" s="129">
        <f t="shared" ref="O68:X68" si="102">O67*0.1</f>
        <v>4.9658274324664714E-3</v>
      </c>
      <c r="P68" s="129">
        <f t="shared" si="102"/>
        <v>4.9910346783165541E-3</v>
      </c>
      <c r="Q68" s="129">
        <f t="shared" si="102"/>
        <v>5.0163698797293281E-3</v>
      </c>
      <c r="R68" s="129">
        <f t="shared" si="102"/>
        <v>5.0163698797293281E-3</v>
      </c>
      <c r="S68" s="129">
        <f t="shared" si="102"/>
        <v>5.0163698797293281E-3</v>
      </c>
      <c r="T68" s="129">
        <f t="shared" si="102"/>
        <v>5.0163698797293281E-3</v>
      </c>
      <c r="U68" s="129">
        <f t="shared" si="102"/>
        <v>5.0163698797293281E-3</v>
      </c>
      <c r="V68" s="129">
        <f t="shared" si="102"/>
        <v>4.9911619908864675E-3</v>
      </c>
      <c r="W68" s="129">
        <f t="shared" si="102"/>
        <v>4.9660807748518627E-3</v>
      </c>
      <c r="X68" s="129">
        <f t="shared" si="102"/>
        <v>4.9411255950787374E-3</v>
      </c>
    </row>
    <row r="69" spans="1:24" outlineLevel="1">
      <c r="A69" s="116"/>
      <c r="B69" s="116" t="s">
        <v>809</v>
      </c>
      <c r="G69" s="411"/>
      <c r="K69" s="125"/>
    </row>
    <row r="70" spans="1:24" outlineLevel="1">
      <c r="A70" s="116"/>
      <c r="B70" s="203" t="s">
        <v>811</v>
      </c>
      <c r="G70" s="411"/>
      <c r="L70" s="125">
        <v>0</v>
      </c>
      <c r="M70" s="125">
        <f t="shared" ref="M70:X70" si="103">L70</f>
        <v>0</v>
      </c>
      <c r="N70" s="125">
        <f t="shared" si="103"/>
        <v>0</v>
      </c>
      <c r="O70" s="125">
        <f t="shared" si="103"/>
        <v>0</v>
      </c>
      <c r="P70" s="125">
        <f t="shared" si="103"/>
        <v>0</v>
      </c>
      <c r="Q70" s="125">
        <f t="shared" si="103"/>
        <v>0</v>
      </c>
      <c r="R70" s="125">
        <f t="shared" si="103"/>
        <v>0</v>
      </c>
      <c r="S70" s="125">
        <f t="shared" si="103"/>
        <v>0</v>
      </c>
      <c r="T70" s="125">
        <f t="shared" si="103"/>
        <v>0</v>
      </c>
      <c r="U70" s="125">
        <f t="shared" si="103"/>
        <v>0</v>
      </c>
      <c r="V70" s="125">
        <f t="shared" si="103"/>
        <v>0</v>
      </c>
      <c r="W70" s="125">
        <f t="shared" si="103"/>
        <v>0</v>
      </c>
      <c r="X70" s="125">
        <f t="shared" si="103"/>
        <v>0</v>
      </c>
    </row>
    <row r="71" spans="1:24" outlineLevel="1">
      <c r="A71" s="116"/>
      <c r="B71" s="203" t="s">
        <v>500</v>
      </c>
      <c r="G71" s="411"/>
      <c r="L71" s="125">
        <v>1.7532325224632918E-2</v>
      </c>
      <c r="M71" s="125">
        <v>3.5963744050529059E-2</v>
      </c>
      <c r="N71" s="125">
        <v>5.5328837000813945E-2</v>
      </c>
      <c r="O71" s="125">
        <v>7.5663366838719923E-2</v>
      </c>
      <c r="P71" s="125">
        <v>9.6019501064365395E-2</v>
      </c>
      <c r="Q71" s="125">
        <v>9.7481726968898882E-2</v>
      </c>
      <c r="R71" s="125">
        <v>9.8966220272993774E-2</v>
      </c>
      <c r="S71" s="125">
        <v>9.9965879063630081E-2</v>
      </c>
      <c r="T71" s="125">
        <v>0.10097563541780817</v>
      </c>
      <c r="U71" s="125">
        <v>0.10199559133111936</v>
      </c>
      <c r="V71" s="125">
        <v>0.1030258498294135</v>
      </c>
      <c r="W71" s="125">
        <v>0.10354356766775227</v>
      </c>
      <c r="X71" s="125">
        <v>0.10406388710326861</v>
      </c>
    </row>
    <row r="72" spans="1:24" outlineLevel="1">
      <c r="A72" s="116"/>
      <c r="B72" s="203" t="s">
        <v>522</v>
      </c>
      <c r="G72" s="411"/>
      <c r="L72" s="129">
        <v>0.05</v>
      </c>
      <c r="M72" s="129">
        <v>9.5000000000000001E-2</v>
      </c>
      <c r="N72" s="129">
        <v>0.17100000000000001</v>
      </c>
      <c r="O72" s="129">
        <v>0.25650000000000001</v>
      </c>
      <c r="P72" s="129">
        <v>0.33345000000000002</v>
      </c>
      <c r="Q72" s="129">
        <v>0.40014</v>
      </c>
      <c r="R72" s="129">
        <v>0.44015400000000005</v>
      </c>
      <c r="S72" s="129">
        <v>0.46216170000000006</v>
      </c>
      <c r="T72" s="129">
        <v>0.48526978500000006</v>
      </c>
      <c r="U72" s="129">
        <v>0.48526978500000006</v>
      </c>
      <c r="V72" s="129">
        <v>0.48526978500000006</v>
      </c>
      <c r="W72" s="129">
        <v>0.48526978500000006</v>
      </c>
      <c r="X72" s="129">
        <v>0.48526978500000006</v>
      </c>
    </row>
    <row r="73" spans="1:24" outlineLevel="1">
      <c r="A73" s="116"/>
      <c r="B73" s="116" t="s">
        <v>87</v>
      </c>
      <c r="G73" s="411"/>
      <c r="K73" s="129"/>
      <c r="L73" s="129"/>
      <c r="M73" s="129"/>
      <c r="N73" s="129"/>
      <c r="O73" s="129"/>
      <c r="P73" s="129"/>
      <c r="Q73" s="129"/>
      <c r="R73" s="129"/>
      <c r="S73" s="129"/>
      <c r="T73" s="129"/>
      <c r="U73" s="129"/>
      <c r="V73" s="129"/>
      <c r="W73" s="129"/>
      <c r="X73" s="129"/>
    </row>
    <row r="74" spans="1:24" outlineLevel="1">
      <c r="A74" s="116"/>
      <c r="B74" s="203" t="s">
        <v>811</v>
      </c>
      <c r="G74" s="411"/>
      <c r="I74" s="129">
        <f>I75</f>
        <v>0.41</v>
      </c>
      <c r="J74" s="129">
        <f>I74*0.95</f>
        <v>0.38949999999999996</v>
      </c>
      <c r="K74" s="129">
        <f t="shared" ref="K74" si="104">J74*0.95</f>
        <v>0.37002499999999994</v>
      </c>
      <c r="L74" s="129">
        <f>K74</f>
        <v>0.37002499999999994</v>
      </c>
      <c r="M74" s="129">
        <f t="shared" ref="M74:V74" si="105">L74</f>
        <v>0.37002499999999994</v>
      </c>
      <c r="N74" s="129">
        <f t="shared" si="105"/>
        <v>0.37002499999999994</v>
      </c>
      <c r="O74" s="129">
        <f t="shared" si="105"/>
        <v>0.37002499999999994</v>
      </c>
      <c r="P74" s="129">
        <f t="shared" si="105"/>
        <v>0.37002499999999994</v>
      </c>
      <c r="Q74" s="129">
        <f t="shared" si="105"/>
        <v>0.37002499999999994</v>
      </c>
      <c r="R74" s="129">
        <f t="shared" si="105"/>
        <v>0.37002499999999994</v>
      </c>
      <c r="S74" s="129">
        <f t="shared" si="105"/>
        <v>0.37002499999999994</v>
      </c>
      <c r="T74" s="129">
        <f t="shared" si="105"/>
        <v>0.37002499999999994</v>
      </c>
      <c r="U74" s="129">
        <f t="shared" si="105"/>
        <v>0.37002499999999994</v>
      </c>
      <c r="V74" s="129">
        <f t="shared" si="105"/>
        <v>0.37002499999999994</v>
      </c>
      <c r="W74" s="129">
        <f>V74*0.2</f>
        <v>7.4004999999999987E-2</v>
      </c>
      <c r="X74" s="129">
        <v>0</v>
      </c>
    </row>
    <row r="75" spans="1:24" outlineLevel="1">
      <c r="A75" s="116"/>
      <c r="B75" s="203" t="s">
        <v>500</v>
      </c>
      <c r="G75" s="411"/>
      <c r="I75" s="417">
        <v>0.41</v>
      </c>
      <c r="J75" s="417">
        <v>0.39500000000000002</v>
      </c>
      <c r="K75" s="417">
        <v>0.42</v>
      </c>
      <c r="L75" s="417">
        <f>K75*1.05</f>
        <v>0.441</v>
      </c>
      <c r="M75" s="417">
        <f t="shared" ref="M75:Q75" si="106">L75*0.975</f>
        <v>0.429975</v>
      </c>
      <c r="N75" s="417">
        <f t="shared" si="106"/>
        <v>0.41922562499999999</v>
      </c>
      <c r="O75" s="417">
        <f t="shared" si="106"/>
        <v>0.40874498437500001</v>
      </c>
      <c r="P75" s="417">
        <f t="shared" si="106"/>
        <v>0.398526359765625</v>
      </c>
      <c r="Q75" s="417">
        <f t="shared" si="106"/>
        <v>0.38856320077148437</v>
      </c>
      <c r="R75" s="417">
        <f>Q75</f>
        <v>0.38856320077148437</v>
      </c>
      <c r="S75" s="417">
        <f>R75*0.7</f>
        <v>0.27199424054003907</v>
      </c>
      <c r="T75" s="417">
        <f>S75*0.5</f>
        <v>0.13599712027001953</v>
      </c>
      <c r="U75" s="417">
        <f>T75*0.25</f>
        <v>3.3999280067504883E-2</v>
      </c>
      <c r="V75" s="417">
        <f>U75*0.2</f>
        <v>6.7998560135009772E-3</v>
      </c>
      <c r="W75" s="417">
        <f>V75*0.2</f>
        <v>1.3599712027001956E-3</v>
      </c>
      <c r="X75" s="417">
        <f>W75*0.2</f>
        <v>2.7199424054003912E-4</v>
      </c>
    </row>
    <row r="76" spans="1:24" outlineLevel="1">
      <c r="A76" s="116"/>
      <c r="B76" s="203" t="s">
        <v>522</v>
      </c>
      <c r="G76" s="411"/>
      <c r="I76" s="129">
        <v>0.39</v>
      </c>
      <c r="J76" s="129">
        <v>0.45</v>
      </c>
      <c r="K76" s="129">
        <v>0.54</v>
      </c>
      <c r="L76" s="129">
        <v>0.57999999999999996</v>
      </c>
      <c r="M76" s="129">
        <v>0.6</v>
      </c>
      <c r="N76" s="129">
        <f>M76</f>
        <v>0.6</v>
      </c>
      <c r="O76" s="129">
        <f t="shared" ref="O76:R76" si="107">N76</f>
        <v>0.6</v>
      </c>
      <c r="P76" s="129">
        <f t="shared" si="107"/>
        <v>0.6</v>
      </c>
      <c r="Q76" s="129">
        <f t="shared" si="107"/>
        <v>0.6</v>
      </c>
      <c r="R76" s="129">
        <f t="shared" si="107"/>
        <v>0.6</v>
      </c>
      <c r="S76" s="129">
        <f>S75*0.9</f>
        <v>0.24479481648603515</v>
      </c>
      <c r="T76" s="129">
        <f t="shared" ref="T76:X76" si="108">T75*0.9</f>
        <v>0.12239740824301758</v>
      </c>
      <c r="U76" s="129">
        <f t="shared" si="108"/>
        <v>3.0599352060754394E-2</v>
      </c>
      <c r="V76" s="129">
        <f t="shared" si="108"/>
        <v>6.1198704121508797E-3</v>
      </c>
      <c r="W76" s="129">
        <f t="shared" si="108"/>
        <v>1.223974082430176E-3</v>
      </c>
      <c r="X76" s="129">
        <f t="shared" si="108"/>
        <v>2.447948164860352E-4</v>
      </c>
    </row>
    <row r="78" spans="1:24">
      <c r="B78" s="216" t="s">
        <v>229</v>
      </c>
      <c r="C78" s="217"/>
      <c r="D78" s="217"/>
      <c r="E78" s="217"/>
      <c r="F78" s="217"/>
      <c r="G78" s="217"/>
      <c r="H78" s="217"/>
      <c r="I78" s="217"/>
      <c r="J78" s="217"/>
      <c r="K78" s="217"/>
      <c r="L78" s="217"/>
      <c r="M78" s="217"/>
      <c r="N78" s="217"/>
      <c r="O78" s="217"/>
      <c r="P78" s="217"/>
      <c r="Q78" s="217"/>
      <c r="R78" s="217"/>
      <c r="S78" s="217"/>
      <c r="T78" s="217"/>
      <c r="U78" s="217"/>
      <c r="V78" s="217"/>
      <c r="W78" s="217"/>
      <c r="X78" s="217"/>
    </row>
    <row r="80" spans="1:24">
      <c r="B80" s="219" t="s">
        <v>230</v>
      </c>
      <c r="C80" s="229">
        <v>0.56999999999999995</v>
      </c>
      <c r="D80" s="220">
        <f>C80</f>
        <v>0.56999999999999995</v>
      </c>
      <c r="E80" s="220">
        <f t="shared" ref="E80:N81" si="109">D80</f>
        <v>0.56999999999999995</v>
      </c>
      <c r="F80" s="220">
        <f t="shared" si="109"/>
        <v>0.56999999999999995</v>
      </c>
      <c r="G80" s="220">
        <f t="shared" si="109"/>
        <v>0.56999999999999995</v>
      </c>
      <c r="H80" s="220">
        <f t="shared" si="109"/>
        <v>0.56999999999999995</v>
      </c>
      <c r="I80" s="220">
        <f t="shared" si="109"/>
        <v>0.56999999999999995</v>
      </c>
      <c r="J80" s="220">
        <f t="shared" si="109"/>
        <v>0.56999999999999995</v>
      </c>
      <c r="K80" s="220">
        <f t="shared" si="109"/>
        <v>0.56999999999999995</v>
      </c>
      <c r="L80" s="220">
        <f t="shared" si="109"/>
        <v>0.56999999999999995</v>
      </c>
      <c r="M80" s="220">
        <f t="shared" si="109"/>
        <v>0.56999999999999995</v>
      </c>
      <c r="N80" s="220">
        <f t="shared" si="109"/>
        <v>0.56999999999999995</v>
      </c>
      <c r="O80" s="220">
        <f t="shared" ref="O80:O81" si="110">N80</f>
        <v>0.56999999999999995</v>
      </c>
      <c r="P80" s="220">
        <f t="shared" ref="P80:P81" si="111">O80</f>
        <v>0.56999999999999995</v>
      </c>
      <c r="Q80" s="220">
        <f t="shared" ref="Q80:Q81" si="112">P80</f>
        <v>0.56999999999999995</v>
      </c>
      <c r="R80" s="220">
        <f t="shared" ref="R80:R81" si="113">Q80</f>
        <v>0.56999999999999995</v>
      </c>
      <c r="S80" s="220">
        <f t="shared" ref="S80:S81" si="114">R80</f>
        <v>0.56999999999999995</v>
      </c>
      <c r="T80" s="220">
        <f t="shared" ref="T80:T81" si="115">S80</f>
        <v>0.56999999999999995</v>
      </c>
      <c r="U80" s="220">
        <f t="shared" ref="U80:U81" si="116">T80</f>
        <v>0.56999999999999995</v>
      </c>
      <c r="V80" s="220">
        <f t="shared" ref="V80:V81" si="117">U80</f>
        <v>0.56999999999999995</v>
      </c>
      <c r="W80" s="220">
        <f t="shared" ref="W80:W81" si="118">V80</f>
        <v>0.56999999999999995</v>
      </c>
      <c r="X80" s="220">
        <f t="shared" ref="X80:X81" si="119">W80</f>
        <v>0.56999999999999995</v>
      </c>
    </row>
    <row r="81" spans="1:24" s="119" customFormat="1" ht="12.75" hidden="1" customHeight="1" outlineLevel="1">
      <c r="A81" s="242"/>
      <c r="B81" s="206" t="s">
        <v>521</v>
      </c>
      <c r="C81" s="207"/>
      <c r="D81" s="207"/>
      <c r="E81" s="207"/>
      <c r="F81" s="207"/>
      <c r="G81" s="207"/>
      <c r="H81" s="207"/>
      <c r="I81" s="207">
        <v>0.12</v>
      </c>
      <c r="J81" s="207">
        <f t="shared" si="109"/>
        <v>0.12</v>
      </c>
      <c r="K81" s="207">
        <f t="shared" si="109"/>
        <v>0.12</v>
      </c>
      <c r="L81" s="207">
        <f t="shared" si="109"/>
        <v>0.12</v>
      </c>
      <c r="M81" s="207">
        <f t="shared" si="109"/>
        <v>0.12</v>
      </c>
      <c r="N81" s="207">
        <f>M81</f>
        <v>0.12</v>
      </c>
      <c r="O81" s="207">
        <f t="shared" si="110"/>
        <v>0.12</v>
      </c>
      <c r="P81" s="207">
        <f t="shared" si="111"/>
        <v>0.12</v>
      </c>
      <c r="Q81" s="207">
        <f t="shared" si="112"/>
        <v>0.12</v>
      </c>
      <c r="R81" s="207">
        <f t="shared" si="113"/>
        <v>0.12</v>
      </c>
      <c r="S81" s="207">
        <f t="shared" si="114"/>
        <v>0.12</v>
      </c>
      <c r="T81" s="207">
        <f t="shared" si="115"/>
        <v>0.12</v>
      </c>
      <c r="U81" s="207">
        <f t="shared" si="116"/>
        <v>0.12</v>
      </c>
      <c r="V81" s="207">
        <f t="shared" si="117"/>
        <v>0.12</v>
      </c>
      <c r="W81" s="207">
        <f t="shared" si="118"/>
        <v>0.12</v>
      </c>
      <c r="X81" s="207">
        <f t="shared" si="119"/>
        <v>0.12</v>
      </c>
    </row>
    <row r="82" spans="1:24" s="119" customFormat="1" ht="12.75" hidden="1" customHeight="1" outlineLevel="1">
      <c r="A82" s="242"/>
      <c r="B82" s="206" t="s">
        <v>500</v>
      </c>
      <c r="C82" s="207"/>
      <c r="D82" s="207"/>
      <c r="E82" s="207"/>
      <c r="F82" s="208"/>
      <c r="G82" s="223"/>
      <c r="H82" s="223"/>
      <c r="I82" s="223">
        <v>0.10249999999999999</v>
      </c>
      <c r="J82" s="223">
        <f t="shared" ref="J82:K82" si="120">I82*0.975</f>
        <v>9.9937499999999999E-2</v>
      </c>
      <c r="K82" s="223">
        <f t="shared" si="120"/>
        <v>9.7439062499999993E-2</v>
      </c>
      <c r="L82" s="223">
        <f>K82*0.8</f>
        <v>7.795125E-2</v>
      </c>
      <c r="M82" s="223">
        <f t="shared" ref="M82:X82" si="121">L82*0.8</f>
        <v>6.2361E-2</v>
      </c>
      <c r="N82" s="223">
        <f t="shared" si="121"/>
        <v>4.9888800000000004E-2</v>
      </c>
      <c r="O82" s="223">
        <f t="shared" si="121"/>
        <v>3.9911040000000009E-2</v>
      </c>
      <c r="P82" s="223">
        <f t="shared" si="121"/>
        <v>3.1928832000000011E-2</v>
      </c>
      <c r="Q82" s="223">
        <f t="shared" si="121"/>
        <v>2.5543065600000012E-2</v>
      </c>
      <c r="R82" s="223">
        <f t="shared" si="121"/>
        <v>2.0434452480000011E-2</v>
      </c>
      <c r="S82" s="223">
        <f t="shared" si="121"/>
        <v>1.634756198400001E-2</v>
      </c>
      <c r="T82" s="223">
        <f t="shared" si="121"/>
        <v>1.3078049587200009E-2</v>
      </c>
      <c r="U82" s="223">
        <f t="shared" si="121"/>
        <v>1.0462439669760008E-2</v>
      </c>
      <c r="V82" s="223">
        <f t="shared" si="121"/>
        <v>8.369951735808007E-3</v>
      </c>
      <c r="W82" s="223">
        <f t="shared" si="121"/>
        <v>6.6959613886464061E-3</v>
      </c>
      <c r="X82" s="223">
        <f t="shared" si="121"/>
        <v>5.3567691109171253E-3</v>
      </c>
    </row>
    <row r="83" spans="1:24" s="119" customFormat="1" ht="12.75" hidden="1" customHeight="1" outlineLevel="1">
      <c r="A83" s="242"/>
      <c r="B83" s="206" t="s">
        <v>522</v>
      </c>
      <c r="C83" s="207"/>
      <c r="D83" s="207"/>
      <c r="E83" s="207"/>
      <c r="F83" s="207"/>
      <c r="G83" s="207"/>
      <c r="H83" s="207"/>
      <c r="I83" s="207">
        <f>I82*0.95</f>
        <v>9.7374999999999989E-2</v>
      </c>
      <c r="J83" s="207">
        <f t="shared" ref="J83:M83" si="122">I83*0.95</f>
        <v>9.2506249999999984E-2</v>
      </c>
      <c r="K83" s="207">
        <f t="shared" si="122"/>
        <v>8.7880937499999978E-2</v>
      </c>
      <c r="L83" s="207">
        <f t="shared" si="122"/>
        <v>8.3486890624999976E-2</v>
      </c>
      <c r="M83" s="207">
        <f t="shared" si="122"/>
        <v>7.9312546093749978E-2</v>
      </c>
      <c r="N83" s="207">
        <f>M83*0.95</f>
        <v>7.5346918789062481E-2</v>
      </c>
      <c r="O83" s="207">
        <f t="shared" ref="O83:X83" si="123">N83*0.95</f>
        <v>7.1579572849609349E-2</v>
      </c>
      <c r="P83" s="207">
        <f t="shared" si="123"/>
        <v>6.8000594207128881E-2</v>
      </c>
      <c r="Q83" s="207">
        <f t="shared" si="123"/>
        <v>6.4600564496772428E-2</v>
      </c>
      <c r="R83" s="207">
        <f t="shared" si="123"/>
        <v>6.1370536271933805E-2</v>
      </c>
      <c r="S83" s="207">
        <f t="shared" si="123"/>
        <v>5.8302009458337113E-2</v>
      </c>
      <c r="T83" s="207">
        <f t="shared" si="123"/>
        <v>5.5386908985420258E-2</v>
      </c>
      <c r="U83" s="207">
        <f t="shared" si="123"/>
        <v>5.2617563536149242E-2</v>
      </c>
      <c r="V83" s="207">
        <f t="shared" si="123"/>
        <v>4.9986685359341775E-2</v>
      </c>
      <c r="W83" s="207">
        <f t="shared" si="123"/>
        <v>4.7487351091374683E-2</v>
      </c>
      <c r="X83" s="207">
        <f t="shared" si="123"/>
        <v>4.5112983536805949E-2</v>
      </c>
    </row>
    <row r="84" spans="1:24" collapsed="1">
      <c r="A84" s="243" t="s">
        <v>523</v>
      </c>
      <c r="B84" s="211" t="s">
        <v>227</v>
      </c>
      <c r="C84" s="223">
        <f>C80*0.55</f>
        <v>0.3135</v>
      </c>
      <c r="D84" s="223">
        <f>D80*0.45</f>
        <v>0.25650000000000001</v>
      </c>
      <c r="E84" s="223">
        <f>E80*0.4</f>
        <v>0.22799999999999998</v>
      </c>
      <c r="F84" s="230">
        <f>E84-1%</f>
        <v>0.21799999999999997</v>
      </c>
      <c r="G84" s="207">
        <f>F84-10%</f>
        <v>0.11799999999999997</v>
      </c>
      <c r="H84" s="207">
        <f>G84*1.01</f>
        <v>0.11917999999999997</v>
      </c>
      <c r="I84" s="224">
        <f t="shared" ref="I84:X84" si="124">CHOOSE($E$1,I81,I82,I83)</f>
        <v>0.10249999999999999</v>
      </c>
      <c r="J84" s="224">
        <f t="shared" si="124"/>
        <v>9.9937499999999999E-2</v>
      </c>
      <c r="K84" s="224">
        <f t="shared" si="124"/>
        <v>9.7439062499999993E-2</v>
      </c>
      <c r="L84" s="224">
        <f t="shared" si="124"/>
        <v>7.795125E-2</v>
      </c>
      <c r="M84" s="224">
        <f t="shared" si="124"/>
        <v>6.2361E-2</v>
      </c>
      <c r="N84" s="224">
        <f t="shared" si="124"/>
        <v>4.9888800000000004E-2</v>
      </c>
      <c r="O84" s="224">
        <f t="shared" si="124"/>
        <v>3.9911040000000009E-2</v>
      </c>
      <c r="P84" s="224">
        <f t="shared" si="124"/>
        <v>3.1928832000000011E-2</v>
      </c>
      <c r="Q84" s="224">
        <f t="shared" si="124"/>
        <v>2.5543065600000012E-2</v>
      </c>
      <c r="R84" s="224">
        <f t="shared" si="124"/>
        <v>2.0434452480000011E-2</v>
      </c>
      <c r="S84" s="224">
        <f t="shared" si="124"/>
        <v>1.634756198400001E-2</v>
      </c>
      <c r="T84" s="224">
        <f t="shared" si="124"/>
        <v>1.3078049587200009E-2</v>
      </c>
      <c r="U84" s="224">
        <f t="shared" si="124"/>
        <v>1.0462439669760008E-2</v>
      </c>
      <c r="V84" s="224">
        <f t="shared" si="124"/>
        <v>8.369951735808007E-3</v>
      </c>
      <c r="W84" s="224">
        <f t="shared" si="124"/>
        <v>6.6959613886464061E-3</v>
      </c>
      <c r="X84" s="224">
        <f t="shared" si="124"/>
        <v>5.3567691109171253E-3</v>
      </c>
    </row>
    <row r="85" spans="1:24" s="119" customFormat="1" ht="12.75" hidden="1" customHeight="1" outlineLevel="1">
      <c r="A85" s="242"/>
      <c r="B85" s="206" t="s">
        <v>521</v>
      </c>
      <c r="C85" s="207"/>
      <c r="D85" s="207"/>
      <c r="E85" s="207"/>
      <c r="F85" s="207"/>
      <c r="G85" s="207"/>
      <c r="H85" s="207">
        <f>G88*1.1</f>
        <v>1.1770000000000001E-2</v>
      </c>
      <c r="I85" s="207">
        <f>I86*1.2</f>
        <v>2.4E-2</v>
      </c>
      <c r="J85" s="207">
        <f t="shared" ref="J85:X85" si="125">J86*1.2</f>
        <v>4.8000000000000001E-2</v>
      </c>
      <c r="K85" s="207">
        <f t="shared" si="125"/>
        <v>7.1999999999999995E-2</v>
      </c>
      <c r="L85" s="207">
        <f t="shared" si="125"/>
        <v>8.4000000000000005E-2</v>
      </c>
      <c r="M85" s="207">
        <f t="shared" si="125"/>
        <v>8.4000000000000005E-2</v>
      </c>
      <c r="N85" s="207">
        <f t="shared" si="125"/>
        <v>8.4000000000000005E-2</v>
      </c>
      <c r="O85" s="207">
        <f t="shared" si="125"/>
        <v>8.4000000000000005E-2</v>
      </c>
      <c r="P85" s="207">
        <f t="shared" si="125"/>
        <v>8.4000000000000005E-2</v>
      </c>
      <c r="Q85" s="207">
        <f t="shared" si="125"/>
        <v>8.4000000000000005E-2</v>
      </c>
      <c r="R85" s="207">
        <f t="shared" si="125"/>
        <v>8.4000000000000005E-2</v>
      </c>
      <c r="S85" s="207">
        <f t="shared" si="125"/>
        <v>8.4000000000000005E-2</v>
      </c>
      <c r="T85" s="207">
        <f t="shared" si="125"/>
        <v>8.4000000000000005E-2</v>
      </c>
      <c r="U85" s="207">
        <f t="shared" si="125"/>
        <v>8.4000000000000005E-2</v>
      </c>
      <c r="V85" s="207">
        <f t="shared" si="125"/>
        <v>8.4000000000000005E-2</v>
      </c>
      <c r="W85" s="207">
        <f t="shared" si="125"/>
        <v>8.4000000000000005E-2</v>
      </c>
      <c r="X85" s="207">
        <f t="shared" si="125"/>
        <v>8.4000000000000005E-2</v>
      </c>
    </row>
    <row r="86" spans="1:24" s="119" customFormat="1" ht="12.75" hidden="1" customHeight="1" outlineLevel="1">
      <c r="A86" s="242"/>
      <c r="B86" s="206" t="s">
        <v>500</v>
      </c>
      <c r="C86" s="207"/>
      <c r="D86" s="207"/>
      <c r="E86" s="207"/>
      <c r="F86" s="208"/>
      <c r="G86" s="223"/>
      <c r="H86" s="223">
        <f>G88*1.05</f>
        <v>1.1235E-2</v>
      </c>
      <c r="I86" s="223">
        <v>0.02</v>
      </c>
      <c r="J86" s="223">
        <v>0.04</v>
      </c>
      <c r="K86" s="223">
        <v>0.06</v>
      </c>
      <c r="L86" s="223">
        <v>7.0000000000000007E-2</v>
      </c>
      <c r="M86" s="223">
        <f>L86</f>
        <v>7.0000000000000007E-2</v>
      </c>
      <c r="N86" s="223">
        <f t="shared" ref="N86:X86" si="126">M86</f>
        <v>7.0000000000000007E-2</v>
      </c>
      <c r="O86" s="223">
        <f t="shared" si="126"/>
        <v>7.0000000000000007E-2</v>
      </c>
      <c r="P86" s="223">
        <f t="shared" si="126"/>
        <v>7.0000000000000007E-2</v>
      </c>
      <c r="Q86" s="223">
        <f t="shared" si="126"/>
        <v>7.0000000000000007E-2</v>
      </c>
      <c r="R86" s="223">
        <f t="shared" si="126"/>
        <v>7.0000000000000007E-2</v>
      </c>
      <c r="S86" s="223">
        <f t="shared" si="126"/>
        <v>7.0000000000000007E-2</v>
      </c>
      <c r="T86" s="223">
        <f t="shared" si="126"/>
        <v>7.0000000000000007E-2</v>
      </c>
      <c r="U86" s="223">
        <f t="shared" si="126"/>
        <v>7.0000000000000007E-2</v>
      </c>
      <c r="V86" s="223">
        <f t="shared" si="126"/>
        <v>7.0000000000000007E-2</v>
      </c>
      <c r="W86" s="223">
        <f t="shared" si="126"/>
        <v>7.0000000000000007E-2</v>
      </c>
      <c r="X86" s="223">
        <f t="shared" si="126"/>
        <v>7.0000000000000007E-2</v>
      </c>
    </row>
    <row r="87" spans="1:24" s="119" customFormat="1" ht="12.75" hidden="1" customHeight="1" outlineLevel="1">
      <c r="A87" s="242"/>
      <c r="B87" s="206" t="s">
        <v>522</v>
      </c>
      <c r="C87" s="207"/>
      <c r="D87" s="207"/>
      <c r="E87" s="207"/>
      <c r="F87" s="207"/>
      <c r="G87" s="207"/>
      <c r="H87" s="207">
        <f>G88*1.02</f>
        <v>1.0914E-2</v>
      </c>
      <c r="I87" s="207">
        <f t="shared" ref="I87:N87" si="127">H87*1.02</f>
        <v>1.113228E-2</v>
      </c>
      <c r="J87" s="207">
        <f t="shared" si="127"/>
        <v>1.1354925599999999E-2</v>
      </c>
      <c r="K87" s="207">
        <f t="shared" si="127"/>
        <v>1.1582024111999999E-2</v>
      </c>
      <c r="L87" s="207">
        <f t="shared" si="127"/>
        <v>1.1813664594239999E-2</v>
      </c>
      <c r="M87" s="207">
        <f t="shared" si="127"/>
        <v>1.2049937886124799E-2</v>
      </c>
      <c r="N87" s="207">
        <f t="shared" si="127"/>
        <v>1.2290936643847295E-2</v>
      </c>
      <c r="O87" s="207">
        <f t="shared" ref="O87" si="128">N87*1.02</f>
        <v>1.2536755376724242E-2</v>
      </c>
      <c r="P87" s="207">
        <f t="shared" ref="P87" si="129">O87*1.02</f>
        <v>1.2787490484258727E-2</v>
      </c>
      <c r="Q87" s="207">
        <f t="shared" ref="Q87" si="130">P87*1.02</f>
        <v>1.3043240293943902E-2</v>
      </c>
      <c r="R87" s="207">
        <f t="shared" ref="R87" si="131">Q87*1.02</f>
        <v>1.330410509982278E-2</v>
      </c>
      <c r="S87" s="207">
        <f t="shared" ref="S87" si="132">R87*1.02</f>
        <v>1.3570187201819236E-2</v>
      </c>
      <c r="T87" s="207">
        <f t="shared" ref="T87" si="133">S87*1.02</f>
        <v>1.384159094585562E-2</v>
      </c>
      <c r="U87" s="207">
        <f t="shared" ref="U87" si="134">T87*1.02</f>
        <v>1.4118422764772733E-2</v>
      </c>
      <c r="V87" s="207">
        <f t="shared" ref="V87" si="135">U87*1.02</f>
        <v>1.4400791220068189E-2</v>
      </c>
      <c r="W87" s="207">
        <f t="shared" ref="W87" si="136">V87*1.02</f>
        <v>1.4688807044469553E-2</v>
      </c>
      <c r="X87" s="207">
        <f t="shared" ref="X87" si="137">W87*1.02</f>
        <v>1.4982583185358944E-2</v>
      </c>
    </row>
    <row r="88" spans="1:24" collapsed="1">
      <c r="A88" s="243" t="s">
        <v>523</v>
      </c>
      <c r="B88" s="211" t="s">
        <v>87</v>
      </c>
      <c r="C88" s="207"/>
      <c r="D88" s="228"/>
      <c r="E88" s="228"/>
      <c r="F88" s="228"/>
      <c r="G88" s="207">
        <v>1.0699999999999999E-2</v>
      </c>
      <c r="H88" s="224">
        <f t="shared" ref="H88:X88" si="138">CHOOSE($E$1,H85,H86,H87)</f>
        <v>1.1235E-2</v>
      </c>
      <c r="I88" s="224">
        <f t="shared" si="138"/>
        <v>0.02</v>
      </c>
      <c r="J88" s="224">
        <f t="shared" si="138"/>
        <v>0.04</v>
      </c>
      <c r="K88" s="224">
        <f t="shared" si="138"/>
        <v>0.06</v>
      </c>
      <c r="L88" s="224">
        <f t="shared" si="138"/>
        <v>7.0000000000000007E-2</v>
      </c>
      <c r="M88" s="224">
        <f t="shared" si="138"/>
        <v>7.0000000000000007E-2</v>
      </c>
      <c r="N88" s="224">
        <f t="shared" si="138"/>
        <v>7.0000000000000007E-2</v>
      </c>
      <c r="O88" s="224">
        <f t="shared" si="138"/>
        <v>7.0000000000000007E-2</v>
      </c>
      <c r="P88" s="224">
        <f t="shared" si="138"/>
        <v>7.0000000000000007E-2</v>
      </c>
      <c r="Q88" s="224">
        <f t="shared" si="138"/>
        <v>7.0000000000000007E-2</v>
      </c>
      <c r="R88" s="224">
        <f t="shared" si="138"/>
        <v>7.0000000000000007E-2</v>
      </c>
      <c r="S88" s="224">
        <f t="shared" si="138"/>
        <v>7.0000000000000007E-2</v>
      </c>
      <c r="T88" s="224">
        <f t="shared" si="138"/>
        <v>7.0000000000000007E-2</v>
      </c>
      <c r="U88" s="224">
        <f t="shared" si="138"/>
        <v>7.0000000000000007E-2</v>
      </c>
      <c r="V88" s="224">
        <f t="shared" si="138"/>
        <v>7.0000000000000007E-2</v>
      </c>
      <c r="W88" s="224">
        <f t="shared" si="138"/>
        <v>7.0000000000000007E-2</v>
      </c>
      <c r="X88" s="224">
        <f t="shared" si="138"/>
        <v>7.0000000000000007E-2</v>
      </c>
    </row>
    <row r="89" spans="1:24" s="119" customFormat="1" ht="12.75" hidden="1" customHeight="1" outlineLevel="1">
      <c r="A89" s="242"/>
      <c r="B89" s="206" t="s">
        <v>521</v>
      </c>
      <c r="C89" s="207"/>
      <c r="D89" s="207"/>
      <c r="E89" s="207"/>
      <c r="F89" s="207"/>
      <c r="G89" s="207"/>
      <c r="H89" s="207"/>
      <c r="I89" s="207"/>
      <c r="J89" s="207">
        <f>J90*1.1</f>
        <v>8.2500000000000004E-3</v>
      </c>
      <c r="K89" s="207">
        <f>K90*1.1</f>
        <v>3.5062500000000003E-2</v>
      </c>
      <c r="L89" s="207">
        <f>L90*1.1</f>
        <v>0</v>
      </c>
      <c r="M89" s="207">
        <f>M90*1.1</f>
        <v>0</v>
      </c>
      <c r="N89" s="207">
        <f>N90*1.1</f>
        <v>0</v>
      </c>
      <c r="O89" s="207">
        <f t="shared" ref="O89:X89" si="139">O90*1.1</f>
        <v>0</v>
      </c>
      <c r="P89" s="207">
        <f t="shared" si="139"/>
        <v>0</v>
      </c>
      <c r="Q89" s="207">
        <f t="shared" si="139"/>
        <v>0</v>
      </c>
      <c r="R89" s="207">
        <f t="shared" si="139"/>
        <v>0</v>
      </c>
      <c r="S89" s="207">
        <f t="shared" si="139"/>
        <v>0</v>
      </c>
      <c r="T89" s="207">
        <f t="shared" si="139"/>
        <v>0</v>
      </c>
      <c r="U89" s="207">
        <f t="shared" si="139"/>
        <v>0</v>
      </c>
      <c r="V89" s="207">
        <f t="shared" si="139"/>
        <v>0</v>
      </c>
      <c r="W89" s="207">
        <f t="shared" si="139"/>
        <v>0</v>
      </c>
      <c r="X89" s="207">
        <f t="shared" si="139"/>
        <v>0</v>
      </c>
    </row>
    <row r="90" spans="1:24" s="119" customFormat="1" ht="12.75" hidden="1" customHeight="1" outlineLevel="1">
      <c r="A90" s="242"/>
      <c r="B90" s="206" t="s">
        <v>500</v>
      </c>
      <c r="C90" s="207"/>
      <c r="D90" s="207"/>
      <c r="E90" s="207"/>
      <c r="F90" s="208"/>
      <c r="G90" s="223"/>
      <c r="H90" s="223"/>
      <c r="I90" s="223"/>
      <c r="J90" s="223">
        <v>7.4999999999999997E-3</v>
      </c>
      <c r="K90" s="223">
        <f>J90*4.25</f>
        <v>3.1875000000000001E-2</v>
      </c>
      <c r="L90" s="223">
        <v>0</v>
      </c>
      <c r="M90" s="223">
        <f>L90*1.4</f>
        <v>0</v>
      </c>
      <c r="N90" s="223">
        <f>M90*1.1</f>
        <v>0</v>
      </c>
      <c r="O90" s="223">
        <f t="shared" ref="O90:X90" si="140">N90</f>
        <v>0</v>
      </c>
      <c r="P90" s="223">
        <f t="shared" si="140"/>
        <v>0</v>
      </c>
      <c r="Q90" s="223">
        <f t="shared" si="140"/>
        <v>0</v>
      </c>
      <c r="R90" s="223">
        <f t="shared" si="140"/>
        <v>0</v>
      </c>
      <c r="S90" s="223">
        <f t="shared" si="140"/>
        <v>0</v>
      </c>
      <c r="T90" s="223">
        <f t="shared" si="140"/>
        <v>0</v>
      </c>
      <c r="U90" s="223">
        <f t="shared" si="140"/>
        <v>0</v>
      </c>
      <c r="V90" s="223">
        <f t="shared" si="140"/>
        <v>0</v>
      </c>
      <c r="W90" s="223">
        <f t="shared" si="140"/>
        <v>0</v>
      </c>
      <c r="X90" s="223">
        <f t="shared" si="140"/>
        <v>0</v>
      </c>
    </row>
    <row r="91" spans="1:24" s="119" customFormat="1" ht="12.75" hidden="1" customHeight="1" outlineLevel="1">
      <c r="A91" s="242"/>
      <c r="B91" s="206" t="s">
        <v>522</v>
      </c>
      <c r="C91" s="207"/>
      <c r="D91" s="207"/>
      <c r="E91" s="207"/>
      <c r="F91" s="207"/>
      <c r="G91" s="207"/>
      <c r="H91" s="207"/>
      <c r="I91" s="207"/>
      <c r="J91" s="207">
        <f>J90*0.9</f>
        <v>6.7499999999999999E-3</v>
      </c>
      <c r="K91" s="207">
        <f>K90*0.9</f>
        <v>2.8687500000000001E-2</v>
      </c>
      <c r="L91" s="207">
        <f>L90*0.9</f>
        <v>0</v>
      </c>
      <c r="M91" s="207">
        <f>M90*0.9</f>
        <v>0</v>
      </c>
      <c r="N91" s="207">
        <f>N90*0.9</f>
        <v>0</v>
      </c>
      <c r="O91" s="207">
        <f t="shared" ref="O91:X91" si="141">O90*0.9</f>
        <v>0</v>
      </c>
      <c r="P91" s="207">
        <f t="shared" si="141"/>
        <v>0</v>
      </c>
      <c r="Q91" s="207">
        <f t="shared" si="141"/>
        <v>0</v>
      </c>
      <c r="R91" s="207">
        <f t="shared" si="141"/>
        <v>0</v>
      </c>
      <c r="S91" s="207">
        <f t="shared" si="141"/>
        <v>0</v>
      </c>
      <c r="T91" s="207">
        <f t="shared" si="141"/>
        <v>0</v>
      </c>
      <c r="U91" s="207">
        <f t="shared" si="141"/>
        <v>0</v>
      </c>
      <c r="V91" s="207">
        <f t="shared" si="141"/>
        <v>0</v>
      </c>
      <c r="W91" s="207">
        <f t="shared" si="141"/>
        <v>0</v>
      </c>
      <c r="X91" s="207">
        <f t="shared" si="141"/>
        <v>0</v>
      </c>
    </row>
    <row r="92" spans="1:24" collapsed="1">
      <c r="A92" s="243" t="s">
        <v>523</v>
      </c>
      <c r="B92" s="211" t="s">
        <v>559</v>
      </c>
      <c r="C92" s="207"/>
      <c r="D92" s="228"/>
      <c r="E92" s="228"/>
      <c r="F92" s="228"/>
      <c r="G92" s="207"/>
      <c r="H92" s="224"/>
      <c r="I92" s="224"/>
      <c r="J92" s="224">
        <f>CHOOSE($E$1,J89,J90,J91)</f>
        <v>7.4999999999999997E-3</v>
      </c>
      <c r="K92" s="224">
        <f>CHOOSE($E$1,K89,K90,K91)</f>
        <v>3.1875000000000001E-2</v>
      </c>
      <c r="L92" s="224">
        <f>CHOOSE($E$1,L89,L90,L91)</f>
        <v>0</v>
      </c>
      <c r="M92" s="224">
        <f>CHOOSE($E$1,M89,M90,M91)</f>
        <v>0</v>
      </c>
      <c r="N92" s="224">
        <f>CHOOSE($E$1,N89,N90,N91)</f>
        <v>0</v>
      </c>
      <c r="O92" s="224">
        <f t="shared" ref="O92:X92" si="142">CHOOSE($E$1,O89,O90,O91)</f>
        <v>0</v>
      </c>
      <c r="P92" s="224">
        <f t="shared" si="142"/>
        <v>0</v>
      </c>
      <c r="Q92" s="224">
        <f t="shared" si="142"/>
        <v>0</v>
      </c>
      <c r="R92" s="224">
        <f t="shared" si="142"/>
        <v>0</v>
      </c>
      <c r="S92" s="224">
        <f t="shared" si="142"/>
        <v>0</v>
      </c>
      <c r="T92" s="224">
        <f t="shared" si="142"/>
        <v>0</v>
      </c>
      <c r="U92" s="224">
        <f t="shared" si="142"/>
        <v>0</v>
      </c>
      <c r="V92" s="224">
        <f t="shared" si="142"/>
        <v>0</v>
      </c>
      <c r="W92" s="224">
        <f t="shared" si="142"/>
        <v>0</v>
      </c>
      <c r="X92" s="224">
        <f t="shared" si="142"/>
        <v>0</v>
      </c>
    </row>
    <row r="93" spans="1:24" hidden="1" outlineLevel="1">
      <c r="A93" s="416"/>
      <c r="B93" s="206" t="s">
        <v>521</v>
      </c>
      <c r="C93" s="208"/>
      <c r="D93" s="208"/>
      <c r="E93" s="208"/>
      <c r="F93" s="208"/>
      <c r="G93" s="208"/>
      <c r="H93" s="231"/>
      <c r="I93" s="223"/>
      <c r="J93" s="223"/>
      <c r="K93" s="223">
        <v>0.05</v>
      </c>
      <c r="L93" s="223">
        <f>K93*1.75</f>
        <v>8.7500000000000008E-2</v>
      </c>
      <c r="M93" s="223">
        <f>L93*1.5</f>
        <v>0.13125000000000001</v>
      </c>
      <c r="N93" s="223">
        <f>M93*1.35</f>
        <v>0.17718750000000003</v>
      </c>
      <c r="O93" s="223">
        <f>N93*1.2</f>
        <v>0.21262500000000004</v>
      </c>
      <c r="P93" s="223">
        <f>P78*0.4</f>
        <v>0</v>
      </c>
      <c r="Q93" s="223">
        <f>P93</f>
        <v>0</v>
      </c>
      <c r="R93" s="223">
        <f t="shared" ref="R93:X94" si="143">Q93</f>
        <v>0</v>
      </c>
      <c r="S93" s="223">
        <f t="shared" si="143"/>
        <v>0</v>
      </c>
      <c r="T93" s="223">
        <f t="shared" si="143"/>
        <v>0</v>
      </c>
      <c r="U93" s="223">
        <f t="shared" si="143"/>
        <v>0</v>
      </c>
      <c r="V93" s="223">
        <f t="shared" si="143"/>
        <v>0</v>
      </c>
      <c r="W93" s="223">
        <f t="shared" si="143"/>
        <v>0</v>
      </c>
      <c r="X93" s="223">
        <f t="shared" si="143"/>
        <v>0</v>
      </c>
    </row>
    <row r="94" spans="1:24" hidden="1" outlineLevel="1">
      <c r="A94" s="416"/>
      <c r="B94" s="206" t="s">
        <v>500</v>
      </c>
      <c r="C94" s="208"/>
      <c r="D94" s="208"/>
      <c r="E94" s="208"/>
      <c r="F94" s="208"/>
      <c r="G94" s="208"/>
      <c r="H94" s="231"/>
      <c r="I94" s="223"/>
      <c r="J94" s="223"/>
      <c r="K94" s="223">
        <v>0.03</v>
      </c>
      <c r="L94" s="223">
        <v>7.4999999999999997E-2</v>
      </c>
      <c r="M94" s="223">
        <f>L94*1.5</f>
        <v>0.11249999999999999</v>
      </c>
      <c r="N94" s="223">
        <f>M94*1.3</f>
        <v>0.14624999999999999</v>
      </c>
      <c r="O94" s="223">
        <f>N94*1.2</f>
        <v>0.17549999999999999</v>
      </c>
      <c r="P94" s="223">
        <f>P80*0.65</f>
        <v>0.3705</v>
      </c>
      <c r="Q94" s="223">
        <f>P94</f>
        <v>0.3705</v>
      </c>
      <c r="R94" s="223">
        <f t="shared" si="143"/>
        <v>0.3705</v>
      </c>
      <c r="S94" s="223">
        <f t="shared" si="143"/>
        <v>0.3705</v>
      </c>
      <c r="T94" s="223">
        <f t="shared" si="143"/>
        <v>0.3705</v>
      </c>
      <c r="U94" s="223">
        <f t="shared" si="143"/>
        <v>0.3705</v>
      </c>
      <c r="V94" s="223">
        <f t="shared" si="143"/>
        <v>0.3705</v>
      </c>
      <c r="W94" s="223">
        <f t="shared" si="143"/>
        <v>0.3705</v>
      </c>
      <c r="X94" s="223">
        <f t="shared" si="143"/>
        <v>0.3705</v>
      </c>
    </row>
    <row r="95" spans="1:24" hidden="1" outlineLevel="1">
      <c r="A95" s="416"/>
      <c r="B95" s="206" t="s">
        <v>522</v>
      </c>
      <c r="C95" s="208"/>
      <c r="D95" s="208"/>
      <c r="E95" s="208"/>
      <c r="F95" s="208"/>
      <c r="G95" s="208"/>
      <c r="H95" s="231"/>
      <c r="I95" s="223"/>
      <c r="J95" s="223"/>
      <c r="K95" s="223">
        <f>K94*1.1</f>
        <v>3.3000000000000002E-2</v>
      </c>
      <c r="L95" s="223">
        <f t="shared" ref="L95" si="144">L94*1.1</f>
        <v>8.2500000000000004E-2</v>
      </c>
      <c r="M95" s="223">
        <f>M94*1.2</f>
        <v>0.13499999999999998</v>
      </c>
      <c r="N95" s="223">
        <f>N94*1.25</f>
        <v>0.18281249999999999</v>
      </c>
      <c r="O95" s="223">
        <f t="shared" ref="O95:X95" si="145">O94*1.25</f>
        <v>0.21937499999999999</v>
      </c>
      <c r="P95" s="223">
        <f t="shared" si="145"/>
        <v>0.46312500000000001</v>
      </c>
      <c r="Q95" s="223">
        <f t="shared" si="145"/>
        <v>0.46312500000000001</v>
      </c>
      <c r="R95" s="223">
        <f t="shared" si="145"/>
        <v>0.46312500000000001</v>
      </c>
      <c r="S95" s="223">
        <f t="shared" si="145"/>
        <v>0.46312500000000001</v>
      </c>
      <c r="T95" s="223">
        <f t="shared" si="145"/>
        <v>0.46312500000000001</v>
      </c>
      <c r="U95" s="223">
        <f t="shared" si="145"/>
        <v>0.46312500000000001</v>
      </c>
      <c r="V95" s="223">
        <f t="shared" si="145"/>
        <v>0.46312500000000001</v>
      </c>
      <c r="W95" s="223">
        <f t="shared" si="145"/>
        <v>0.46312500000000001</v>
      </c>
      <c r="X95" s="223">
        <f t="shared" si="145"/>
        <v>0.46312500000000001</v>
      </c>
    </row>
    <row r="96" spans="1:24" collapsed="1">
      <c r="A96" s="210" t="s">
        <v>523</v>
      </c>
      <c r="B96" s="211" t="s">
        <v>809</v>
      </c>
      <c r="C96" s="208">
        <v>3.4000000000000002E-2</v>
      </c>
      <c r="D96" s="208"/>
      <c r="E96" s="208"/>
      <c r="F96" s="208"/>
      <c r="G96" s="208"/>
      <c r="H96" s="231"/>
      <c r="I96" s="224"/>
      <c r="J96" s="224"/>
      <c r="K96" s="224">
        <f t="shared" ref="K96:X96" si="146">CHOOSE($E$1,K93,K94,K95)</f>
        <v>0.03</v>
      </c>
      <c r="L96" s="224">
        <f t="shared" si="146"/>
        <v>7.4999999999999997E-2</v>
      </c>
      <c r="M96" s="224">
        <f t="shared" si="146"/>
        <v>0.11249999999999999</v>
      </c>
      <c r="N96" s="224">
        <f t="shared" si="146"/>
        <v>0.14624999999999999</v>
      </c>
      <c r="O96" s="224">
        <f t="shared" si="146"/>
        <v>0.17549999999999999</v>
      </c>
      <c r="P96" s="224">
        <f t="shared" si="146"/>
        <v>0.3705</v>
      </c>
      <c r="Q96" s="224">
        <f t="shared" si="146"/>
        <v>0.3705</v>
      </c>
      <c r="R96" s="224">
        <f t="shared" si="146"/>
        <v>0.3705</v>
      </c>
      <c r="S96" s="224">
        <f t="shared" si="146"/>
        <v>0.3705</v>
      </c>
      <c r="T96" s="224">
        <f t="shared" si="146"/>
        <v>0.3705</v>
      </c>
      <c r="U96" s="224">
        <f t="shared" si="146"/>
        <v>0.3705</v>
      </c>
      <c r="V96" s="224">
        <f t="shared" si="146"/>
        <v>0.3705</v>
      </c>
      <c r="W96" s="224">
        <f t="shared" si="146"/>
        <v>0.3705</v>
      </c>
      <c r="X96" s="224">
        <f t="shared" si="146"/>
        <v>0.3705</v>
      </c>
    </row>
    <row r="97" spans="1:26">
      <c r="B97" s="203" t="s">
        <v>75</v>
      </c>
      <c r="C97" s="125">
        <f>C80-C88-C84</f>
        <v>0.25649999999999995</v>
      </c>
      <c r="D97" s="125">
        <f>D80-D88-D84</f>
        <v>0.31349999999999995</v>
      </c>
      <c r="E97" s="125">
        <f>E80-E88-E84</f>
        <v>0.34199999999999997</v>
      </c>
      <c r="F97" s="125">
        <f>F80-F88-F84-F92</f>
        <v>0.35199999999999998</v>
      </c>
      <c r="G97" s="125">
        <f t="shared" ref="G97:I97" si="147">G80-G88-G84-G92</f>
        <v>0.44129999999999991</v>
      </c>
      <c r="H97" s="125">
        <f t="shared" si="147"/>
        <v>0.439585</v>
      </c>
      <c r="I97" s="125">
        <f t="shared" si="147"/>
        <v>0.44749999999999995</v>
      </c>
      <c r="J97" s="125">
        <f>J80-J88-J84-J92-J96</f>
        <v>0.4225624999999999</v>
      </c>
      <c r="K97" s="125">
        <f t="shared" ref="K97:X97" si="148">K80-K88-K84-K92-K96</f>
        <v>0.35068593749999999</v>
      </c>
      <c r="L97" s="125">
        <f t="shared" si="148"/>
        <v>0.34704874999999996</v>
      </c>
      <c r="M97" s="125">
        <f t="shared" si="148"/>
        <v>0.32513899999999996</v>
      </c>
      <c r="N97" s="125">
        <f t="shared" si="148"/>
        <v>0.30386119999999994</v>
      </c>
      <c r="O97" s="125">
        <f t="shared" si="148"/>
        <v>0.28458895999999995</v>
      </c>
      <c r="P97" s="125">
        <f t="shared" si="148"/>
        <v>9.757116799999993E-2</v>
      </c>
      <c r="Q97" s="125">
        <f t="shared" si="148"/>
        <v>0.10395693439999992</v>
      </c>
      <c r="R97" s="125">
        <f t="shared" si="148"/>
        <v>0.10906554751999992</v>
      </c>
      <c r="S97" s="125">
        <f t="shared" si="148"/>
        <v>0.11315243801599995</v>
      </c>
      <c r="T97" s="125">
        <f t="shared" si="148"/>
        <v>0.11642195041279996</v>
      </c>
      <c r="U97" s="125">
        <f t="shared" si="148"/>
        <v>0.11903756033023993</v>
      </c>
      <c r="V97" s="125">
        <f t="shared" si="148"/>
        <v>0.12113004826419194</v>
      </c>
      <c r="W97" s="125">
        <f t="shared" si="148"/>
        <v>0.12280403861135353</v>
      </c>
      <c r="X97" s="125">
        <f t="shared" si="148"/>
        <v>0.1241432308890828</v>
      </c>
    </row>
    <row r="99" spans="1:26">
      <c r="B99" s="219" t="s">
        <v>231</v>
      </c>
      <c r="C99" s="229">
        <f>1-C80</f>
        <v>0.43000000000000005</v>
      </c>
      <c r="D99" s="220">
        <f>C99</f>
        <v>0.43000000000000005</v>
      </c>
      <c r="E99" s="220">
        <f t="shared" ref="E99:N99" si="149">D99</f>
        <v>0.43000000000000005</v>
      </c>
      <c r="F99" s="220">
        <f t="shared" si="149"/>
        <v>0.43000000000000005</v>
      </c>
      <c r="G99" s="220">
        <f t="shared" si="149"/>
        <v>0.43000000000000005</v>
      </c>
      <c r="H99" s="220">
        <f t="shared" si="149"/>
        <v>0.43000000000000005</v>
      </c>
      <c r="I99" s="220">
        <f t="shared" si="149"/>
        <v>0.43000000000000005</v>
      </c>
      <c r="J99" s="220">
        <f t="shared" si="149"/>
        <v>0.43000000000000005</v>
      </c>
      <c r="K99" s="220">
        <f t="shared" si="149"/>
        <v>0.43000000000000005</v>
      </c>
      <c r="L99" s="220">
        <f t="shared" si="149"/>
        <v>0.43000000000000005</v>
      </c>
      <c r="M99" s="220">
        <f t="shared" si="149"/>
        <v>0.43000000000000005</v>
      </c>
      <c r="N99" s="220">
        <f t="shared" si="149"/>
        <v>0.43000000000000005</v>
      </c>
      <c r="O99" s="220">
        <f t="shared" ref="O99" si="150">N99</f>
        <v>0.43000000000000005</v>
      </c>
      <c r="P99" s="220">
        <f t="shared" ref="P99" si="151">O99</f>
        <v>0.43000000000000005</v>
      </c>
      <c r="Q99" s="220">
        <f t="shared" ref="Q99" si="152">P99</f>
        <v>0.43000000000000005</v>
      </c>
      <c r="R99" s="220">
        <f t="shared" ref="R99" si="153">Q99</f>
        <v>0.43000000000000005</v>
      </c>
      <c r="S99" s="220">
        <f t="shared" ref="S99" si="154">R99</f>
        <v>0.43000000000000005</v>
      </c>
      <c r="T99" s="220">
        <f t="shared" ref="T99" si="155">S99</f>
        <v>0.43000000000000005</v>
      </c>
      <c r="U99" s="220">
        <f t="shared" ref="U99" si="156">T99</f>
        <v>0.43000000000000005</v>
      </c>
      <c r="V99" s="220">
        <f t="shared" ref="V99" si="157">U99</f>
        <v>0.43000000000000005</v>
      </c>
      <c r="W99" s="220">
        <f t="shared" ref="W99" si="158">V99</f>
        <v>0.43000000000000005</v>
      </c>
      <c r="X99" s="220">
        <f t="shared" ref="X99" si="159">W99</f>
        <v>0.43000000000000005</v>
      </c>
    </row>
    <row r="100" spans="1:26" s="119" customFormat="1" ht="12.75" hidden="1" customHeight="1" outlineLevel="1">
      <c r="A100" s="242"/>
      <c r="B100" s="206" t="s">
        <v>521</v>
      </c>
      <c r="C100" s="207"/>
      <c r="D100" s="207"/>
      <c r="E100" s="207"/>
      <c r="F100" s="207"/>
      <c r="G100" s="207"/>
      <c r="H100" s="207">
        <f>G103*1.05</f>
        <v>0.33862500000000001</v>
      </c>
      <c r="I100" s="207">
        <f t="shared" ref="I100:K100" si="160">H100*1.05</f>
        <v>0.35555625000000002</v>
      </c>
      <c r="J100" s="207">
        <f t="shared" si="160"/>
        <v>0.37333406250000001</v>
      </c>
      <c r="K100" s="207">
        <f t="shared" si="160"/>
        <v>0.39200076562500002</v>
      </c>
      <c r="L100" s="207">
        <f>L99*0.95</f>
        <v>0.40850000000000003</v>
      </c>
      <c r="M100" s="207">
        <f t="shared" ref="M100:X100" si="161">M99*0.95</f>
        <v>0.40850000000000003</v>
      </c>
      <c r="N100" s="207">
        <f t="shared" si="161"/>
        <v>0.40850000000000003</v>
      </c>
      <c r="O100" s="207">
        <f t="shared" si="161"/>
        <v>0.40850000000000003</v>
      </c>
      <c r="P100" s="207">
        <f t="shared" si="161"/>
        <v>0.40850000000000003</v>
      </c>
      <c r="Q100" s="207">
        <f t="shared" si="161"/>
        <v>0.40850000000000003</v>
      </c>
      <c r="R100" s="207">
        <f t="shared" si="161"/>
        <v>0.40850000000000003</v>
      </c>
      <c r="S100" s="207">
        <f t="shared" si="161"/>
        <v>0.40850000000000003</v>
      </c>
      <c r="T100" s="207">
        <f t="shared" si="161"/>
        <v>0.40850000000000003</v>
      </c>
      <c r="U100" s="207">
        <f t="shared" si="161"/>
        <v>0.40850000000000003</v>
      </c>
      <c r="V100" s="207">
        <f t="shared" si="161"/>
        <v>0.40850000000000003</v>
      </c>
      <c r="W100" s="207">
        <f t="shared" si="161"/>
        <v>0.40850000000000003</v>
      </c>
      <c r="X100" s="207">
        <f t="shared" si="161"/>
        <v>0.40850000000000003</v>
      </c>
    </row>
    <row r="101" spans="1:26" s="119" customFormat="1" ht="12.75" hidden="1" customHeight="1" outlineLevel="1">
      <c r="A101" s="242"/>
      <c r="B101" s="206" t="s">
        <v>500</v>
      </c>
      <c r="C101" s="207"/>
      <c r="D101" s="207"/>
      <c r="E101" s="207"/>
      <c r="F101" s="208"/>
      <c r="G101" s="223"/>
      <c r="H101" s="223">
        <f>G103*1.01</f>
        <v>0.32572499999999999</v>
      </c>
      <c r="I101" s="223">
        <f>H101*0.975</f>
        <v>0.31758187499999996</v>
      </c>
      <c r="J101" s="223">
        <f t="shared" ref="J101:M101" si="162">I101*0.99</f>
        <v>0.31440605624999995</v>
      </c>
      <c r="K101" s="223">
        <f t="shared" si="162"/>
        <v>0.31126199568749996</v>
      </c>
      <c r="L101" s="223">
        <f t="shared" si="162"/>
        <v>0.30814937573062495</v>
      </c>
      <c r="M101" s="223">
        <f t="shared" si="162"/>
        <v>0.30506788197331869</v>
      </c>
      <c r="N101" s="223">
        <f>M101*0.99</f>
        <v>0.30201720315358549</v>
      </c>
      <c r="O101" s="223">
        <f>N101</f>
        <v>0.30201720315358549</v>
      </c>
      <c r="P101" s="223">
        <f t="shared" ref="P101:X101" si="163">O101</f>
        <v>0.30201720315358549</v>
      </c>
      <c r="Q101" s="223">
        <f t="shared" si="163"/>
        <v>0.30201720315358549</v>
      </c>
      <c r="R101" s="223">
        <f t="shared" si="163"/>
        <v>0.30201720315358549</v>
      </c>
      <c r="S101" s="223">
        <f t="shared" si="163"/>
        <v>0.30201720315358549</v>
      </c>
      <c r="T101" s="223">
        <f t="shared" si="163"/>
        <v>0.30201720315358549</v>
      </c>
      <c r="U101" s="223">
        <f t="shared" si="163"/>
        <v>0.30201720315358549</v>
      </c>
      <c r="V101" s="223">
        <f t="shared" si="163"/>
        <v>0.30201720315358549</v>
      </c>
      <c r="W101" s="223">
        <f t="shared" si="163"/>
        <v>0.30201720315358549</v>
      </c>
      <c r="X101" s="223">
        <f t="shared" si="163"/>
        <v>0.30201720315358549</v>
      </c>
    </row>
    <row r="102" spans="1:26" s="119" customFormat="1" ht="12.75" hidden="1" customHeight="1" outlineLevel="1">
      <c r="A102" s="242"/>
      <c r="B102" s="206" t="s">
        <v>522</v>
      </c>
      <c r="C102" s="207"/>
      <c r="D102" s="207"/>
      <c r="E102" s="207"/>
      <c r="F102" s="207"/>
      <c r="G102" s="207"/>
      <c r="H102" s="207">
        <f>G103*0.95</f>
        <v>0.30637500000000001</v>
      </c>
      <c r="I102" s="207">
        <f t="shared" ref="I102:M102" si="164">H102*0.95</f>
        <v>0.29105625000000002</v>
      </c>
      <c r="J102" s="207">
        <f t="shared" si="164"/>
        <v>0.2765034375</v>
      </c>
      <c r="K102" s="207">
        <f t="shared" si="164"/>
        <v>0.26267826562500002</v>
      </c>
      <c r="L102" s="207">
        <f t="shared" si="164"/>
        <v>0.24954435234375</v>
      </c>
      <c r="M102" s="207">
        <f t="shared" si="164"/>
        <v>0.23706713472656249</v>
      </c>
      <c r="N102" s="207">
        <f>M102*0.95</f>
        <v>0.22521377799023434</v>
      </c>
      <c r="O102" s="207">
        <f t="shared" ref="O102:X102" si="165">N102*0.95</f>
        <v>0.21395308909072261</v>
      </c>
      <c r="P102" s="207">
        <f t="shared" si="165"/>
        <v>0.20325543463618648</v>
      </c>
      <c r="Q102" s="207">
        <f t="shared" si="165"/>
        <v>0.19309266290437715</v>
      </c>
      <c r="R102" s="207">
        <f t="shared" si="165"/>
        <v>0.18343802975915829</v>
      </c>
      <c r="S102" s="207">
        <f t="shared" si="165"/>
        <v>0.17426612827120036</v>
      </c>
      <c r="T102" s="207">
        <f t="shared" si="165"/>
        <v>0.16555282185764034</v>
      </c>
      <c r="U102" s="207">
        <f t="shared" si="165"/>
        <v>0.1572751807647583</v>
      </c>
      <c r="V102" s="207">
        <f t="shared" si="165"/>
        <v>0.14941142172652039</v>
      </c>
      <c r="W102" s="207">
        <f t="shared" si="165"/>
        <v>0.14194085064019435</v>
      </c>
      <c r="X102" s="207">
        <f t="shared" si="165"/>
        <v>0.13484380810818464</v>
      </c>
    </row>
    <row r="103" spans="1:26" collapsed="1">
      <c r="A103" s="243" t="s">
        <v>523</v>
      </c>
      <c r="B103" s="211" t="s">
        <v>227</v>
      </c>
      <c r="C103" s="223">
        <f>0.55*C99</f>
        <v>0.23650000000000004</v>
      </c>
      <c r="D103" s="223">
        <f>D99*0.735</f>
        <v>0.31605000000000005</v>
      </c>
      <c r="E103" s="223">
        <f>E99*0.75</f>
        <v>0.32250000000000001</v>
      </c>
      <c r="F103" s="223">
        <f>F99*0.75</f>
        <v>0.32250000000000001</v>
      </c>
      <c r="G103" s="223">
        <f>G99*0.75</f>
        <v>0.32250000000000001</v>
      </c>
      <c r="H103" s="224">
        <f t="shared" ref="H103:X103" si="166">CHOOSE($E$1,H100,H101,H102)</f>
        <v>0.32572499999999999</v>
      </c>
      <c r="I103" s="224">
        <f t="shared" si="166"/>
        <v>0.31758187499999996</v>
      </c>
      <c r="J103" s="224">
        <f t="shared" si="166"/>
        <v>0.31440605624999995</v>
      </c>
      <c r="K103" s="224">
        <f t="shared" si="166"/>
        <v>0.31126199568749996</v>
      </c>
      <c r="L103" s="224">
        <f t="shared" si="166"/>
        <v>0.30814937573062495</v>
      </c>
      <c r="M103" s="224">
        <f t="shared" si="166"/>
        <v>0.30506788197331869</v>
      </c>
      <c r="N103" s="224">
        <f t="shared" si="166"/>
        <v>0.30201720315358549</v>
      </c>
      <c r="O103" s="224">
        <f t="shared" si="166"/>
        <v>0.30201720315358549</v>
      </c>
      <c r="P103" s="224">
        <f t="shared" si="166"/>
        <v>0.30201720315358549</v>
      </c>
      <c r="Q103" s="224">
        <f t="shared" si="166"/>
        <v>0.30201720315358549</v>
      </c>
      <c r="R103" s="224">
        <f t="shared" si="166"/>
        <v>0.30201720315358549</v>
      </c>
      <c r="S103" s="224">
        <f t="shared" si="166"/>
        <v>0.30201720315358549</v>
      </c>
      <c r="T103" s="224">
        <f t="shared" si="166"/>
        <v>0.30201720315358549</v>
      </c>
      <c r="U103" s="224">
        <f t="shared" si="166"/>
        <v>0.30201720315358549</v>
      </c>
      <c r="V103" s="224">
        <f t="shared" si="166"/>
        <v>0.30201720315358549</v>
      </c>
      <c r="W103" s="224">
        <f t="shared" si="166"/>
        <v>0.30201720315358549</v>
      </c>
      <c r="X103" s="224">
        <f t="shared" si="166"/>
        <v>0.30201720315358549</v>
      </c>
    </row>
    <row r="104" spans="1:26" hidden="1" outlineLevel="1">
      <c r="A104" s="416"/>
      <c r="B104" s="206" t="s">
        <v>521</v>
      </c>
      <c r="C104" s="208"/>
      <c r="D104" s="208"/>
      <c r="E104" s="208"/>
      <c r="F104" s="208"/>
      <c r="G104" s="208"/>
      <c r="H104" s="231"/>
      <c r="I104" s="223"/>
      <c r="J104" s="223"/>
      <c r="K104" s="223">
        <v>0</v>
      </c>
      <c r="L104" s="223">
        <f>K104*1.75</f>
        <v>0</v>
      </c>
      <c r="M104" s="223">
        <f>L104*1.5</f>
        <v>0</v>
      </c>
      <c r="N104" s="223">
        <f>M104*1.35</f>
        <v>0</v>
      </c>
      <c r="O104" s="223">
        <f>N104*1.2</f>
        <v>0</v>
      </c>
      <c r="P104" s="223">
        <f t="shared" ref="P104:X104" si="167">O104*1.2</f>
        <v>0</v>
      </c>
      <c r="Q104" s="223">
        <f t="shared" si="167"/>
        <v>0</v>
      </c>
      <c r="R104" s="223">
        <f t="shared" si="167"/>
        <v>0</v>
      </c>
      <c r="S104" s="223">
        <f t="shared" si="167"/>
        <v>0</v>
      </c>
      <c r="T104" s="223">
        <f t="shared" si="167"/>
        <v>0</v>
      </c>
      <c r="U104" s="223">
        <f t="shared" si="167"/>
        <v>0</v>
      </c>
      <c r="V104" s="223">
        <f t="shared" si="167"/>
        <v>0</v>
      </c>
      <c r="W104" s="223">
        <f t="shared" si="167"/>
        <v>0</v>
      </c>
      <c r="X104" s="223">
        <f t="shared" si="167"/>
        <v>0</v>
      </c>
    </row>
    <row r="105" spans="1:26" hidden="1" outlineLevel="1">
      <c r="A105" s="416"/>
      <c r="B105" s="206" t="s">
        <v>500</v>
      </c>
      <c r="C105" s="208"/>
      <c r="D105" s="208"/>
      <c r="E105" s="208"/>
      <c r="F105" s="208"/>
      <c r="G105" s="208"/>
      <c r="H105" s="231"/>
      <c r="I105" s="223"/>
      <c r="J105" s="223"/>
      <c r="K105" s="223">
        <f>K99*0.05</f>
        <v>2.1500000000000005E-2</v>
      </c>
      <c r="L105" s="223">
        <f>L99*0.075</f>
        <v>3.2250000000000001E-2</v>
      </c>
      <c r="M105" s="223">
        <f>M99*0.1</f>
        <v>4.300000000000001E-2</v>
      </c>
      <c r="N105" s="223">
        <f>N99*0.125</f>
        <v>5.3750000000000006E-2</v>
      </c>
      <c r="O105" s="223">
        <f>O99*0.15</f>
        <v>6.4500000000000002E-2</v>
      </c>
      <c r="P105" s="223">
        <f t="shared" ref="P105:X105" si="168">P99*0.15</f>
        <v>6.4500000000000002E-2</v>
      </c>
      <c r="Q105" s="223">
        <f t="shared" si="168"/>
        <v>6.4500000000000002E-2</v>
      </c>
      <c r="R105" s="223">
        <f t="shared" si="168"/>
        <v>6.4500000000000002E-2</v>
      </c>
      <c r="S105" s="223">
        <f t="shared" si="168"/>
        <v>6.4500000000000002E-2</v>
      </c>
      <c r="T105" s="223">
        <f t="shared" si="168"/>
        <v>6.4500000000000002E-2</v>
      </c>
      <c r="U105" s="223">
        <f t="shared" si="168"/>
        <v>6.4500000000000002E-2</v>
      </c>
      <c r="V105" s="223">
        <f t="shared" si="168"/>
        <v>6.4500000000000002E-2</v>
      </c>
      <c r="W105" s="223">
        <f t="shared" si="168"/>
        <v>6.4500000000000002E-2</v>
      </c>
      <c r="X105" s="223">
        <f t="shared" si="168"/>
        <v>6.4500000000000002E-2</v>
      </c>
    </row>
    <row r="106" spans="1:26" hidden="1" outlineLevel="1">
      <c r="A106" s="416"/>
      <c r="B106" s="206" t="s">
        <v>522</v>
      </c>
      <c r="C106" s="208"/>
      <c r="D106" s="208"/>
      <c r="E106" s="208"/>
      <c r="F106" s="208"/>
      <c r="G106" s="208"/>
      <c r="H106" s="231"/>
      <c r="I106" s="223"/>
      <c r="J106" s="223"/>
      <c r="K106" s="223">
        <f>K100*0.05</f>
        <v>1.9600038281250003E-2</v>
      </c>
      <c r="L106" s="223">
        <f>L99*0.1</f>
        <v>4.300000000000001E-2</v>
      </c>
      <c r="M106" s="223">
        <f>M99*0.175</f>
        <v>7.5249999999999997E-2</v>
      </c>
      <c r="N106" s="223">
        <f>N99*0.25</f>
        <v>0.10750000000000001</v>
      </c>
      <c r="O106" s="223">
        <f>O99*0.35</f>
        <v>0.15049999999999999</v>
      </c>
      <c r="P106" s="223">
        <f>P99*0.425</f>
        <v>0.18275000000000002</v>
      </c>
      <c r="Q106" s="223">
        <f>Q99*0.45</f>
        <v>0.19350000000000003</v>
      </c>
      <c r="R106" s="223">
        <f t="shared" ref="R106:X106" si="169">R99*0.45</f>
        <v>0.19350000000000003</v>
      </c>
      <c r="S106" s="223">
        <f t="shared" si="169"/>
        <v>0.19350000000000003</v>
      </c>
      <c r="T106" s="223">
        <f t="shared" si="169"/>
        <v>0.19350000000000003</v>
      </c>
      <c r="U106" s="223">
        <f t="shared" si="169"/>
        <v>0.19350000000000003</v>
      </c>
      <c r="V106" s="223">
        <f t="shared" si="169"/>
        <v>0.19350000000000003</v>
      </c>
      <c r="W106" s="223">
        <f t="shared" si="169"/>
        <v>0.19350000000000003</v>
      </c>
      <c r="X106" s="223">
        <f t="shared" si="169"/>
        <v>0.19350000000000003</v>
      </c>
    </row>
    <row r="107" spans="1:26" collapsed="1">
      <c r="A107" s="210" t="s">
        <v>523</v>
      </c>
      <c r="B107" s="211" t="s">
        <v>809</v>
      </c>
      <c r="C107" s="208">
        <v>3.4000000000000002E-2</v>
      </c>
      <c r="D107" s="208"/>
      <c r="E107" s="208"/>
      <c r="F107" s="208"/>
      <c r="G107" s="208"/>
      <c r="H107" s="231"/>
      <c r="I107" s="224"/>
      <c r="J107" s="224"/>
      <c r="K107" s="224">
        <f t="shared" ref="K107:X107" si="170">CHOOSE($E$1,K104,K105,K106)</f>
        <v>2.1500000000000005E-2</v>
      </c>
      <c r="L107" s="224">
        <f t="shared" si="170"/>
        <v>3.2250000000000001E-2</v>
      </c>
      <c r="M107" s="224">
        <f t="shared" si="170"/>
        <v>4.300000000000001E-2</v>
      </c>
      <c r="N107" s="224">
        <f t="shared" si="170"/>
        <v>5.3750000000000006E-2</v>
      </c>
      <c r="O107" s="224">
        <f t="shared" si="170"/>
        <v>6.4500000000000002E-2</v>
      </c>
      <c r="P107" s="224">
        <f t="shared" si="170"/>
        <v>6.4500000000000002E-2</v>
      </c>
      <c r="Q107" s="224">
        <f t="shared" si="170"/>
        <v>6.4500000000000002E-2</v>
      </c>
      <c r="R107" s="224">
        <f t="shared" si="170"/>
        <v>6.4500000000000002E-2</v>
      </c>
      <c r="S107" s="224">
        <f t="shared" si="170"/>
        <v>6.4500000000000002E-2</v>
      </c>
      <c r="T107" s="224">
        <f t="shared" si="170"/>
        <v>6.4500000000000002E-2</v>
      </c>
      <c r="U107" s="224">
        <f t="shared" si="170"/>
        <v>6.4500000000000002E-2</v>
      </c>
      <c r="V107" s="224">
        <f t="shared" si="170"/>
        <v>6.4500000000000002E-2</v>
      </c>
      <c r="W107" s="224">
        <f t="shared" si="170"/>
        <v>6.4500000000000002E-2</v>
      </c>
      <c r="X107" s="224">
        <f t="shared" si="170"/>
        <v>6.4500000000000002E-2</v>
      </c>
    </row>
    <row r="108" spans="1:26">
      <c r="B108" s="203" t="s">
        <v>87</v>
      </c>
      <c r="G108" s="125"/>
      <c r="H108" s="125">
        <v>0.01</v>
      </c>
      <c r="I108" s="125">
        <f>H108</f>
        <v>0.01</v>
      </c>
      <c r="J108" s="125">
        <f t="shared" ref="J108:N108" si="171">I108</f>
        <v>0.01</v>
      </c>
      <c r="K108" s="125">
        <f t="shared" si="171"/>
        <v>0.01</v>
      </c>
      <c r="L108" s="125">
        <f t="shared" si="171"/>
        <v>0.01</v>
      </c>
      <c r="M108" s="125">
        <f t="shared" si="171"/>
        <v>0.01</v>
      </c>
      <c r="N108" s="125">
        <f t="shared" si="171"/>
        <v>0.01</v>
      </c>
      <c r="O108" s="125">
        <f t="shared" ref="O108" si="172">N108</f>
        <v>0.01</v>
      </c>
      <c r="P108" s="125">
        <f t="shared" ref="P108" si="173">O108</f>
        <v>0.01</v>
      </c>
      <c r="Q108" s="125">
        <f t="shared" ref="Q108" si="174">P108</f>
        <v>0.01</v>
      </c>
      <c r="R108" s="125">
        <f t="shared" ref="R108" si="175">Q108</f>
        <v>0.01</v>
      </c>
      <c r="S108" s="125">
        <f t="shared" ref="S108" si="176">R108</f>
        <v>0.01</v>
      </c>
      <c r="T108" s="125">
        <f t="shared" ref="T108" si="177">S108</f>
        <v>0.01</v>
      </c>
      <c r="U108" s="125">
        <f t="shared" ref="U108" si="178">T108</f>
        <v>0.01</v>
      </c>
      <c r="V108" s="125">
        <f t="shared" ref="V108" si="179">U108</f>
        <v>0.01</v>
      </c>
      <c r="W108" s="125">
        <f t="shared" ref="W108" si="180">V108</f>
        <v>0.01</v>
      </c>
      <c r="X108" s="125">
        <f t="shared" ref="X108" si="181">W108</f>
        <v>0.01</v>
      </c>
      <c r="Y108" s="125"/>
    </row>
    <row r="109" spans="1:26">
      <c r="B109" s="203" t="s">
        <v>75</v>
      </c>
      <c r="C109" s="125">
        <f>C99-C108-C103</f>
        <v>0.19350000000000001</v>
      </c>
      <c r="D109" s="125">
        <f t="shared" ref="D109:G109" si="182">D99-D108-D103</f>
        <v>0.11395</v>
      </c>
      <c r="E109" s="125">
        <f t="shared" si="182"/>
        <v>0.10750000000000004</v>
      </c>
      <c r="F109" s="125">
        <f t="shared" si="182"/>
        <v>0.10750000000000004</v>
      </c>
      <c r="G109" s="125">
        <f t="shared" si="182"/>
        <v>0.10750000000000004</v>
      </c>
      <c r="H109" s="125">
        <f>H99-H108-H103-H107</f>
        <v>9.4275000000000053E-2</v>
      </c>
      <c r="I109" s="125">
        <f t="shared" ref="I109:X109" si="183">I99-I108-I103-I107</f>
        <v>0.10241812500000008</v>
      </c>
      <c r="J109" s="125">
        <f t="shared" si="183"/>
        <v>0.10559394375000009</v>
      </c>
      <c r="K109" s="125">
        <f t="shared" si="183"/>
        <v>8.7238004312500075E-2</v>
      </c>
      <c r="L109" s="125">
        <f t="shared" si="183"/>
        <v>7.9600624269375087E-2</v>
      </c>
      <c r="M109" s="125">
        <f t="shared" si="183"/>
        <v>7.1932118026681341E-2</v>
      </c>
      <c r="N109" s="125">
        <f t="shared" si="183"/>
        <v>6.4232796846414544E-2</v>
      </c>
      <c r="O109" s="125">
        <f t="shared" si="183"/>
        <v>5.3482796846414549E-2</v>
      </c>
      <c r="P109" s="125">
        <f t="shared" si="183"/>
        <v>5.3482796846414549E-2</v>
      </c>
      <c r="Q109" s="125">
        <f t="shared" si="183"/>
        <v>5.3482796846414549E-2</v>
      </c>
      <c r="R109" s="125">
        <f t="shared" si="183"/>
        <v>5.3482796846414549E-2</v>
      </c>
      <c r="S109" s="125">
        <f t="shared" si="183"/>
        <v>5.3482796846414549E-2</v>
      </c>
      <c r="T109" s="125">
        <f t="shared" si="183"/>
        <v>5.3482796846414549E-2</v>
      </c>
      <c r="U109" s="125">
        <f t="shared" si="183"/>
        <v>5.3482796846414549E-2</v>
      </c>
      <c r="V109" s="125">
        <f t="shared" si="183"/>
        <v>5.3482796846414549E-2</v>
      </c>
      <c r="W109" s="125">
        <f t="shared" si="183"/>
        <v>5.3482796846414549E-2</v>
      </c>
      <c r="X109" s="125">
        <f t="shared" si="183"/>
        <v>5.3482796846414549E-2</v>
      </c>
    </row>
    <row r="111" spans="1:26">
      <c r="A111" s="116"/>
      <c r="B111" s="193" t="s">
        <v>812</v>
      </c>
      <c r="C111" s="204"/>
      <c r="D111" s="205"/>
      <c r="E111" s="205"/>
      <c r="F111" s="205"/>
      <c r="G111" s="205"/>
      <c r="H111" s="205"/>
      <c r="I111" s="205"/>
      <c r="J111" s="205"/>
      <c r="K111" s="418"/>
      <c r="L111" s="205"/>
      <c r="M111" s="205"/>
      <c r="N111" s="205"/>
      <c r="O111" s="205"/>
      <c r="P111" s="205"/>
      <c r="Q111" s="205"/>
      <c r="R111" s="205"/>
      <c r="S111" s="205"/>
      <c r="T111" s="205"/>
      <c r="U111" s="205"/>
      <c r="V111" s="205"/>
      <c r="W111" s="205"/>
      <c r="X111" s="205"/>
    </row>
    <row r="112" spans="1:26">
      <c r="A112" s="116"/>
      <c r="B112" s="116" t="s">
        <v>813</v>
      </c>
      <c r="C112" s="128">
        <f>C16</f>
        <v>39857.223814144709</v>
      </c>
      <c r="D112" s="128">
        <f t="shared" ref="D112:X112" si="184">D16</f>
        <v>40635.194439001818</v>
      </c>
      <c r="E112" s="128">
        <f t="shared" si="184"/>
        <v>41468.333949568863</v>
      </c>
      <c r="F112" s="128">
        <f t="shared" si="184"/>
        <v>42361.766226848857</v>
      </c>
      <c r="G112" s="128">
        <f t="shared" si="184"/>
        <v>43321.118232846471</v>
      </c>
      <c r="H112" s="128">
        <f t="shared" si="184"/>
        <v>44352.570087545013</v>
      </c>
      <c r="I112" s="128">
        <f t="shared" si="184"/>
        <v>45462.910147807648</v>
      </c>
      <c r="J112" s="128">
        <f t="shared" si="184"/>
        <v>46659.595588251068</v>
      </c>
      <c r="K112" s="128">
        <f t="shared" si="184"/>
        <v>47950.819034140819</v>
      </c>
      <c r="L112" s="128">
        <f t="shared" si="184"/>
        <v>49345.581851358853</v>
      </c>
      <c r="M112" s="128">
        <f t="shared" si="184"/>
        <v>50853.774758995205</v>
      </c>
      <c r="N112" s="128">
        <f t="shared" si="184"/>
        <v>52486.266496666642</v>
      </c>
      <c r="O112" s="128">
        <f t="shared" si="184"/>
        <v>54255.001351872088</v>
      </c>
      <c r="P112" s="128">
        <f t="shared" si="184"/>
        <v>56173.10643322079</v>
      </c>
      <c r="Q112" s="128">
        <f t="shared" si="184"/>
        <v>58255.00966394908</v>
      </c>
      <c r="R112" s="128">
        <f t="shared" si="184"/>
        <v>60516.569567578837</v>
      </c>
      <c r="S112" s="128">
        <f t="shared" si="184"/>
        <v>62975.218024751317</v>
      </c>
      <c r="T112" s="128">
        <f t="shared" si="184"/>
        <v>65650.117298169571</v>
      </c>
      <c r="U112" s="128">
        <f t="shared" si="184"/>
        <v>68562.33275227042</v>
      </c>
      <c r="V112" s="128">
        <f t="shared" si="184"/>
        <v>71735.022836905351</v>
      </c>
      <c r="W112" s="128">
        <f t="shared" si="184"/>
        <v>75193.648061231899</v>
      </c>
      <c r="X112" s="128">
        <f t="shared" si="184"/>
        <v>78966.20085663296</v>
      </c>
      <c r="Z112" s="202" t="s">
        <v>212</v>
      </c>
    </row>
    <row r="113" spans="1:26" s="119" customFormat="1" ht="12.75" hidden="1" customHeight="1" outlineLevel="1">
      <c r="B113" s="206" t="s">
        <v>521</v>
      </c>
      <c r="C113" s="207"/>
      <c r="D113" s="207"/>
      <c r="E113" s="207"/>
      <c r="F113" s="207"/>
      <c r="G113" s="207"/>
      <c r="H113" s="207"/>
      <c r="I113" s="209"/>
      <c r="J113" s="209"/>
      <c r="K113" s="207">
        <f>K114*1.15</f>
        <v>1.15E-2</v>
      </c>
      <c r="L113" s="207">
        <f t="shared" ref="L113:X113" si="185">L114*1.15</f>
        <v>0.17249999999999999</v>
      </c>
      <c r="M113" s="207">
        <f t="shared" si="185"/>
        <v>0.34499999999999997</v>
      </c>
      <c r="N113" s="207">
        <f t="shared" si="185"/>
        <v>0.45999999999999996</v>
      </c>
      <c r="O113" s="207">
        <f t="shared" si="185"/>
        <v>0.57499999999999996</v>
      </c>
      <c r="P113" s="207">
        <f t="shared" si="185"/>
        <v>0.69</v>
      </c>
      <c r="Q113" s="207">
        <f t="shared" si="185"/>
        <v>0.71299999999999997</v>
      </c>
      <c r="R113" s="207">
        <f t="shared" si="185"/>
        <v>0.74749999999999994</v>
      </c>
      <c r="S113" s="207">
        <f t="shared" si="185"/>
        <v>0.77049999999999996</v>
      </c>
      <c r="T113" s="207">
        <f t="shared" si="185"/>
        <v>0.80499999999999994</v>
      </c>
      <c r="U113" s="207">
        <f t="shared" si="185"/>
        <v>0.83949999999999991</v>
      </c>
      <c r="V113" s="207">
        <f t="shared" si="185"/>
        <v>0.8438743125</v>
      </c>
      <c r="W113" s="207">
        <f t="shared" si="185"/>
        <v>0.84559931249999998</v>
      </c>
      <c r="X113" s="207">
        <f t="shared" si="185"/>
        <v>0.84732431249999995</v>
      </c>
      <c r="Z113" s="119" t="s">
        <v>528</v>
      </c>
    </row>
    <row r="114" spans="1:26" s="119" customFormat="1" ht="12.75" hidden="1" customHeight="1" outlineLevel="1">
      <c r="B114" s="206" t="s">
        <v>500</v>
      </c>
      <c r="C114" s="207"/>
      <c r="D114" s="207"/>
      <c r="E114" s="207"/>
      <c r="F114" s="208"/>
      <c r="G114" s="209"/>
      <c r="H114" s="209"/>
      <c r="I114" s="209"/>
      <c r="J114" s="209"/>
      <c r="K114" s="207">
        <v>0.01</v>
      </c>
      <c r="L114" s="207">
        <v>0.15</v>
      </c>
      <c r="M114" s="207">
        <v>0.3</v>
      </c>
      <c r="N114" s="207">
        <v>0.4</v>
      </c>
      <c r="O114" s="207">
        <v>0.5</v>
      </c>
      <c r="P114" s="207">
        <v>0.6</v>
      </c>
      <c r="Q114" s="207">
        <v>0.62</v>
      </c>
      <c r="R114" s="207">
        <v>0.65</v>
      </c>
      <c r="S114" s="207">
        <v>0.67</v>
      </c>
      <c r="T114" s="207">
        <v>0.7</v>
      </c>
      <c r="U114" s="207">
        <v>0.73</v>
      </c>
      <c r="V114" s="207">
        <f>'US MS Market Model'!U109</f>
        <v>0.73380375000000009</v>
      </c>
      <c r="W114" s="207">
        <f>'US MS Market Model'!V109</f>
        <v>0.73530375000000003</v>
      </c>
      <c r="X114" s="207">
        <f>'US MS Market Model'!W109</f>
        <v>0.73680374999999998</v>
      </c>
      <c r="Z114" s="119" t="s">
        <v>527</v>
      </c>
    </row>
    <row r="115" spans="1:26" s="119" customFormat="1" ht="12.75" hidden="1" customHeight="1" outlineLevel="1">
      <c r="B115" s="206" t="s">
        <v>522</v>
      </c>
      <c r="C115" s="207"/>
      <c r="D115" s="207"/>
      <c r="E115" s="207"/>
      <c r="F115" s="207"/>
      <c r="G115" s="207"/>
      <c r="H115" s="209"/>
      <c r="I115" s="209"/>
      <c r="J115" s="209"/>
      <c r="K115" s="207">
        <f>K114*0.5</f>
        <v>5.0000000000000001E-3</v>
      </c>
      <c r="L115" s="207">
        <f t="shared" ref="L115:X115" si="186">L114*0.5</f>
        <v>7.4999999999999997E-2</v>
      </c>
      <c r="M115" s="207">
        <f t="shared" si="186"/>
        <v>0.15</v>
      </c>
      <c r="N115" s="207">
        <f t="shared" si="186"/>
        <v>0.2</v>
      </c>
      <c r="O115" s="207">
        <f t="shared" si="186"/>
        <v>0.25</v>
      </c>
      <c r="P115" s="207">
        <f t="shared" si="186"/>
        <v>0.3</v>
      </c>
      <c r="Q115" s="207">
        <f t="shared" si="186"/>
        <v>0.31</v>
      </c>
      <c r="R115" s="207">
        <f t="shared" si="186"/>
        <v>0.32500000000000001</v>
      </c>
      <c r="S115" s="207">
        <f t="shared" si="186"/>
        <v>0.33500000000000002</v>
      </c>
      <c r="T115" s="207">
        <f t="shared" si="186"/>
        <v>0.35</v>
      </c>
      <c r="U115" s="207">
        <f t="shared" si="186"/>
        <v>0.36499999999999999</v>
      </c>
      <c r="V115" s="207">
        <f t="shared" si="186"/>
        <v>0.36690187500000004</v>
      </c>
      <c r="W115" s="207">
        <f t="shared" si="186"/>
        <v>0.36765187500000002</v>
      </c>
      <c r="X115" s="207">
        <f t="shared" si="186"/>
        <v>0.36840187499999999</v>
      </c>
      <c r="Z115" s="119" t="s">
        <v>526</v>
      </c>
    </row>
    <row r="116" spans="1:26" collapsed="1">
      <c r="A116" s="210" t="s">
        <v>523</v>
      </c>
      <c r="B116" s="211" t="s">
        <v>213</v>
      </c>
      <c r="C116" s="209"/>
      <c r="D116" s="209"/>
      <c r="E116" s="209"/>
      <c r="F116" s="209"/>
      <c r="G116" s="209"/>
      <c r="H116" s="408"/>
      <c r="I116" s="212">
        <f t="shared" ref="I116:N116" si="187">CHOOSE($E$1,I113,I114,I115)</f>
        <v>0</v>
      </c>
      <c r="J116" s="212">
        <f t="shared" si="187"/>
        <v>0</v>
      </c>
      <c r="K116" s="212">
        <f t="shared" si="187"/>
        <v>0.01</v>
      </c>
      <c r="L116" s="212">
        <f t="shared" si="187"/>
        <v>0.15</v>
      </c>
      <c r="M116" s="212">
        <f t="shared" si="187"/>
        <v>0.3</v>
      </c>
      <c r="N116" s="212">
        <f t="shared" si="187"/>
        <v>0.4</v>
      </c>
      <c r="O116" s="212">
        <f>CHOOSE($E$1,O113,O114,O115)</f>
        <v>0.5</v>
      </c>
      <c r="P116" s="212">
        <f t="shared" ref="P116:X116" si="188">CHOOSE($E$1,P113,P114,P115)</f>
        <v>0.6</v>
      </c>
      <c r="Q116" s="212">
        <f t="shared" si="188"/>
        <v>0.62</v>
      </c>
      <c r="R116" s="212">
        <f t="shared" si="188"/>
        <v>0.65</v>
      </c>
      <c r="S116" s="212">
        <f t="shared" si="188"/>
        <v>0.67</v>
      </c>
      <c r="T116" s="212">
        <f t="shared" si="188"/>
        <v>0.7</v>
      </c>
      <c r="U116" s="212">
        <f t="shared" si="188"/>
        <v>0.73</v>
      </c>
      <c r="V116" s="212">
        <f t="shared" si="188"/>
        <v>0.73380375000000009</v>
      </c>
      <c r="W116" s="212">
        <f t="shared" si="188"/>
        <v>0.73530375000000003</v>
      </c>
      <c r="X116" s="212">
        <f t="shared" si="188"/>
        <v>0.73680374999999998</v>
      </c>
      <c r="Z116" s="116" t="s">
        <v>214</v>
      </c>
    </row>
    <row r="117" spans="1:26">
      <c r="A117" s="116"/>
      <c r="B117" s="116" t="s">
        <v>814</v>
      </c>
      <c r="C117" s="128">
        <f>C116*C112</f>
        <v>0</v>
      </c>
      <c r="D117" s="128">
        <f t="shared" ref="D117:M117" si="189">D116*D112</f>
        <v>0</v>
      </c>
      <c r="E117" s="128">
        <f t="shared" si="189"/>
        <v>0</v>
      </c>
      <c r="F117" s="128">
        <f t="shared" si="189"/>
        <v>0</v>
      </c>
      <c r="G117" s="128">
        <f t="shared" si="189"/>
        <v>0</v>
      </c>
      <c r="H117" s="128">
        <f t="shared" si="189"/>
        <v>0</v>
      </c>
      <c r="I117" s="128">
        <f t="shared" si="189"/>
        <v>0</v>
      </c>
      <c r="J117" s="128">
        <f t="shared" si="189"/>
        <v>0</v>
      </c>
      <c r="K117" s="128">
        <f t="shared" si="189"/>
        <v>479.50819034140818</v>
      </c>
      <c r="L117" s="128">
        <f t="shared" si="189"/>
        <v>7401.8372777038276</v>
      </c>
      <c r="M117" s="128">
        <f t="shared" si="189"/>
        <v>15256.132427698562</v>
      </c>
      <c r="N117" s="128">
        <f>N116*N112</f>
        <v>20994.50659866666</v>
      </c>
      <c r="O117" s="128">
        <f>O116*O112</f>
        <v>27127.500675936044</v>
      </c>
      <c r="P117" s="128">
        <f t="shared" ref="P117:X117" si="190">P116*P112</f>
        <v>33703.863859932469</v>
      </c>
      <c r="Q117" s="128">
        <f t="shared" si="190"/>
        <v>36118.10599164843</v>
      </c>
      <c r="R117" s="128">
        <f t="shared" si="190"/>
        <v>39335.770218926249</v>
      </c>
      <c r="S117" s="128">
        <f t="shared" si="190"/>
        <v>42193.396076583384</v>
      </c>
      <c r="T117" s="128">
        <f t="shared" si="190"/>
        <v>45955.0821087187</v>
      </c>
      <c r="U117" s="128">
        <f t="shared" si="190"/>
        <v>50050.502909157403</v>
      </c>
      <c r="V117" s="128">
        <f t="shared" si="190"/>
        <v>52639.428764056793</v>
      </c>
      <c r="W117" s="128">
        <f t="shared" si="190"/>
        <v>55290.171395604048</v>
      </c>
      <c r="X117" s="128">
        <f t="shared" si="190"/>
        <v>58182.592914420376</v>
      </c>
    </row>
    <row r="118" spans="1:26">
      <c r="A118" s="116"/>
      <c r="K118" s="125"/>
    </row>
    <row r="119" spans="1:26">
      <c r="A119" s="116"/>
      <c r="B119" s="216" t="s">
        <v>815</v>
      </c>
      <c r="C119" s="217"/>
      <c r="D119" s="217"/>
      <c r="E119" s="217"/>
      <c r="F119" s="217"/>
      <c r="G119" s="217"/>
      <c r="H119" s="217"/>
      <c r="I119" s="217"/>
      <c r="J119" s="217"/>
      <c r="K119" s="420"/>
      <c r="L119" s="217"/>
      <c r="M119" s="217"/>
      <c r="N119" s="217"/>
      <c r="O119" s="217"/>
      <c r="P119" s="217"/>
      <c r="Q119" s="217"/>
      <c r="R119" s="217"/>
      <c r="S119" s="217"/>
      <c r="T119" s="217"/>
      <c r="U119" s="217"/>
      <c r="V119" s="217"/>
      <c r="W119" s="217"/>
      <c r="X119" s="217"/>
    </row>
    <row r="120" spans="1:26" hidden="1" outlineLevel="1">
      <c r="A120" s="416"/>
      <c r="B120" s="206" t="s">
        <v>521</v>
      </c>
      <c r="C120" s="208"/>
      <c r="D120" s="208"/>
      <c r="E120" s="208"/>
      <c r="F120" s="208"/>
      <c r="G120" s="208"/>
      <c r="H120" s="231"/>
      <c r="I120" s="223"/>
      <c r="J120" s="223"/>
      <c r="K120" s="223">
        <v>1</v>
      </c>
      <c r="L120" s="223">
        <f>K120</f>
        <v>1</v>
      </c>
      <c r="M120" s="223">
        <f t="shared" ref="M120:X122" si="191">L120</f>
        <v>1</v>
      </c>
      <c r="N120" s="223">
        <f t="shared" si="191"/>
        <v>1</v>
      </c>
      <c r="O120" s="223">
        <f t="shared" si="191"/>
        <v>1</v>
      </c>
      <c r="P120" s="223">
        <f t="shared" si="191"/>
        <v>1</v>
      </c>
      <c r="Q120" s="223">
        <f t="shared" si="191"/>
        <v>1</v>
      </c>
      <c r="R120" s="223">
        <f t="shared" si="191"/>
        <v>1</v>
      </c>
      <c r="S120" s="223">
        <f t="shared" si="191"/>
        <v>1</v>
      </c>
      <c r="T120" s="223">
        <f t="shared" si="191"/>
        <v>1</v>
      </c>
      <c r="U120" s="223">
        <f t="shared" si="191"/>
        <v>1</v>
      </c>
      <c r="V120" s="223">
        <f t="shared" si="191"/>
        <v>1</v>
      </c>
      <c r="W120" s="223">
        <f t="shared" si="191"/>
        <v>1</v>
      </c>
      <c r="X120" s="223">
        <f t="shared" si="191"/>
        <v>1</v>
      </c>
    </row>
    <row r="121" spans="1:26" hidden="1" outlineLevel="1">
      <c r="A121" s="416"/>
      <c r="B121" s="206" t="s">
        <v>500</v>
      </c>
      <c r="C121" s="208"/>
      <c r="D121" s="208"/>
      <c r="E121" s="208"/>
      <c r="F121" s="208"/>
      <c r="G121" s="208"/>
      <c r="H121" s="231"/>
      <c r="I121" s="223"/>
      <c r="J121" s="223"/>
      <c r="K121" s="223">
        <f>'US MS Market Model'!K116</f>
        <v>0.4</v>
      </c>
      <c r="L121" s="223">
        <f>'US MS Market Model'!L116</f>
        <v>0.65</v>
      </c>
      <c r="M121" s="223">
        <f>'US MS Market Model'!M116</f>
        <v>0.75</v>
      </c>
      <c r="N121" s="223">
        <f>'US MS Market Model'!N116</f>
        <v>0.8</v>
      </c>
      <c r="O121" s="223">
        <f>'US MS Market Model'!O116</f>
        <v>0.85</v>
      </c>
      <c r="P121" s="223">
        <f>'US MS Market Model'!P116</f>
        <v>0.85</v>
      </c>
      <c r="Q121" s="223">
        <f>'US MS Market Model'!Q116</f>
        <v>0.85</v>
      </c>
      <c r="R121" s="223">
        <f>'US MS Market Model'!R116</f>
        <v>0.85</v>
      </c>
      <c r="S121" s="223">
        <f>'US MS Market Model'!S116</f>
        <v>0.85</v>
      </c>
      <c r="T121" s="223">
        <f>'US MS Market Model'!T116</f>
        <v>0.85</v>
      </c>
      <c r="U121" s="223">
        <f>'US MS Market Model'!U116</f>
        <v>0.85</v>
      </c>
      <c r="V121" s="223">
        <f>'US MS Market Model'!V116</f>
        <v>0.85</v>
      </c>
      <c r="W121" s="223">
        <f>'US MS Market Model'!W116</f>
        <v>0.85</v>
      </c>
      <c r="X121" s="223">
        <f>'US MS Market Model'!X116</f>
        <v>0.85</v>
      </c>
    </row>
    <row r="122" spans="1:26" hidden="1" outlineLevel="1">
      <c r="A122" s="416"/>
      <c r="B122" s="206" t="s">
        <v>522</v>
      </c>
      <c r="C122" s="208"/>
      <c r="D122" s="208"/>
      <c r="E122" s="208"/>
      <c r="F122" s="208"/>
      <c r="G122" s="208"/>
      <c r="H122" s="231"/>
      <c r="I122" s="223"/>
      <c r="J122" s="223"/>
      <c r="K122" s="223">
        <v>0.3</v>
      </c>
      <c r="L122" s="223">
        <v>0.45</v>
      </c>
      <c r="M122" s="223">
        <v>0.55000000000000004</v>
      </c>
      <c r="N122" s="223">
        <v>0.6</v>
      </c>
      <c r="O122" s="223">
        <v>0.65</v>
      </c>
      <c r="P122" s="223">
        <f>O122</f>
        <v>0.65</v>
      </c>
      <c r="Q122" s="223">
        <f t="shared" si="191"/>
        <v>0.65</v>
      </c>
      <c r="R122" s="223">
        <f t="shared" si="191"/>
        <v>0.65</v>
      </c>
      <c r="S122" s="223">
        <f t="shared" si="191"/>
        <v>0.65</v>
      </c>
      <c r="T122" s="223">
        <f t="shared" si="191"/>
        <v>0.65</v>
      </c>
      <c r="U122" s="223">
        <f t="shared" si="191"/>
        <v>0.65</v>
      </c>
      <c r="V122" s="223">
        <f t="shared" si="191"/>
        <v>0.65</v>
      </c>
      <c r="W122" s="223">
        <f t="shared" si="191"/>
        <v>0.65</v>
      </c>
      <c r="X122" s="223">
        <f t="shared" si="191"/>
        <v>0.65</v>
      </c>
    </row>
    <row r="123" spans="1:26" collapsed="1">
      <c r="A123" s="210" t="s">
        <v>523</v>
      </c>
      <c r="B123" s="211" t="s">
        <v>809</v>
      </c>
      <c r="C123" s="208"/>
      <c r="D123" s="208"/>
      <c r="E123" s="208"/>
      <c r="F123" s="208"/>
      <c r="G123" s="208"/>
      <c r="H123" s="231"/>
      <c r="I123" s="224"/>
      <c r="J123" s="224"/>
      <c r="K123" s="224">
        <f t="shared" ref="K123:X123" si="192">CHOOSE($E$1,K120,K121,K122)</f>
        <v>0.4</v>
      </c>
      <c r="L123" s="224">
        <f t="shared" si="192"/>
        <v>0.65</v>
      </c>
      <c r="M123" s="224">
        <f t="shared" si="192"/>
        <v>0.75</v>
      </c>
      <c r="N123" s="224">
        <f t="shared" si="192"/>
        <v>0.8</v>
      </c>
      <c r="O123" s="224">
        <f t="shared" si="192"/>
        <v>0.85</v>
      </c>
      <c r="P123" s="224">
        <f t="shared" si="192"/>
        <v>0.85</v>
      </c>
      <c r="Q123" s="224">
        <f t="shared" si="192"/>
        <v>0.85</v>
      </c>
      <c r="R123" s="224">
        <f t="shared" si="192"/>
        <v>0.85</v>
      </c>
      <c r="S123" s="224">
        <f t="shared" si="192"/>
        <v>0.85</v>
      </c>
      <c r="T123" s="224">
        <f t="shared" si="192"/>
        <v>0.85</v>
      </c>
      <c r="U123" s="224">
        <f t="shared" si="192"/>
        <v>0.85</v>
      </c>
      <c r="V123" s="224">
        <f t="shared" si="192"/>
        <v>0.85</v>
      </c>
      <c r="W123" s="224">
        <f t="shared" si="192"/>
        <v>0.85</v>
      </c>
      <c r="X123" s="224">
        <f t="shared" si="192"/>
        <v>0.85</v>
      </c>
    </row>
    <row r="124" spans="1:26">
      <c r="A124" s="116"/>
      <c r="B124" s="203" t="s">
        <v>75</v>
      </c>
      <c r="G124" s="125">
        <f>1-G123</f>
        <v>1</v>
      </c>
      <c r="H124" s="125">
        <f t="shared" ref="H124:X124" si="193">1-H123</f>
        <v>1</v>
      </c>
      <c r="I124" s="125">
        <f t="shared" si="193"/>
        <v>1</v>
      </c>
      <c r="J124" s="125">
        <f t="shared" si="193"/>
        <v>1</v>
      </c>
      <c r="K124" s="125">
        <f t="shared" si="193"/>
        <v>0.6</v>
      </c>
      <c r="L124" s="125">
        <f t="shared" si="193"/>
        <v>0.35</v>
      </c>
      <c r="M124" s="125">
        <f t="shared" si="193"/>
        <v>0.25</v>
      </c>
      <c r="N124" s="125">
        <f t="shared" si="193"/>
        <v>0.19999999999999996</v>
      </c>
      <c r="O124" s="125">
        <f t="shared" si="193"/>
        <v>0.15000000000000002</v>
      </c>
      <c r="P124" s="125">
        <f t="shared" si="193"/>
        <v>0.15000000000000002</v>
      </c>
      <c r="Q124" s="125">
        <f t="shared" si="193"/>
        <v>0.15000000000000002</v>
      </c>
      <c r="R124" s="125">
        <f t="shared" si="193"/>
        <v>0.15000000000000002</v>
      </c>
      <c r="S124" s="125">
        <f t="shared" si="193"/>
        <v>0.15000000000000002</v>
      </c>
      <c r="T124" s="125">
        <f t="shared" si="193"/>
        <v>0.15000000000000002</v>
      </c>
      <c r="U124" s="125">
        <f t="shared" si="193"/>
        <v>0.15000000000000002</v>
      </c>
      <c r="V124" s="125">
        <f t="shared" si="193"/>
        <v>0.15000000000000002</v>
      </c>
      <c r="W124" s="125">
        <f t="shared" si="193"/>
        <v>0.15000000000000002</v>
      </c>
      <c r="X124" s="125">
        <f t="shared" si="193"/>
        <v>0.15000000000000002</v>
      </c>
      <c r="Y124" s="125"/>
    </row>
    <row r="125" spans="1:26">
      <c r="A125" s="116"/>
      <c r="B125" s="203"/>
      <c r="G125" s="125"/>
      <c r="H125" s="125"/>
      <c r="I125" s="125"/>
      <c r="J125" s="125"/>
      <c r="K125" s="125"/>
      <c r="L125" s="125"/>
      <c r="M125" s="125"/>
      <c r="N125" s="125"/>
      <c r="O125" s="125"/>
      <c r="P125" s="125"/>
      <c r="Q125" s="125"/>
      <c r="R125" s="125"/>
      <c r="S125" s="125"/>
      <c r="T125" s="125"/>
      <c r="U125" s="125"/>
      <c r="V125" s="125"/>
      <c r="W125" s="125"/>
      <c r="X125" s="125"/>
      <c r="Y125" s="125"/>
    </row>
    <row r="126" spans="1:26">
      <c r="A126" s="116"/>
      <c r="B126" s="203"/>
      <c r="G126" s="125"/>
      <c r="H126" s="125"/>
      <c r="I126" s="125"/>
      <c r="J126" s="125"/>
      <c r="K126" s="125"/>
      <c r="L126" s="125"/>
      <c r="M126" s="125"/>
      <c r="N126" s="125"/>
      <c r="O126" s="125"/>
      <c r="P126" s="125"/>
      <c r="Q126" s="125"/>
      <c r="R126" s="125"/>
      <c r="S126" s="125"/>
      <c r="T126" s="125"/>
      <c r="U126" s="125"/>
      <c r="V126" s="125"/>
      <c r="W126" s="125"/>
      <c r="X126" s="125"/>
      <c r="Y126" s="125"/>
    </row>
    <row r="127" spans="1:26">
      <c r="B127" s="216" t="s">
        <v>233</v>
      </c>
      <c r="C127" s="216">
        <f>C3</f>
        <v>2009</v>
      </c>
      <c r="D127" s="216">
        <f t="shared" ref="D127:X127" si="194">D3</f>
        <v>2010</v>
      </c>
      <c r="E127" s="216">
        <f t="shared" si="194"/>
        <v>2011</v>
      </c>
      <c r="F127" s="216">
        <f t="shared" si="194"/>
        <v>2012</v>
      </c>
      <c r="G127" s="216">
        <f t="shared" si="194"/>
        <v>2013</v>
      </c>
      <c r="H127" s="216">
        <f t="shared" si="194"/>
        <v>2014</v>
      </c>
      <c r="I127" s="216">
        <f t="shared" si="194"/>
        <v>2015</v>
      </c>
      <c r="J127" s="216">
        <f t="shared" si="194"/>
        <v>2016</v>
      </c>
      <c r="K127" s="216">
        <f t="shared" si="194"/>
        <v>2017</v>
      </c>
      <c r="L127" s="216">
        <f t="shared" si="194"/>
        <v>2018</v>
      </c>
      <c r="M127" s="216">
        <f t="shared" si="194"/>
        <v>2019</v>
      </c>
      <c r="N127" s="216">
        <f t="shared" si="194"/>
        <v>2020</v>
      </c>
      <c r="O127" s="216">
        <f t="shared" si="194"/>
        <v>2021</v>
      </c>
      <c r="P127" s="216">
        <f t="shared" si="194"/>
        <v>2022</v>
      </c>
      <c r="Q127" s="216">
        <f t="shared" si="194"/>
        <v>2023</v>
      </c>
      <c r="R127" s="216">
        <f t="shared" si="194"/>
        <v>2024</v>
      </c>
      <c r="S127" s="216">
        <f t="shared" si="194"/>
        <v>2025</v>
      </c>
      <c r="T127" s="216">
        <f t="shared" si="194"/>
        <v>2026</v>
      </c>
      <c r="U127" s="216">
        <f t="shared" si="194"/>
        <v>2027</v>
      </c>
      <c r="V127" s="216">
        <f t="shared" si="194"/>
        <v>2028</v>
      </c>
      <c r="W127" s="216">
        <f t="shared" si="194"/>
        <v>2029</v>
      </c>
      <c r="X127" s="216">
        <f t="shared" si="194"/>
        <v>2030</v>
      </c>
    </row>
    <row r="129" spans="1:24">
      <c r="B129" s="219" t="s">
        <v>234</v>
      </c>
      <c r="C129" s="219"/>
      <c r="D129" s="219"/>
      <c r="E129" s="219"/>
      <c r="F129" s="219"/>
      <c r="G129" s="219"/>
      <c r="H129" s="219"/>
      <c r="I129" s="219"/>
      <c r="J129" s="219"/>
      <c r="K129" s="219"/>
      <c r="L129" s="219"/>
      <c r="M129" s="219"/>
      <c r="N129" s="219"/>
      <c r="O129" s="219"/>
      <c r="P129" s="219"/>
      <c r="Q129" s="219"/>
      <c r="R129" s="219"/>
      <c r="S129" s="219"/>
      <c r="T129" s="219"/>
      <c r="U129" s="219"/>
      <c r="V129" s="219"/>
      <c r="W129" s="219"/>
      <c r="X129" s="219"/>
    </row>
    <row r="130" spans="1:24">
      <c r="B130" s="116" t="s">
        <v>235</v>
      </c>
      <c r="C130" s="128">
        <f>C43*(C26+C27)*C24</f>
        <v>77951.027899256849</v>
      </c>
      <c r="D130" s="128">
        <f t="shared" ref="D130:X130" si="195">D43*(D26+D27)*D24</f>
        <v>88808.569458940445</v>
      </c>
      <c r="E130" s="128">
        <f t="shared" si="195"/>
        <v>93813.399638020928</v>
      </c>
      <c r="F130" s="128">
        <f t="shared" si="195"/>
        <v>101168.5872966965</v>
      </c>
      <c r="G130" s="128">
        <f t="shared" si="195"/>
        <v>101756.27778318072</v>
      </c>
      <c r="H130" s="128">
        <f t="shared" si="195"/>
        <v>100702.44276273377</v>
      </c>
      <c r="I130" s="128">
        <f t="shared" si="195"/>
        <v>98151.54582860964</v>
      </c>
      <c r="J130" s="128">
        <f t="shared" si="195"/>
        <v>84117.523654024015</v>
      </c>
      <c r="K130" s="128">
        <f t="shared" si="195"/>
        <v>79458.367393683162</v>
      </c>
      <c r="L130" s="128">
        <f t="shared" si="195"/>
        <v>78612.215066226141</v>
      </c>
      <c r="M130" s="128">
        <f t="shared" si="195"/>
        <v>79384.485049399082</v>
      </c>
      <c r="N130" s="128">
        <f t="shared" si="195"/>
        <v>80283.961774468247</v>
      </c>
      <c r="O130" s="128">
        <f t="shared" si="195"/>
        <v>82153.332526540034</v>
      </c>
      <c r="P130" s="128">
        <f t="shared" si="195"/>
        <v>84200.784969458327</v>
      </c>
      <c r="Q130" s="128">
        <f t="shared" si="195"/>
        <v>86441.69409864601</v>
      </c>
      <c r="R130" s="128">
        <f t="shared" si="195"/>
        <v>89344.032260439053</v>
      </c>
      <c r="S130" s="128">
        <f t="shared" si="195"/>
        <v>92504.355885715369</v>
      </c>
      <c r="T130" s="128">
        <f t="shared" si="195"/>
        <v>95946.528632117886</v>
      </c>
      <c r="U130" s="128">
        <f t="shared" si="195"/>
        <v>99696.658389357763</v>
      </c>
      <c r="V130" s="128">
        <f t="shared" si="195"/>
        <v>104307.46717169204</v>
      </c>
      <c r="W130" s="128">
        <f t="shared" si="195"/>
        <v>109333.8035595814</v>
      </c>
      <c r="X130" s="128">
        <f t="shared" si="195"/>
        <v>114816.33719111251</v>
      </c>
    </row>
    <row r="131" spans="1:24" ht="12.75" hidden="1" customHeight="1" outlineLevel="1">
      <c r="B131" s="232" t="s">
        <v>236</v>
      </c>
      <c r="C131" s="233">
        <v>78009.266823519138</v>
      </c>
      <c r="D131" s="233">
        <v>89161.783921463473</v>
      </c>
      <c r="E131" s="233">
        <v>93719.36077781966</v>
      </c>
      <c r="F131" s="233">
        <v>101174.44349829164</v>
      </c>
      <c r="G131" s="233">
        <v>101763.06394066832</v>
      </c>
      <c r="H131" s="233"/>
      <c r="I131" s="233"/>
      <c r="J131" s="232"/>
      <c r="K131" s="232"/>
      <c r="L131" s="232"/>
      <c r="M131" s="232"/>
      <c r="N131" s="232"/>
      <c r="O131" s="232"/>
      <c r="P131" s="232"/>
      <c r="Q131" s="232"/>
      <c r="R131" s="232"/>
      <c r="S131" s="232"/>
      <c r="T131" s="232"/>
      <c r="U131" s="232"/>
      <c r="V131" s="232"/>
      <c r="W131" s="232"/>
      <c r="X131" s="232"/>
    </row>
    <row r="132" spans="1:24" collapsed="1">
      <c r="B132" s="116" t="s">
        <v>237</v>
      </c>
      <c r="C132" s="123">
        <f>C134*1000000/C130</f>
        <v>11759.947555595216</v>
      </c>
      <c r="D132" s="123">
        <f>D134*1000000/D130</f>
        <v>11561.947301433882</v>
      </c>
      <c r="E132" s="123">
        <f>E134*1000000/E130</f>
        <v>11274.508802379363</v>
      </c>
      <c r="F132" s="123">
        <f>F134*1000000/F130</f>
        <v>11060.745532783962</v>
      </c>
      <c r="G132" s="123">
        <f>F132*(1+G133)</f>
        <v>10839.530622128283</v>
      </c>
      <c r="H132" s="123">
        <f t="shared" ref="H132:M132" si="196">G132*(1+H133)</f>
        <v>10622.740009685716</v>
      </c>
      <c r="I132" s="123">
        <f t="shared" si="196"/>
        <v>10304.057809395144</v>
      </c>
      <c r="J132" s="123">
        <f t="shared" si="196"/>
        <v>9788.8549189253863</v>
      </c>
      <c r="K132" s="123">
        <f t="shared" si="196"/>
        <v>9495.1892713576253</v>
      </c>
      <c r="L132" s="123">
        <f t="shared" si="196"/>
        <v>9210.3335932168957</v>
      </c>
      <c r="M132" s="123">
        <f t="shared" si="196"/>
        <v>8565.6102416917129</v>
      </c>
      <c r="N132" s="123">
        <f>M132*(1+N133)</f>
        <v>7966.0175247732923</v>
      </c>
      <c r="O132" s="123">
        <f t="shared" ref="O132:X132" si="197">N132*(1+O133)</f>
        <v>7408.3962980391616</v>
      </c>
      <c r="P132" s="123">
        <f t="shared" si="197"/>
        <v>6889.8085571764195</v>
      </c>
      <c r="Q132" s="123">
        <f t="shared" si="197"/>
        <v>6407.5219581740694</v>
      </c>
      <c r="R132" s="123">
        <f t="shared" si="197"/>
        <v>5958.9954211018839</v>
      </c>
      <c r="S132" s="123">
        <f t="shared" si="197"/>
        <v>5541.8657416247515</v>
      </c>
      <c r="T132" s="123">
        <f t="shared" si="197"/>
        <v>5153.9351397110186</v>
      </c>
      <c r="U132" s="123">
        <f t="shared" si="197"/>
        <v>4793.1596799312465</v>
      </c>
      <c r="V132" s="123">
        <f t="shared" si="197"/>
        <v>4457.638502336059</v>
      </c>
      <c r="W132" s="123">
        <f t="shared" si="197"/>
        <v>4145.6038071725343</v>
      </c>
      <c r="X132" s="123">
        <f t="shared" si="197"/>
        <v>3855.4115406704568</v>
      </c>
    </row>
    <row r="133" spans="1:24" s="196" customFormat="1">
      <c r="A133" s="241"/>
      <c r="B133" s="197" t="s">
        <v>238</v>
      </c>
      <c r="D133" s="234">
        <f>D132/C132-1</f>
        <v>-1.6836831391065843E-2</v>
      </c>
      <c r="E133" s="234">
        <f>E132/D132-1</f>
        <v>-2.4860734231064274E-2</v>
      </c>
      <c r="F133" s="234">
        <f>F132/E132-1</f>
        <v>-1.8959874291843981E-2</v>
      </c>
      <c r="G133" s="235">
        <v>-0.02</v>
      </c>
      <c r="H133" s="236">
        <f t="shared" ref="H133:N133" si="198">G133</f>
        <v>-0.02</v>
      </c>
      <c r="I133" s="235">
        <v>-0.03</v>
      </c>
      <c r="J133" s="235">
        <v>-0.05</v>
      </c>
      <c r="K133" s="236">
        <v>-0.03</v>
      </c>
      <c r="L133" s="236">
        <f t="shared" si="198"/>
        <v>-0.03</v>
      </c>
      <c r="M133" s="235">
        <v>-7.0000000000000007E-2</v>
      </c>
      <c r="N133" s="236">
        <f t="shared" si="198"/>
        <v>-7.0000000000000007E-2</v>
      </c>
      <c r="O133" s="236">
        <f t="shared" ref="O133" si="199">N133</f>
        <v>-7.0000000000000007E-2</v>
      </c>
      <c r="P133" s="236">
        <f t="shared" ref="P133" si="200">O133</f>
        <v>-7.0000000000000007E-2</v>
      </c>
      <c r="Q133" s="236">
        <f t="shared" ref="Q133" si="201">P133</f>
        <v>-7.0000000000000007E-2</v>
      </c>
      <c r="R133" s="236">
        <f t="shared" ref="R133" si="202">Q133</f>
        <v>-7.0000000000000007E-2</v>
      </c>
      <c r="S133" s="236">
        <f t="shared" ref="S133" si="203">R133</f>
        <v>-7.0000000000000007E-2</v>
      </c>
      <c r="T133" s="236">
        <f t="shared" ref="T133" si="204">S133</f>
        <v>-7.0000000000000007E-2</v>
      </c>
      <c r="U133" s="236">
        <f t="shared" ref="U133" si="205">T133</f>
        <v>-7.0000000000000007E-2</v>
      </c>
      <c r="V133" s="236">
        <f t="shared" ref="V133" si="206">U133</f>
        <v>-7.0000000000000007E-2</v>
      </c>
      <c r="W133" s="236">
        <f t="shared" ref="W133" si="207">V133</f>
        <v>-7.0000000000000007E-2</v>
      </c>
      <c r="X133" s="236">
        <f t="shared" ref="X133" si="208">W133</f>
        <v>-7.0000000000000007E-2</v>
      </c>
    </row>
    <row r="134" spans="1:24">
      <c r="B134" s="237" t="s">
        <v>248</v>
      </c>
      <c r="C134" s="238">
        <v>916.7</v>
      </c>
      <c r="D134" s="238">
        <v>1026.8</v>
      </c>
      <c r="E134" s="238">
        <v>1057.7</v>
      </c>
      <c r="F134" s="238">
        <v>1119</v>
      </c>
      <c r="G134" s="238">
        <f t="shared" ref="G134:X134" si="209">G132*G130/1000000</f>
        <v>1102.9902890245794</v>
      </c>
      <c r="H134" s="238">
        <f t="shared" si="209"/>
        <v>1069.7358678087778</v>
      </c>
      <c r="I134" s="238">
        <f>I132*I130/1000000-50</f>
        <v>961.35920229949056</v>
      </c>
      <c r="J134" s="238">
        <f t="shared" si="209"/>
        <v>823.41423518851559</v>
      </c>
      <c r="K134" s="238">
        <f t="shared" si="209"/>
        <v>754.4722375960929</v>
      </c>
      <c r="L134" s="238">
        <f t="shared" si="209"/>
        <v>724.04472526165398</v>
      </c>
      <c r="M134" s="238">
        <f t="shared" si="209"/>
        <v>679.97655817055545</v>
      </c>
      <c r="N134" s="238">
        <f t="shared" si="209"/>
        <v>639.54344645364324</v>
      </c>
      <c r="O134" s="238">
        <f t="shared" si="209"/>
        <v>608.62444456119943</v>
      </c>
      <c r="P134" s="238">
        <f t="shared" si="209"/>
        <v>580.12728880354564</v>
      </c>
      <c r="Q134" s="238">
        <f t="shared" si="209"/>
        <v>553.87705303884013</v>
      </c>
      <c r="R134" s="238">
        <f t="shared" si="209"/>
        <v>532.40067914273527</v>
      </c>
      <c r="S134" s="238">
        <f t="shared" si="209"/>
        <v>512.64672083410994</v>
      </c>
      <c r="T134" s="238">
        <f t="shared" si="209"/>
        <v>494.50218545036171</v>
      </c>
      <c r="U134" s="238">
        <f t="shared" si="209"/>
        <v>477.86200321574887</v>
      </c>
      <c r="V134" s="238">
        <f t="shared" si="209"/>
        <v>464.96498174568899</v>
      </c>
      <c r="W134" s="238">
        <f t="shared" si="209"/>
        <v>453.25463228925463</v>
      </c>
      <c r="X134" s="238">
        <f t="shared" si="209"/>
        <v>442.66423146412575</v>
      </c>
    </row>
    <row r="135" spans="1:24">
      <c r="H135" s="128"/>
    </row>
    <row r="136" spans="1:24">
      <c r="B136" s="219" t="s">
        <v>227</v>
      </c>
      <c r="C136" s="219"/>
      <c r="D136" s="219"/>
      <c r="E136" s="219"/>
      <c r="F136" s="219"/>
      <c r="G136" s="219"/>
      <c r="H136" s="219"/>
      <c r="I136" s="219"/>
      <c r="J136" s="219"/>
      <c r="K136" s="219"/>
      <c r="L136" s="219"/>
      <c r="M136" s="219"/>
      <c r="N136" s="219"/>
      <c r="O136" s="219"/>
      <c r="P136" s="219"/>
      <c r="Q136" s="219"/>
      <c r="R136" s="219"/>
      <c r="S136" s="219"/>
      <c r="T136" s="219"/>
      <c r="U136" s="219"/>
      <c r="V136" s="219"/>
      <c r="W136" s="219"/>
      <c r="X136" s="219"/>
    </row>
    <row r="137" spans="1:24">
      <c r="B137" s="116" t="s">
        <v>235</v>
      </c>
      <c r="C137" s="128">
        <f>(C103+C84)*C31+C48*(C30+C29)</f>
        <v>21366.18516247872</v>
      </c>
      <c r="D137" s="128">
        <f t="shared" ref="D137:X137" si="210">(D103+D84)*D31+D48*(D30+D29)</f>
        <v>27896.61155140353</v>
      </c>
      <c r="E137" s="128">
        <f t="shared" si="210"/>
        <v>33365.229205681273</v>
      </c>
      <c r="F137" s="128">
        <f t="shared" si="210"/>
        <v>37882.716564551862</v>
      </c>
      <c r="G137" s="128">
        <f t="shared" si="210"/>
        <v>40766.458884500906</v>
      </c>
      <c r="H137" s="128">
        <f t="shared" si="210"/>
        <v>44924.293167751428</v>
      </c>
      <c r="I137" s="128">
        <f t="shared" si="210"/>
        <v>46526.618486675972</v>
      </c>
      <c r="J137" s="128">
        <f t="shared" si="210"/>
        <v>47604.553240838839</v>
      </c>
      <c r="K137" s="128">
        <f t="shared" si="210"/>
        <v>48548.705599941168</v>
      </c>
      <c r="L137" s="128">
        <f t="shared" si="210"/>
        <v>49304.518305438534</v>
      </c>
      <c r="M137" s="128">
        <f t="shared" si="210"/>
        <v>47981.562704798758</v>
      </c>
      <c r="N137" s="128">
        <f t="shared" si="210"/>
        <v>48163.778107648119</v>
      </c>
      <c r="O137" s="128">
        <f t="shared" si="210"/>
        <v>48907.983643424508</v>
      </c>
      <c r="P137" s="128">
        <f t="shared" si="210"/>
        <v>49920.095998712677</v>
      </c>
      <c r="Q137" s="128">
        <f t="shared" si="210"/>
        <v>51187.865781419969</v>
      </c>
      <c r="R137" s="128">
        <f t="shared" si="210"/>
        <v>52704.916306830055</v>
      </c>
      <c r="S137" s="128">
        <f t="shared" si="210"/>
        <v>54470.020516184391</v>
      </c>
      <c r="T137" s="128">
        <f t="shared" si="210"/>
        <v>56486.55210945729</v>
      </c>
      <c r="U137" s="128">
        <f t="shared" si="210"/>
        <v>58762.081898350254</v>
      </c>
      <c r="V137" s="128">
        <f t="shared" si="210"/>
        <v>61308.09630047965</v>
      </c>
      <c r="W137" s="128">
        <f t="shared" si="210"/>
        <v>64139.819726465808</v>
      </c>
      <c r="X137" s="128">
        <f t="shared" si="210"/>
        <v>67276.126569491316</v>
      </c>
    </row>
    <row r="138" spans="1:24" ht="12.75" hidden="1" customHeight="1" outlineLevel="1">
      <c r="B138" s="232" t="s">
        <v>236</v>
      </c>
      <c r="C138" s="233">
        <v>21350</v>
      </c>
      <c r="D138" s="233">
        <v>28050</v>
      </c>
      <c r="E138" s="233">
        <v>33225</v>
      </c>
      <c r="F138" s="233">
        <v>37525</v>
      </c>
      <c r="G138" s="233">
        <v>36697.507190795783</v>
      </c>
      <c r="H138" s="233"/>
      <c r="I138" s="233"/>
      <c r="J138" s="232"/>
      <c r="K138" s="232"/>
      <c r="L138" s="232"/>
      <c r="M138" s="232"/>
      <c r="N138" s="232"/>
      <c r="O138" s="232"/>
      <c r="P138" s="232"/>
      <c r="Q138" s="232"/>
      <c r="R138" s="232"/>
      <c r="S138" s="232"/>
      <c r="T138" s="232"/>
      <c r="U138" s="232"/>
      <c r="V138" s="232"/>
      <c r="W138" s="232"/>
      <c r="X138" s="232"/>
    </row>
    <row r="139" spans="1:24" collapsed="1">
      <c r="B139" s="116" t="s">
        <v>237</v>
      </c>
      <c r="C139" s="123">
        <f>C141*1000000/C137</f>
        <v>25788.412662809562</v>
      </c>
      <c r="D139" s="123">
        <f>D141*1000000/D137</f>
        <v>22834.31444088597</v>
      </c>
      <c r="E139" s="123">
        <f>E141*1000000/E137</f>
        <v>22898.089363939082</v>
      </c>
      <c r="F139" s="123">
        <f>F141*1000000/F137</f>
        <v>19665.960299613827</v>
      </c>
      <c r="G139" s="123">
        <f>F139*(1+G140)</f>
        <v>17514.504242836076</v>
      </c>
      <c r="H139" s="123">
        <f t="shared" ref="H139:N139" si="211">G139*(1+H140)</f>
        <v>19616.244751976406</v>
      </c>
      <c r="I139" s="123">
        <f t="shared" si="211"/>
        <v>16673.808039179945</v>
      </c>
      <c r="J139" s="123">
        <f t="shared" si="211"/>
        <v>16590.438998984046</v>
      </c>
      <c r="K139" s="123">
        <f t="shared" si="211"/>
        <v>16341.582413999286</v>
      </c>
      <c r="L139" s="123">
        <f t="shared" si="211"/>
        <v>15851.334941579307</v>
      </c>
      <c r="M139" s="123">
        <f t="shared" si="211"/>
        <v>15375.794893331928</v>
      </c>
      <c r="N139" s="123">
        <f t="shared" si="211"/>
        <v>14914.521046531969</v>
      </c>
      <c r="O139" s="123">
        <f t="shared" ref="O139" si="212">N139*(1+O140)</f>
        <v>14467.085415136009</v>
      </c>
      <c r="P139" s="123">
        <f t="shared" ref="P139" si="213">O139*(1+P140)</f>
        <v>14033.072852681928</v>
      </c>
      <c r="Q139" s="123">
        <f t="shared" ref="Q139" si="214">P139*(1+Q140)</f>
        <v>13612.080667101469</v>
      </c>
      <c r="R139" s="123">
        <f t="shared" ref="R139" si="215">Q139*(1+R140)</f>
        <v>13203.718247088424</v>
      </c>
      <c r="S139" s="123">
        <f t="shared" ref="S139" si="216">R139*(1+S140)</f>
        <v>12807.606699675771</v>
      </c>
      <c r="T139" s="123">
        <f t="shared" ref="T139" si="217">S139*(1+T140)</f>
        <v>12423.378498685497</v>
      </c>
      <c r="U139" s="123">
        <f t="shared" ref="U139" si="218">T139*(1+U140)</f>
        <v>12050.677143724932</v>
      </c>
      <c r="V139" s="123">
        <f t="shared" ref="V139" si="219">U139*(1+V140)</f>
        <v>11689.156829413183</v>
      </c>
      <c r="W139" s="123">
        <f t="shared" ref="W139" si="220">V139*(1+W140)</f>
        <v>11338.482124530787</v>
      </c>
      <c r="X139" s="123">
        <f t="shared" ref="X139" si="221">W139*(1+X140)</f>
        <v>10998.327660794863</v>
      </c>
    </row>
    <row r="140" spans="1:24">
      <c r="B140" s="197" t="s">
        <v>238</v>
      </c>
      <c r="C140" s="196"/>
      <c r="D140" s="234">
        <f>D139/C139-1</f>
        <v>-0.11455137858034237</v>
      </c>
      <c r="E140" s="234">
        <f>E139/D139-1</f>
        <v>2.7929423157508904E-3</v>
      </c>
      <c r="F140" s="234">
        <f>F139/E139-1</f>
        <v>-0.14115278410151344</v>
      </c>
      <c r="G140" s="235">
        <v>-0.1094</v>
      </c>
      <c r="H140" s="235">
        <v>0.12</v>
      </c>
      <c r="I140" s="235">
        <v>-0.15</v>
      </c>
      <c r="J140" s="235">
        <v>-5.0000000000000001E-3</v>
      </c>
      <c r="K140" s="236">
        <v>-1.4999999999999999E-2</v>
      </c>
      <c r="L140" s="236">
        <v>-0.03</v>
      </c>
      <c r="M140" s="236">
        <f t="shared" ref="M140:N140" si="222">L140</f>
        <v>-0.03</v>
      </c>
      <c r="N140" s="236">
        <f t="shared" si="222"/>
        <v>-0.03</v>
      </c>
      <c r="O140" s="236">
        <f t="shared" ref="O140" si="223">N140</f>
        <v>-0.03</v>
      </c>
      <c r="P140" s="236">
        <f t="shared" ref="P140" si="224">O140</f>
        <v>-0.03</v>
      </c>
      <c r="Q140" s="236">
        <f t="shared" ref="Q140" si="225">P140</f>
        <v>-0.03</v>
      </c>
      <c r="R140" s="236">
        <f t="shared" ref="R140" si="226">Q140</f>
        <v>-0.03</v>
      </c>
      <c r="S140" s="236">
        <f t="shared" ref="S140" si="227">R140</f>
        <v>-0.03</v>
      </c>
      <c r="T140" s="236">
        <f t="shared" ref="T140" si="228">S140</f>
        <v>-0.03</v>
      </c>
      <c r="U140" s="236">
        <f t="shared" ref="U140" si="229">T140</f>
        <v>-0.03</v>
      </c>
      <c r="V140" s="236">
        <f t="shared" ref="V140" si="230">U140</f>
        <v>-0.03</v>
      </c>
      <c r="W140" s="236">
        <f t="shared" ref="W140" si="231">V140</f>
        <v>-0.03</v>
      </c>
      <c r="X140" s="236">
        <f t="shared" ref="X140" si="232">W140</f>
        <v>-0.03</v>
      </c>
    </row>
    <row r="141" spans="1:24">
      <c r="B141" s="237" t="s">
        <v>251</v>
      </c>
      <c r="C141" s="238">
        <v>551</v>
      </c>
      <c r="D141" s="238">
        <v>637</v>
      </c>
      <c r="E141" s="238">
        <v>764</v>
      </c>
      <c r="F141" s="238">
        <v>745</v>
      </c>
      <c r="G141" s="238">
        <f>G139*G137/1000000</f>
        <v>714.00431709799352</v>
      </c>
      <c r="H141" s="238">
        <f t="shared" ref="H141:X141" si="233">H139*H137/1000000</f>
        <v>881.2459300881535</v>
      </c>
      <c r="I141" s="238">
        <f t="shared" si="233"/>
        <v>775.77590535899606</v>
      </c>
      <c r="J141" s="238">
        <f t="shared" si="233"/>
        <v>789.78043661602499</v>
      </c>
      <c r="K141" s="238">
        <f>K139*K137/1000000+45</f>
        <v>838.36267365442723</v>
      </c>
      <c r="L141" s="238">
        <f t="shared" si="233"/>
        <v>781.54243379273441</v>
      </c>
      <c r="M141" s="238">
        <f t="shared" si="233"/>
        <v>737.75466681053047</v>
      </c>
      <c r="N141" s="238">
        <f t="shared" si="233"/>
        <v>718.33968226701359</v>
      </c>
      <c r="O141" s="238">
        <f t="shared" si="233"/>
        <v>707.55597685149712</v>
      </c>
      <c r="P141" s="238">
        <f t="shared" si="233"/>
        <v>700.53234396281061</v>
      </c>
      <c r="Q141" s="238">
        <f t="shared" si="233"/>
        <v>696.77335819345149</v>
      </c>
      <c r="R141" s="238">
        <f t="shared" si="233"/>
        <v>695.90086515176017</v>
      </c>
      <c r="S141" s="238">
        <f t="shared" si="233"/>
        <v>697.63059969455992</v>
      </c>
      <c r="T141" s="238">
        <f t="shared" si="233"/>
        <v>701.75381694150963</v>
      </c>
      <c r="U141" s="238">
        <f t="shared" si="233"/>
        <v>708.12287725014198</v>
      </c>
      <c r="V141" s="238">
        <f t="shared" si="233"/>
        <v>716.63995256907288</v>
      </c>
      <c r="W141" s="238">
        <f t="shared" si="233"/>
        <v>727.24819943915975</v>
      </c>
      <c r="X141" s="238">
        <f t="shared" si="233"/>
        <v>739.9248837603725</v>
      </c>
    </row>
    <row r="143" spans="1:24">
      <c r="B143" s="219" t="s">
        <v>87</v>
      </c>
      <c r="C143" s="219"/>
      <c r="D143" s="219"/>
      <c r="E143" s="219"/>
      <c r="F143" s="219"/>
      <c r="G143" s="219"/>
      <c r="H143" s="219"/>
      <c r="I143" s="219"/>
      <c r="J143" s="219"/>
      <c r="K143" s="219"/>
      <c r="L143" s="219"/>
      <c r="M143" s="219"/>
      <c r="N143" s="219"/>
      <c r="O143" s="219"/>
      <c r="P143" s="219"/>
      <c r="Q143" s="219"/>
      <c r="R143" s="219"/>
      <c r="S143" s="219"/>
      <c r="T143" s="219"/>
      <c r="U143" s="219"/>
      <c r="V143" s="219"/>
      <c r="W143" s="219"/>
      <c r="X143" s="219"/>
    </row>
    <row r="144" spans="1:24">
      <c r="B144" s="116" t="s">
        <v>235</v>
      </c>
      <c r="C144" s="128"/>
      <c r="D144" s="128"/>
      <c r="E144" s="128"/>
      <c r="F144" s="128"/>
      <c r="G144" s="128">
        <f>(G108+G88)*G31+G58*(G29+G30)</f>
        <v>682.35156320202111</v>
      </c>
      <c r="H144" s="128">
        <f t="shared" ref="H144:X144" si="234">(H108+H88)*H31+H58*(H29+H30)</f>
        <v>34524.765266052113</v>
      </c>
      <c r="I144" s="128">
        <f t="shared" si="234"/>
        <v>62489.090673071463</v>
      </c>
      <c r="J144" s="128">
        <f t="shared" si="234"/>
        <v>73150.314077924311</v>
      </c>
      <c r="K144" s="128">
        <f t="shared" si="234"/>
        <v>84978.169047500705</v>
      </c>
      <c r="L144" s="128">
        <f t="shared" si="234"/>
        <v>96266.289771993135</v>
      </c>
      <c r="M144" s="128">
        <f t="shared" si="234"/>
        <v>100758.50306904901</v>
      </c>
      <c r="N144" s="128">
        <f t="shared" si="234"/>
        <v>105406.42553441775</v>
      </c>
      <c r="O144" s="128">
        <f t="shared" si="234"/>
        <v>108926.81641812348</v>
      </c>
      <c r="P144" s="128">
        <f t="shared" si="234"/>
        <v>112675.69611112014</v>
      </c>
      <c r="Q144" s="128">
        <f t="shared" si="234"/>
        <v>116678.06477795081</v>
      </c>
      <c r="R144" s="128">
        <f t="shared" si="234"/>
        <v>123162.45724217049</v>
      </c>
      <c r="S144" s="128">
        <f t="shared" si="234"/>
        <v>93903.252559618995</v>
      </c>
      <c r="T144" s="128">
        <f t="shared" si="234"/>
        <v>54518.329295934091</v>
      </c>
      <c r="U144" s="128">
        <f t="shared" si="234"/>
        <v>22026.698146321087</v>
      </c>
      <c r="V144" s="128">
        <f t="shared" si="234"/>
        <v>13158.553864295114</v>
      </c>
      <c r="W144" s="128">
        <f t="shared" si="234"/>
        <v>11742.908385549315</v>
      </c>
      <c r="X144" s="128">
        <f t="shared" si="234"/>
        <v>11943.999220108575</v>
      </c>
    </row>
    <row r="145" spans="1:24" ht="12.75" hidden="1" customHeight="1" outlineLevel="1">
      <c r="B145" s="232" t="s">
        <v>236</v>
      </c>
      <c r="C145" s="233"/>
      <c r="D145" s="233"/>
      <c r="E145" s="233"/>
      <c r="F145" s="233"/>
      <c r="G145" s="233"/>
      <c r="H145" s="233"/>
      <c r="I145" s="233"/>
      <c r="J145" s="232"/>
      <c r="K145" s="232"/>
      <c r="L145" s="232"/>
      <c r="M145" s="232"/>
      <c r="N145" s="232"/>
      <c r="O145" s="232"/>
      <c r="P145" s="232"/>
      <c r="Q145" s="232"/>
      <c r="R145" s="232"/>
      <c r="S145" s="232"/>
      <c r="T145" s="232"/>
      <c r="U145" s="232"/>
      <c r="V145" s="232"/>
      <c r="W145" s="232"/>
      <c r="X145" s="232"/>
    </row>
    <row r="146" spans="1:24" collapsed="1">
      <c r="B146" s="116" t="s">
        <v>237</v>
      </c>
      <c r="C146" s="123"/>
      <c r="D146" s="123"/>
      <c r="E146" s="123"/>
      <c r="F146" s="123"/>
      <c r="G146" s="123">
        <f>4500*12*0.7*0.87*0.4</f>
        <v>13154.400000000001</v>
      </c>
      <c r="H146" s="123">
        <v>14000</v>
      </c>
      <c r="I146" s="123">
        <f t="shared" ref="I146:N146" si="235">H146*(1+I147)</f>
        <v>11480</v>
      </c>
      <c r="J146" s="123">
        <f t="shared" si="235"/>
        <v>10906</v>
      </c>
      <c r="K146" s="123">
        <f t="shared" si="235"/>
        <v>10687.88</v>
      </c>
      <c r="L146" s="123">
        <f t="shared" si="235"/>
        <v>10474.122399999998</v>
      </c>
      <c r="M146" s="123">
        <f t="shared" si="235"/>
        <v>10264.639951999998</v>
      </c>
      <c r="N146" s="123">
        <f t="shared" si="235"/>
        <v>10059.347152959997</v>
      </c>
      <c r="O146" s="123">
        <f t="shared" ref="O146" si="236">N146*(1+O147)</f>
        <v>9858.1602099007978</v>
      </c>
      <c r="P146" s="123">
        <f t="shared" ref="P146" si="237">O146*(1+P147)</f>
        <v>9660.9970057027822</v>
      </c>
      <c r="Q146" s="123">
        <f t="shared" ref="Q146" si="238">P146*(1+Q147)</f>
        <v>9467.7770655887271</v>
      </c>
      <c r="R146" s="123">
        <f t="shared" ref="R146" si="239">Q146*(1+R147)</f>
        <v>9278.4215242769515</v>
      </c>
      <c r="S146" s="123">
        <f t="shared" ref="S146" si="240">R146*(1+S147)</f>
        <v>9092.8530937914129</v>
      </c>
      <c r="T146" s="123">
        <f t="shared" ref="T146" si="241">S146*(1+T147)</f>
        <v>8910.9960319155853</v>
      </c>
      <c r="U146" s="123">
        <f t="shared" ref="U146" si="242">T146*(1+U147)</f>
        <v>8732.7761112772732</v>
      </c>
      <c r="V146" s="123">
        <f t="shared" ref="V146" si="243">U146*(1+V147)</f>
        <v>8558.1205890517267</v>
      </c>
      <c r="W146" s="123">
        <f t="shared" ref="W146" si="244">V146*(1+W147)</f>
        <v>8386.9581772706915</v>
      </c>
      <c r="X146" s="123">
        <f t="shared" ref="X146" si="245">W146*(1+X147)</f>
        <v>8219.2190137252783</v>
      </c>
    </row>
    <row r="147" spans="1:24">
      <c r="B147" s="197" t="s">
        <v>238</v>
      </c>
      <c r="C147" s="196"/>
      <c r="D147" s="234"/>
      <c r="E147" s="234"/>
      <c r="F147" s="234"/>
      <c r="G147" s="196"/>
      <c r="H147" s="235"/>
      <c r="I147" s="235">
        <v>-0.18</v>
      </c>
      <c r="J147" s="235">
        <v>-0.05</v>
      </c>
      <c r="K147" s="235">
        <v>-0.02</v>
      </c>
      <c r="L147" s="235">
        <v>-0.02</v>
      </c>
      <c r="M147" s="236">
        <f>L147</f>
        <v>-0.02</v>
      </c>
      <c r="N147" s="236">
        <f>M147</f>
        <v>-0.02</v>
      </c>
      <c r="O147" s="236">
        <f t="shared" ref="O147:X147" si="246">N147</f>
        <v>-0.02</v>
      </c>
      <c r="P147" s="236">
        <f t="shared" si="246"/>
        <v>-0.02</v>
      </c>
      <c r="Q147" s="236">
        <f t="shared" si="246"/>
        <v>-0.02</v>
      </c>
      <c r="R147" s="236">
        <f t="shared" si="246"/>
        <v>-0.02</v>
      </c>
      <c r="S147" s="236">
        <f t="shared" si="246"/>
        <v>-0.02</v>
      </c>
      <c r="T147" s="236">
        <f t="shared" si="246"/>
        <v>-0.02</v>
      </c>
      <c r="U147" s="236">
        <f t="shared" si="246"/>
        <v>-0.02</v>
      </c>
      <c r="V147" s="236">
        <f t="shared" si="246"/>
        <v>-0.02</v>
      </c>
      <c r="W147" s="236">
        <f t="shared" si="246"/>
        <v>-0.02</v>
      </c>
      <c r="X147" s="236">
        <f t="shared" si="246"/>
        <v>-0.02</v>
      </c>
    </row>
    <row r="148" spans="1:24">
      <c r="B148" s="237" t="s">
        <v>252</v>
      </c>
      <c r="C148" s="238"/>
      <c r="D148" s="238"/>
      <c r="E148" s="238"/>
      <c r="F148" s="238"/>
      <c r="G148" s="238">
        <f>G146*G144/1000000</f>
        <v>8.975925402984668</v>
      </c>
      <c r="H148" s="238">
        <f t="shared" ref="H148:X148" si="247">H146*H144/1000000</f>
        <v>483.34671372472963</v>
      </c>
      <c r="I148" s="238">
        <f t="shared" si="247"/>
        <v>717.3747609268604</v>
      </c>
      <c r="J148" s="238">
        <f t="shared" si="247"/>
        <v>797.77732533384255</v>
      </c>
      <c r="K148" s="238">
        <f t="shared" si="247"/>
        <v>908.2364733994018</v>
      </c>
      <c r="L148" s="238">
        <f t="shared" si="247"/>
        <v>1008.304902065724</v>
      </c>
      <c r="M148" s="238">
        <f t="shared" si="247"/>
        <v>1034.2497561062748</v>
      </c>
      <c r="N148" s="238">
        <f t="shared" si="247"/>
        <v>1060.3198266033351</v>
      </c>
      <c r="O148" s="238">
        <f t="shared" si="247"/>
        <v>1073.8180074043139</v>
      </c>
      <c r="P148" s="238">
        <f t="shared" si="247"/>
        <v>1088.5595627450082</v>
      </c>
      <c r="Q148" s="238">
        <f t="shared" si="247"/>
        <v>1104.6819057619587</v>
      </c>
      <c r="R148" s="238">
        <f t="shared" si="247"/>
        <v>1142.7531942585945</v>
      </c>
      <c r="S148" s="238">
        <f t="shared" si="247"/>
        <v>853.84848055380792</v>
      </c>
      <c r="T148" s="238">
        <f t="shared" si="247"/>
        <v>485.81261602273588</v>
      </c>
      <c r="U148" s="238">
        <f t="shared" si="247"/>
        <v>192.3542233825082</v>
      </c>
      <c r="V148" s="238">
        <f t="shared" si="247"/>
        <v>112.61249074817019</v>
      </c>
      <c r="W148" s="238">
        <f t="shared" si="247"/>
        <v>98.487281509123406</v>
      </c>
      <c r="X148" s="238">
        <f t="shared" si="247"/>
        <v>98.170345489836293</v>
      </c>
    </row>
    <row r="150" spans="1:24">
      <c r="A150" s="116"/>
      <c r="B150" s="219" t="s">
        <v>559</v>
      </c>
      <c r="C150" s="219"/>
      <c r="D150" s="219"/>
      <c r="E150" s="219"/>
      <c r="F150" s="219"/>
      <c r="G150" s="219"/>
      <c r="H150" s="219"/>
      <c r="I150" s="219"/>
      <c r="J150" s="219"/>
      <c r="K150" s="219"/>
      <c r="L150" s="219"/>
      <c r="M150" s="219"/>
      <c r="N150" s="219"/>
      <c r="O150" s="219"/>
      <c r="P150" s="219"/>
      <c r="Q150" s="219"/>
      <c r="R150" s="219"/>
      <c r="S150" s="219"/>
      <c r="T150" s="219"/>
      <c r="U150" s="219"/>
      <c r="V150" s="219"/>
      <c r="W150" s="219"/>
      <c r="X150" s="219"/>
    </row>
    <row r="151" spans="1:24">
      <c r="A151" s="116"/>
      <c r="B151" s="116" t="s">
        <v>235</v>
      </c>
      <c r="C151" s="128"/>
      <c r="D151" s="128"/>
      <c r="E151" s="128"/>
      <c r="F151" s="128"/>
      <c r="G151" s="128"/>
      <c r="H151" s="128"/>
      <c r="I151" s="128"/>
      <c r="J151" s="128">
        <f>J92*J31/2</f>
        <v>305.58409860217688</v>
      </c>
      <c r="K151" s="128">
        <f t="shared" ref="K151:X151" si="248">K92*K31</f>
        <v>2682.6919019350398</v>
      </c>
      <c r="L151" s="128">
        <f t="shared" si="248"/>
        <v>0</v>
      </c>
      <c r="M151" s="128">
        <f t="shared" si="248"/>
        <v>0</v>
      </c>
      <c r="N151" s="128">
        <f t="shared" si="248"/>
        <v>0</v>
      </c>
      <c r="O151" s="128">
        <f t="shared" si="248"/>
        <v>0</v>
      </c>
      <c r="P151" s="128">
        <f t="shared" si="248"/>
        <v>0</v>
      </c>
      <c r="Q151" s="128">
        <f t="shared" si="248"/>
        <v>0</v>
      </c>
      <c r="R151" s="128">
        <f t="shared" si="248"/>
        <v>0</v>
      </c>
      <c r="S151" s="128">
        <f t="shared" si="248"/>
        <v>0</v>
      </c>
      <c r="T151" s="128">
        <f t="shared" si="248"/>
        <v>0</v>
      </c>
      <c r="U151" s="128">
        <f t="shared" si="248"/>
        <v>0</v>
      </c>
      <c r="V151" s="128">
        <f t="shared" si="248"/>
        <v>0</v>
      </c>
      <c r="W151" s="128">
        <f t="shared" si="248"/>
        <v>0</v>
      </c>
      <c r="X151" s="128">
        <f t="shared" si="248"/>
        <v>0</v>
      </c>
    </row>
    <row r="152" spans="1:24" hidden="1" outlineLevel="1">
      <c r="A152" s="116"/>
      <c r="B152" s="232" t="s">
        <v>236</v>
      </c>
      <c r="C152" s="233"/>
      <c r="D152" s="233"/>
      <c r="E152" s="233"/>
      <c r="F152" s="233"/>
      <c r="G152" s="233"/>
      <c r="H152" s="233"/>
      <c r="I152" s="233"/>
      <c r="J152" s="232"/>
      <c r="K152" s="232"/>
      <c r="L152" s="232"/>
      <c r="M152" s="232"/>
      <c r="N152" s="232"/>
      <c r="O152" s="232"/>
      <c r="P152" s="232"/>
      <c r="Q152" s="232"/>
      <c r="R152" s="232"/>
      <c r="S152" s="232"/>
      <c r="T152" s="232"/>
      <c r="U152" s="232"/>
      <c r="V152" s="232"/>
      <c r="W152" s="232"/>
      <c r="X152" s="232"/>
    </row>
    <row r="153" spans="1:24" collapsed="1">
      <c r="A153" s="116"/>
      <c r="B153" s="116" t="s">
        <v>237</v>
      </c>
      <c r="C153" s="123"/>
      <c r="D153" s="123"/>
      <c r="E153" s="123"/>
      <c r="F153" s="123"/>
      <c r="G153" s="123"/>
      <c r="H153" s="123"/>
      <c r="I153" s="123"/>
      <c r="J153" s="123">
        <f>J139*1.25</f>
        <v>20738.048748730056</v>
      </c>
      <c r="K153" s="123">
        <f>K139*1.27</f>
        <v>20753.809665779092</v>
      </c>
      <c r="L153" s="123">
        <f>L139*1.27</f>
        <v>20131.195375805721</v>
      </c>
      <c r="M153" s="445">
        <f t="shared" ref="M153:X153" si="249">M139*1.27</f>
        <v>19527.25951453155</v>
      </c>
      <c r="N153" s="445">
        <f t="shared" si="249"/>
        <v>18941.441729095601</v>
      </c>
      <c r="O153" s="445">
        <f t="shared" si="249"/>
        <v>18373.198477222733</v>
      </c>
      <c r="P153" s="445">
        <f t="shared" si="249"/>
        <v>17822.002522906048</v>
      </c>
      <c r="Q153" s="445">
        <f t="shared" si="249"/>
        <v>17287.342447218867</v>
      </c>
      <c r="R153" s="445">
        <f t="shared" si="249"/>
        <v>16768.7221738023</v>
      </c>
      <c r="S153" s="445">
        <f t="shared" si="249"/>
        <v>16265.660508588229</v>
      </c>
      <c r="T153" s="445">
        <f t="shared" si="249"/>
        <v>15777.690693330582</v>
      </c>
      <c r="U153" s="445">
        <f t="shared" si="249"/>
        <v>15304.359972530663</v>
      </c>
      <c r="V153" s="445">
        <f t="shared" si="249"/>
        <v>14845.229173354743</v>
      </c>
      <c r="W153" s="445">
        <f t="shared" si="249"/>
        <v>14399.8722981541</v>
      </c>
      <c r="X153" s="445">
        <f t="shared" si="249"/>
        <v>13967.876129209477</v>
      </c>
    </row>
    <row r="154" spans="1:24">
      <c r="A154" s="116"/>
      <c r="B154" s="197" t="s">
        <v>238</v>
      </c>
      <c r="C154" s="196"/>
      <c r="D154" s="234"/>
      <c r="E154" s="234"/>
      <c r="F154" s="234"/>
      <c r="G154" s="196"/>
      <c r="H154" s="69"/>
      <c r="I154" s="69"/>
      <c r="J154" s="69"/>
      <c r="K154" s="69">
        <f t="shared" ref="K154:N154" si="250">K153/J153-1</f>
        <v>7.6000000000009393E-4</v>
      </c>
      <c r="L154" s="69">
        <f t="shared" si="250"/>
        <v>-2.9999999999999916E-2</v>
      </c>
      <c r="M154" s="69">
        <f t="shared" si="250"/>
        <v>-2.9999999999999916E-2</v>
      </c>
      <c r="N154" s="69">
        <f t="shared" si="250"/>
        <v>-3.0000000000000138E-2</v>
      </c>
      <c r="O154" s="69">
        <f t="shared" ref="O154" si="251">O153/N153-1</f>
        <v>-2.9999999999999916E-2</v>
      </c>
      <c r="P154" s="69">
        <f t="shared" ref="P154" si="252">P153/O153-1</f>
        <v>-3.0000000000000138E-2</v>
      </c>
      <c r="Q154" s="69">
        <f t="shared" ref="Q154" si="253">Q153/P153-1</f>
        <v>-3.0000000000000027E-2</v>
      </c>
      <c r="R154" s="69">
        <f t="shared" ref="R154" si="254">R153/Q153-1</f>
        <v>-3.0000000000000027E-2</v>
      </c>
      <c r="S154" s="69">
        <f t="shared" ref="S154" si="255">S153/R153-1</f>
        <v>-3.0000000000000138E-2</v>
      </c>
      <c r="T154" s="69">
        <f t="shared" ref="T154" si="256">T153/S153-1</f>
        <v>-3.0000000000000027E-2</v>
      </c>
      <c r="U154" s="69">
        <f t="shared" ref="U154" si="257">U153/T153-1</f>
        <v>-3.0000000000000027E-2</v>
      </c>
      <c r="V154" s="69">
        <f t="shared" ref="V154" si="258">V153/U153-1</f>
        <v>-3.0000000000000027E-2</v>
      </c>
      <c r="W154" s="69">
        <f t="shared" ref="W154" si="259">W153/V153-1</f>
        <v>-3.0000000000000027E-2</v>
      </c>
      <c r="X154" s="69">
        <f t="shared" ref="X154" si="260">X153/W153-1</f>
        <v>-3.0000000000000027E-2</v>
      </c>
    </row>
    <row r="155" spans="1:24">
      <c r="A155" s="116"/>
      <c r="B155" s="237" t="s">
        <v>644</v>
      </c>
      <c r="C155" s="238"/>
      <c r="D155" s="238"/>
      <c r="E155" s="238"/>
      <c r="F155" s="238"/>
      <c r="G155" s="238"/>
      <c r="H155" s="238"/>
      <c r="I155" s="238"/>
      <c r="J155" s="238">
        <f t="shared" ref="J155:X155" si="261">J153*J151/1000000</f>
        <v>6.3372179336486765</v>
      </c>
      <c r="K155" s="238">
        <f t="shared" si="261"/>
        <v>55.676077124686728</v>
      </c>
      <c r="L155" s="238">
        <f t="shared" si="261"/>
        <v>0</v>
      </c>
      <c r="M155" s="238">
        <f t="shared" si="261"/>
        <v>0</v>
      </c>
      <c r="N155" s="238">
        <f t="shared" si="261"/>
        <v>0</v>
      </c>
      <c r="O155" s="238">
        <f t="shared" si="261"/>
        <v>0</v>
      </c>
      <c r="P155" s="238">
        <f t="shared" si="261"/>
        <v>0</v>
      </c>
      <c r="Q155" s="238">
        <f t="shared" si="261"/>
        <v>0</v>
      </c>
      <c r="R155" s="238">
        <f t="shared" si="261"/>
        <v>0</v>
      </c>
      <c r="S155" s="238">
        <f t="shared" si="261"/>
        <v>0</v>
      </c>
      <c r="T155" s="238">
        <f t="shared" si="261"/>
        <v>0</v>
      </c>
      <c r="U155" s="238">
        <f t="shared" si="261"/>
        <v>0</v>
      </c>
      <c r="V155" s="238">
        <f t="shared" si="261"/>
        <v>0</v>
      </c>
      <c r="W155" s="238">
        <f t="shared" si="261"/>
        <v>0</v>
      </c>
      <c r="X155" s="238">
        <f t="shared" si="261"/>
        <v>0</v>
      </c>
    </row>
    <row r="156" spans="1:24">
      <c r="A156" s="116"/>
    </row>
    <row r="157" spans="1:24">
      <c r="A157" s="116"/>
      <c r="B157" s="219" t="s">
        <v>809</v>
      </c>
      <c r="C157" s="219"/>
      <c r="D157" s="219"/>
      <c r="E157" s="219"/>
      <c r="F157" s="219"/>
      <c r="G157" s="219"/>
      <c r="H157" s="219"/>
      <c r="I157" s="219"/>
      <c r="J157" s="219"/>
      <c r="K157" s="219"/>
      <c r="L157" s="219"/>
      <c r="M157" s="219"/>
      <c r="N157" s="219"/>
      <c r="O157" s="219"/>
      <c r="P157" s="219"/>
      <c r="Q157" s="219"/>
      <c r="R157" s="219"/>
      <c r="S157" s="219"/>
      <c r="T157" s="219"/>
      <c r="U157" s="219"/>
      <c r="V157" s="219"/>
      <c r="W157" s="219"/>
      <c r="X157" s="219"/>
    </row>
    <row r="158" spans="1:24">
      <c r="A158" s="116"/>
      <c r="B158" s="116" t="s">
        <v>235</v>
      </c>
      <c r="C158" s="128"/>
      <c r="D158" s="128"/>
      <c r="E158" s="128"/>
      <c r="F158" s="128"/>
      <c r="G158" s="128"/>
      <c r="H158" s="128"/>
      <c r="I158" s="128"/>
      <c r="J158" s="128">
        <f>(J29+J30)*J52+J31*(J96+J107)+J117*J123</f>
        <v>0</v>
      </c>
      <c r="K158" s="128">
        <f t="shared" ref="K158:X158" si="262">(K29+K30)*K52+K31*(K96+K107)+K117*K123</f>
        <v>4526.191760831608</v>
      </c>
      <c r="L158" s="128">
        <f t="shared" si="262"/>
        <v>19447.645221710765</v>
      </c>
      <c r="M158" s="128">
        <f t="shared" si="262"/>
        <v>36441.509565082684</v>
      </c>
      <c r="N158" s="128">
        <f t="shared" si="262"/>
        <v>52582.737998768862</v>
      </c>
      <c r="O158" s="128">
        <f t="shared" si="262"/>
        <v>70281.296612809296</v>
      </c>
      <c r="P158" s="128">
        <f t="shared" si="262"/>
        <v>103715.75206161522</v>
      </c>
      <c r="Q158" s="128">
        <f t="shared" si="262"/>
        <v>108939.27735367705</v>
      </c>
      <c r="R158" s="128">
        <f t="shared" si="262"/>
        <v>115289.79853025687</v>
      </c>
      <c r="S158" s="128">
        <f t="shared" si="262"/>
        <v>121470.23523072546</v>
      </c>
      <c r="T158" s="128">
        <f t="shared" si="262"/>
        <v>128750.02329369514</v>
      </c>
      <c r="U158" s="128">
        <f t="shared" si="262"/>
        <v>136678.00093506294</v>
      </c>
      <c r="V158" s="128">
        <f t="shared" si="262"/>
        <v>143934.79971017572</v>
      </c>
      <c r="W158" s="128">
        <f t="shared" si="262"/>
        <v>151490.19808467722</v>
      </c>
      <c r="X158" s="128">
        <f t="shared" si="262"/>
        <v>159740.0000334066</v>
      </c>
    </row>
    <row r="159" spans="1:24" hidden="1" outlineLevel="1">
      <c r="A159" s="116"/>
      <c r="B159" s="232" t="s">
        <v>236</v>
      </c>
      <c r="C159" s="233"/>
      <c r="D159" s="233"/>
      <c r="E159" s="233"/>
      <c r="F159" s="233"/>
      <c r="G159" s="233"/>
      <c r="H159" s="233"/>
      <c r="I159" s="233"/>
      <c r="J159" s="232"/>
      <c r="K159" s="232"/>
      <c r="L159" s="232"/>
      <c r="M159" s="232"/>
      <c r="N159" s="232"/>
      <c r="O159" s="232"/>
      <c r="P159" s="232"/>
      <c r="Q159" s="232"/>
      <c r="R159" s="232"/>
      <c r="S159" s="232"/>
      <c r="T159" s="232"/>
      <c r="U159" s="232"/>
      <c r="V159" s="232"/>
      <c r="W159" s="232"/>
      <c r="X159" s="232"/>
    </row>
    <row r="160" spans="1:24" collapsed="1">
      <c r="A160" s="116"/>
      <c r="B160" s="116" t="s">
        <v>237</v>
      </c>
      <c r="C160" s="123"/>
      <c r="D160" s="123"/>
      <c r="E160" s="123"/>
      <c r="F160" s="123"/>
      <c r="G160" s="123"/>
      <c r="H160" s="123"/>
      <c r="I160" s="123"/>
      <c r="J160" s="123">
        <f>'US MS Market Model'!J160*0.6</f>
        <v>0</v>
      </c>
      <c r="K160" s="123">
        <v>20000</v>
      </c>
      <c r="L160" s="123">
        <f t="shared" ref="L160:X160" si="263">K160*(1+L161)</f>
        <v>19400</v>
      </c>
      <c r="M160" s="123">
        <f t="shared" si="263"/>
        <v>18818</v>
      </c>
      <c r="N160" s="123">
        <f t="shared" si="263"/>
        <v>18253.46</v>
      </c>
      <c r="O160" s="123">
        <f t="shared" si="263"/>
        <v>17705.856199999998</v>
      </c>
      <c r="P160" s="123">
        <f t="shared" si="263"/>
        <v>17174.680514</v>
      </c>
      <c r="Q160" s="123">
        <f t="shared" si="263"/>
        <v>16659.440098579998</v>
      </c>
      <c r="R160" s="123">
        <f t="shared" si="263"/>
        <v>16159.656895622598</v>
      </c>
      <c r="S160" s="123">
        <f t="shared" si="263"/>
        <v>15674.86718875392</v>
      </c>
      <c r="T160" s="123">
        <f t="shared" si="263"/>
        <v>15204.621173091302</v>
      </c>
      <c r="U160" s="123">
        <f t="shared" si="263"/>
        <v>14748.482537898562</v>
      </c>
      <c r="V160" s="123">
        <f t="shared" si="263"/>
        <v>14306.028061761604</v>
      </c>
      <c r="W160" s="123">
        <f t="shared" si="263"/>
        <v>13876.847219908756</v>
      </c>
      <c r="X160" s="123">
        <f t="shared" si="263"/>
        <v>13460.541803311493</v>
      </c>
    </row>
    <row r="161" spans="1:24">
      <c r="A161" s="116"/>
      <c r="B161" s="197" t="s">
        <v>238</v>
      </c>
      <c r="C161" s="196"/>
      <c r="D161" s="234"/>
      <c r="E161" s="234"/>
      <c r="F161" s="234"/>
      <c r="G161" s="196"/>
      <c r="H161" s="69"/>
      <c r="I161" s="69"/>
      <c r="J161" s="69"/>
      <c r="K161" s="69"/>
      <c r="L161" s="69">
        <v>-0.03</v>
      </c>
      <c r="M161" s="69">
        <f t="shared" ref="M161:X161" si="264">L161</f>
        <v>-0.03</v>
      </c>
      <c r="N161" s="69">
        <f t="shared" si="264"/>
        <v>-0.03</v>
      </c>
      <c r="O161" s="69">
        <f t="shared" si="264"/>
        <v>-0.03</v>
      </c>
      <c r="P161" s="69">
        <f t="shared" si="264"/>
        <v>-0.03</v>
      </c>
      <c r="Q161" s="69">
        <f t="shared" si="264"/>
        <v>-0.03</v>
      </c>
      <c r="R161" s="69">
        <f t="shared" si="264"/>
        <v>-0.03</v>
      </c>
      <c r="S161" s="69">
        <f t="shared" si="264"/>
        <v>-0.03</v>
      </c>
      <c r="T161" s="69">
        <f t="shared" si="264"/>
        <v>-0.03</v>
      </c>
      <c r="U161" s="69">
        <f t="shared" si="264"/>
        <v>-0.03</v>
      </c>
      <c r="V161" s="69">
        <f t="shared" si="264"/>
        <v>-0.03</v>
      </c>
      <c r="W161" s="69">
        <f t="shared" si="264"/>
        <v>-0.03</v>
      </c>
      <c r="X161" s="69">
        <f t="shared" si="264"/>
        <v>-0.03</v>
      </c>
    </row>
    <row r="162" spans="1:24">
      <c r="A162" s="116"/>
      <c r="B162" s="237" t="s">
        <v>822</v>
      </c>
      <c r="C162" s="238"/>
      <c r="D162" s="238"/>
      <c r="E162" s="238"/>
      <c r="F162" s="238"/>
      <c r="G162" s="238"/>
      <c r="H162" s="238"/>
      <c r="I162" s="238"/>
      <c r="J162" s="238">
        <f t="shared" ref="J162:X162" si="265">J160*J158/1000000</f>
        <v>0</v>
      </c>
      <c r="K162" s="238">
        <f t="shared" si="265"/>
        <v>90.52383521663215</v>
      </c>
      <c r="L162" s="238">
        <f t="shared" si="265"/>
        <v>377.28431730118882</v>
      </c>
      <c r="M162" s="238">
        <f t="shared" si="265"/>
        <v>685.756326995726</v>
      </c>
      <c r="N162" s="238">
        <f t="shared" si="265"/>
        <v>959.81690475100743</v>
      </c>
      <c r="O162" s="238">
        <f t="shared" si="265"/>
        <v>1244.3905313759485</v>
      </c>
      <c r="P162" s="238">
        <f t="shared" si="265"/>
        <v>1781.2849059274781</v>
      </c>
      <c r="Q162" s="238">
        <f t="shared" si="265"/>
        <v>1814.8673654561755</v>
      </c>
      <c r="R162" s="238">
        <f t="shared" si="265"/>
        <v>1863.0435878144053</v>
      </c>
      <c r="S162" s="238">
        <f t="shared" si="265"/>
        <v>1904.029804628319</v>
      </c>
      <c r="T162" s="238">
        <f t="shared" si="265"/>
        <v>1957.5953302073156</v>
      </c>
      <c r="U162" s="238">
        <f t="shared" si="265"/>
        <v>2015.7931101056593</v>
      </c>
      <c r="V162" s="238">
        <f t="shared" si="265"/>
        <v>2059.1352837178101</v>
      </c>
      <c r="W162" s="238">
        <f t="shared" si="265"/>
        <v>2102.2063341347798</v>
      </c>
      <c r="X162" s="238">
        <f t="shared" si="265"/>
        <v>2150.1869481106487</v>
      </c>
    </row>
    <row r="163" spans="1:24">
      <c r="A163" s="116"/>
    </row>
    <row r="164" spans="1:24">
      <c r="B164" s="219" t="s">
        <v>449</v>
      </c>
      <c r="C164" s="219"/>
      <c r="D164" s="219"/>
      <c r="E164" s="219"/>
      <c r="F164" s="219"/>
      <c r="G164" s="219"/>
      <c r="H164" s="219"/>
      <c r="I164" s="219"/>
      <c r="J164" s="219"/>
      <c r="K164" s="219"/>
      <c r="L164" s="219"/>
      <c r="M164" s="219"/>
      <c r="N164" s="219"/>
      <c r="O164" s="219"/>
      <c r="P164" s="219"/>
      <c r="Q164" s="219"/>
      <c r="R164" s="219"/>
      <c r="S164" s="219"/>
      <c r="T164" s="219"/>
      <c r="U164" s="219"/>
      <c r="V164" s="219"/>
      <c r="W164" s="219"/>
      <c r="X164" s="219"/>
    </row>
    <row r="165" spans="1:24">
      <c r="B165" s="116" t="s">
        <v>215</v>
      </c>
      <c r="C165" s="128">
        <f t="shared" ref="C165:X165" si="266">C24</f>
        <v>374188.88200488122</v>
      </c>
      <c r="D165" s="128">
        <f t="shared" si="266"/>
        <v>410945.31187619362</v>
      </c>
      <c r="E165" s="128">
        <f t="shared" si="266"/>
        <v>450181.86879418843</v>
      </c>
      <c r="F165" s="128">
        <f t="shared" si="266"/>
        <v>467399.34071007848</v>
      </c>
      <c r="G165" s="128">
        <f t="shared" si="266"/>
        <v>490547.49331561546</v>
      </c>
      <c r="H165" s="128">
        <f t="shared" si="266"/>
        <v>511274.25168417505</v>
      </c>
      <c r="I165" s="128">
        <f t="shared" si="266"/>
        <v>526694.06521249679</v>
      </c>
      <c r="J165" s="128">
        <f t="shared" si="266"/>
        <v>543260.61973720335</v>
      </c>
      <c r="K165" s="128">
        <f t="shared" si="266"/>
        <v>561085.88798641355</v>
      </c>
      <c r="L165" s="128">
        <f t="shared" si="266"/>
        <v>580293.42813770543</v>
      </c>
      <c r="M165" s="128">
        <f t="shared" si="266"/>
        <v>601019.59957467881</v>
      </c>
      <c r="N165" s="128">
        <f t="shared" si="266"/>
        <v>623414.90671257791</v>
      </c>
      <c r="O165" s="128">
        <f t="shared" si="266"/>
        <v>647645.48439846258</v>
      </c>
      <c r="P165" s="128">
        <f t="shared" si="266"/>
        <v>673894.73981606727</v>
      </c>
      <c r="Q165" s="128">
        <f t="shared" si="266"/>
        <v>702365.16740043892</v>
      </c>
      <c r="R165" s="128">
        <f t="shared" si="266"/>
        <v>733280.35500854801</v>
      </c>
      <c r="S165" s="128">
        <f t="shared" si="266"/>
        <v>766887.20151684503</v>
      </c>
      <c r="T165" s="128">
        <f t="shared" si="266"/>
        <v>803458.36814458447</v>
      </c>
      <c r="U165" s="128">
        <f t="shared" si="266"/>
        <v>843294.98815404845</v>
      </c>
      <c r="V165" s="128">
        <f t="shared" si="266"/>
        <v>886729.66217930545</v>
      </c>
      <c r="W165" s="128">
        <f t="shared" si="266"/>
        <v>934129.76930995251</v>
      </c>
      <c r="X165" s="128">
        <f t="shared" si="266"/>
        <v>985901.12723442749</v>
      </c>
    </row>
    <row r="166" spans="1:24">
      <c r="B166" s="203" t="s">
        <v>450</v>
      </c>
      <c r="C166" s="215">
        <v>0.5</v>
      </c>
      <c r="D166" s="125">
        <f>C166</f>
        <v>0.5</v>
      </c>
      <c r="E166" s="125">
        <f t="shared" ref="E166:N166" si="267">D166</f>
        <v>0.5</v>
      </c>
      <c r="F166" s="125">
        <f t="shared" si="267"/>
        <v>0.5</v>
      </c>
      <c r="G166" s="125">
        <f t="shared" si="267"/>
        <v>0.5</v>
      </c>
      <c r="H166" s="125">
        <f t="shared" si="267"/>
        <v>0.5</v>
      </c>
      <c r="I166" s="125">
        <f t="shared" si="267"/>
        <v>0.5</v>
      </c>
      <c r="J166" s="125">
        <f t="shared" si="267"/>
        <v>0.5</v>
      </c>
      <c r="K166" s="125">
        <f t="shared" si="267"/>
        <v>0.5</v>
      </c>
      <c r="L166" s="125">
        <f t="shared" si="267"/>
        <v>0.5</v>
      </c>
      <c r="M166" s="125">
        <f t="shared" si="267"/>
        <v>0.5</v>
      </c>
      <c r="N166" s="125">
        <f t="shared" si="267"/>
        <v>0.5</v>
      </c>
      <c r="O166" s="125">
        <f>N166</f>
        <v>0.5</v>
      </c>
      <c r="P166" s="125">
        <f t="shared" ref="P166" si="268">O166</f>
        <v>0.5</v>
      </c>
      <c r="Q166" s="125">
        <f t="shared" ref="Q166" si="269">P166</f>
        <v>0.5</v>
      </c>
      <c r="R166" s="125">
        <f t="shared" ref="R166" si="270">Q166</f>
        <v>0.5</v>
      </c>
      <c r="S166" s="125">
        <f t="shared" ref="S166" si="271">R166</f>
        <v>0.5</v>
      </c>
      <c r="T166" s="125">
        <f t="shared" ref="T166" si="272">S166</f>
        <v>0.5</v>
      </c>
      <c r="U166" s="125">
        <f t="shared" ref="U166" si="273">T166</f>
        <v>0.5</v>
      </c>
      <c r="V166" s="125">
        <f t="shared" ref="V166" si="274">U166</f>
        <v>0.5</v>
      </c>
      <c r="W166" s="125">
        <f t="shared" ref="W166" si="275">V166</f>
        <v>0.5</v>
      </c>
      <c r="X166" s="125">
        <f t="shared" ref="X166" si="276">W166</f>
        <v>0.5</v>
      </c>
    </row>
    <row r="167" spans="1:24">
      <c r="B167" s="116" t="s">
        <v>451</v>
      </c>
      <c r="C167" s="128">
        <f>C165*C166</f>
        <v>187094.44100244061</v>
      </c>
      <c r="D167" s="128">
        <f t="shared" ref="D167:X167" si="277">D165*D166</f>
        <v>205472.65593809681</v>
      </c>
      <c r="E167" s="128">
        <f t="shared" si="277"/>
        <v>225090.93439709421</v>
      </c>
      <c r="F167" s="128">
        <f t="shared" si="277"/>
        <v>233699.67035503924</v>
      </c>
      <c r="G167" s="128">
        <f t="shared" si="277"/>
        <v>245273.74665780773</v>
      </c>
      <c r="H167" s="128">
        <f t="shared" si="277"/>
        <v>255637.12584208752</v>
      </c>
      <c r="I167" s="128">
        <f t="shared" si="277"/>
        <v>263347.03260624839</v>
      </c>
      <c r="J167" s="128">
        <f t="shared" si="277"/>
        <v>271630.30986860167</v>
      </c>
      <c r="K167" s="128">
        <f t="shared" si="277"/>
        <v>280542.94399320678</v>
      </c>
      <c r="L167" s="128">
        <f t="shared" si="277"/>
        <v>290146.71406885271</v>
      </c>
      <c r="M167" s="128">
        <f t="shared" si="277"/>
        <v>300509.79978733941</v>
      </c>
      <c r="N167" s="128">
        <f t="shared" si="277"/>
        <v>311707.45335628896</v>
      </c>
      <c r="O167" s="128">
        <f t="shared" si="277"/>
        <v>323822.74219923129</v>
      </c>
      <c r="P167" s="128">
        <f t="shared" si="277"/>
        <v>336947.36990803364</v>
      </c>
      <c r="Q167" s="128">
        <f t="shared" si="277"/>
        <v>351182.58370021946</v>
      </c>
      <c r="R167" s="128">
        <f t="shared" si="277"/>
        <v>366640.177504274</v>
      </c>
      <c r="S167" s="128">
        <f t="shared" si="277"/>
        <v>383443.60075842252</v>
      </c>
      <c r="T167" s="128">
        <f t="shared" si="277"/>
        <v>401729.18407229224</v>
      </c>
      <c r="U167" s="128">
        <f t="shared" si="277"/>
        <v>421647.49407702422</v>
      </c>
      <c r="V167" s="128">
        <f t="shared" si="277"/>
        <v>443364.83108965273</v>
      </c>
      <c r="W167" s="128">
        <f t="shared" si="277"/>
        <v>467064.88465497625</v>
      </c>
      <c r="X167" s="128">
        <f t="shared" si="277"/>
        <v>492950.56361721375</v>
      </c>
    </row>
    <row r="168" spans="1:24" s="119" customFormat="1" ht="12.75" hidden="1" customHeight="1" outlineLevel="1">
      <c r="A168" s="242"/>
      <c r="B168" s="206" t="s">
        <v>521</v>
      </c>
      <c r="C168" s="207"/>
      <c r="D168" s="207"/>
      <c r="E168" s="207"/>
      <c r="F168" s="207"/>
      <c r="G168" s="207"/>
      <c r="H168" s="207">
        <f>G171+1.75%</f>
        <v>7.5800228805138301E-2</v>
      </c>
      <c r="I168" s="207">
        <f>H168+1.25%</f>
        <v>8.8300228805138298E-2</v>
      </c>
      <c r="J168" s="207">
        <f>I168+1%</f>
        <v>9.8300228805138293E-2</v>
      </c>
      <c r="K168" s="207">
        <f>J168+1%</f>
        <v>0.10830022880513829</v>
      </c>
      <c r="L168" s="207">
        <f>K168+1%</f>
        <v>0.11830022880513828</v>
      </c>
      <c r="M168" s="207">
        <f>L168+1%</f>
        <v>0.12830022880513828</v>
      </c>
      <c r="N168" s="207">
        <f>M168+1%</f>
        <v>0.13830022880513829</v>
      </c>
      <c r="O168" s="397">
        <f t="shared" ref="O168:T168" si="278">N168+1%</f>
        <v>0.1483002288051383</v>
      </c>
      <c r="P168" s="207">
        <f t="shared" si="278"/>
        <v>0.1583002288051383</v>
      </c>
      <c r="Q168" s="207">
        <f t="shared" si="278"/>
        <v>0.16830022880513831</v>
      </c>
      <c r="R168" s="207">
        <f t="shared" si="278"/>
        <v>0.17830022880513832</v>
      </c>
      <c r="S168" s="207">
        <f t="shared" si="278"/>
        <v>0.18830022880513833</v>
      </c>
      <c r="T168" s="207">
        <f t="shared" si="278"/>
        <v>0.19830022880513834</v>
      </c>
      <c r="U168" s="208">
        <f>T168*0.2</f>
        <v>3.9660045761027669E-2</v>
      </c>
      <c r="V168" s="207">
        <f t="shared" ref="V168:X170" si="279">U168*0.2</f>
        <v>7.9320091522055349E-3</v>
      </c>
      <c r="W168" s="207">
        <f t="shared" si="279"/>
        <v>1.586401830441107E-3</v>
      </c>
      <c r="X168" s="207">
        <f t="shared" si="279"/>
        <v>3.1728036608822145E-4</v>
      </c>
    </row>
    <row r="169" spans="1:24" s="119" customFormat="1" ht="12.75" hidden="1" customHeight="1" outlineLevel="1">
      <c r="A169" s="242"/>
      <c r="B169" s="206" t="s">
        <v>500</v>
      </c>
      <c r="C169" s="207"/>
      <c r="D169" s="207"/>
      <c r="E169" s="207"/>
      <c r="F169" s="208"/>
      <c r="G169" s="207"/>
      <c r="H169" s="208">
        <f>G171+1%</f>
        <v>6.8300228805138294E-2</v>
      </c>
      <c r="I169" s="208">
        <f>H169</f>
        <v>6.8300228805138294E-2</v>
      </c>
      <c r="J169" s="208">
        <f t="shared" ref="J169:L169" si="280">I169</f>
        <v>6.8300228805138294E-2</v>
      </c>
      <c r="K169" s="208">
        <f t="shared" si="280"/>
        <v>6.8300228805138294E-2</v>
      </c>
      <c r="L169" s="208">
        <f t="shared" si="280"/>
        <v>6.8300228805138294E-2</v>
      </c>
      <c r="M169" s="207">
        <f>L169</f>
        <v>6.8300228805138294E-2</v>
      </c>
      <c r="N169" s="207">
        <f>M169</f>
        <v>6.8300228805138294E-2</v>
      </c>
      <c r="O169" s="397">
        <f t="shared" ref="O169:T169" si="281">N169</f>
        <v>6.8300228805138294E-2</v>
      </c>
      <c r="P169" s="207">
        <f t="shared" si="281"/>
        <v>6.8300228805138294E-2</v>
      </c>
      <c r="Q169" s="207">
        <f t="shared" si="281"/>
        <v>6.8300228805138294E-2</v>
      </c>
      <c r="R169" s="207">
        <f t="shared" si="281"/>
        <v>6.8300228805138294E-2</v>
      </c>
      <c r="S169" s="207">
        <f t="shared" si="281"/>
        <v>6.8300228805138294E-2</v>
      </c>
      <c r="T169" s="207">
        <f t="shared" si="281"/>
        <v>6.8300228805138294E-2</v>
      </c>
      <c r="U169" s="208">
        <f>T169*0.2</f>
        <v>1.366004576102766E-2</v>
      </c>
      <c r="V169" s="207">
        <f t="shared" si="279"/>
        <v>2.7320091522055321E-3</v>
      </c>
      <c r="W169" s="207">
        <f t="shared" si="279"/>
        <v>5.4640183044110647E-4</v>
      </c>
      <c r="X169" s="207">
        <f t="shared" si="279"/>
        <v>1.092803660882213E-4</v>
      </c>
    </row>
    <row r="170" spans="1:24" s="119" customFormat="1" ht="12.75" hidden="1" customHeight="1" outlineLevel="1">
      <c r="A170" s="242"/>
      <c r="B170" s="206" t="s">
        <v>522</v>
      </c>
      <c r="C170" s="207"/>
      <c r="D170" s="207"/>
      <c r="E170" s="207"/>
      <c r="F170" s="207"/>
      <c r="G170" s="207"/>
      <c r="H170" s="207">
        <f>G171+0.5%</f>
        <v>6.3300228805138303E-2</v>
      </c>
      <c r="I170" s="207">
        <f>H170+0.5%</f>
        <v>6.8300228805138308E-2</v>
      </c>
      <c r="J170" s="207">
        <f>I170+0.5%</f>
        <v>7.3300228805138312E-2</v>
      </c>
      <c r="K170" s="207">
        <f>J170+0.5%</f>
        <v>7.8300228805138317E-2</v>
      </c>
      <c r="L170" s="207">
        <f>K170+0.5%</f>
        <v>8.3300228805138321E-2</v>
      </c>
      <c r="M170" s="207">
        <f>L170</f>
        <v>8.3300228805138321E-2</v>
      </c>
      <c r="N170" s="207">
        <f>M170</f>
        <v>8.3300228805138321E-2</v>
      </c>
      <c r="O170" s="397">
        <f t="shared" ref="O170:T170" si="282">N170</f>
        <v>8.3300228805138321E-2</v>
      </c>
      <c r="P170" s="207">
        <f t="shared" si="282"/>
        <v>8.3300228805138321E-2</v>
      </c>
      <c r="Q170" s="207">
        <f t="shared" si="282"/>
        <v>8.3300228805138321E-2</v>
      </c>
      <c r="R170" s="207">
        <f t="shared" si="282"/>
        <v>8.3300228805138321E-2</v>
      </c>
      <c r="S170" s="207">
        <f t="shared" si="282"/>
        <v>8.3300228805138321E-2</v>
      </c>
      <c r="T170" s="207">
        <f t="shared" si="282"/>
        <v>8.3300228805138321E-2</v>
      </c>
      <c r="U170" s="208">
        <f>T170*0.2</f>
        <v>1.6660045761027666E-2</v>
      </c>
      <c r="V170" s="207">
        <f t="shared" si="279"/>
        <v>3.3320091522055333E-3</v>
      </c>
      <c r="W170" s="207">
        <f t="shared" si="279"/>
        <v>6.6640183044110667E-4</v>
      </c>
      <c r="X170" s="207">
        <f t="shared" si="279"/>
        <v>1.3328036608822134E-4</v>
      </c>
    </row>
    <row r="171" spans="1:24" collapsed="1">
      <c r="A171" s="243" t="s">
        <v>523</v>
      </c>
      <c r="B171" s="211" t="s">
        <v>445</v>
      </c>
      <c r="C171" s="207"/>
      <c r="D171" s="207"/>
      <c r="E171" s="244">
        <f>E172/E167</f>
        <v>4.1968346577424855E-2</v>
      </c>
      <c r="F171" s="244">
        <f>F172/F167</f>
        <v>7.5897350449655593E-2</v>
      </c>
      <c r="G171" s="244">
        <f>G172/G167</f>
        <v>5.8300228805138299E-2</v>
      </c>
      <c r="H171" s="244">
        <f t="shared" ref="H171:J171" si="283">H172/H167</f>
        <v>7.8444112043044273E-2</v>
      </c>
      <c r="I171" s="244">
        <f t="shared" si="283"/>
        <v>0.11146869349190999</v>
      </c>
      <c r="J171" s="244">
        <f t="shared" si="283"/>
        <v>0.10318474206780376</v>
      </c>
      <c r="K171" s="224">
        <f t="shared" ref="K171:X171" si="284">CHOOSE($E$1,K168,K169,K170)</f>
        <v>6.8300228805138294E-2</v>
      </c>
      <c r="L171" s="224">
        <f t="shared" si="284"/>
        <v>6.8300228805138294E-2</v>
      </c>
      <c r="M171" s="224">
        <f t="shared" si="284"/>
        <v>6.8300228805138294E-2</v>
      </c>
      <c r="N171" s="224">
        <f t="shared" si="284"/>
        <v>6.8300228805138294E-2</v>
      </c>
      <c r="O171" s="224">
        <f t="shared" si="284"/>
        <v>6.8300228805138294E-2</v>
      </c>
      <c r="P171" s="224">
        <f t="shared" si="284"/>
        <v>6.8300228805138294E-2</v>
      </c>
      <c r="Q171" s="224">
        <f t="shared" si="284"/>
        <v>6.8300228805138294E-2</v>
      </c>
      <c r="R171" s="224">
        <f t="shared" si="284"/>
        <v>6.8300228805138294E-2</v>
      </c>
      <c r="S171" s="224">
        <f t="shared" si="284"/>
        <v>6.8300228805138294E-2</v>
      </c>
      <c r="T171" s="224">
        <f t="shared" si="284"/>
        <v>6.8300228805138294E-2</v>
      </c>
      <c r="U171" s="224">
        <f t="shared" si="284"/>
        <v>1.366004576102766E-2</v>
      </c>
      <c r="V171" s="224">
        <f t="shared" si="284"/>
        <v>2.7320091522055321E-3</v>
      </c>
      <c r="W171" s="224">
        <f t="shared" si="284"/>
        <v>5.4640183044110647E-4</v>
      </c>
      <c r="X171" s="224">
        <f t="shared" si="284"/>
        <v>1.092803660882213E-4</v>
      </c>
    </row>
    <row r="172" spans="1:24">
      <c r="B172" s="116" t="s">
        <v>446</v>
      </c>
      <c r="C172" s="128"/>
      <c r="D172" s="128"/>
      <c r="E172" s="128">
        <f>E174/E173</f>
        <v>9446.6943462136514</v>
      </c>
      <c r="F172" s="128">
        <f>F174/F173</f>
        <v>17737.185780905402</v>
      </c>
      <c r="G172" s="128">
        <f>G174/G173</f>
        <v>14299.515550043716</v>
      </c>
      <c r="H172" s="128">
        <f t="shared" ref="H172:J172" si="285">H174/H173</f>
        <v>20053.227341918522</v>
      </c>
      <c r="I172" s="128">
        <f t="shared" si="285"/>
        <v>29354.949659589929</v>
      </c>
      <c r="J172" s="128">
        <f t="shared" si="285"/>
        <v>28028.103461589275</v>
      </c>
      <c r="K172" s="128">
        <f t="shared" ref="K172:N172" si="286">K167*K171</f>
        <v>19161.14726440312</v>
      </c>
      <c r="L172" s="128">
        <f t="shared" si="286"/>
        <v>19817.086957961677</v>
      </c>
      <c r="M172" s="128">
        <f t="shared" si="286"/>
        <v>20524.888083661579</v>
      </c>
      <c r="N172" s="128">
        <f t="shared" si="286"/>
        <v>21289.690384501508</v>
      </c>
      <c r="O172" s="128">
        <f>O167*O171</f>
        <v>22117.167384514807</v>
      </c>
      <c r="P172" s="128">
        <f t="shared" ref="P172:X172" si="287">P167*P171</f>
        <v>23013.582460008267</v>
      </c>
      <c r="Q172" s="128">
        <f t="shared" si="287"/>
        <v>23985.85081910462</v>
      </c>
      <c r="R172" s="128">
        <f t="shared" si="287"/>
        <v>25041.608012698431</v>
      </c>
      <c r="S172" s="128">
        <f t="shared" si="287"/>
        <v>26189.285665666357</v>
      </c>
      <c r="T172" s="128">
        <f t="shared" si="287"/>
        <v>27438.195189839076</v>
      </c>
      <c r="U172" s="128">
        <f t="shared" si="287"/>
        <v>5759.7240641147901</v>
      </c>
      <c r="V172" s="128">
        <f t="shared" si="287"/>
        <v>1211.276776302991</v>
      </c>
      <c r="W172" s="128">
        <f t="shared" si="287"/>
        <v>255.20510791024327</v>
      </c>
      <c r="X172" s="128">
        <f t="shared" si="287"/>
        <v>53.869818055484139</v>
      </c>
    </row>
    <row r="173" spans="1:24">
      <c r="B173" s="203" t="s">
        <v>452</v>
      </c>
      <c r="C173" s="125"/>
      <c r="D173" s="125"/>
      <c r="E173" s="215">
        <v>0.4</v>
      </c>
      <c r="F173" s="125">
        <f>E173</f>
        <v>0.4</v>
      </c>
      <c r="G173" s="125">
        <f t="shared" ref="G173:N173" si="288">F173</f>
        <v>0.4</v>
      </c>
      <c r="H173" s="125">
        <f t="shared" si="288"/>
        <v>0.4</v>
      </c>
      <c r="I173" s="125">
        <f t="shared" si="288"/>
        <v>0.4</v>
      </c>
      <c r="J173" s="125">
        <f t="shared" si="288"/>
        <v>0.4</v>
      </c>
      <c r="K173" s="125">
        <f t="shared" si="288"/>
        <v>0.4</v>
      </c>
      <c r="L173" s="125">
        <f t="shared" si="288"/>
        <v>0.4</v>
      </c>
      <c r="M173" s="125">
        <f t="shared" si="288"/>
        <v>0.4</v>
      </c>
      <c r="N173" s="125">
        <f t="shared" si="288"/>
        <v>0.4</v>
      </c>
      <c r="O173" s="125">
        <f>N173</f>
        <v>0.4</v>
      </c>
      <c r="P173" s="125">
        <f t="shared" ref="P173" si="289">O173</f>
        <v>0.4</v>
      </c>
      <c r="Q173" s="125">
        <f t="shared" ref="Q173" si="290">P173</f>
        <v>0.4</v>
      </c>
      <c r="R173" s="125">
        <f t="shared" ref="R173" si="291">Q173</f>
        <v>0.4</v>
      </c>
      <c r="S173" s="125">
        <f t="shared" ref="S173" si="292">R173</f>
        <v>0.4</v>
      </c>
      <c r="T173" s="125">
        <f t="shared" ref="T173" si="293">S173</f>
        <v>0.4</v>
      </c>
      <c r="U173" s="125">
        <f t="shared" ref="U173" si="294">T173</f>
        <v>0.4</v>
      </c>
      <c r="V173" s="125">
        <f t="shared" ref="V173" si="295">U173</f>
        <v>0.4</v>
      </c>
      <c r="W173" s="125">
        <f t="shared" ref="W173" si="296">V173</f>
        <v>0.4</v>
      </c>
      <c r="X173" s="125">
        <f t="shared" ref="X173" si="297">W173</f>
        <v>0.4</v>
      </c>
    </row>
    <row r="174" spans="1:24">
      <c r="B174" s="116" t="s">
        <v>454</v>
      </c>
      <c r="E174" s="128">
        <f>E176</f>
        <v>3778.6777384854608</v>
      </c>
      <c r="F174" s="128">
        <f>F176-E176</f>
        <v>7094.8743123621607</v>
      </c>
      <c r="G174" s="128">
        <f>F174+G176-F176</f>
        <v>5719.8062200174863</v>
      </c>
      <c r="H174" s="128">
        <f>G174+H176-G176</f>
        <v>8021.2909367674092</v>
      </c>
      <c r="I174" s="128">
        <f>H174+I176-H176</f>
        <v>11741.979863835972</v>
      </c>
      <c r="J174" s="128">
        <f>I174+J176-I176</f>
        <v>11211.24138463571</v>
      </c>
      <c r="K174" s="128">
        <f t="shared" ref="K174:N174" si="298">K172*K173</f>
        <v>7664.4589057612484</v>
      </c>
      <c r="L174" s="128">
        <f t="shared" si="298"/>
        <v>7926.8347831846713</v>
      </c>
      <c r="M174" s="128">
        <f t="shared" si="298"/>
        <v>8209.9552334646323</v>
      </c>
      <c r="N174" s="128">
        <f t="shared" si="298"/>
        <v>8515.8761538006038</v>
      </c>
      <c r="O174" s="128">
        <f>O172*O173</f>
        <v>8846.8669538059239</v>
      </c>
      <c r="P174" s="128">
        <f t="shared" ref="P174:X174" si="299">P172*P173</f>
        <v>9205.4329840033079</v>
      </c>
      <c r="Q174" s="128">
        <f t="shared" si="299"/>
        <v>9594.3403276418485</v>
      </c>
      <c r="R174" s="128">
        <f t="shared" si="299"/>
        <v>10016.643205079374</v>
      </c>
      <c r="S174" s="128">
        <f t="shared" si="299"/>
        <v>10475.714266266543</v>
      </c>
      <c r="T174" s="128">
        <f t="shared" si="299"/>
        <v>10975.278075935632</v>
      </c>
      <c r="U174" s="128">
        <f t="shared" si="299"/>
        <v>2303.8896256459161</v>
      </c>
      <c r="V174" s="128">
        <f t="shared" si="299"/>
        <v>484.51071052119642</v>
      </c>
      <c r="W174" s="128">
        <f t="shared" si="299"/>
        <v>102.08204316409731</v>
      </c>
      <c r="X174" s="128">
        <f t="shared" si="299"/>
        <v>21.547927222193657</v>
      </c>
    </row>
    <row r="175" spans="1:24">
      <c r="B175" s="203" t="s">
        <v>456</v>
      </c>
      <c r="E175" s="245">
        <v>2</v>
      </c>
      <c r="F175" s="116">
        <f>E175</f>
        <v>2</v>
      </c>
      <c r="G175" s="116">
        <f t="shared" ref="G175:N175" si="300">F175</f>
        <v>2</v>
      </c>
      <c r="H175" s="116">
        <f t="shared" si="300"/>
        <v>2</v>
      </c>
      <c r="I175" s="116">
        <f t="shared" si="300"/>
        <v>2</v>
      </c>
      <c r="J175" s="116">
        <f t="shared" si="300"/>
        <v>2</v>
      </c>
      <c r="K175" s="116">
        <f t="shared" si="300"/>
        <v>2</v>
      </c>
      <c r="L175" s="116">
        <f t="shared" si="300"/>
        <v>2</v>
      </c>
      <c r="M175" s="116">
        <f t="shared" si="300"/>
        <v>2</v>
      </c>
      <c r="N175" s="116">
        <f t="shared" si="300"/>
        <v>2</v>
      </c>
      <c r="O175" s="116">
        <f>N175</f>
        <v>2</v>
      </c>
      <c r="P175" s="116">
        <f t="shared" ref="P175" si="301">O175</f>
        <v>2</v>
      </c>
      <c r="Q175" s="116">
        <f t="shared" ref="Q175" si="302">P175</f>
        <v>2</v>
      </c>
      <c r="R175" s="116">
        <f t="shared" ref="R175" si="303">Q175</f>
        <v>2</v>
      </c>
      <c r="S175" s="116">
        <f t="shared" ref="S175" si="304">R175</f>
        <v>2</v>
      </c>
      <c r="T175" s="116">
        <f t="shared" ref="T175" si="305">S175</f>
        <v>2</v>
      </c>
      <c r="U175" s="116">
        <f t="shared" ref="U175" si="306">T175</f>
        <v>2</v>
      </c>
      <c r="V175" s="116">
        <f t="shared" ref="V175" si="307">U175</f>
        <v>2</v>
      </c>
      <c r="W175" s="116">
        <f t="shared" ref="W175" si="308">V175</f>
        <v>2</v>
      </c>
      <c r="X175" s="116">
        <f t="shared" ref="X175" si="309">W175</f>
        <v>2</v>
      </c>
    </row>
    <row r="176" spans="1:24">
      <c r="B176" s="116" t="s">
        <v>235</v>
      </c>
      <c r="E176" s="128">
        <f>E181*10^6/E179/E178</f>
        <v>3778.6777384854608</v>
      </c>
      <c r="F176" s="128">
        <f>F181*10^6/F179/F178</f>
        <v>10873.552050847622</v>
      </c>
      <c r="G176" s="128">
        <f>G181*10^6/G179/G178</f>
        <v>9498.4839585029495</v>
      </c>
      <c r="H176" s="128">
        <f t="shared" ref="H176:J176" si="310">H181*10^6/H179/H178</f>
        <v>11799.968675252872</v>
      </c>
      <c r="I176" s="128">
        <f t="shared" si="310"/>
        <v>15520.657602321435</v>
      </c>
      <c r="J176" s="128">
        <f t="shared" si="310"/>
        <v>14989.919123121172</v>
      </c>
      <c r="K176" s="128">
        <v>15000</v>
      </c>
      <c r="L176" s="128">
        <f t="shared" ref="L176:N176" si="311">K174+L174</f>
        <v>15591.29368894592</v>
      </c>
      <c r="M176" s="128">
        <f t="shared" si="311"/>
        <v>16136.790016649304</v>
      </c>
      <c r="N176" s="128">
        <f t="shared" si="311"/>
        <v>16725.831387265236</v>
      </c>
      <c r="O176" s="128">
        <f>N174+O174</f>
        <v>17362.743107606526</v>
      </c>
      <c r="P176" s="128">
        <f t="shared" ref="P176" si="312">O174+P174</f>
        <v>18052.299937809232</v>
      </c>
      <c r="Q176" s="128">
        <f t="shared" ref="Q176" si="313">P174+Q174</f>
        <v>18799.773311645156</v>
      </c>
      <c r="R176" s="128">
        <f t="shared" ref="R176" si="314">Q174+R174</f>
        <v>19610.98353272122</v>
      </c>
      <c r="S176" s="128">
        <f t="shared" ref="S176" si="315">R174+S174</f>
        <v>20492.357471345917</v>
      </c>
      <c r="T176" s="128">
        <f t="shared" ref="T176" si="316">S174+T174</f>
        <v>21450.992342202175</v>
      </c>
      <c r="U176" s="128">
        <f t="shared" ref="U176" si="317">T174+U174</f>
        <v>13279.167701581548</v>
      </c>
      <c r="V176" s="128">
        <f t="shared" ref="V176" si="318">U174+V174</f>
        <v>2788.4003361671125</v>
      </c>
      <c r="W176" s="128">
        <f t="shared" ref="W176" si="319">V174+W174</f>
        <v>586.5927536852937</v>
      </c>
      <c r="X176" s="128">
        <f t="shared" ref="X176" si="320">W174+X174</f>
        <v>123.62997038629098</v>
      </c>
    </row>
    <row r="177" spans="2:24">
      <c r="B177" s="203" t="s">
        <v>455</v>
      </c>
      <c r="E177" s="234">
        <f>E176/E167</f>
        <v>1.6787338630969942E-2</v>
      </c>
      <c r="F177" s="234">
        <f t="shared" ref="F177:N177" si="321">F176/F167</f>
        <v>4.6527887841383758E-2</v>
      </c>
      <c r="G177" s="234">
        <f t="shared" si="321"/>
        <v>3.8726052371820717E-2</v>
      </c>
      <c r="H177" s="234">
        <f t="shared" si="321"/>
        <v>4.615905704769175E-2</v>
      </c>
      <c r="I177" s="234">
        <f t="shared" si="321"/>
        <v>5.8936140076154324E-2</v>
      </c>
      <c r="J177" s="234">
        <f t="shared" si="321"/>
        <v>5.5185001741419756E-2</v>
      </c>
      <c r="K177" s="234">
        <f t="shared" si="321"/>
        <v>5.3467750022482184E-2</v>
      </c>
      <c r="L177" s="234">
        <f t="shared" si="321"/>
        <v>5.3735896127522775E-2</v>
      </c>
      <c r="M177" s="234">
        <f t="shared" si="321"/>
        <v>5.3698049208607379E-2</v>
      </c>
      <c r="N177" s="234">
        <f t="shared" si="321"/>
        <v>5.36587470308168E-2</v>
      </c>
      <c r="O177" s="234">
        <f>O176/O167</f>
        <v>5.3618047298617875E-2</v>
      </c>
      <c r="P177" s="234">
        <f t="shared" ref="P177:X177" si="322">P176/P167</f>
        <v>5.3576022696768415E-2</v>
      </c>
      <c r="Q177" s="234">
        <f t="shared" si="322"/>
        <v>5.3532760974539774E-2</v>
      </c>
      <c r="R177" s="234">
        <f t="shared" si="322"/>
        <v>5.3488364712818773E-2</v>
      </c>
      <c r="S177" s="234">
        <f t="shared" si="322"/>
        <v>5.3442950751593138E-2</v>
      </c>
      <c r="T177" s="234">
        <f t="shared" si="322"/>
        <v>5.3396649266940016E-2</v>
      </c>
      <c r="U177" s="234">
        <f t="shared" si="322"/>
        <v>3.1493529282438433E-2</v>
      </c>
      <c r="V177" s="234">
        <f t="shared" si="322"/>
        <v>6.2891779876046838E-3</v>
      </c>
      <c r="W177" s="234">
        <f t="shared" si="322"/>
        <v>1.2559127713457059E-3</v>
      </c>
      <c r="X177" s="234">
        <f t="shared" si="322"/>
        <v>2.5079587997447182E-4</v>
      </c>
    </row>
    <row r="178" spans="2:24">
      <c r="B178" s="116" t="s">
        <v>453</v>
      </c>
      <c r="E178" s="246">
        <f>4/12</f>
        <v>0.33333333333333331</v>
      </c>
      <c r="F178" s="246">
        <f>0.5</f>
        <v>0.5</v>
      </c>
      <c r="G178" s="246">
        <v>0.75</v>
      </c>
      <c r="H178" s="247">
        <v>0.67</v>
      </c>
      <c r="I178" s="247">
        <v>0.6</v>
      </c>
      <c r="J178" s="247">
        <f t="shared" ref="J178:N178" si="323">I178</f>
        <v>0.6</v>
      </c>
      <c r="K178" s="247">
        <f t="shared" si="323"/>
        <v>0.6</v>
      </c>
      <c r="L178" s="247">
        <f t="shared" si="323"/>
        <v>0.6</v>
      </c>
      <c r="M178" s="247">
        <f t="shared" si="323"/>
        <v>0.6</v>
      </c>
      <c r="N178" s="247">
        <f t="shared" si="323"/>
        <v>0.6</v>
      </c>
      <c r="O178" s="247">
        <f t="shared" ref="O178" si="324">N178</f>
        <v>0.6</v>
      </c>
      <c r="P178" s="247">
        <f t="shared" ref="P178" si="325">O178</f>
        <v>0.6</v>
      </c>
      <c r="Q178" s="247">
        <f t="shared" ref="Q178" si="326">P178</f>
        <v>0.6</v>
      </c>
      <c r="R178" s="247">
        <f t="shared" ref="R178" si="327">Q178</f>
        <v>0.6</v>
      </c>
      <c r="S178" s="247">
        <f t="shared" ref="S178" si="328">R178</f>
        <v>0.6</v>
      </c>
      <c r="T178" s="247">
        <f t="shared" ref="T178" si="329">S178</f>
        <v>0.6</v>
      </c>
      <c r="U178" s="247">
        <f t="shared" ref="U178" si="330">T178</f>
        <v>0.6</v>
      </c>
      <c r="V178" s="247">
        <f t="shared" ref="V178" si="331">U178</f>
        <v>0.6</v>
      </c>
      <c r="W178" s="247">
        <f t="shared" ref="W178" si="332">V178</f>
        <v>0.6</v>
      </c>
      <c r="X178" s="247">
        <f t="shared" ref="X178" si="333">W178</f>
        <v>0.6</v>
      </c>
    </row>
    <row r="179" spans="2:24">
      <c r="B179" s="116" t="s">
        <v>237</v>
      </c>
      <c r="E179" s="248">
        <f>12*(1/6*1056.16+5/6*1135.37)*0.8</f>
        <v>10772.816000000001</v>
      </c>
      <c r="F179" s="123">
        <f>E179*(1+F180)</f>
        <v>10557.359680000001</v>
      </c>
      <c r="G179" s="123">
        <f>F179*(1+G180)</f>
        <v>10346.212486400002</v>
      </c>
      <c r="H179" s="123">
        <f t="shared" ref="H179:N179" si="334">G179*(1+H180)</f>
        <v>10139.288236672</v>
      </c>
      <c r="I179" s="123">
        <f t="shared" si="334"/>
        <v>9632.3238248384005</v>
      </c>
      <c r="J179" s="123">
        <f t="shared" si="334"/>
        <v>9439.6773483416328</v>
      </c>
      <c r="K179" s="123">
        <f t="shared" si="334"/>
        <v>9250.8838013747991</v>
      </c>
      <c r="L179" s="123">
        <f t="shared" si="334"/>
        <v>9065.8661253473038</v>
      </c>
      <c r="M179" s="123">
        <f t="shared" si="334"/>
        <v>8884.5488028403579</v>
      </c>
      <c r="N179" s="123">
        <f t="shared" si="334"/>
        <v>8706.857826783551</v>
      </c>
      <c r="O179" s="123">
        <f>N179*(1+O180)</f>
        <v>8532.7206702478798</v>
      </c>
      <c r="P179" s="123">
        <f t="shared" ref="P179" si="335">O179*(1+P180)</f>
        <v>8362.0662568429216</v>
      </c>
      <c r="Q179" s="123">
        <f t="shared" ref="Q179" si="336">P179*(1+Q180)</f>
        <v>8194.8249317060636</v>
      </c>
      <c r="R179" s="123">
        <f t="shared" ref="R179" si="337">Q179*(1+R180)</f>
        <v>8030.928433071942</v>
      </c>
      <c r="S179" s="123">
        <f t="shared" ref="S179" si="338">R179*(1+S180)</f>
        <v>7870.309864410503</v>
      </c>
      <c r="T179" s="123">
        <f t="shared" ref="T179" si="339">S179*(1+T180)</f>
        <v>7712.903667122293</v>
      </c>
      <c r="U179" s="123">
        <f t="shared" ref="U179" si="340">T179*(1+U180)</f>
        <v>7558.6455937798473</v>
      </c>
      <c r="V179" s="123">
        <f t="shared" ref="V179" si="341">U179*(1+V180)</f>
        <v>7407.4726819042498</v>
      </c>
      <c r="W179" s="123">
        <f t="shared" ref="W179" si="342">V179*(1+W180)</f>
        <v>7259.3232282661647</v>
      </c>
      <c r="X179" s="123">
        <f t="shared" ref="X179" si="343">W179*(1+X180)</f>
        <v>7114.1367637008416</v>
      </c>
    </row>
    <row r="180" spans="2:24">
      <c r="B180" s="197" t="s">
        <v>238</v>
      </c>
      <c r="C180" s="196"/>
      <c r="D180" s="234"/>
      <c r="E180" s="234"/>
      <c r="F180" s="234">
        <f>-2%</f>
        <v>-0.02</v>
      </c>
      <c r="G180" s="69">
        <v>-0.02</v>
      </c>
      <c r="H180" s="69">
        <v>-0.02</v>
      </c>
      <c r="I180" s="235">
        <v>-0.05</v>
      </c>
      <c r="J180" s="236">
        <v>-0.02</v>
      </c>
      <c r="K180" s="236">
        <f t="shared" ref="K180:M180" si="344">J180</f>
        <v>-0.02</v>
      </c>
      <c r="L180" s="236">
        <f t="shared" si="344"/>
        <v>-0.02</v>
      </c>
      <c r="M180" s="236">
        <f t="shared" si="344"/>
        <v>-0.02</v>
      </c>
      <c r="N180" s="236">
        <f>M180</f>
        <v>-0.02</v>
      </c>
      <c r="O180" s="396">
        <f t="shared" ref="O180:X180" si="345">N180</f>
        <v>-0.02</v>
      </c>
      <c r="P180" s="236">
        <f t="shared" si="345"/>
        <v>-0.02</v>
      </c>
      <c r="Q180" s="236">
        <f t="shared" si="345"/>
        <v>-0.02</v>
      </c>
      <c r="R180" s="236">
        <f t="shared" si="345"/>
        <v>-0.02</v>
      </c>
      <c r="S180" s="236">
        <f t="shared" si="345"/>
        <v>-0.02</v>
      </c>
      <c r="T180" s="236">
        <f t="shared" si="345"/>
        <v>-0.02</v>
      </c>
      <c r="U180" s="236">
        <f t="shared" si="345"/>
        <v>-0.02</v>
      </c>
      <c r="V180" s="236">
        <f t="shared" si="345"/>
        <v>-0.02</v>
      </c>
      <c r="W180" s="236">
        <f t="shared" si="345"/>
        <v>-0.02</v>
      </c>
      <c r="X180" s="236">
        <f t="shared" si="345"/>
        <v>-0.02</v>
      </c>
    </row>
    <row r="181" spans="2:24">
      <c r="B181" s="237" t="s">
        <v>447</v>
      </c>
      <c r="C181" s="238"/>
      <c r="D181" s="238"/>
      <c r="E181" s="238">
        <f>REVS!AU24</f>
        <v>13.568999999999999</v>
      </c>
      <c r="F181" s="238">
        <f>REVS!AZ24</f>
        <v>57.398000000000003</v>
      </c>
      <c r="G181" s="238">
        <f>REVS!BE24</f>
        <v>73.704999999999998</v>
      </c>
      <c r="H181" s="238">
        <f>REVS!BJ24</f>
        <v>80.161000000000001</v>
      </c>
      <c r="I181" s="238">
        <f>REVS!BO24</f>
        <v>89.7</v>
      </c>
      <c r="J181" s="238">
        <f>REVS!BT24</f>
        <v>84.9</v>
      </c>
      <c r="K181" s="238">
        <f t="shared" ref="K181:X181" si="346">K176*K178*K179/10^6</f>
        <v>83.257954212373193</v>
      </c>
      <c r="L181" s="238">
        <f t="shared" si="346"/>
        <v>84.809148782973608</v>
      </c>
      <c r="M181" s="238">
        <f t="shared" si="346"/>
        <v>86.02085905446468</v>
      </c>
      <c r="N181" s="238">
        <f>N176*N178*N179/10^6</f>
        <v>87.377661554203371</v>
      </c>
      <c r="O181" s="238">
        <f t="shared" si="346"/>
        <v>88.890862203886869</v>
      </c>
      <c r="P181" s="238">
        <f t="shared" si="346"/>
        <v>90.572716901017273</v>
      </c>
      <c r="Q181" s="238">
        <f t="shared" si="346"/>
        <v>92.436510626815192</v>
      </c>
      <c r="R181" s="238">
        <f t="shared" si="346"/>
        <v>94.496643152061893</v>
      </c>
      <c r="S181" s="238">
        <f t="shared" si="346"/>
        <v>96.768721891056018</v>
      </c>
      <c r="T181" s="238">
        <f t="shared" si="346"/>
        <v>99.269662499750012</v>
      </c>
      <c r="U181" s="238">
        <f t="shared" si="346"/>
        <v>60.223513461973816</v>
      </c>
      <c r="V181" s="238">
        <f t="shared" si="346"/>
        <v>12.392999589822308</v>
      </c>
      <c r="W181" s="238">
        <f t="shared" si="346"/>
        <v>2.5549598414161592</v>
      </c>
      <c r="X181" s="238">
        <f t="shared" si="346"/>
        <v>0.52771231045221534</v>
      </c>
    </row>
  </sheetData>
  <mergeCells count="2">
    <mergeCell ref="E1:F1"/>
    <mergeCell ref="H1:J1"/>
  </mergeCells>
  <phoneticPr fontId="16" type="noConversion"/>
  <hyperlinks>
    <hyperlink ref="Z7" r:id="rId1"/>
    <hyperlink ref="Z13" r:id="rId2"/>
    <hyperlink ref="Z8" r:id="rId3"/>
    <hyperlink ref="Z19" r:id="rId4"/>
    <hyperlink ref="Z112" r:id="rId5"/>
  </hyperlinks>
  <pageMargins left="0.7" right="0.7" top="0.75" bottom="0.75" header="0.3" footer="0.3"/>
  <pageSetup orientation="portrait" r:id="rId6"/>
  <legacyDrawing r:id="rId7"/>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V33"/>
  <sheetViews>
    <sheetView zoomScaleNormal="100" workbookViewId="0"/>
  </sheetViews>
  <sheetFormatPr defaultRowHeight="12.75"/>
  <cols>
    <col min="1" max="1" width="2.7109375" style="1" customWidth="1"/>
    <col min="2" max="2" width="41.42578125" style="1" bestFit="1" customWidth="1"/>
    <col min="3" max="22" width="8.7109375" style="1" customWidth="1"/>
    <col min="23" max="16384" width="9.140625" style="1"/>
  </cols>
  <sheetData>
    <row r="1" spans="2:22">
      <c r="C1" s="4">
        <v>2012</v>
      </c>
      <c r="D1" s="4">
        <f>C1+1</f>
        <v>2013</v>
      </c>
      <c r="E1" s="4">
        <f t="shared" ref="E1:P1" si="0">D1+1</f>
        <v>2014</v>
      </c>
      <c r="F1" s="4">
        <f t="shared" si="0"/>
        <v>2015</v>
      </c>
      <c r="G1" s="4">
        <f t="shared" si="0"/>
        <v>2016</v>
      </c>
      <c r="H1" s="4">
        <f t="shared" si="0"/>
        <v>2017</v>
      </c>
      <c r="I1" s="4">
        <f t="shared" si="0"/>
        <v>2018</v>
      </c>
      <c r="J1" s="4">
        <f t="shared" si="0"/>
        <v>2019</v>
      </c>
      <c r="K1" s="4">
        <f t="shared" si="0"/>
        <v>2020</v>
      </c>
      <c r="L1" s="4">
        <f t="shared" si="0"/>
        <v>2021</v>
      </c>
      <c r="M1" s="4">
        <f t="shared" si="0"/>
        <v>2022</v>
      </c>
      <c r="N1" s="4">
        <f t="shared" si="0"/>
        <v>2023</v>
      </c>
      <c r="O1" s="4">
        <f t="shared" si="0"/>
        <v>2024</v>
      </c>
      <c r="P1" s="4">
        <f t="shared" si="0"/>
        <v>2025</v>
      </c>
      <c r="Q1" s="4">
        <f t="shared" ref="Q1" si="1">P1+1</f>
        <v>2026</v>
      </c>
      <c r="R1" s="4">
        <f t="shared" ref="R1" si="2">Q1+1</f>
        <v>2027</v>
      </c>
      <c r="S1" s="4">
        <f t="shared" ref="S1" si="3">R1+1</f>
        <v>2028</v>
      </c>
      <c r="T1" s="4">
        <f t="shared" ref="T1" si="4">S1+1</f>
        <v>2029</v>
      </c>
      <c r="U1" s="4">
        <f t="shared" ref="U1" si="5">T1+1</f>
        <v>2030</v>
      </c>
      <c r="V1" s="4"/>
    </row>
    <row r="2" spans="2:22" s="17" customFormat="1">
      <c r="B2" s="17" t="s">
        <v>428</v>
      </c>
      <c r="D2" s="17">
        <f>REVS!BE12</f>
        <v>875.5</v>
      </c>
      <c r="E2" s="17">
        <f>REVS!BJ12</f>
        <v>2909.2109999999998</v>
      </c>
      <c r="F2" s="17">
        <f>REVS!BO12</f>
        <v>3638.3999999999996</v>
      </c>
      <c r="G2" s="17">
        <f>REVS!BT12</f>
        <v>3968.0999999999995</v>
      </c>
      <c r="H2" s="17">
        <f>REVS!BY12</f>
        <v>4214</v>
      </c>
      <c r="I2" s="17">
        <f>REVS!CD12</f>
        <v>4324.4021347536382</v>
      </c>
      <c r="J2" s="17">
        <f>REVS!CI12</f>
        <v>4482.8953873417813</v>
      </c>
      <c r="K2" s="17">
        <f>REVS!CN12</f>
        <v>4622.6497593600079</v>
      </c>
      <c r="L2" s="17">
        <f>REVS!CS12</f>
        <v>4713.8784801460506</v>
      </c>
      <c r="M2" s="17">
        <f>REVS!CX12</f>
        <v>4732.6141626484286</v>
      </c>
      <c r="N2" s="17">
        <f>REVS!DC12</f>
        <v>4751.7207991724881</v>
      </c>
      <c r="O2" s="17">
        <f>REVS!DH12</f>
        <v>4784.1409015683812</v>
      </c>
      <c r="P2" s="17">
        <f>REVS!DM12</f>
        <v>4002.9573821667273</v>
      </c>
      <c r="Q2" s="17">
        <f>REVS!DR12</f>
        <v>2766.3093735576358</v>
      </c>
      <c r="R2" s="17">
        <f>REVS!DW12</f>
        <v>1124.9646327764492</v>
      </c>
      <c r="S2" s="17">
        <f>REVS!EB12</f>
        <v>457.8110645189555</v>
      </c>
      <c r="T2" s="17">
        <f>REVS!EG12</f>
        <v>169.63783089824244</v>
      </c>
      <c r="U2" s="17">
        <f>REVS!BV12</f>
        <v>1110.5999999999999</v>
      </c>
    </row>
    <row r="3" spans="2:22">
      <c r="B3" s="1" t="s">
        <v>477</v>
      </c>
      <c r="C3" s="17">
        <f>IF(C1=$B$24,15,0)</f>
        <v>0</v>
      </c>
      <c r="D3" s="1">
        <f t="shared" ref="D3:O3" si="6">IF(D1=$B$24,15,0)</f>
        <v>15</v>
      </c>
      <c r="E3" s="1">
        <f t="shared" si="6"/>
        <v>0</v>
      </c>
      <c r="F3" s="1">
        <f t="shared" si="6"/>
        <v>0</v>
      </c>
      <c r="G3" s="1">
        <f t="shared" si="6"/>
        <v>0</v>
      </c>
      <c r="H3" s="1">
        <f t="shared" si="6"/>
        <v>0</v>
      </c>
      <c r="I3" s="1">
        <f t="shared" si="6"/>
        <v>0</v>
      </c>
      <c r="J3" s="1">
        <f t="shared" si="6"/>
        <v>0</v>
      </c>
      <c r="K3" s="1">
        <f t="shared" si="6"/>
        <v>0</v>
      </c>
      <c r="L3" s="1">
        <f t="shared" si="6"/>
        <v>0</v>
      </c>
      <c r="M3" s="1">
        <f t="shared" si="6"/>
        <v>0</v>
      </c>
      <c r="N3" s="1">
        <f t="shared" si="6"/>
        <v>0</v>
      </c>
      <c r="O3" s="1">
        <f t="shared" si="6"/>
        <v>0</v>
      </c>
      <c r="P3" s="1">
        <f>IF(P1=$B$24,15,0)</f>
        <v>0</v>
      </c>
      <c r="Q3" s="1">
        <f>IF(Q1=$B$24,15,0)</f>
        <v>0</v>
      </c>
      <c r="R3" s="1">
        <f t="shared" ref="R3:U3" si="7">IF(R1=$B$24,15,0)</f>
        <v>0</v>
      </c>
      <c r="S3" s="1">
        <f t="shared" si="7"/>
        <v>0</v>
      </c>
      <c r="T3" s="1">
        <f t="shared" si="7"/>
        <v>0</v>
      </c>
      <c r="U3" s="1">
        <f t="shared" si="7"/>
        <v>0</v>
      </c>
    </row>
    <row r="4" spans="2:22">
      <c r="B4" s="1" t="s">
        <v>478</v>
      </c>
      <c r="C4" s="17">
        <f>SUM($C$2:C2)</f>
        <v>0</v>
      </c>
      <c r="D4" s="17">
        <f>SUM($C$2:D2)</f>
        <v>875.5</v>
      </c>
      <c r="E4" s="17">
        <f>SUM($C$2:E2)</f>
        <v>3784.7109999999998</v>
      </c>
      <c r="F4" s="17">
        <f>SUM($C$2:F2)</f>
        <v>7423.110999999999</v>
      </c>
      <c r="G4" s="17">
        <f>SUM($C$2:G2)</f>
        <v>11391.210999999999</v>
      </c>
      <c r="H4" s="17">
        <f>SUM($C$2:H2)</f>
        <v>15605.210999999999</v>
      </c>
      <c r="I4" s="17">
        <f>SUM($C$2:I2)</f>
        <v>19929.613134753636</v>
      </c>
      <c r="J4" s="17">
        <f>SUM($C$2:J2)</f>
        <v>24412.508522095417</v>
      </c>
      <c r="K4" s="17">
        <f>SUM($C$2:K2)</f>
        <v>29035.158281455424</v>
      </c>
      <c r="L4" s="17">
        <f>SUM($C$2:L2)</f>
        <v>33749.036761601477</v>
      </c>
      <c r="M4" s="17">
        <f>SUM($C$2:M2)</f>
        <v>38481.650924249909</v>
      </c>
      <c r="N4" s="17">
        <f>SUM($C$2:N2)</f>
        <v>43233.371723422395</v>
      </c>
      <c r="O4" s="17">
        <f>SUM($C$2:O2)</f>
        <v>48017.512624990777</v>
      </c>
      <c r="P4" s="17">
        <f>SUM($C$2:P2)</f>
        <v>52020.470007157506</v>
      </c>
      <c r="Q4" s="17">
        <f>SUM($C$2:Q2)</f>
        <v>54786.779380715139</v>
      </c>
      <c r="R4" s="17">
        <f>SUM($C$2:R2)</f>
        <v>55911.744013491589</v>
      </c>
      <c r="S4" s="17">
        <f>SUM($C$2:S2)</f>
        <v>56369.555078010548</v>
      </c>
      <c r="T4" s="17">
        <f>SUM($C$2:T2)</f>
        <v>56539.192908908793</v>
      </c>
      <c r="U4" s="17">
        <f>SUM($C$2:U2)</f>
        <v>57649.792908908792</v>
      </c>
      <c r="V4" s="17"/>
    </row>
    <row r="5" spans="2:22">
      <c r="B5" s="1" t="s">
        <v>479</v>
      </c>
      <c r="C5" s="17"/>
      <c r="D5" s="17"/>
      <c r="E5" s="17"/>
      <c r="F5" s="17"/>
      <c r="G5" s="17"/>
      <c r="H5" s="17"/>
      <c r="I5" s="17"/>
      <c r="J5" s="17"/>
      <c r="K5" s="17"/>
      <c r="L5" s="17"/>
      <c r="M5" s="17"/>
      <c r="N5" s="17"/>
      <c r="O5" s="17"/>
      <c r="P5" s="17"/>
      <c r="Q5" s="17"/>
      <c r="R5" s="17"/>
      <c r="S5" s="17"/>
      <c r="T5" s="17"/>
      <c r="U5" s="17"/>
      <c r="V5" s="17"/>
    </row>
    <row r="6" spans="2:22">
      <c r="B6" s="1" t="s">
        <v>480</v>
      </c>
      <c r="C6" s="17">
        <f>MATCH(SUM($C$2:C2),$D$26:$H$26,1)-1</f>
        <v>0</v>
      </c>
      <c r="D6" s="17">
        <f>MATCH(SUM($C$2:D2),$D$26:$H$26,1)-1</f>
        <v>1</v>
      </c>
      <c r="E6" s="17">
        <f>MATCH(SUM($C$2:E2),$D$26:$H$26,1)-1</f>
        <v>4</v>
      </c>
      <c r="F6" s="17">
        <f>MATCH(SUM($C$2:F2),$D$26:$H$26,1)-1</f>
        <v>4</v>
      </c>
      <c r="G6" s="17">
        <f>MATCH(SUM($C$2:G2),$D$26:$H$26,1)-1</f>
        <v>4</v>
      </c>
      <c r="H6" s="17">
        <f>MATCH(SUM($C$2:H2),$D$26:$H$26,1)-1</f>
        <v>4</v>
      </c>
      <c r="I6" s="17">
        <f>MATCH(SUM($C$2:I2),$D$26:$H$26,1)-1</f>
        <v>4</v>
      </c>
      <c r="J6" s="17">
        <f>MATCH(SUM($C$2:J2),$D$26:$H$26,1)-1</f>
        <v>4</v>
      </c>
      <c r="K6" s="17">
        <f>MATCH(SUM($C$2:K2),$D$26:$H$26,1)-1</f>
        <v>4</v>
      </c>
      <c r="L6" s="17">
        <f>MATCH(SUM($C$2:L2),$D$26:$H$26,1)-1</f>
        <v>4</v>
      </c>
      <c r="M6" s="17">
        <f>MATCH(SUM($C$2:M2),$D$26:$H$26,1)-1</f>
        <v>4</v>
      </c>
      <c r="N6" s="17">
        <f>MATCH(SUM($C$2:N2),$D$26:$H$26,1)-1</f>
        <v>4</v>
      </c>
      <c r="O6" s="17">
        <f>MATCH(SUM($C$2:O2),$D$26:$H$26,1)-1</f>
        <v>4</v>
      </c>
      <c r="P6" s="17">
        <f>MATCH(SUM($C$2:P2),$D$26:$H$26,1)-1</f>
        <v>4</v>
      </c>
      <c r="Q6" s="17"/>
      <c r="R6" s="17"/>
      <c r="S6" s="17"/>
      <c r="T6" s="17"/>
      <c r="U6" s="17"/>
      <c r="V6" s="17"/>
    </row>
    <row r="7" spans="2:22">
      <c r="B7" s="1" t="s">
        <v>481</v>
      </c>
      <c r="C7" s="17">
        <f>C6</f>
        <v>0</v>
      </c>
      <c r="D7" s="17">
        <f>D6-C6</f>
        <v>1</v>
      </c>
      <c r="E7" s="17">
        <f t="shared" ref="E7:P7" si="8">E6-D6</f>
        <v>3</v>
      </c>
      <c r="F7" s="17">
        <f t="shared" si="8"/>
        <v>0</v>
      </c>
      <c r="G7" s="17">
        <f t="shared" si="8"/>
        <v>0</v>
      </c>
      <c r="H7" s="17">
        <f t="shared" si="8"/>
        <v>0</v>
      </c>
      <c r="I7" s="17">
        <f t="shared" si="8"/>
        <v>0</v>
      </c>
      <c r="J7" s="17">
        <f t="shared" si="8"/>
        <v>0</v>
      </c>
      <c r="K7" s="17">
        <f t="shared" si="8"/>
        <v>0</v>
      </c>
      <c r="L7" s="17">
        <f t="shared" si="8"/>
        <v>0</v>
      </c>
      <c r="M7" s="17">
        <f t="shared" si="8"/>
        <v>0</v>
      </c>
      <c r="N7" s="17">
        <f t="shared" si="8"/>
        <v>0</v>
      </c>
      <c r="O7" s="17">
        <f t="shared" si="8"/>
        <v>0</v>
      </c>
      <c r="P7" s="17">
        <f t="shared" si="8"/>
        <v>0</v>
      </c>
      <c r="Q7" s="17"/>
      <c r="R7" s="17"/>
      <c r="S7" s="17"/>
      <c r="T7" s="17"/>
      <c r="U7" s="17"/>
      <c r="V7" s="17"/>
    </row>
    <row r="8" spans="2:22">
      <c r="B8" s="1" t="s">
        <v>482</v>
      </c>
      <c r="C8" s="17">
        <f>INDEX($D$26:$H$26,1,C6+1)</f>
        <v>0</v>
      </c>
      <c r="D8" s="17">
        <f t="shared" ref="D8:P8" si="9">INDEX($D$26:$H$26,1,D6+1)</f>
        <v>500</v>
      </c>
      <c r="E8" s="17">
        <f t="shared" si="9"/>
        <v>3000</v>
      </c>
      <c r="F8" s="17">
        <f t="shared" si="9"/>
        <v>3000</v>
      </c>
      <c r="G8" s="17">
        <f t="shared" si="9"/>
        <v>3000</v>
      </c>
      <c r="H8" s="17">
        <f t="shared" si="9"/>
        <v>3000</v>
      </c>
      <c r="I8" s="17">
        <f t="shared" si="9"/>
        <v>3000</v>
      </c>
      <c r="J8" s="17">
        <f t="shared" si="9"/>
        <v>3000</v>
      </c>
      <c r="K8" s="17">
        <f t="shared" si="9"/>
        <v>3000</v>
      </c>
      <c r="L8" s="17">
        <f t="shared" si="9"/>
        <v>3000</v>
      </c>
      <c r="M8" s="17">
        <f t="shared" si="9"/>
        <v>3000</v>
      </c>
      <c r="N8" s="17">
        <f t="shared" si="9"/>
        <v>3000</v>
      </c>
      <c r="O8" s="17">
        <f t="shared" si="9"/>
        <v>3000</v>
      </c>
      <c r="P8" s="17">
        <f t="shared" si="9"/>
        <v>3000</v>
      </c>
      <c r="Q8" s="17"/>
      <c r="R8" s="17"/>
      <c r="S8" s="17"/>
      <c r="T8" s="17"/>
      <c r="U8" s="17"/>
      <c r="V8" s="17"/>
    </row>
    <row r="9" spans="2:22">
      <c r="B9" s="1" t="s">
        <v>483</v>
      </c>
      <c r="C9" s="17">
        <f>C2</f>
        <v>0</v>
      </c>
      <c r="D9" s="17">
        <f>AVERAGE(C2:D2)</f>
        <v>875.5</v>
      </c>
      <c r="E9" s="17">
        <f t="shared" ref="E9:P9" si="10">AVERAGE(D2:E2)</f>
        <v>1892.3554999999999</v>
      </c>
      <c r="F9" s="17">
        <f t="shared" si="10"/>
        <v>3273.8054999999995</v>
      </c>
      <c r="G9" s="17">
        <f t="shared" si="10"/>
        <v>3803.2499999999995</v>
      </c>
      <c r="H9" s="17">
        <f t="shared" si="10"/>
        <v>4091.0499999999997</v>
      </c>
      <c r="I9" s="17">
        <f t="shared" si="10"/>
        <v>4269.2010673768191</v>
      </c>
      <c r="J9" s="17">
        <f t="shared" si="10"/>
        <v>4403.6487610477097</v>
      </c>
      <c r="K9" s="17">
        <f t="shared" si="10"/>
        <v>4552.7725733508942</v>
      </c>
      <c r="L9" s="17">
        <f t="shared" si="10"/>
        <v>4668.2641197530293</v>
      </c>
      <c r="M9" s="17">
        <f t="shared" si="10"/>
        <v>4723.2463213972396</v>
      </c>
      <c r="N9" s="17">
        <f t="shared" si="10"/>
        <v>4742.1674809104588</v>
      </c>
      <c r="O9" s="17">
        <f t="shared" si="10"/>
        <v>4767.9308503704342</v>
      </c>
      <c r="P9" s="17">
        <f t="shared" si="10"/>
        <v>4393.5491418675538</v>
      </c>
      <c r="Q9" s="17"/>
      <c r="R9" s="17"/>
      <c r="S9" s="17"/>
      <c r="T9" s="17"/>
      <c r="U9" s="17"/>
      <c r="V9" s="17"/>
    </row>
    <row r="10" spans="2:22">
      <c r="B10" s="1" t="s">
        <v>484</v>
      </c>
      <c r="C10" s="17">
        <f>INDEX($C$27:$C$33,MATCH(C9,$C$27:$C$33,1))</f>
        <v>0</v>
      </c>
      <c r="D10" s="17">
        <f t="shared" ref="D10:P10" si="11">INDEX($C$27:$C$33,MATCH(D9,$C$27:$C$33,1))</f>
        <v>500</v>
      </c>
      <c r="E10" s="17">
        <f t="shared" si="11"/>
        <v>1500</v>
      </c>
      <c r="F10" s="17">
        <f t="shared" si="11"/>
        <v>3000</v>
      </c>
      <c r="G10" s="17">
        <f t="shared" si="11"/>
        <v>3000</v>
      </c>
      <c r="H10" s="17">
        <f t="shared" si="11"/>
        <v>3000</v>
      </c>
      <c r="I10" s="17">
        <f t="shared" si="11"/>
        <v>3000</v>
      </c>
      <c r="J10" s="17">
        <f t="shared" si="11"/>
        <v>3000</v>
      </c>
      <c r="K10" s="17">
        <f t="shared" si="11"/>
        <v>3000</v>
      </c>
      <c r="L10" s="17">
        <f t="shared" si="11"/>
        <v>3000</v>
      </c>
      <c r="M10" s="17">
        <f t="shared" si="11"/>
        <v>3000</v>
      </c>
      <c r="N10" s="17">
        <f t="shared" si="11"/>
        <v>3000</v>
      </c>
      <c r="O10" s="17">
        <f t="shared" si="11"/>
        <v>3000</v>
      </c>
      <c r="P10" s="17">
        <f t="shared" si="11"/>
        <v>3000</v>
      </c>
      <c r="Q10" s="17"/>
      <c r="R10" s="17"/>
      <c r="S10" s="17"/>
      <c r="T10" s="17"/>
      <c r="U10" s="17"/>
      <c r="V10" s="17"/>
    </row>
    <row r="11" spans="2:22">
      <c r="B11" s="1" t="s">
        <v>485</v>
      </c>
      <c r="C11" s="17">
        <f>IF(MATCH(C2,D26:H26,1)=2,E28,IF(MATCH(C2,D26:H26,1)=3,F29,IF(MATCH(C2,D26:H26,1)=4,G31,IF(MATCH(C2,D26:H26,1)=5,250,0))))</f>
        <v>0</v>
      </c>
      <c r="D11" s="17">
        <f>IF(D7=0,0,SUM(INDEX($D$27:$H$33,MATCH(D9,$C$27:$C$33,1),(MATCH(D4,$D$26:$H$26,1))+1-D7):INDEX($D$27:$H$33,MATCH(D9,$C$27:$C$33,1),(MATCH(D4,$D$26:$H$26,1)))))</f>
        <v>22</v>
      </c>
      <c r="E11" s="17">
        <f>IF(E7=0,0,SUM(INDEX($D$27:$H$33,MATCH(E9,$C$27:$C$33,1),(MATCH(E4,$D$26:$H$26,1))+1-E7):INDEX($D$27:$H$33,MATCH(E9,$C$27:$C$33,1),(MATCH(E4,$D$26:$H$26,1)))))</f>
        <v>350</v>
      </c>
      <c r="F11" s="17">
        <f>IF(F7=0,0,SUM(INDEX($D$27:$H$33,MATCH(F9,$C$27:$C$33,1),(MATCH(F4,$D$26:$H$26,1))+1-F7):INDEX($D$27:$H$33,MATCH(F9,$C$27:$C$33,1),(MATCH(F4,$D$26:$H$26,1)))))</f>
        <v>0</v>
      </c>
      <c r="G11" s="17">
        <f>IF(G7=0,0,SUM(INDEX($D$27:$H$33,MATCH(G9,$C$27:$C$33,1),(MATCH(G4,$D$26:$H$26,1))+1-G7):INDEX($D$27:$H$33,MATCH(G9,$C$27:$C$33,1),(MATCH(G4,$D$26:$H$26,1)))))</f>
        <v>0</v>
      </c>
      <c r="H11" s="17">
        <f>IF(H7=0,0,SUM(INDEX($D$27:$H$33,MATCH(H9,$C$27:$C$33,1),(MATCH(H4,$D$26:$H$26,1))+1-H7):INDEX($D$27:$H$33,MATCH(H9,$C$27:$C$33,1),(MATCH(H4,$D$26:$H$26,1)))))</f>
        <v>0</v>
      </c>
      <c r="I11" s="17">
        <f>IF(I7=0,0,SUM(INDEX($D$27:$H$33,MATCH(I9,$C$27:$C$33,1),(MATCH(I4,$D$26:$H$26,1))+1-I7):INDEX($D$27:$H$33,MATCH(I9,$C$27:$C$33,1),(MATCH(I4,$D$26:$H$26,1)))))</f>
        <v>0</v>
      </c>
      <c r="J11" s="17">
        <f>IF(J7=0,0,SUM(INDEX($D$27:$H$33,MATCH(J9,$C$27:$C$33,1),(MATCH(J4,$D$26:$H$26,1))+1-J7):INDEX($D$27:$H$33,MATCH(J9,$C$27:$C$33,1),(MATCH(J4,$D$26:$H$26,1)))))</f>
        <v>0</v>
      </c>
      <c r="K11" s="17">
        <f>IF(K7=0,0,SUM(INDEX($D$27:$H$33,MATCH(K9,$C$27:$C$33,1),(MATCH(K4,$D$26:$H$26,1))+1-K7):INDEX($D$27:$H$33,MATCH(K9,$C$27:$C$33,1),(MATCH(K4,$D$26:$H$26,1)))))</f>
        <v>0</v>
      </c>
      <c r="L11" s="17">
        <f>IF(L7=0,0,SUM(INDEX($D$27:$H$33,MATCH(L9,$C$27:$C$33,1),(MATCH(L4,$D$26:$H$26,1))+1-L7):INDEX($D$27:$H$33,MATCH(L9,$C$27:$C$33,1),(MATCH(L4,$D$26:$H$26,1)))))</f>
        <v>0</v>
      </c>
      <c r="M11" s="17">
        <f>IF(M7=0,0,SUM(INDEX($D$27:$H$33,MATCH(M9,$C$27:$C$33,1),(MATCH(M4,$D$26:$H$26,1))+1-M7):INDEX($D$27:$H$33,MATCH(M9,$C$27:$C$33,1),(MATCH(M4,$D$26:$H$26,1)))))</f>
        <v>0</v>
      </c>
      <c r="N11" s="17">
        <f>IF(N7=0,0,SUM(INDEX($D$27:$H$33,MATCH(N9,$C$27:$C$33,1),(MATCH(N4,$D$26:$H$26,1))+1-N7):INDEX($D$27:$H$33,MATCH(N9,$C$27:$C$33,1),(MATCH(N4,$D$26:$H$26,1)))))</f>
        <v>0</v>
      </c>
      <c r="O11" s="17">
        <f>IF(O7=0,0,SUM(INDEX($D$27:$H$33,MATCH(O9,$C$27:$C$33,1),(MATCH(O4,$D$26:$H$26,1))+1-O7):INDEX($D$27:$H$33,MATCH(O9,$C$27:$C$33,1),(MATCH(O4,$D$26:$H$26,1)))))</f>
        <v>0</v>
      </c>
      <c r="P11" s="17">
        <f>IF(P7=0,0,SUM(INDEX($D$27:$H$33,MATCH(P9,$C$27:$C$33,1),(MATCH(P4,$D$26:$H$26,1))+1-P7):INDEX($D$27:$H$33,MATCH(P9,$C$27:$C$33,1),(MATCH(P4,$D$26:$H$26,1)))))</f>
        <v>0</v>
      </c>
      <c r="Q11" s="17"/>
      <c r="R11" s="17"/>
      <c r="S11" s="17"/>
      <c r="T11" s="17"/>
      <c r="U11" s="17"/>
      <c r="V11" s="17"/>
    </row>
    <row r="12" spans="2:22">
      <c r="C12" s="17"/>
      <c r="D12" s="17"/>
      <c r="E12" s="17"/>
      <c r="F12" s="17"/>
      <c r="G12" s="17"/>
      <c r="H12" s="17"/>
      <c r="I12" s="17"/>
      <c r="J12" s="17"/>
      <c r="K12" s="17"/>
      <c r="L12" s="17"/>
      <c r="M12" s="17"/>
      <c r="N12" s="17"/>
      <c r="O12" s="17"/>
      <c r="P12" s="17"/>
      <c r="Q12" s="17"/>
      <c r="R12" s="17"/>
      <c r="S12" s="17"/>
      <c r="T12" s="17"/>
      <c r="U12" s="17"/>
      <c r="V12" s="17"/>
    </row>
    <row r="13" spans="2:22">
      <c r="B13" s="1" t="s">
        <v>486</v>
      </c>
      <c r="C13" s="17"/>
      <c r="D13" s="17"/>
      <c r="E13" s="17"/>
      <c r="F13" s="17"/>
      <c r="G13" s="17"/>
      <c r="H13" s="17"/>
      <c r="I13" s="17"/>
      <c r="J13" s="17"/>
      <c r="K13" s="17"/>
      <c r="L13" s="17"/>
      <c r="M13" s="17"/>
      <c r="N13" s="17"/>
      <c r="O13" s="17"/>
      <c r="P13" s="17"/>
      <c r="Q13" s="17"/>
      <c r="R13" s="17"/>
      <c r="S13" s="17"/>
      <c r="T13" s="17"/>
      <c r="U13" s="17"/>
      <c r="V13" s="17"/>
    </row>
    <row r="14" spans="2:22">
      <c r="B14" s="1" t="s">
        <v>480</v>
      </c>
      <c r="C14" s="17">
        <f>(MAX(0,ROUNDDOWN((MIN(C4,20000)-3000)/1000,0)))</f>
        <v>0</v>
      </c>
      <c r="D14" s="17">
        <f>(MAX(0,ROUNDDOWN((MIN(D4,20000)-3000)/1000,0)))</f>
        <v>0</v>
      </c>
      <c r="E14" s="17">
        <f t="shared" ref="E14:P14" si="12">(MAX(0,ROUNDDOWN((MIN(E4,20000)-3000)/1000,0)))</f>
        <v>0</v>
      </c>
      <c r="F14" s="17">
        <f t="shared" si="12"/>
        <v>4</v>
      </c>
      <c r="G14" s="17">
        <f t="shared" si="12"/>
        <v>8</v>
      </c>
      <c r="H14" s="17">
        <f t="shared" si="12"/>
        <v>12</v>
      </c>
      <c r="I14" s="17">
        <f t="shared" si="12"/>
        <v>16</v>
      </c>
      <c r="J14" s="17">
        <f t="shared" si="12"/>
        <v>17</v>
      </c>
      <c r="K14" s="17">
        <f t="shared" si="12"/>
        <v>17</v>
      </c>
      <c r="L14" s="17">
        <f t="shared" si="12"/>
        <v>17</v>
      </c>
      <c r="M14" s="17">
        <f t="shared" si="12"/>
        <v>17</v>
      </c>
      <c r="N14" s="17">
        <f t="shared" si="12"/>
        <v>17</v>
      </c>
      <c r="O14" s="17">
        <f t="shared" si="12"/>
        <v>17</v>
      </c>
      <c r="P14" s="17">
        <f t="shared" si="12"/>
        <v>17</v>
      </c>
      <c r="Q14" s="17"/>
      <c r="R14" s="17"/>
      <c r="S14" s="17"/>
      <c r="T14" s="17"/>
      <c r="U14" s="17"/>
      <c r="V14" s="17"/>
    </row>
    <row r="15" spans="2:22">
      <c r="B15" s="1" t="s">
        <v>481</v>
      </c>
      <c r="C15" s="17">
        <f>(MAX(0,ROUNDDOWN((MIN(SUM($C$2:C2),20000)-3000)/1000,0)))</f>
        <v>0</v>
      </c>
      <c r="D15" s="17">
        <f>D14-C14</f>
        <v>0</v>
      </c>
      <c r="E15" s="17">
        <f t="shared" ref="E15:P15" si="13">E14-D14</f>
        <v>0</v>
      </c>
      <c r="F15" s="17">
        <f t="shared" si="13"/>
        <v>4</v>
      </c>
      <c r="G15" s="17">
        <f t="shared" si="13"/>
        <v>4</v>
      </c>
      <c r="H15" s="17">
        <f t="shared" si="13"/>
        <v>4</v>
      </c>
      <c r="I15" s="17">
        <f t="shared" si="13"/>
        <v>4</v>
      </c>
      <c r="J15" s="17">
        <f t="shared" si="13"/>
        <v>1</v>
      </c>
      <c r="K15" s="17">
        <f t="shared" si="13"/>
        <v>0</v>
      </c>
      <c r="L15" s="17">
        <f t="shared" si="13"/>
        <v>0</v>
      </c>
      <c r="M15" s="17">
        <f t="shared" si="13"/>
        <v>0</v>
      </c>
      <c r="N15" s="17">
        <f t="shared" si="13"/>
        <v>0</v>
      </c>
      <c r="O15" s="17">
        <f t="shared" si="13"/>
        <v>0</v>
      </c>
      <c r="P15" s="17">
        <f t="shared" si="13"/>
        <v>0</v>
      </c>
      <c r="Q15" s="17"/>
      <c r="R15" s="17"/>
      <c r="S15" s="17"/>
      <c r="T15" s="17"/>
      <c r="U15" s="17"/>
      <c r="V15" s="17"/>
    </row>
    <row r="16" spans="2:22">
      <c r="B16" s="1" t="s">
        <v>483</v>
      </c>
      <c r="C16" s="17">
        <f>C9</f>
        <v>0</v>
      </c>
      <c r="D16" s="17">
        <f>D9</f>
        <v>875.5</v>
      </c>
      <c r="E16" s="17">
        <f t="shared" ref="E16:P16" si="14">E9</f>
        <v>1892.3554999999999</v>
      </c>
      <c r="F16" s="17">
        <f t="shared" si="14"/>
        <v>3273.8054999999995</v>
      </c>
      <c r="G16" s="17">
        <f t="shared" si="14"/>
        <v>3803.2499999999995</v>
      </c>
      <c r="H16" s="17">
        <f t="shared" si="14"/>
        <v>4091.0499999999997</v>
      </c>
      <c r="I16" s="17">
        <f t="shared" si="14"/>
        <v>4269.2010673768191</v>
      </c>
      <c r="J16" s="17">
        <f t="shared" si="14"/>
        <v>4403.6487610477097</v>
      </c>
      <c r="K16" s="17">
        <f t="shared" si="14"/>
        <v>4552.7725733508942</v>
      </c>
      <c r="L16" s="17">
        <f t="shared" si="14"/>
        <v>4668.2641197530293</v>
      </c>
      <c r="M16" s="17">
        <f t="shared" si="14"/>
        <v>4723.2463213972396</v>
      </c>
      <c r="N16" s="17">
        <f t="shared" si="14"/>
        <v>4742.1674809104588</v>
      </c>
      <c r="O16" s="17">
        <f t="shared" si="14"/>
        <v>4767.9308503704342</v>
      </c>
      <c r="P16" s="17">
        <f t="shared" si="14"/>
        <v>4393.5491418675538</v>
      </c>
      <c r="Q16" s="17"/>
      <c r="R16" s="17"/>
      <c r="S16" s="17"/>
      <c r="T16" s="17"/>
      <c r="U16" s="17"/>
      <c r="V16" s="17"/>
    </row>
    <row r="17" spans="2:22">
      <c r="B17" s="1" t="s">
        <v>487</v>
      </c>
      <c r="C17" s="17">
        <f>IF(C14&gt;0,INDEX($I$27:$I$33,MATCH(C16,$C$27:$C$33,1)),0)</f>
        <v>0</v>
      </c>
      <c r="D17" s="17">
        <f>IF(D14&gt;0,INDEX($I$27:$I$33,MATCH(D16,$C$27:$C$33,1)),0)</f>
        <v>0</v>
      </c>
      <c r="E17" s="17">
        <f t="shared" ref="E17:P17" si="15">IF(E14&gt;0,INDEX($I$27:$I$33,MATCH(E16,$C$27:$C$33,1)),0)</f>
        <v>0</v>
      </c>
      <c r="F17" s="17">
        <f t="shared" si="15"/>
        <v>300</v>
      </c>
      <c r="G17" s="17">
        <f t="shared" si="15"/>
        <v>300</v>
      </c>
      <c r="H17" s="17">
        <f t="shared" si="15"/>
        <v>300</v>
      </c>
      <c r="I17" s="17">
        <f t="shared" si="15"/>
        <v>300</v>
      </c>
      <c r="J17" s="17">
        <f t="shared" si="15"/>
        <v>300</v>
      </c>
      <c r="K17" s="17">
        <f t="shared" si="15"/>
        <v>300</v>
      </c>
      <c r="L17" s="17">
        <f t="shared" si="15"/>
        <v>300</v>
      </c>
      <c r="M17" s="17">
        <f t="shared" si="15"/>
        <v>300</v>
      </c>
      <c r="N17" s="17">
        <f t="shared" si="15"/>
        <v>300</v>
      </c>
      <c r="O17" s="17">
        <f t="shared" si="15"/>
        <v>300</v>
      </c>
      <c r="P17" s="17">
        <f t="shared" si="15"/>
        <v>300</v>
      </c>
      <c r="Q17" s="17"/>
      <c r="R17" s="17"/>
      <c r="S17" s="17"/>
      <c r="T17" s="17"/>
      <c r="U17" s="17"/>
      <c r="V17" s="17"/>
    </row>
    <row r="18" spans="2:22">
      <c r="B18" s="1" t="s">
        <v>485</v>
      </c>
      <c r="C18" s="17">
        <v>0</v>
      </c>
      <c r="D18" s="17">
        <f>D15*D17</f>
        <v>0</v>
      </c>
      <c r="E18" s="17">
        <f t="shared" ref="E18:P18" si="16">E15*E17</f>
        <v>0</v>
      </c>
      <c r="F18" s="17">
        <f t="shared" si="16"/>
        <v>1200</v>
      </c>
      <c r="G18" s="17">
        <f t="shared" si="16"/>
        <v>1200</v>
      </c>
      <c r="H18" s="17">
        <f t="shared" si="16"/>
        <v>1200</v>
      </c>
      <c r="I18" s="17">
        <f t="shared" si="16"/>
        <v>1200</v>
      </c>
      <c r="J18" s="17">
        <f t="shared" si="16"/>
        <v>300</v>
      </c>
      <c r="K18" s="17">
        <f t="shared" si="16"/>
        <v>0</v>
      </c>
      <c r="L18" s="17">
        <f>L15*L17</f>
        <v>0</v>
      </c>
      <c r="M18" s="17">
        <f t="shared" si="16"/>
        <v>0</v>
      </c>
      <c r="N18" s="17">
        <f t="shared" si="16"/>
        <v>0</v>
      </c>
      <c r="O18" s="17">
        <f t="shared" si="16"/>
        <v>0</v>
      </c>
      <c r="P18" s="17">
        <f t="shared" si="16"/>
        <v>0</v>
      </c>
      <c r="Q18" s="17"/>
      <c r="R18" s="17"/>
      <c r="S18" s="17"/>
      <c r="T18" s="17"/>
      <c r="U18" s="17"/>
      <c r="V18" s="17"/>
    </row>
    <row r="19" spans="2:22">
      <c r="B19" s="1" t="s">
        <v>488</v>
      </c>
      <c r="C19" s="17">
        <f>C3+C11+C18</f>
        <v>0</v>
      </c>
      <c r="D19" s="17">
        <f>D3+D11+D18</f>
        <v>37</v>
      </c>
      <c r="E19" s="17">
        <f t="shared" ref="E19:P19" si="17">E3+E11+E18</f>
        <v>350</v>
      </c>
      <c r="F19" s="17">
        <f t="shared" si="17"/>
        <v>1200</v>
      </c>
      <c r="G19" s="17">
        <f t="shared" si="17"/>
        <v>1200</v>
      </c>
      <c r="H19" s="17">
        <f t="shared" si="17"/>
        <v>1200</v>
      </c>
      <c r="I19" s="17">
        <f t="shared" si="17"/>
        <v>1200</v>
      </c>
      <c r="J19" s="17">
        <f t="shared" si="17"/>
        <v>300</v>
      </c>
      <c r="K19" s="17">
        <f t="shared" si="17"/>
        <v>0</v>
      </c>
      <c r="L19" s="17">
        <f t="shared" si="17"/>
        <v>0</v>
      </c>
      <c r="M19" s="17">
        <f t="shared" si="17"/>
        <v>0</v>
      </c>
      <c r="N19" s="17">
        <f t="shared" si="17"/>
        <v>0</v>
      </c>
      <c r="O19" s="17">
        <f t="shared" si="17"/>
        <v>0</v>
      </c>
      <c r="P19" s="17">
        <f t="shared" si="17"/>
        <v>0</v>
      </c>
      <c r="Q19" s="17"/>
      <c r="R19" s="17"/>
      <c r="S19" s="17"/>
      <c r="T19" s="17"/>
      <c r="U19" s="17"/>
      <c r="V19" s="17"/>
    </row>
    <row r="20" spans="2:22">
      <c r="B20" s="1" t="s">
        <v>829</v>
      </c>
      <c r="C20" s="17"/>
      <c r="D20" s="17">
        <v>15</v>
      </c>
      <c r="E20" s="17">
        <v>375</v>
      </c>
      <c r="F20" s="17">
        <v>850</v>
      </c>
      <c r="G20" s="17">
        <v>1200</v>
      </c>
      <c r="H20" s="17">
        <v>1200</v>
      </c>
      <c r="I20" s="17">
        <v>1500</v>
      </c>
      <c r="J20" s="17">
        <v>300</v>
      </c>
      <c r="K20" s="17"/>
      <c r="L20" s="17"/>
      <c r="M20" s="17"/>
      <c r="N20" s="17"/>
      <c r="O20" s="17"/>
      <c r="P20" s="17"/>
      <c r="Q20" s="17"/>
      <c r="R20" s="17"/>
      <c r="S20" s="17"/>
      <c r="T20" s="17"/>
      <c r="U20" s="17"/>
      <c r="V20" s="17"/>
    </row>
    <row r="21" spans="2:22">
      <c r="B21" s="1" t="s">
        <v>448</v>
      </c>
      <c r="E21" s="76">
        <f>E19/E2</f>
        <v>0.12030753355463046</v>
      </c>
      <c r="F21" s="76">
        <f t="shared" ref="F21:P21" si="18">F19/F2</f>
        <v>0.3298153034300792</v>
      </c>
      <c r="G21" s="76">
        <f t="shared" si="18"/>
        <v>0.30241173357526274</v>
      </c>
      <c r="H21" s="76">
        <f t="shared" si="18"/>
        <v>0.28476506881822494</v>
      </c>
      <c r="I21" s="76">
        <f t="shared" si="18"/>
        <v>0.27749500684870143</v>
      </c>
      <c r="J21" s="76">
        <f t="shared" si="18"/>
        <v>6.6921035196828613E-2</v>
      </c>
      <c r="K21" s="76">
        <f t="shared" si="18"/>
        <v>0</v>
      </c>
      <c r="L21" s="76">
        <f t="shared" si="18"/>
        <v>0</v>
      </c>
      <c r="M21" s="76">
        <f t="shared" si="18"/>
        <v>0</v>
      </c>
      <c r="N21" s="76">
        <f t="shared" si="18"/>
        <v>0</v>
      </c>
      <c r="O21" s="76">
        <f t="shared" si="18"/>
        <v>0</v>
      </c>
      <c r="P21" s="76">
        <f t="shared" si="18"/>
        <v>0</v>
      </c>
      <c r="Q21" s="76"/>
      <c r="R21" s="76"/>
      <c r="S21" s="76"/>
      <c r="T21" s="76"/>
      <c r="U21" s="76"/>
      <c r="V21" s="76"/>
    </row>
    <row r="23" spans="2:22">
      <c r="B23" s="1" t="s">
        <v>499</v>
      </c>
    </row>
    <row r="24" spans="2:22">
      <c r="B24" s="25">
        <v>2013</v>
      </c>
    </row>
    <row r="25" spans="2:22">
      <c r="D25" s="564" t="s">
        <v>489</v>
      </c>
      <c r="E25" s="564"/>
      <c r="F25" s="564"/>
      <c r="G25" s="564"/>
      <c r="H25" s="564"/>
      <c r="I25" s="564"/>
      <c r="J25" s="564"/>
    </row>
    <row r="26" spans="2:22">
      <c r="D26" s="78">
        <v>0</v>
      </c>
      <c r="E26" s="42">
        <v>500</v>
      </c>
      <c r="F26" s="42">
        <v>1000</v>
      </c>
      <c r="G26" s="42">
        <v>2000</v>
      </c>
      <c r="H26" s="42">
        <v>3000</v>
      </c>
      <c r="I26" s="565" t="s">
        <v>490</v>
      </c>
      <c r="J26" s="565"/>
    </row>
    <row r="27" spans="2:22">
      <c r="B27" s="566" t="s">
        <v>491</v>
      </c>
      <c r="C27" s="78">
        <v>0</v>
      </c>
      <c r="D27" s="77">
        <v>0</v>
      </c>
      <c r="E27" s="77">
        <v>0</v>
      </c>
      <c r="F27" s="77">
        <v>0</v>
      </c>
      <c r="G27" s="77">
        <v>0</v>
      </c>
      <c r="H27" s="77">
        <v>0</v>
      </c>
      <c r="I27" s="77">
        <v>0</v>
      </c>
      <c r="J27" s="77"/>
    </row>
    <row r="28" spans="2:22">
      <c r="B28" s="566"/>
      <c r="C28" s="42">
        <v>500</v>
      </c>
      <c r="D28" s="77">
        <v>0</v>
      </c>
      <c r="E28" s="1">
        <v>22</v>
      </c>
      <c r="F28" s="1">
        <v>25</v>
      </c>
      <c r="G28" s="1">
        <v>50</v>
      </c>
      <c r="H28" s="1">
        <v>50</v>
      </c>
      <c r="I28" s="1">
        <v>50</v>
      </c>
    </row>
    <row r="29" spans="2:22">
      <c r="B29" s="566"/>
      <c r="C29" s="42">
        <v>1000</v>
      </c>
      <c r="D29" s="77">
        <v>0</v>
      </c>
      <c r="E29" s="1">
        <v>22</v>
      </c>
      <c r="F29" s="1">
        <v>50</v>
      </c>
      <c r="G29" s="1">
        <v>100</v>
      </c>
      <c r="H29" s="1">
        <v>100</v>
      </c>
      <c r="I29" s="1">
        <v>100</v>
      </c>
    </row>
    <row r="30" spans="2:22">
      <c r="C30" s="42">
        <v>1500</v>
      </c>
      <c r="D30" s="77">
        <v>0</v>
      </c>
      <c r="E30" s="1">
        <v>22</v>
      </c>
      <c r="F30" s="1">
        <v>50</v>
      </c>
      <c r="G30" s="1">
        <v>150</v>
      </c>
      <c r="H30" s="1">
        <v>150</v>
      </c>
      <c r="I30" s="1">
        <v>150</v>
      </c>
    </row>
    <row r="31" spans="2:22">
      <c r="C31" s="42">
        <v>2000</v>
      </c>
      <c r="D31" s="77">
        <v>0</v>
      </c>
      <c r="E31" s="1">
        <v>22</v>
      </c>
      <c r="F31" s="1">
        <v>50</v>
      </c>
      <c r="G31" s="1">
        <v>200</v>
      </c>
      <c r="H31" s="1">
        <v>200</v>
      </c>
      <c r="I31" s="1">
        <v>200</v>
      </c>
    </row>
    <row r="32" spans="2:22">
      <c r="C32" s="42">
        <v>2500</v>
      </c>
      <c r="D32" s="77">
        <v>0</v>
      </c>
      <c r="E32" s="1">
        <v>22</v>
      </c>
      <c r="F32" s="1">
        <v>50</v>
      </c>
      <c r="G32" s="1">
        <v>200</v>
      </c>
      <c r="H32" s="1">
        <v>250</v>
      </c>
      <c r="I32" s="1">
        <v>250</v>
      </c>
    </row>
    <row r="33" spans="3:9">
      <c r="C33" s="42">
        <v>3000</v>
      </c>
      <c r="D33" s="77">
        <v>0</v>
      </c>
      <c r="E33" s="1">
        <v>22</v>
      </c>
      <c r="F33" s="1">
        <v>50</v>
      </c>
      <c r="G33" s="1">
        <v>200</v>
      </c>
      <c r="H33" s="1">
        <v>250</v>
      </c>
      <c r="I33" s="1">
        <v>300</v>
      </c>
    </row>
  </sheetData>
  <mergeCells count="3">
    <mergeCell ref="D25:J25"/>
    <mergeCell ref="I26:J26"/>
    <mergeCell ref="B27:B29"/>
  </mergeCells>
  <phoneticPr fontId="16"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sheetPr>
  <dimension ref="A1:EL46"/>
  <sheetViews>
    <sheetView zoomScaleNormal="100" workbookViewId="0">
      <pane xSplit="2" ySplit="2" topLeftCell="BR3" activePane="bottomRight" state="frozen"/>
      <selection pane="topRight" activeCell="C1" sqref="C1"/>
      <selection pane="bottomLeft" activeCell="A6" sqref="A6"/>
      <selection pane="bottomRight" activeCell="CC17" sqref="CC17"/>
    </sheetView>
  </sheetViews>
  <sheetFormatPr defaultRowHeight="12.75" outlineLevelRow="1" outlineLevelCol="1"/>
  <cols>
    <col min="1" max="1" width="2.140625" style="1" customWidth="1"/>
    <col min="2" max="2" width="38" style="1" customWidth="1"/>
    <col min="3" max="6" width="8.7109375" style="1" hidden="1" customWidth="1" outlineLevel="1"/>
    <col min="7" max="7" width="8.7109375" style="1" customWidth="1" collapsed="1"/>
    <col min="8" max="11" width="8.7109375" style="1" hidden="1" customWidth="1" outlineLevel="1"/>
    <col min="12" max="12" width="8.7109375" style="1" customWidth="1" collapsed="1"/>
    <col min="13" max="16" width="8.7109375" style="1" hidden="1" customWidth="1" outlineLevel="1"/>
    <col min="17" max="17" width="8.7109375" style="1" customWidth="1" collapsed="1"/>
    <col min="18" max="21" width="8.7109375" style="1" hidden="1" customWidth="1" outlineLevel="1"/>
    <col min="22" max="22" width="8.7109375" style="1" customWidth="1" collapsed="1"/>
    <col min="23" max="26" width="8.7109375" style="1" hidden="1" customWidth="1" outlineLevel="1"/>
    <col min="27" max="27" width="8.7109375" style="1" customWidth="1" collapsed="1"/>
    <col min="28" max="31" width="8.7109375" style="1" hidden="1" customWidth="1" outlineLevel="1"/>
    <col min="32" max="32" width="8.7109375" style="1" customWidth="1" collapsed="1"/>
    <col min="33" max="36" width="8.7109375" style="1" hidden="1" customWidth="1" outlineLevel="1"/>
    <col min="37" max="37" width="8.7109375" style="1" customWidth="1" collapsed="1"/>
    <col min="38" max="41" width="8.7109375" style="1" hidden="1" customWidth="1" outlineLevel="1"/>
    <col min="42" max="42" width="8.7109375" style="1" customWidth="1" collapsed="1"/>
    <col min="43" max="46" width="8.7109375" style="1" hidden="1" customWidth="1" outlineLevel="1"/>
    <col min="47" max="47" width="8.7109375" style="1" customWidth="1" collapsed="1"/>
    <col min="48" max="51" width="8.7109375" style="1" hidden="1" customWidth="1" outlineLevel="1"/>
    <col min="52" max="52" width="8.7109375" style="1" customWidth="1" collapsed="1"/>
    <col min="53" max="56" width="8.7109375" style="1" hidden="1" customWidth="1" outlineLevel="1"/>
    <col min="57" max="57" width="8.7109375" style="1" customWidth="1" collapsed="1"/>
    <col min="58" max="61" width="8.7109375" style="1" hidden="1" customWidth="1" outlineLevel="1"/>
    <col min="62" max="62" width="8.7109375" style="1" customWidth="1" collapsed="1"/>
    <col min="63" max="66" width="8.7109375" style="1" customWidth="1" outlineLevel="1"/>
    <col min="67" max="67" width="8.7109375" style="1" customWidth="1"/>
    <col min="68" max="71" width="8.7109375" style="1" customWidth="1" outlineLevel="1"/>
    <col min="72" max="72" width="8.7109375" style="1" customWidth="1"/>
    <col min="73" max="73" width="8.7109375" style="1" customWidth="1" outlineLevel="1"/>
    <col min="74" max="76" width="9.140625" style="1" customWidth="1" outlineLevel="1"/>
    <col min="77" max="77" width="9.140625" style="1"/>
    <col min="78" max="81" width="9.140625" style="1" customWidth="1" outlineLevel="1"/>
    <col min="82" max="82" width="9.140625" style="1"/>
    <col min="83" max="86" width="9.140625" style="1" hidden="1" customWidth="1" outlineLevel="1"/>
    <col min="87" max="87" width="9.140625" style="1" collapsed="1"/>
    <col min="88" max="91" width="9.140625" style="1" hidden="1" customWidth="1" outlineLevel="1"/>
    <col min="92" max="92" width="9.140625" style="1" collapsed="1"/>
    <col min="93" max="96" width="0" style="1" hidden="1" customWidth="1" outlineLevel="1"/>
    <col min="97" max="97" width="9.140625" style="1" collapsed="1"/>
    <col min="98" max="101" width="0" style="1" hidden="1" customWidth="1" outlineLevel="1"/>
    <col min="102" max="102" width="9.140625" style="1" collapsed="1"/>
    <col min="103" max="106" width="0" style="1" hidden="1" customWidth="1" outlineLevel="1"/>
    <col min="107" max="107" width="9.140625" style="1" collapsed="1"/>
    <col min="108" max="111" width="0" style="1" hidden="1" customWidth="1" outlineLevel="1"/>
    <col min="112" max="112" width="9.140625" style="1" collapsed="1"/>
    <col min="113" max="116" width="0" style="1" hidden="1" customWidth="1" outlineLevel="1"/>
    <col min="117" max="117" width="9.140625" style="1" collapsed="1"/>
    <col min="118" max="121" width="0" style="1" hidden="1" customWidth="1" outlineLevel="1"/>
    <col min="122" max="122" width="9.140625" style="1" collapsed="1"/>
    <col min="123" max="126" width="0" style="1" hidden="1" customWidth="1" outlineLevel="1"/>
    <col min="127" max="127" width="9.140625" style="1" collapsed="1"/>
    <col min="128" max="131" width="0" style="1" hidden="1" customWidth="1" outlineLevel="1"/>
    <col min="132" max="132" width="9.140625" style="1" collapsed="1"/>
    <col min="133" max="136" width="0" style="1" hidden="1" customWidth="1" outlineLevel="1"/>
    <col min="137" max="137" width="9.140625" style="1" collapsed="1"/>
    <col min="138" max="141" width="0" style="1" hidden="1" customWidth="1" outlineLevel="1"/>
    <col min="142" max="142" width="9.140625" style="1" collapsed="1"/>
    <col min="143" max="16384" width="9.140625" style="1"/>
  </cols>
  <sheetData>
    <row r="1" spans="2:142">
      <c r="B1" s="4"/>
    </row>
    <row r="2" spans="2:142" ht="13.5" thickBot="1">
      <c r="B2" s="13" t="s">
        <v>109</v>
      </c>
      <c r="C2" s="560" t="s">
        <v>0</v>
      </c>
      <c r="D2" s="560"/>
      <c r="E2" s="560"/>
      <c r="F2" s="560"/>
      <c r="G2" s="560"/>
      <c r="H2" s="560" t="s">
        <v>1</v>
      </c>
      <c r="I2" s="560"/>
      <c r="J2" s="560"/>
      <c r="K2" s="560"/>
      <c r="L2" s="560"/>
      <c r="M2" s="560" t="s">
        <v>2</v>
      </c>
      <c r="N2" s="560"/>
      <c r="O2" s="560"/>
      <c r="P2" s="560"/>
      <c r="Q2" s="560"/>
      <c r="R2" s="560" t="s">
        <v>3</v>
      </c>
      <c r="S2" s="560"/>
      <c r="T2" s="560"/>
      <c r="U2" s="560"/>
      <c r="V2" s="560"/>
      <c r="W2" s="560" t="s">
        <v>4</v>
      </c>
      <c r="X2" s="560"/>
      <c r="Y2" s="560"/>
      <c r="Z2" s="560"/>
      <c r="AA2" s="560"/>
      <c r="AB2" s="560" t="s">
        <v>5</v>
      </c>
      <c r="AC2" s="560"/>
      <c r="AD2" s="560"/>
      <c r="AE2" s="560"/>
      <c r="AF2" s="560"/>
      <c r="AG2" s="560" t="s">
        <v>6</v>
      </c>
      <c r="AH2" s="560"/>
      <c r="AI2" s="560"/>
      <c r="AJ2" s="560"/>
      <c r="AK2" s="560"/>
      <c r="AL2" s="560" t="s">
        <v>7</v>
      </c>
      <c r="AM2" s="560"/>
      <c r="AN2" s="560"/>
      <c r="AO2" s="560"/>
      <c r="AP2" s="560"/>
      <c r="AQ2" s="560" t="s">
        <v>8</v>
      </c>
      <c r="AR2" s="560"/>
      <c r="AS2" s="560"/>
      <c r="AT2" s="560"/>
      <c r="AU2" s="560"/>
      <c r="AV2" s="560" t="s">
        <v>9</v>
      </c>
      <c r="AW2" s="560"/>
      <c r="AX2" s="560"/>
      <c r="AY2" s="560"/>
      <c r="AZ2" s="560"/>
      <c r="BA2" s="560" t="s">
        <v>557</v>
      </c>
      <c r="BB2" s="560"/>
      <c r="BC2" s="560"/>
      <c r="BD2" s="560"/>
      <c r="BE2" s="560"/>
      <c r="BF2" s="560" t="s">
        <v>717</v>
      </c>
      <c r="BG2" s="560"/>
      <c r="BH2" s="560"/>
      <c r="BI2" s="560"/>
      <c r="BJ2" s="560"/>
      <c r="BK2" s="560" t="s">
        <v>827</v>
      </c>
      <c r="BL2" s="560"/>
      <c r="BM2" s="560"/>
      <c r="BN2" s="560"/>
      <c r="BO2" s="560"/>
      <c r="BP2" s="560" t="s">
        <v>914</v>
      </c>
      <c r="BQ2" s="560"/>
      <c r="BR2" s="560"/>
      <c r="BS2" s="560"/>
      <c r="BT2" s="560"/>
      <c r="BU2" s="560" t="s">
        <v>501</v>
      </c>
      <c r="BV2" s="560"/>
      <c r="BW2" s="560"/>
      <c r="BX2" s="560"/>
      <c r="BY2" s="560"/>
      <c r="BZ2" s="560" t="s">
        <v>506</v>
      </c>
      <c r="CA2" s="560"/>
      <c r="CB2" s="560"/>
      <c r="CC2" s="560"/>
      <c r="CD2" s="560"/>
      <c r="CE2" s="560" t="s">
        <v>511</v>
      </c>
      <c r="CF2" s="560"/>
      <c r="CG2" s="560"/>
      <c r="CH2" s="560"/>
      <c r="CI2" s="560"/>
      <c r="CJ2" s="560" t="s">
        <v>516</v>
      </c>
      <c r="CK2" s="560"/>
      <c r="CL2" s="560"/>
      <c r="CM2" s="560"/>
      <c r="CN2" s="560"/>
      <c r="CO2" s="560" t="s">
        <v>654</v>
      </c>
      <c r="CP2" s="560"/>
      <c r="CQ2" s="560"/>
      <c r="CR2" s="560"/>
      <c r="CS2" s="560"/>
      <c r="CT2" s="560" t="s">
        <v>655</v>
      </c>
      <c r="CU2" s="560"/>
      <c r="CV2" s="560"/>
      <c r="CW2" s="560"/>
      <c r="CX2" s="560"/>
      <c r="CY2" s="560" t="s">
        <v>656</v>
      </c>
      <c r="CZ2" s="560"/>
      <c r="DA2" s="560"/>
      <c r="DB2" s="560"/>
      <c r="DC2" s="560"/>
      <c r="DD2" s="560" t="s">
        <v>657</v>
      </c>
      <c r="DE2" s="560"/>
      <c r="DF2" s="560"/>
      <c r="DG2" s="560"/>
      <c r="DH2" s="560"/>
      <c r="DI2" s="560" t="s">
        <v>658</v>
      </c>
      <c r="DJ2" s="560"/>
      <c r="DK2" s="560"/>
      <c r="DL2" s="560"/>
      <c r="DM2" s="560"/>
      <c r="DN2" s="560" t="s">
        <v>659</v>
      </c>
      <c r="DO2" s="560"/>
      <c r="DP2" s="560"/>
      <c r="DQ2" s="560"/>
      <c r="DR2" s="560"/>
      <c r="DS2" s="560" t="s">
        <v>660</v>
      </c>
      <c r="DT2" s="560"/>
      <c r="DU2" s="560"/>
      <c r="DV2" s="560"/>
      <c r="DW2" s="560"/>
      <c r="DX2" s="560" t="s">
        <v>661</v>
      </c>
      <c r="DY2" s="560"/>
      <c r="DZ2" s="560"/>
      <c r="EA2" s="560"/>
      <c r="EB2" s="560"/>
      <c r="EC2" s="560" t="s">
        <v>662</v>
      </c>
      <c r="ED2" s="560"/>
      <c r="EE2" s="560"/>
      <c r="EF2" s="560"/>
      <c r="EG2" s="560"/>
      <c r="EH2" s="560" t="s">
        <v>663</v>
      </c>
      <c r="EI2" s="560"/>
      <c r="EJ2" s="560"/>
      <c r="EK2" s="560"/>
      <c r="EL2" s="560"/>
    </row>
    <row r="3" spans="2:142">
      <c r="B3" s="4"/>
      <c r="C3" s="177" t="s">
        <v>14</v>
      </c>
      <c r="D3" s="177" t="s">
        <v>15</v>
      </c>
      <c r="E3" s="177" t="s">
        <v>16</v>
      </c>
      <c r="F3" s="177" t="s">
        <v>17</v>
      </c>
      <c r="H3" s="177" t="s">
        <v>18</v>
      </c>
      <c r="I3" s="177" t="s">
        <v>19</v>
      </c>
      <c r="J3" s="177" t="s">
        <v>20</v>
      </c>
      <c r="K3" s="177" t="s">
        <v>21</v>
      </c>
      <c r="M3" s="177" t="s">
        <v>22</v>
      </c>
      <c r="N3" s="177" t="s">
        <v>23</v>
      </c>
      <c r="O3" s="177" t="s">
        <v>24</v>
      </c>
      <c r="P3" s="177" t="s">
        <v>25</v>
      </c>
      <c r="R3" s="177" t="s">
        <v>26</v>
      </c>
      <c r="S3" s="177" t="s">
        <v>27</v>
      </c>
      <c r="T3" s="177" t="s">
        <v>28</v>
      </c>
      <c r="U3" s="177" t="s">
        <v>29</v>
      </c>
      <c r="W3" s="177" t="s">
        <v>30</v>
      </c>
      <c r="X3" s="177" t="s">
        <v>31</v>
      </c>
      <c r="Y3" s="177" t="s">
        <v>32</v>
      </c>
      <c r="Z3" s="177" t="s">
        <v>33</v>
      </c>
      <c r="AB3" s="177" t="s">
        <v>34</v>
      </c>
      <c r="AC3" s="177" t="s">
        <v>35</v>
      </c>
      <c r="AD3" s="177" t="s">
        <v>36</v>
      </c>
      <c r="AE3" s="177" t="s">
        <v>37</v>
      </c>
      <c r="AG3" s="177" t="s">
        <v>38</v>
      </c>
      <c r="AH3" s="177" t="s">
        <v>39</v>
      </c>
      <c r="AI3" s="177" t="s">
        <v>40</v>
      </c>
      <c r="AJ3" s="177" t="s">
        <v>41</v>
      </c>
      <c r="AL3" s="177" t="s">
        <v>42</v>
      </c>
      <c r="AM3" s="177" t="s">
        <v>43</v>
      </c>
      <c r="AN3" s="177" t="s">
        <v>44</v>
      </c>
      <c r="AO3" s="177" t="s">
        <v>45</v>
      </c>
      <c r="AQ3" s="306" t="s">
        <v>46</v>
      </c>
      <c r="AR3" s="306" t="s">
        <v>47</v>
      </c>
      <c r="AS3" s="306" t="s">
        <v>48</v>
      </c>
      <c r="AT3" s="306" t="s">
        <v>49</v>
      </c>
      <c r="AV3" s="306" t="s">
        <v>50</v>
      </c>
      <c r="AW3" s="306" t="s">
        <v>51</v>
      </c>
      <c r="AX3" s="306" t="s">
        <v>52</v>
      </c>
      <c r="AY3" s="306" t="s">
        <v>53</v>
      </c>
      <c r="BA3" s="306" t="s">
        <v>54</v>
      </c>
      <c r="BB3" s="306" t="s">
        <v>55</v>
      </c>
      <c r="BC3" s="306" t="s">
        <v>56</v>
      </c>
      <c r="BD3" s="306" t="s">
        <v>556</v>
      </c>
      <c r="BF3" s="306" t="s">
        <v>647</v>
      </c>
      <c r="BG3" s="306" t="s">
        <v>649</v>
      </c>
      <c r="BH3" s="306" t="s">
        <v>653</v>
      </c>
      <c r="BI3" s="306" t="s">
        <v>716</v>
      </c>
      <c r="BK3" s="306" t="s">
        <v>720</v>
      </c>
      <c r="BL3" s="306" t="s">
        <v>721</v>
      </c>
      <c r="BM3" s="306" t="s">
        <v>821</v>
      </c>
      <c r="BN3" s="306" t="s">
        <v>824</v>
      </c>
      <c r="BP3" s="306" t="s">
        <v>830</v>
      </c>
      <c r="BQ3" s="306" t="s">
        <v>831</v>
      </c>
      <c r="BR3" s="306" t="s">
        <v>835</v>
      </c>
      <c r="BS3" s="306" t="s">
        <v>913</v>
      </c>
      <c r="BU3" s="306" t="s">
        <v>915</v>
      </c>
      <c r="BV3" s="306" t="s">
        <v>917</v>
      </c>
      <c r="BW3" s="306" t="s">
        <v>926</v>
      </c>
      <c r="BX3" s="306" t="s">
        <v>930</v>
      </c>
      <c r="BZ3" s="306" t="s">
        <v>507</v>
      </c>
      <c r="CA3" s="306" t="s">
        <v>508</v>
      </c>
      <c r="CB3" s="306" t="s">
        <v>509</v>
      </c>
      <c r="CC3" s="306" t="s">
        <v>510</v>
      </c>
      <c r="CE3" s="306" t="s">
        <v>512</v>
      </c>
      <c r="CF3" s="306" t="s">
        <v>513</v>
      </c>
      <c r="CG3" s="306" t="s">
        <v>514</v>
      </c>
      <c r="CH3" s="306" t="s">
        <v>515</v>
      </c>
      <c r="CJ3" s="306" t="s">
        <v>517</v>
      </c>
      <c r="CK3" s="306" t="s">
        <v>518</v>
      </c>
      <c r="CL3" s="306" t="s">
        <v>519</v>
      </c>
      <c r="CM3" s="306" t="s">
        <v>520</v>
      </c>
      <c r="CO3" s="306" t="s">
        <v>664</v>
      </c>
      <c r="CP3" s="306" t="s">
        <v>665</v>
      </c>
      <c r="CQ3" s="306" t="s">
        <v>666</v>
      </c>
      <c r="CR3" s="306" t="s">
        <v>667</v>
      </c>
      <c r="CT3" s="306" t="s">
        <v>668</v>
      </c>
      <c r="CU3" s="306" t="s">
        <v>669</v>
      </c>
      <c r="CV3" s="306" t="s">
        <v>670</v>
      </c>
      <c r="CW3" s="306" t="s">
        <v>671</v>
      </c>
      <c r="CY3" s="306" t="s">
        <v>672</v>
      </c>
      <c r="CZ3" s="306" t="s">
        <v>673</v>
      </c>
      <c r="DA3" s="306" t="s">
        <v>674</v>
      </c>
      <c r="DB3" s="306" t="s">
        <v>675</v>
      </c>
      <c r="DD3" s="306" t="s">
        <v>676</v>
      </c>
      <c r="DE3" s="306" t="s">
        <v>677</v>
      </c>
      <c r="DF3" s="306" t="s">
        <v>678</v>
      </c>
      <c r="DG3" s="306" t="s">
        <v>679</v>
      </c>
      <c r="DI3" s="306" t="s">
        <v>680</v>
      </c>
      <c r="DJ3" s="306" t="s">
        <v>681</v>
      </c>
      <c r="DK3" s="306" t="s">
        <v>682</v>
      </c>
      <c r="DL3" s="306" t="s">
        <v>683</v>
      </c>
      <c r="DN3" s="306" t="s">
        <v>684</v>
      </c>
      <c r="DO3" s="306" t="s">
        <v>685</v>
      </c>
      <c r="DP3" s="306" t="s">
        <v>686</v>
      </c>
      <c r="DQ3" s="306" t="s">
        <v>687</v>
      </c>
      <c r="DS3" s="306" t="s">
        <v>688</v>
      </c>
      <c r="DT3" s="306" t="s">
        <v>689</v>
      </c>
      <c r="DU3" s="306" t="s">
        <v>690</v>
      </c>
      <c r="DV3" s="306" t="s">
        <v>691</v>
      </c>
      <c r="DX3" s="306" t="s">
        <v>692</v>
      </c>
      <c r="DY3" s="306" t="s">
        <v>693</v>
      </c>
      <c r="DZ3" s="306" t="s">
        <v>694</v>
      </c>
      <c r="EA3" s="306" t="s">
        <v>695</v>
      </c>
      <c r="EC3" s="306" t="s">
        <v>696</v>
      </c>
      <c r="ED3" s="306" t="s">
        <v>697</v>
      </c>
      <c r="EE3" s="306" t="s">
        <v>698</v>
      </c>
      <c r="EF3" s="306" t="s">
        <v>699</v>
      </c>
      <c r="EH3" s="306" t="s">
        <v>700</v>
      </c>
      <c r="EI3" s="306" t="s">
        <v>701</v>
      </c>
      <c r="EJ3" s="306" t="s">
        <v>702</v>
      </c>
      <c r="EK3" s="306" t="s">
        <v>703</v>
      </c>
    </row>
    <row r="4" spans="2:142" s="2" customFormat="1">
      <c r="B4" s="2" t="s">
        <v>77</v>
      </c>
      <c r="C4" s="137">
        <v>110.9</v>
      </c>
      <c r="D4" s="137">
        <v>118.4</v>
      </c>
      <c r="E4" s="137">
        <v>134</v>
      </c>
      <c r="F4" s="137">
        <f>+G4-SUM(C4:E4)</f>
        <v>129.69999999999999</v>
      </c>
      <c r="G4" s="16">
        <v>493</v>
      </c>
      <c r="H4" s="137">
        <v>133.95500000000001</v>
      </c>
      <c r="I4" s="137">
        <v>151.15700000000001</v>
      </c>
      <c r="J4" s="137">
        <v>159.50700000000001</v>
      </c>
      <c r="K4" s="137">
        <f>+L4-SUM(H4:J4)</f>
        <v>171.12400000000002</v>
      </c>
      <c r="L4" s="16">
        <v>615.74300000000005</v>
      </c>
      <c r="M4" s="137">
        <v>160.453</v>
      </c>
      <c r="N4" s="137">
        <v>184.934</v>
      </c>
      <c r="O4" s="137">
        <v>181.59700000000001</v>
      </c>
      <c r="P4" s="137">
        <f>+Q4-SUM(M4:O4)</f>
        <v>181.89699999999993</v>
      </c>
      <c r="Q4" s="16">
        <v>708.88099999999997</v>
      </c>
      <c r="R4" s="137">
        <v>183.38</v>
      </c>
      <c r="S4" s="137">
        <v>206.095</v>
      </c>
      <c r="T4" s="137">
        <v>203.82</v>
      </c>
      <c r="U4" s="137">
        <f>+V4-SUM(R4:T4)</f>
        <v>217.56899999999996</v>
      </c>
      <c r="V4" s="16">
        <v>810.86400000000003</v>
      </c>
      <c r="W4" s="137">
        <v>207.16399999999999</v>
      </c>
      <c r="X4" s="137">
        <v>230.59</v>
      </c>
      <c r="Y4" s="137">
        <v>234.637</v>
      </c>
      <c r="Z4" s="137">
        <f>+AA4-SUM(W4:Y4)</f>
        <v>253.70699999999988</v>
      </c>
      <c r="AA4" s="16">
        <v>926.09799999999996</v>
      </c>
      <c r="AB4" s="137">
        <v>247.22300000000001</v>
      </c>
      <c r="AC4" s="137">
        <v>278.822</v>
      </c>
      <c r="AD4" s="137">
        <v>298.97899999999998</v>
      </c>
      <c r="AE4" s="137">
        <f>+AF4-SUM(AB4:AD4)</f>
        <v>303.21399999999994</v>
      </c>
      <c r="AF4" s="16">
        <v>1128.2380000000001</v>
      </c>
      <c r="AG4" s="137">
        <v>278.81799999999998</v>
      </c>
      <c r="AH4" s="137">
        <v>275.57</v>
      </c>
      <c r="AI4" s="137">
        <v>283.91899999999998</v>
      </c>
      <c r="AJ4" s="137">
        <f>+AK4-SUM(AG4:AI4)</f>
        <v>256.55600000000015</v>
      </c>
      <c r="AK4" s="16">
        <v>1094.8630000000001</v>
      </c>
      <c r="AL4" s="137">
        <v>254.928</v>
      </c>
      <c r="AM4" s="137">
        <v>306.37099999999998</v>
      </c>
      <c r="AN4" s="137">
        <v>257.98099999999999</v>
      </c>
      <c r="AO4" s="137">
        <f>+AP4-SUM(AL4:AN4)</f>
        <v>257.96399999999994</v>
      </c>
      <c r="AP4" s="16">
        <v>1077.2439999999999</v>
      </c>
      <c r="AQ4" s="261">
        <v>256.12400000000002</v>
      </c>
      <c r="AR4" s="261">
        <v>216.458</v>
      </c>
      <c r="AS4" s="261">
        <v>266.471</v>
      </c>
      <c r="AT4" s="261">
        <f>+AU4-SUM(AQ4:AS4)</f>
        <v>257.5</v>
      </c>
      <c r="AU4" s="16">
        <v>996.553</v>
      </c>
      <c r="AV4" s="261">
        <v>284.55200000000002</v>
      </c>
      <c r="AW4" s="261">
        <v>284.63</v>
      </c>
      <c r="AX4" s="261">
        <v>287.79199999999997</v>
      </c>
      <c r="AY4" s="261">
        <f>+AZ4-SUM(AV4:AX4)</f>
        <v>280.94800000000009</v>
      </c>
      <c r="AZ4" s="16">
        <v>1137.922</v>
      </c>
      <c r="BA4" s="261">
        <v>264.60599999999999</v>
      </c>
      <c r="BB4" s="261">
        <v>288.78500000000003</v>
      </c>
      <c r="BC4" s="261">
        <v>303.20999999999998</v>
      </c>
      <c r="BD4" s="261">
        <f>+BE4-SUM(BA4:BC4)</f>
        <v>269.41599999999994</v>
      </c>
      <c r="BE4" s="16">
        <v>1126.0170000000001</v>
      </c>
      <c r="BF4" s="310">
        <v>296.88499999999999</v>
      </c>
      <c r="BG4" s="254">
        <f>BG17+BG18+BG19</f>
        <v>303.29999999999995</v>
      </c>
      <c r="BH4" s="254">
        <f>BH17+BH18+BH19</f>
        <v>290.7</v>
      </c>
      <c r="BI4" s="254">
        <f>BI17+BI18+BI19</f>
        <v>304.39999999999998</v>
      </c>
      <c r="BJ4" s="105">
        <f>BJ17+BJ18+BJ19</f>
        <v>1195.3999999999999</v>
      </c>
      <c r="BK4" s="254">
        <v>330.6</v>
      </c>
      <c r="BL4" s="254">
        <v>337.51</v>
      </c>
      <c r="BM4" s="254">
        <v>337.2</v>
      </c>
      <c r="BN4" s="254">
        <v>333.9</v>
      </c>
      <c r="BO4" s="105">
        <f>SUM(BK4:BN4)</f>
        <v>1339.21</v>
      </c>
      <c r="BP4" s="254">
        <v>329.5</v>
      </c>
      <c r="BQ4" s="254">
        <v>349</v>
      </c>
      <c r="BR4" s="254">
        <f t="shared" ref="BR4:BU4" si="0">BR17+BR19</f>
        <v>317.60000000000002</v>
      </c>
      <c r="BS4" s="254">
        <f t="shared" si="0"/>
        <v>318</v>
      </c>
      <c r="BT4" s="105">
        <f>BT17+BT18+BT19</f>
        <v>1313.3</v>
      </c>
      <c r="BU4" s="254">
        <f t="shared" si="0"/>
        <v>340.6</v>
      </c>
      <c r="BV4" s="254">
        <f>BV17+BV21</f>
        <v>397.5</v>
      </c>
      <c r="BW4" s="254">
        <f>BW17+BW21</f>
        <v>406.5</v>
      </c>
      <c r="BX4" s="254">
        <f>BX17+BX21</f>
        <v>414.6</v>
      </c>
      <c r="BY4" s="105">
        <f>BY17+BY18+BY21</f>
        <v>1559.2</v>
      </c>
      <c r="BZ4" s="310">
        <f>REVS!BZ49</f>
        <v>443.2</v>
      </c>
      <c r="CA4" s="254">
        <f>CA17+CA21</f>
        <v>400.49360084236167</v>
      </c>
      <c r="CB4" s="254">
        <f>CB17+CB21</f>
        <v>397.89369281709082</v>
      </c>
      <c r="CC4" s="254">
        <f>CC17+CC21</f>
        <v>399.92111608445066</v>
      </c>
      <c r="CD4" s="105">
        <f>CD17+CD18+CD21</f>
        <v>1642.308409743903</v>
      </c>
      <c r="CE4" s="254">
        <f>CI4/4</f>
        <v>452.28360348877516</v>
      </c>
      <c r="CF4" s="254">
        <f>CI4/4</f>
        <v>452.28360348877516</v>
      </c>
      <c r="CG4" s="254">
        <f>CI4/4</f>
        <v>452.28360348877516</v>
      </c>
      <c r="CH4" s="254">
        <f>CI4/4</f>
        <v>452.28360348877516</v>
      </c>
      <c r="CI4" s="105">
        <f>CI17+CI18+CI21</f>
        <v>1809.1344139551006</v>
      </c>
      <c r="CJ4" s="254">
        <f>CN4/4</f>
        <v>500.33835234599917</v>
      </c>
      <c r="CK4" s="254">
        <f>CN4/4</f>
        <v>500.33835234599917</v>
      </c>
      <c r="CL4" s="254">
        <f>CN4/4</f>
        <v>500.33835234599917</v>
      </c>
      <c r="CM4" s="254">
        <f>CN4/4</f>
        <v>500.33835234599917</v>
      </c>
      <c r="CN4" s="105">
        <f>CN17+CN18+CN21</f>
        <v>2001.3534093839967</v>
      </c>
      <c r="CO4" s="254">
        <f>CS4/4</f>
        <v>539.1770730752105</v>
      </c>
      <c r="CP4" s="254">
        <f>CS4/4</f>
        <v>539.1770730752105</v>
      </c>
      <c r="CQ4" s="254">
        <f>CS4/4</f>
        <v>539.1770730752105</v>
      </c>
      <c r="CR4" s="254">
        <f>CS4/4</f>
        <v>539.1770730752105</v>
      </c>
      <c r="CS4" s="105">
        <f>CS17+CS18+CS21</f>
        <v>2156.708292300842</v>
      </c>
      <c r="CT4" s="254">
        <f>CX4/4</f>
        <v>546.07831257424186</v>
      </c>
      <c r="CU4" s="254">
        <f>CX4/4</f>
        <v>546.07831257424186</v>
      </c>
      <c r="CV4" s="254">
        <f>CX4/4</f>
        <v>546.07831257424186</v>
      </c>
      <c r="CW4" s="254">
        <f>CX4/4</f>
        <v>546.07831257424186</v>
      </c>
      <c r="CX4" s="105">
        <f>CX17+CX18+CX21</f>
        <v>2184.3132502969675</v>
      </c>
      <c r="CY4" s="254">
        <f>DC4/4</f>
        <v>555.12531048412484</v>
      </c>
      <c r="CZ4" s="254">
        <f>DC4/4</f>
        <v>555.12531048412484</v>
      </c>
      <c r="DA4" s="254">
        <f>DC4/4</f>
        <v>555.12531048412484</v>
      </c>
      <c r="DB4" s="254">
        <f>DC4/4</f>
        <v>555.12531048412484</v>
      </c>
      <c r="DC4" s="105">
        <f>DC17+DC18+DC21</f>
        <v>2220.5012419364994</v>
      </c>
      <c r="DD4" s="254">
        <f>DH4/4</f>
        <v>558.38914137295546</v>
      </c>
      <c r="DE4" s="254">
        <f>DH4/4</f>
        <v>558.38914137295546</v>
      </c>
      <c r="DF4" s="254">
        <f>DH4/4</f>
        <v>558.38914137295546</v>
      </c>
      <c r="DG4" s="254">
        <f>DH4/4</f>
        <v>558.38914137295546</v>
      </c>
      <c r="DH4" s="105">
        <f>DH17+DH18+DH21</f>
        <v>2233.5565654918219</v>
      </c>
      <c r="DI4" s="254">
        <f>DM4/4</f>
        <v>554.43623078421194</v>
      </c>
      <c r="DJ4" s="254">
        <f>DM4/4</f>
        <v>554.43623078421194</v>
      </c>
      <c r="DK4" s="254">
        <f>DM4/4</f>
        <v>554.43623078421194</v>
      </c>
      <c r="DL4" s="254">
        <f>DM4/4</f>
        <v>554.43623078421194</v>
      </c>
      <c r="DM4" s="105">
        <f>DM17+DM18+DM21</f>
        <v>2217.7449231368478</v>
      </c>
      <c r="DN4" s="254">
        <f>DR4/4</f>
        <v>561.08984952656454</v>
      </c>
      <c r="DO4" s="254">
        <f>DR4/4</f>
        <v>561.08984952656454</v>
      </c>
      <c r="DP4" s="254">
        <f>DR4/4</f>
        <v>561.08984952656454</v>
      </c>
      <c r="DQ4" s="254">
        <f>DR4/4</f>
        <v>561.08984952656454</v>
      </c>
      <c r="DR4" s="105">
        <f>DR17+DR18+DR21</f>
        <v>2244.3593981062581</v>
      </c>
      <c r="DS4" s="254">
        <f>DW4/4</f>
        <v>573.77062943124099</v>
      </c>
      <c r="DT4" s="254">
        <f>DW4/4</f>
        <v>573.77062943124099</v>
      </c>
      <c r="DU4" s="254">
        <f>DW4/4</f>
        <v>573.77062943124099</v>
      </c>
      <c r="DV4" s="254">
        <f>DW4/4</f>
        <v>573.77062943124099</v>
      </c>
      <c r="DW4" s="105">
        <f>DW17+DW18+DW21</f>
        <v>2295.082517724964</v>
      </c>
      <c r="DX4" s="254">
        <f>EB4/4</f>
        <v>584.34220223287502</v>
      </c>
      <c r="DY4" s="254">
        <f>EB4/4</f>
        <v>584.34220223287502</v>
      </c>
      <c r="DZ4" s="254">
        <f>EB4/4</f>
        <v>584.34220223287502</v>
      </c>
      <c r="EA4" s="254">
        <f>EB4/4</f>
        <v>584.34220223287502</v>
      </c>
      <c r="EB4" s="105">
        <f>EB17+EB18+EB21</f>
        <v>2337.3688089315001</v>
      </c>
      <c r="EC4" s="254">
        <f>EG4/4</f>
        <v>594.7281924029337</v>
      </c>
      <c r="ED4" s="254">
        <f>EG4/4</f>
        <v>594.7281924029337</v>
      </c>
      <c r="EE4" s="254">
        <f>EG4/4</f>
        <v>594.7281924029337</v>
      </c>
      <c r="EF4" s="254">
        <f>EG4/4</f>
        <v>594.7281924029337</v>
      </c>
      <c r="EG4" s="105">
        <f>EG17+EG18+EG21</f>
        <v>2378.9127696117348</v>
      </c>
      <c r="EH4" s="254">
        <f>EL4/4</f>
        <v>604.91934518212065</v>
      </c>
      <c r="EI4" s="254">
        <f>EL4/4</f>
        <v>604.91934518212065</v>
      </c>
      <c r="EJ4" s="254">
        <f>EL4/4</f>
        <v>604.91934518212065</v>
      </c>
      <c r="EK4" s="254">
        <f>EL4/4</f>
        <v>604.91934518212065</v>
      </c>
      <c r="EL4" s="105">
        <f>EL17+EL18+EL21</f>
        <v>2419.6773807284826</v>
      </c>
    </row>
    <row r="5" spans="2:142" s="3" customFormat="1">
      <c r="B5" s="8" t="s">
        <v>78</v>
      </c>
      <c r="C5" s="145">
        <v>310</v>
      </c>
      <c r="D5" s="145">
        <v>328</v>
      </c>
      <c r="E5" s="145">
        <v>353.6</v>
      </c>
      <c r="F5" s="145">
        <f>+G5-SUM(C5:E5)</f>
        <v>354.99999999999989</v>
      </c>
      <c r="G5" s="17">
        <v>1346.6</v>
      </c>
      <c r="H5" s="145">
        <v>361.80900000000003</v>
      </c>
      <c r="I5" s="145">
        <v>390.00400000000002</v>
      </c>
      <c r="J5" s="145">
        <v>392.99900000000002</v>
      </c>
      <c r="K5" s="145">
        <f>+L5-SUM(H5:J5)</f>
        <v>428.41599999999994</v>
      </c>
      <c r="L5" s="17">
        <v>1573.2280000000001</v>
      </c>
      <c r="M5" s="145">
        <v>440.54899999999998</v>
      </c>
      <c r="N5" s="145">
        <v>450.34800000000001</v>
      </c>
      <c r="O5" s="145">
        <v>456.22800000000001</v>
      </c>
      <c r="P5" s="145">
        <f>+Q5-SUM(M5:O5)</f>
        <v>484.40300000000002</v>
      </c>
      <c r="Q5" s="17">
        <v>1831.528</v>
      </c>
      <c r="R5" s="145">
        <v>476.97800000000001</v>
      </c>
      <c r="S5" s="145">
        <v>525.4</v>
      </c>
      <c r="T5" s="145">
        <v>508.9</v>
      </c>
      <c r="U5" s="145">
        <f>+V5-SUM(R5:T5)</f>
        <v>559.92200000000003</v>
      </c>
      <c r="V5" s="17">
        <v>2071.1999999999998</v>
      </c>
      <c r="W5" s="145">
        <v>534.79999999999995</v>
      </c>
      <c r="X5" s="145">
        <v>581.9</v>
      </c>
      <c r="Y5" s="145">
        <v>572.4</v>
      </c>
      <c r="Z5" s="145">
        <f>+AA5-SUM(W5:Y5)</f>
        <v>595.70000000000027</v>
      </c>
      <c r="AA5" s="17">
        <v>2284.8000000000002</v>
      </c>
      <c r="AB5" s="145">
        <v>604.6</v>
      </c>
      <c r="AC5" s="145">
        <v>650.9</v>
      </c>
      <c r="AD5" s="145">
        <v>655.4</v>
      </c>
      <c r="AE5" s="145">
        <f>+AF5-SUM(AB5:AD5)</f>
        <v>676.5</v>
      </c>
      <c r="AF5" s="17">
        <v>2587.4</v>
      </c>
      <c r="AG5" s="145">
        <v>641.6</v>
      </c>
      <c r="AH5" s="145">
        <v>695.9</v>
      </c>
      <c r="AI5" s="145">
        <v>670.4</v>
      </c>
      <c r="AJ5" s="145">
        <f>+AK5-SUM(AG5:AI5)</f>
        <v>657.59999999999991</v>
      </c>
      <c r="AK5" s="17">
        <v>2665.5</v>
      </c>
      <c r="AL5" s="145">
        <v>686.7</v>
      </c>
      <c r="AM5" s="145">
        <v>707.1</v>
      </c>
      <c r="AN5" s="145">
        <v>674.8</v>
      </c>
      <c r="AO5" s="145">
        <f>+AP5-SUM(AL5:AN5)</f>
        <v>690.59999999999945</v>
      </c>
      <c r="AP5" s="17">
        <v>2759.2</v>
      </c>
      <c r="AQ5" s="267">
        <v>721.9</v>
      </c>
      <c r="AR5" s="267">
        <v>748.8</v>
      </c>
      <c r="AS5" s="267">
        <v>732.6</v>
      </c>
      <c r="AT5" s="267">
        <v>721</v>
      </c>
      <c r="AU5" s="17">
        <f>SUM(AQ5:AT5)</f>
        <v>2924.2999999999997</v>
      </c>
      <c r="AV5" s="267">
        <v>792.2</v>
      </c>
      <c r="AW5" s="267">
        <v>784.1</v>
      </c>
      <c r="AX5" s="267">
        <v>786.8</v>
      </c>
      <c r="AY5" s="267">
        <v>769</v>
      </c>
      <c r="AZ5" s="17">
        <f>SUM(AV5:AY5)</f>
        <v>3132.1000000000004</v>
      </c>
      <c r="BA5" s="267">
        <v>864.5</v>
      </c>
      <c r="BB5" s="267">
        <v>810.7</v>
      </c>
      <c r="BC5" s="339">
        <v>852</v>
      </c>
      <c r="BD5" s="339">
        <v>806</v>
      </c>
      <c r="BE5" s="17">
        <f>SUM(BA5:BD5)</f>
        <v>3333.2</v>
      </c>
      <c r="BF5" s="256">
        <v>876.2</v>
      </c>
      <c r="BG5" s="256">
        <v>891</v>
      </c>
      <c r="BH5" s="256">
        <v>917.3</v>
      </c>
      <c r="BI5" s="256">
        <f>BJ5-BF5-BG5-BH5</f>
        <v>872.09999999999968</v>
      </c>
      <c r="BJ5" s="280">
        <v>3556.6</v>
      </c>
      <c r="BK5" s="256">
        <v>956.1</v>
      </c>
      <c r="BL5" s="256">
        <v>985.8</v>
      </c>
      <c r="BM5" s="256">
        <v>959.1</v>
      </c>
      <c r="BN5" s="255">
        <f>BO5-BK5-BL5-BM5</f>
        <v>946.9000000000002</v>
      </c>
      <c r="BO5" s="280">
        <v>3847.9</v>
      </c>
      <c r="BP5" s="256">
        <v>974.7</v>
      </c>
      <c r="BQ5" s="256">
        <v>1032.8</v>
      </c>
      <c r="BR5" s="256">
        <v>961.8</v>
      </c>
      <c r="BS5" s="256">
        <v>972</v>
      </c>
      <c r="BT5" s="64">
        <f>SUM(BP5:BS5)</f>
        <v>3941.3</v>
      </c>
      <c r="BU5" s="256">
        <f>2124.8-BV5</f>
        <v>1041.0000000000002</v>
      </c>
      <c r="BV5" s="256">
        <v>1083.8</v>
      </c>
      <c r="BW5" s="256">
        <v>1040</v>
      </c>
      <c r="BX5" s="256">
        <v>1042</v>
      </c>
      <c r="BY5" s="64">
        <f>SUM(BU5:BX5)</f>
        <v>4206.8</v>
      </c>
      <c r="BZ5" s="256">
        <v>1096</v>
      </c>
      <c r="CA5" s="255">
        <v>1000</v>
      </c>
      <c r="CB5" s="255">
        <v>970</v>
      </c>
      <c r="CC5" s="255">
        <f>CD5-BZ5-CA5-CB5</f>
        <v>948.45000000000027</v>
      </c>
      <c r="CD5" s="64">
        <f>CD29</f>
        <v>4014.4500000000003</v>
      </c>
      <c r="CE5" s="255">
        <f>CI5/4</f>
        <v>992.95118750000006</v>
      </c>
      <c r="CF5" s="255">
        <f>CI5/4</f>
        <v>992.95118750000006</v>
      </c>
      <c r="CG5" s="255">
        <f>CI5/4</f>
        <v>992.95118750000006</v>
      </c>
      <c r="CH5" s="255">
        <f>CI5/4</f>
        <v>992.95118750000006</v>
      </c>
      <c r="CI5" s="64">
        <f>CI29</f>
        <v>3971.8047500000002</v>
      </c>
      <c r="CJ5" s="255">
        <f>CN5/4</f>
        <v>995.59381796874993</v>
      </c>
      <c r="CK5" s="255">
        <f>CN5/4</f>
        <v>995.59381796874993</v>
      </c>
      <c r="CL5" s="255">
        <f>CN5/4</f>
        <v>995.59381796874993</v>
      </c>
      <c r="CM5" s="255">
        <f>CN5/4</f>
        <v>995.59381796874993</v>
      </c>
      <c r="CN5" s="64">
        <f>CN29</f>
        <v>3982.3752718749997</v>
      </c>
      <c r="CO5" s="255">
        <f>CS5/4</f>
        <v>985.34333630566414</v>
      </c>
      <c r="CP5" s="255">
        <f>CS5/4</f>
        <v>985.34333630566414</v>
      </c>
      <c r="CQ5" s="255">
        <f>CS5/4</f>
        <v>985.34333630566414</v>
      </c>
      <c r="CR5" s="255">
        <f>CS5/4</f>
        <v>985.34333630566414</v>
      </c>
      <c r="CS5" s="64">
        <f>CS29</f>
        <v>3941.3733452226566</v>
      </c>
      <c r="CT5" s="255">
        <f>CX5/4</f>
        <v>965.16463137867549</v>
      </c>
      <c r="CU5" s="255">
        <f>CX5/4</f>
        <v>965.16463137867549</v>
      </c>
      <c r="CV5" s="255">
        <f>CX5/4</f>
        <v>965.16463137867549</v>
      </c>
      <c r="CW5" s="255">
        <f>CX5/4</f>
        <v>965.16463137867549</v>
      </c>
      <c r="CX5" s="64">
        <f>CX29</f>
        <v>3860.658525514702</v>
      </c>
      <c r="CY5" s="255">
        <f>DC5/4</f>
        <v>931.97381162260558</v>
      </c>
      <c r="CZ5" s="255">
        <f>DC5/4</f>
        <v>931.97381162260558</v>
      </c>
      <c r="DA5" s="255">
        <f>DC5/4</f>
        <v>931.97381162260558</v>
      </c>
      <c r="DB5" s="255">
        <f>DC5/4</f>
        <v>931.97381162260558</v>
      </c>
      <c r="DC5" s="64">
        <f>DC29</f>
        <v>3727.8952464904223</v>
      </c>
      <c r="DD5" s="255">
        <f>DH5/4</f>
        <v>872.94478479165195</v>
      </c>
      <c r="DE5" s="255">
        <f>DH5/4</f>
        <v>872.94478479165195</v>
      </c>
      <c r="DF5" s="255">
        <f>DH5/4</f>
        <v>872.94478479165195</v>
      </c>
      <c r="DG5" s="255">
        <f>DH5/4</f>
        <v>872.94478479165195</v>
      </c>
      <c r="DH5" s="64">
        <f>DH29</f>
        <v>3491.7791391666078</v>
      </c>
      <c r="DI5" s="255">
        <f>DM5/4</f>
        <v>805.70776650452831</v>
      </c>
      <c r="DJ5" s="255">
        <f>DM5/4</f>
        <v>805.70776650452831</v>
      </c>
      <c r="DK5" s="255">
        <f>DM5/4</f>
        <v>805.70776650452831</v>
      </c>
      <c r="DL5" s="255">
        <f>DM5/4</f>
        <v>805.70776650452831</v>
      </c>
      <c r="DM5" s="64">
        <f>DM29</f>
        <v>3222.8310660181132</v>
      </c>
      <c r="DN5" s="255">
        <f>DR5/4</f>
        <v>772.89286564972508</v>
      </c>
      <c r="DO5" s="255">
        <f>DR5/4</f>
        <v>772.89286564972508</v>
      </c>
      <c r="DP5" s="255">
        <f>DR5/4</f>
        <v>772.89286564972508</v>
      </c>
      <c r="DQ5" s="255">
        <f>DR5/4</f>
        <v>772.89286564972508</v>
      </c>
      <c r="DR5" s="64">
        <f>DR29</f>
        <v>3091.5714625989003</v>
      </c>
      <c r="DS5" s="255">
        <f>DW5/4</f>
        <v>758.4490175400864</v>
      </c>
      <c r="DT5" s="255">
        <f>DW5/4</f>
        <v>758.4490175400864</v>
      </c>
      <c r="DU5" s="255">
        <f>DW5/4</f>
        <v>758.4490175400864</v>
      </c>
      <c r="DV5" s="255">
        <f>DW5/4</f>
        <v>758.4490175400864</v>
      </c>
      <c r="DW5" s="64">
        <f>DW29</f>
        <v>3033.7960701603456</v>
      </c>
      <c r="DX5" s="255">
        <f>EB5/4</f>
        <v>734.09390346839859</v>
      </c>
      <c r="DY5" s="255">
        <f>EB5/4</f>
        <v>734.09390346839859</v>
      </c>
      <c r="DZ5" s="255">
        <f>EB5/4</f>
        <v>734.09390346839859</v>
      </c>
      <c r="EA5" s="255">
        <f>EB5/4</f>
        <v>734.09390346839859</v>
      </c>
      <c r="EB5" s="64">
        <f>EB29</f>
        <v>2936.3756138735944</v>
      </c>
      <c r="EC5" s="255">
        <f>EG5/4</f>
        <v>706.07497973723252</v>
      </c>
      <c r="ED5" s="255">
        <f>EG5/4</f>
        <v>706.07497973723252</v>
      </c>
      <c r="EE5" s="255">
        <f>EG5/4</f>
        <v>706.07497973723252</v>
      </c>
      <c r="EF5" s="255">
        <f>EG5/4</f>
        <v>706.07497973723252</v>
      </c>
      <c r="EG5" s="64">
        <f>EG29</f>
        <v>2824.2999189489301</v>
      </c>
      <c r="EH5" s="255">
        <f>EL5/4</f>
        <v>674.07236201424269</v>
      </c>
      <c r="EI5" s="255">
        <f>EL5/4</f>
        <v>674.07236201424269</v>
      </c>
      <c r="EJ5" s="255">
        <f>EL5/4</f>
        <v>674.07236201424269</v>
      </c>
      <c r="EK5" s="255">
        <f>EL5/4</f>
        <v>674.07236201424269</v>
      </c>
      <c r="EL5" s="64">
        <f>EL29</f>
        <v>2696.2894480569707</v>
      </c>
    </row>
    <row r="6" spans="2:142">
      <c r="B6" s="32" t="s">
        <v>79</v>
      </c>
      <c r="C6" s="161"/>
      <c r="D6" s="161"/>
      <c r="E6" s="161"/>
      <c r="F6" s="161"/>
      <c r="G6" s="20"/>
      <c r="H6" s="161"/>
      <c r="I6" s="161"/>
      <c r="J6" s="161"/>
      <c r="K6" s="161"/>
      <c r="L6" s="20"/>
      <c r="M6" s="161"/>
      <c r="N6" s="161"/>
      <c r="O6" s="161"/>
      <c r="P6" s="161"/>
      <c r="Q6" s="20"/>
      <c r="R6" s="161"/>
      <c r="S6" s="161"/>
      <c r="T6" s="161"/>
      <c r="U6" s="161"/>
      <c r="V6" s="20"/>
      <c r="W6" s="161"/>
      <c r="X6" s="161"/>
      <c r="Y6" s="161"/>
      <c r="Z6" s="161"/>
      <c r="AA6" s="20"/>
      <c r="AB6" s="161"/>
      <c r="AC6" s="161"/>
      <c r="AD6" s="161"/>
      <c r="AE6" s="161"/>
      <c r="AF6" s="20">
        <f t="shared" ref="AF6:BD6" si="1">AF5/AA5-1</f>
        <v>0.13244047619047605</v>
      </c>
      <c r="AG6" s="161">
        <f t="shared" si="1"/>
        <v>6.1197485941118179E-2</v>
      </c>
      <c r="AH6" s="161">
        <f t="shared" si="1"/>
        <v>6.9135043785527817E-2</v>
      </c>
      <c r="AI6" s="161">
        <f t="shared" si="1"/>
        <v>2.2886786695148098E-2</v>
      </c>
      <c r="AJ6" s="161">
        <f t="shared" si="1"/>
        <v>-2.7937915742793917E-2</v>
      </c>
      <c r="AK6" s="20">
        <f t="shared" si="1"/>
        <v>3.0184741439282625E-2</v>
      </c>
      <c r="AL6" s="161">
        <f t="shared" si="1"/>
        <v>7.0293017456359186E-2</v>
      </c>
      <c r="AM6" s="161">
        <f t="shared" si="1"/>
        <v>1.609426641758871E-2</v>
      </c>
      <c r="AN6" s="161">
        <f t="shared" si="1"/>
        <v>6.5632458233890745E-3</v>
      </c>
      <c r="AO6" s="161">
        <f t="shared" si="1"/>
        <v>5.0182481751824159E-2</v>
      </c>
      <c r="AP6" s="20">
        <f t="shared" si="1"/>
        <v>3.5152879384730662E-2</v>
      </c>
      <c r="AQ6" s="266">
        <f t="shared" si="1"/>
        <v>5.1259647589922741E-2</v>
      </c>
      <c r="AR6" s="266">
        <f t="shared" si="1"/>
        <v>5.8973271107339631E-2</v>
      </c>
      <c r="AS6" s="266">
        <f t="shared" si="1"/>
        <v>8.5655008891523554E-2</v>
      </c>
      <c r="AT6" s="266">
        <f t="shared" si="1"/>
        <v>4.4019693020562745E-2</v>
      </c>
      <c r="AU6" s="20">
        <f t="shared" si="1"/>
        <v>5.9836184401275805E-2</v>
      </c>
      <c r="AV6" s="266">
        <f t="shared" si="1"/>
        <v>9.7381908851641663E-2</v>
      </c>
      <c r="AW6" s="266">
        <f t="shared" si="1"/>
        <v>4.7142094017094127E-2</v>
      </c>
      <c r="AX6" s="266">
        <f t="shared" si="1"/>
        <v>7.3983073983073799E-2</v>
      </c>
      <c r="AY6" s="266">
        <f t="shared" si="1"/>
        <v>6.6574202496532564E-2</v>
      </c>
      <c r="AZ6" s="20">
        <f t="shared" si="1"/>
        <v>7.1059740792668524E-2</v>
      </c>
      <c r="BA6" s="266">
        <f t="shared" si="1"/>
        <v>9.1264832113102656E-2</v>
      </c>
      <c r="BB6" s="266">
        <f t="shared" si="1"/>
        <v>3.3924244356587252E-2</v>
      </c>
      <c r="BC6" s="266">
        <f t="shared" si="1"/>
        <v>8.2867310625317714E-2</v>
      </c>
      <c r="BD6" s="266">
        <f t="shared" si="1"/>
        <v>4.811443433029905E-2</v>
      </c>
      <c r="BE6" s="20">
        <f t="shared" ref="BE6:BN6" si="2">BE5/AZ5-1</f>
        <v>6.4206123686983085E-2</v>
      </c>
      <c r="BF6" s="266">
        <f t="shared" si="2"/>
        <v>1.3533834586466176E-2</v>
      </c>
      <c r="BG6" s="266">
        <f t="shared" si="2"/>
        <v>9.905020352781535E-2</v>
      </c>
      <c r="BH6" s="266">
        <f t="shared" si="2"/>
        <v>7.6643192488262901E-2</v>
      </c>
      <c r="BI6" s="266">
        <f t="shared" si="2"/>
        <v>8.2009925558312213E-2</v>
      </c>
      <c r="BJ6" s="20">
        <f t="shared" si="2"/>
        <v>6.7022680907236287E-2</v>
      </c>
      <c r="BK6" s="266">
        <f t="shared" si="2"/>
        <v>9.1189226204063001E-2</v>
      </c>
      <c r="BL6" s="266">
        <f t="shared" si="2"/>
        <v>0.10639730639730627</v>
      </c>
      <c r="BM6" s="266">
        <f t="shared" si="2"/>
        <v>4.5568516297830763E-2</v>
      </c>
      <c r="BN6" s="266">
        <f t="shared" si="2"/>
        <v>8.5769980506823273E-2</v>
      </c>
      <c r="BO6" s="20">
        <f t="shared" ref="BO6:CN6" si="3">BO5/BJ5-1</f>
        <v>8.1904065680706406E-2</v>
      </c>
      <c r="BP6" s="266">
        <f t="shared" si="3"/>
        <v>1.9454032005020494E-2</v>
      </c>
      <c r="BQ6" s="266">
        <f t="shared" si="3"/>
        <v>4.76770135930209E-2</v>
      </c>
      <c r="BR6" s="266">
        <f t="shared" si="3"/>
        <v>2.8151391929933656E-3</v>
      </c>
      <c r="BS6" s="266">
        <v>0.06</v>
      </c>
      <c r="BT6" s="20">
        <f t="shared" si="3"/>
        <v>2.4272980067049588E-2</v>
      </c>
      <c r="BU6" s="266">
        <f t="shared" si="3"/>
        <v>6.8020929516774631E-2</v>
      </c>
      <c r="BV6" s="266">
        <f t="shared" si="3"/>
        <v>4.9380325329202224E-2</v>
      </c>
      <c r="BW6" s="266">
        <f t="shared" si="3"/>
        <v>8.1305884799334649E-2</v>
      </c>
      <c r="BX6" s="266">
        <f t="shared" si="3"/>
        <v>7.2016460905349744E-2</v>
      </c>
      <c r="BY6" s="20">
        <f t="shared" si="3"/>
        <v>6.7363560246619159E-2</v>
      </c>
      <c r="BZ6" s="266">
        <f t="shared" si="3"/>
        <v>5.283381364072981E-2</v>
      </c>
      <c r="CA6" s="266">
        <f t="shared" si="3"/>
        <v>-7.7320538844805276E-2</v>
      </c>
      <c r="CB6" s="266">
        <f t="shared" si="3"/>
        <v>-6.7307692307692291E-2</v>
      </c>
      <c r="CC6" s="266">
        <f t="shared" si="3"/>
        <v>-8.9779270633397079E-2</v>
      </c>
      <c r="CD6" s="20">
        <f t="shared" si="3"/>
        <v>-4.572359037748408E-2</v>
      </c>
      <c r="CE6" s="266">
        <f t="shared" si="3"/>
        <v>-9.4022639142335662E-2</v>
      </c>
      <c r="CF6" s="266">
        <f t="shared" si="3"/>
        <v>-7.0488124999998902E-3</v>
      </c>
      <c r="CG6" s="266">
        <f t="shared" si="3"/>
        <v>2.3661018041237103E-2</v>
      </c>
      <c r="CH6" s="266">
        <f t="shared" si="3"/>
        <v>4.691990879856589E-2</v>
      </c>
      <c r="CI6" s="20">
        <f t="shared" si="3"/>
        <v>-1.0622937139583288E-2</v>
      </c>
      <c r="CJ6" s="266">
        <f t="shared" si="3"/>
        <v>2.6613901086147695E-3</v>
      </c>
      <c r="CK6" s="266">
        <f t="shared" si="3"/>
        <v>2.6613901086147695E-3</v>
      </c>
      <c r="CL6" s="266">
        <f t="shared" si="3"/>
        <v>2.6613901086147695E-3</v>
      </c>
      <c r="CM6" s="266">
        <f t="shared" si="3"/>
        <v>2.6613901086147695E-3</v>
      </c>
      <c r="CN6" s="20">
        <f t="shared" si="3"/>
        <v>2.6613901086147695E-3</v>
      </c>
      <c r="CO6" s="266">
        <f t="shared" ref="CO6" si="4">CO5/CJ5-1</f>
        <v>-1.029584703930686E-2</v>
      </c>
      <c r="CP6" s="266">
        <f t="shared" ref="CP6" si="5">CP5/CK5-1</f>
        <v>-1.029584703930686E-2</v>
      </c>
      <c r="CQ6" s="266">
        <f t="shared" ref="CQ6" si="6">CQ5/CL5-1</f>
        <v>-1.029584703930686E-2</v>
      </c>
      <c r="CR6" s="266">
        <f t="shared" ref="CR6" si="7">CR5/CM5-1</f>
        <v>-1.029584703930686E-2</v>
      </c>
      <c r="CS6" s="20">
        <f t="shared" ref="CS6" si="8">CS5/CN5-1</f>
        <v>-1.029584703930686E-2</v>
      </c>
      <c r="CT6" s="266">
        <f t="shared" ref="CT6" si="9">CT5/CO5-1</f>
        <v>-2.0478856641629517E-2</v>
      </c>
      <c r="CU6" s="266">
        <f t="shared" ref="CU6" si="10">CU5/CP5-1</f>
        <v>-2.0478856641629517E-2</v>
      </c>
      <c r="CV6" s="266">
        <f t="shared" ref="CV6" si="11">CV5/CQ5-1</f>
        <v>-2.0478856641629517E-2</v>
      </c>
      <c r="CW6" s="266">
        <f t="shared" ref="CW6" si="12">CW5/CR5-1</f>
        <v>-2.0478856641629517E-2</v>
      </c>
      <c r="CX6" s="20">
        <f t="shared" ref="CX6" si="13">CX5/CS5-1</f>
        <v>-2.0478856641629517E-2</v>
      </c>
      <c r="CY6" s="266">
        <f t="shared" ref="CY6" si="14">CY5/CT5-1</f>
        <v>-3.4388765063488647E-2</v>
      </c>
      <c r="CZ6" s="266">
        <f t="shared" ref="CZ6" si="15">CZ5/CU5-1</f>
        <v>-3.4388765063488647E-2</v>
      </c>
      <c r="DA6" s="266">
        <f t="shared" ref="DA6" si="16">DA5/CV5-1</f>
        <v>-3.4388765063488647E-2</v>
      </c>
      <c r="DB6" s="266">
        <f t="shared" ref="DB6" si="17">DB5/CW5-1</f>
        <v>-3.4388765063488647E-2</v>
      </c>
      <c r="DC6" s="20">
        <f t="shared" ref="DC6" si="18">DC5/CX5-1</f>
        <v>-3.4388765063488647E-2</v>
      </c>
      <c r="DD6" s="266">
        <f t="shared" ref="DD6" si="19">DD5/CY5-1</f>
        <v>-6.333764543038134E-2</v>
      </c>
      <c r="DE6" s="266">
        <f t="shared" ref="DE6" si="20">DE5/CZ5-1</f>
        <v>-6.333764543038134E-2</v>
      </c>
      <c r="DF6" s="266">
        <f t="shared" ref="DF6" si="21">DF5/DA5-1</f>
        <v>-6.333764543038134E-2</v>
      </c>
      <c r="DG6" s="266">
        <f t="shared" ref="DG6" si="22">DG5/DB5-1</f>
        <v>-6.333764543038134E-2</v>
      </c>
      <c r="DH6" s="20">
        <f t="shared" ref="DH6" si="23">DH5/DC5-1</f>
        <v>-6.333764543038134E-2</v>
      </c>
      <c r="DI6" s="266">
        <f t="shared" ref="DI6" si="24">DI5/DD5-1</f>
        <v>-7.7023220091945732E-2</v>
      </c>
      <c r="DJ6" s="266">
        <f t="shared" ref="DJ6" si="25">DJ5/DE5-1</f>
        <v>-7.7023220091945732E-2</v>
      </c>
      <c r="DK6" s="266">
        <f t="shared" ref="DK6" si="26">DK5/DF5-1</f>
        <v>-7.7023220091945732E-2</v>
      </c>
      <c r="DL6" s="266">
        <f t="shared" ref="DL6" si="27">DL5/DG5-1</f>
        <v>-7.7023220091945732E-2</v>
      </c>
      <c r="DM6" s="20">
        <f t="shared" ref="DM6" si="28">DM5/DH5-1</f>
        <v>-7.7023220091945732E-2</v>
      </c>
      <c r="DN6" s="266">
        <f t="shared" ref="DN6" si="29">DN5/DI5-1</f>
        <v>-4.0728043366352273E-2</v>
      </c>
      <c r="DO6" s="266">
        <f t="shared" ref="DO6" si="30">DO5/DJ5-1</f>
        <v>-4.0728043366352273E-2</v>
      </c>
      <c r="DP6" s="266">
        <f t="shared" ref="DP6" si="31">DP5/DK5-1</f>
        <v>-4.0728043366352273E-2</v>
      </c>
      <c r="DQ6" s="266">
        <f t="shared" ref="DQ6" si="32">DQ5/DL5-1</f>
        <v>-4.0728043366352273E-2</v>
      </c>
      <c r="DR6" s="20">
        <f t="shared" ref="DR6" si="33">DR5/DM5-1</f>
        <v>-4.0728043366352273E-2</v>
      </c>
      <c r="DS6" s="266">
        <f t="shared" ref="DS6" si="34">DS5/DN5-1</f>
        <v>-1.8688033945683524E-2</v>
      </c>
      <c r="DT6" s="266">
        <f t="shared" ref="DT6" si="35">DT5/DO5-1</f>
        <v>-1.8688033945683524E-2</v>
      </c>
      <c r="DU6" s="266">
        <f t="shared" ref="DU6" si="36">DU5/DP5-1</f>
        <v>-1.8688033945683524E-2</v>
      </c>
      <c r="DV6" s="266">
        <f t="shared" ref="DV6" si="37">DV5/DQ5-1</f>
        <v>-1.8688033945683524E-2</v>
      </c>
      <c r="DW6" s="20">
        <f t="shared" ref="DW6" si="38">DW5/DR5-1</f>
        <v>-1.8688033945683524E-2</v>
      </c>
      <c r="DX6" s="266">
        <f t="shared" ref="DX6" si="39">DX5/DS5-1</f>
        <v>-3.2111735276129538E-2</v>
      </c>
      <c r="DY6" s="266">
        <f t="shared" ref="DY6" si="40">DY5/DT5-1</f>
        <v>-3.2111735276129538E-2</v>
      </c>
      <c r="DZ6" s="266">
        <f t="shared" ref="DZ6" si="41">DZ5/DU5-1</f>
        <v>-3.2111735276129538E-2</v>
      </c>
      <c r="EA6" s="266">
        <f t="shared" ref="EA6" si="42">EA5/DV5-1</f>
        <v>-3.2111735276129538E-2</v>
      </c>
      <c r="EB6" s="20">
        <f t="shared" ref="EB6" si="43">EB5/DW5-1</f>
        <v>-3.2111735276129538E-2</v>
      </c>
      <c r="EC6" s="266">
        <f t="shared" ref="EC6" si="44">EC5/DX5-1</f>
        <v>-3.8168037629496832E-2</v>
      </c>
      <c r="ED6" s="266">
        <f t="shared" ref="ED6" si="45">ED5/DY5-1</f>
        <v>-3.8168037629496832E-2</v>
      </c>
      <c r="EE6" s="266">
        <f t="shared" ref="EE6" si="46">EE5/DZ5-1</f>
        <v>-3.8168037629496832E-2</v>
      </c>
      <c r="EF6" s="266">
        <f t="shared" ref="EF6" si="47">EF5/EA5-1</f>
        <v>-3.8168037629496832E-2</v>
      </c>
      <c r="EG6" s="20">
        <f t="shared" ref="EG6" si="48">EG5/EB5-1</f>
        <v>-3.8168037629496832E-2</v>
      </c>
      <c r="EH6" s="266">
        <f t="shared" ref="EH6" si="49">EH5/EC5-1</f>
        <v>-4.5324673216574962E-2</v>
      </c>
      <c r="EI6" s="266">
        <f t="shared" ref="EI6" si="50">EI5/ED5-1</f>
        <v>-4.5324673216574962E-2</v>
      </c>
      <c r="EJ6" s="266">
        <f t="shared" ref="EJ6" si="51">EJ5/EE5-1</f>
        <v>-4.5324673216574962E-2</v>
      </c>
      <c r="EK6" s="266">
        <f t="shared" ref="EK6" si="52">EK5/EF5-1</f>
        <v>-4.5324673216574962E-2</v>
      </c>
      <c r="EL6" s="20">
        <f t="shared" ref="EL6" si="53">EL5/EG5-1</f>
        <v>-4.5324673216574962E-2</v>
      </c>
    </row>
    <row r="7" spans="2:142" s="3" customFormat="1">
      <c r="B7" s="8" t="s">
        <v>80</v>
      </c>
      <c r="C7" s="145"/>
      <c r="D7" s="145"/>
      <c r="E7" s="145"/>
      <c r="F7" s="145"/>
      <c r="G7" s="17"/>
      <c r="H7" s="145"/>
      <c r="I7" s="145"/>
      <c r="J7" s="145"/>
      <c r="K7" s="145"/>
      <c r="L7" s="17"/>
      <c r="M7" s="145"/>
      <c r="N7" s="145"/>
      <c r="O7" s="145"/>
      <c r="P7" s="145"/>
      <c r="Q7" s="17"/>
      <c r="R7" s="145"/>
      <c r="S7" s="145"/>
      <c r="T7" s="145"/>
      <c r="U7" s="145"/>
      <c r="V7" s="17"/>
      <c r="W7" s="145">
        <v>525</v>
      </c>
      <c r="X7" s="145">
        <v>550</v>
      </c>
      <c r="Y7" s="145">
        <v>565</v>
      </c>
      <c r="Z7" s="145">
        <f>+AA7-SUM(W7:Y7)</f>
        <v>581</v>
      </c>
      <c r="AA7" s="17">
        <v>2221</v>
      </c>
      <c r="AB7" s="145">
        <v>653</v>
      </c>
      <c r="AC7" s="145">
        <v>684</v>
      </c>
      <c r="AD7" s="145">
        <v>680</v>
      </c>
      <c r="AE7" s="145">
        <f>+AF7-SUM(AB7:AD7)</f>
        <v>608</v>
      </c>
      <c r="AF7" s="17">
        <v>2625</v>
      </c>
      <c r="AG7" s="145">
        <v>575.5</v>
      </c>
      <c r="AH7" s="145">
        <v>727</v>
      </c>
      <c r="AI7" s="145">
        <v>728</v>
      </c>
      <c r="AJ7" s="145">
        <f>+AK7-SUM(AG7:AI7)</f>
        <v>690</v>
      </c>
      <c r="AK7" s="17">
        <v>2720.5</v>
      </c>
      <c r="AL7" s="145"/>
      <c r="AM7" s="145"/>
      <c r="AN7" s="145"/>
      <c r="AO7" s="145"/>
      <c r="AP7" s="17"/>
      <c r="AQ7" s="267"/>
      <c r="AR7" s="267"/>
      <c r="AS7" s="267"/>
      <c r="AT7" s="267"/>
      <c r="AU7" s="17"/>
      <c r="AV7" s="267"/>
      <c r="AW7" s="267"/>
      <c r="AX7" s="267"/>
      <c r="AY7" s="267"/>
      <c r="AZ7" s="17"/>
      <c r="BA7" s="267"/>
      <c r="BB7" s="267"/>
      <c r="BC7" s="267"/>
      <c r="BD7" s="267"/>
      <c r="BE7" s="17"/>
      <c r="BF7" s="267"/>
      <c r="BG7" s="267"/>
      <c r="BH7" s="267"/>
      <c r="BI7" s="267"/>
      <c r="BJ7" s="17"/>
      <c r="BK7" s="267"/>
      <c r="BL7" s="267"/>
      <c r="BM7" s="267"/>
      <c r="BN7" s="267"/>
      <c r="BO7" s="17"/>
      <c r="BP7" s="267"/>
      <c r="BQ7" s="267"/>
      <c r="BR7" s="267"/>
      <c r="BS7" s="267"/>
      <c r="BT7" s="17"/>
      <c r="BU7" s="267"/>
      <c r="BV7" s="267"/>
      <c r="BW7" s="267"/>
      <c r="BX7" s="267"/>
      <c r="BY7" s="17"/>
      <c r="BZ7" s="267"/>
      <c r="CA7" s="267"/>
      <c r="CB7" s="267"/>
      <c r="CC7" s="267"/>
      <c r="CD7" s="17"/>
      <c r="CE7" s="267"/>
      <c r="CF7" s="267"/>
      <c r="CG7" s="267"/>
      <c r="CH7" s="267"/>
      <c r="CI7" s="17"/>
      <c r="CJ7" s="267"/>
      <c r="CK7" s="267"/>
      <c r="CL7" s="267"/>
      <c r="CM7" s="267"/>
      <c r="CN7" s="17"/>
      <c r="CO7" s="267"/>
      <c r="CP7" s="267"/>
      <c r="CQ7" s="267"/>
      <c r="CR7" s="267"/>
      <c r="CS7" s="17"/>
      <c r="CT7" s="267"/>
      <c r="CU7" s="267"/>
      <c r="CV7" s="267"/>
      <c r="CW7" s="267"/>
      <c r="CX7" s="17"/>
      <c r="CY7" s="267"/>
      <c r="CZ7" s="267"/>
      <c r="DA7" s="267"/>
      <c r="DB7" s="267"/>
      <c r="DC7" s="17"/>
      <c r="DD7" s="267"/>
      <c r="DE7" s="267"/>
      <c r="DF7" s="267"/>
      <c r="DG7" s="267"/>
      <c r="DH7" s="17"/>
      <c r="DI7" s="267"/>
      <c r="DJ7" s="267"/>
      <c r="DK7" s="267"/>
      <c r="DL7" s="267"/>
      <c r="DM7" s="17"/>
      <c r="DN7" s="267"/>
      <c r="DO7" s="267"/>
      <c r="DP7" s="267"/>
      <c r="DQ7" s="267"/>
      <c r="DR7" s="17"/>
      <c r="DS7" s="267"/>
      <c r="DT7" s="267"/>
      <c r="DU7" s="267"/>
      <c r="DV7" s="267"/>
      <c r="DW7" s="17"/>
      <c r="DX7" s="267"/>
      <c r="DY7" s="267"/>
      <c r="DZ7" s="267"/>
      <c r="EA7" s="267"/>
      <c r="EB7" s="17"/>
      <c r="EC7" s="267"/>
      <c r="ED7" s="267"/>
      <c r="EE7" s="267"/>
      <c r="EF7" s="267"/>
      <c r="EG7" s="17"/>
      <c r="EH7" s="267"/>
      <c r="EI7" s="267"/>
      <c r="EJ7" s="267"/>
      <c r="EK7" s="267"/>
      <c r="EL7" s="17"/>
    </row>
    <row r="8" spans="2:142" s="3" customFormat="1">
      <c r="B8" s="8" t="s">
        <v>95</v>
      </c>
      <c r="C8" s="145">
        <v>14.688000000000001</v>
      </c>
      <c r="D8" s="145">
        <v>13.927</v>
      </c>
      <c r="E8" s="145">
        <v>18.745000000000001</v>
      </c>
      <c r="F8" s="145">
        <f>+G8-SUM(C8:E8)</f>
        <v>20.509</v>
      </c>
      <c r="G8" s="17">
        <v>67.869</v>
      </c>
      <c r="H8" s="145">
        <v>26.178000000000001</v>
      </c>
      <c r="I8" s="145">
        <v>28.172000000000001</v>
      </c>
      <c r="J8" s="145">
        <v>32.755000000000003</v>
      </c>
      <c r="K8" s="145">
        <f>+L8-SUM(H8:J8)</f>
        <v>33.902999999999992</v>
      </c>
      <c r="L8" s="17">
        <v>121.008</v>
      </c>
      <c r="M8" s="145">
        <v>24.462</v>
      </c>
      <c r="N8" s="145">
        <v>39.142000000000003</v>
      </c>
      <c r="O8" s="145">
        <v>41.780999999999999</v>
      </c>
      <c r="P8" s="145">
        <f>+Q8-SUM(M8:O8)</f>
        <v>42.129000000000019</v>
      </c>
      <c r="Q8" s="17">
        <v>147.51400000000001</v>
      </c>
      <c r="R8" s="145">
        <v>43.395000000000003</v>
      </c>
      <c r="S8" s="145">
        <v>47.125999999999998</v>
      </c>
      <c r="T8" s="145">
        <v>514.66999999999996</v>
      </c>
      <c r="U8" s="145">
        <f>+V8-SUM(R8:T8)</f>
        <v>-411.16599999999994</v>
      </c>
      <c r="V8" s="17">
        <v>194.02500000000001</v>
      </c>
      <c r="W8" s="145">
        <v>56.517000000000003</v>
      </c>
      <c r="X8" s="145">
        <v>62.1</v>
      </c>
      <c r="Y8" s="145">
        <v>63</v>
      </c>
      <c r="Z8" s="145">
        <f>+AA8-SUM(W8:Y8)</f>
        <v>69.182999999999993</v>
      </c>
      <c r="AA8" s="17">
        <v>250.8</v>
      </c>
      <c r="AB8" s="145">
        <v>76.5</v>
      </c>
      <c r="AC8" s="145">
        <v>85.2</v>
      </c>
      <c r="AD8" s="145">
        <v>90</v>
      </c>
      <c r="AE8" s="145">
        <f>+AF8-SUM(AB8:AD8)</f>
        <v>83</v>
      </c>
      <c r="AF8" s="17">
        <v>334.7</v>
      </c>
      <c r="AG8" s="145">
        <v>79.040000000000006</v>
      </c>
      <c r="AH8" s="145">
        <f>AG7*0.08</f>
        <v>46.04</v>
      </c>
      <c r="AI8" s="145">
        <f>AH7*0.09</f>
        <v>65.429999999999993</v>
      </c>
      <c r="AJ8" s="145">
        <f>+AK8-SUM(AG8:AI8)</f>
        <v>46</v>
      </c>
      <c r="AK8" s="17">
        <v>236.51</v>
      </c>
      <c r="AL8" s="145"/>
      <c r="AM8" s="145"/>
      <c r="AN8" s="145"/>
      <c r="AO8" s="145"/>
      <c r="AP8" s="17"/>
      <c r="AQ8" s="267"/>
      <c r="AR8" s="267"/>
      <c r="AS8" s="267"/>
      <c r="AT8" s="267"/>
      <c r="AU8" s="17"/>
      <c r="AV8" s="267"/>
      <c r="AW8" s="267"/>
      <c r="AX8" s="267"/>
      <c r="AY8" s="267"/>
      <c r="AZ8" s="17"/>
      <c r="BA8" s="267"/>
      <c r="BB8" s="267"/>
      <c r="BC8" s="267"/>
      <c r="BD8" s="267"/>
      <c r="BE8" s="17"/>
      <c r="BF8" s="267"/>
      <c r="BG8" s="267"/>
      <c r="BH8" s="267"/>
      <c r="BI8" s="267"/>
      <c r="BJ8" s="17"/>
      <c r="BK8" s="267"/>
      <c r="BL8" s="267"/>
      <c r="BM8" s="267"/>
      <c r="BN8" s="267"/>
      <c r="BO8" s="17"/>
      <c r="BP8" s="267"/>
      <c r="BQ8" s="267"/>
      <c r="BR8" s="448"/>
      <c r="BS8" s="267"/>
      <c r="BT8" s="17"/>
      <c r="BU8" s="267"/>
      <c r="BV8" s="267"/>
      <c r="BW8" s="267"/>
      <c r="BX8" s="267"/>
      <c r="BY8" s="17"/>
      <c r="BZ8" s="267"/>
      <c r="CA8" s="267"/>
      <c r="CB8" s="267"/>
      <c r="CC8" s="267"/>
      <c r="CD8" s="17"/>
      <c r="CE8" s="267"/>
      <c r="CF8" s="267"/>
      <c r="CG8" s="267"/>
      <c r="CH8" s="267"/>
      <c r="CI8" s="17"/>
      <c r="CJ8" s="267"/>
      <c r="CK8" s="267"/>
      <c r="CL8" s="267"/>
      <c r="CM8" s="267"/>
      <c r="CN8" s="17"/>
      <c r="CO8" s="267"/>
      <c r="CP8" s="267"/>
      <c r="CQ8" s="267"/>
      <c r="CR8" s="267"/>
      <c r="CS8" s="17"/>
      <c r="CT8" s="267"/>
      <c r="CU8" s="267"/>
      <c r="CV8" s="267"/>
      <c r="CW8" s="267"/>
      <c r="CX8" s="17"/>
      <c r="CY8" s="267"/>
      <c r="CZ8" s="267"/>
      <c r="DA8" s="267"/>
      <c r="DB8" s="267"/>
      <c r="DC8" s="17"/>
      <c r="DD8" s="267"/>
      <c r="DE8" s="267"/>
      <c r="DF8" s="267"/>
      <c r="DG8" s="267"/>
      <c r="DH8" s="17"/>
      <c r="DI8" s="267"/>
      <c r="DJ8" s="267"/>
      <c r="DK8" s="267"/>
      <c r="DL8" s="267"/>
      <c r="DM8" s="17"/>
      <c r="DN8" s="267"/>
      <c r="DO8" s="267"/>
      <c r="DP8" s="267"/>
      <c r="DQ8" s="267"/>
      <c r="DR8" s="17"/>
      <c r="DS8" s="267"/>
      <c r="DT8" s="267"/>
      <c r="DU8" s="267"/>
      <c r="DV8" s="267"/>
      <c r="DW8" s="17"/>
      <c r="DX8" s="267"/>
      <c r="DY8" s="267"/>
      <c r="DZ8" s="267"/>
      <c r="EA8" s="267"/>
      <c r="EB8" s="17"/>
      <c r="EC8" s="267"/>
      <c r="ED8" s="267"/>
      <c r="EE8" s="267"/>
      <c r="EF8" s="267"/>
      <c r="EG8" s="17"/>
      <c r="EH8" s="267"/>
      <c r="EI8" s="267"/>
      <c r="EJ8" s="267"/>
      <c r="EK8" s="267"/>
      <c r="EL8" s="17"/>
    </row>
    <row r="9" spans="2:142">
      <c r="B9" s="1" t="s">
        <v>81</v>
      </c>
      <c r="C9" s="145"/>
      <c r="D9" s="145"/>
      <c r="E9" s="145"/>
      <c r="F9" s="145"/>
      <c r="G9" s="17">
        <v>1360.537</v>
      </c>
      <c r="H9" s="145">
        <v>361.80900000000003</v>
      </c>
      <c r="I9" s="145">
        <v>390.00400000000002</v>
      </c>
      <c r="J9" s="145">
        <v>392.99900000000002</v>
      </c>
      <c r="K9" s="145">
        <f>1573.228-SUM(H9:J9)</f>
        <v>428.41599999999994</v>
      </c>
      <c r="L9" s="17">
        <f>SUM(H9:K9)</f>
        <v>1573.2280000000001</v>
      </c>
      <c r="M9" s="145">
        <v>440.54899999999998</v>
      </c>
      <c r="N9" s="145">
        <v>450.34800000000001</v>
      </c>
      <c r="O9" s="145">
        <v>456.22800000000001</v>
      </c>
      <c r="P9" s="145">
        <f>1831.528-SUM(M9:O9)</f>
        <v>484.40300000000002</v>
      </c>
      <c r="Q9" s="17">
        <f>SUM(M9:P9)</f>
        <v>1831.528</v>
      </c>
      <c r="R9" s="145">
        <v>476.97800000000001</v>
      </c>
      <c r="S9" s="145">
        <v>525.4</v>
      </c>
      <c r="T9" s="145">
        <v>508.9</v>
      </c>
      <c r="U9" s="145">
        <f>2071.2-SUM(R9:T9)</f>
        <v>559.92200000000003</v>
      </c>
      <c r="V9" s="17">
        <f>SUM(R9:U9)</f>
        <v>2071.1999999999998</v>
      </c>
      <c r="W9" s="145">
        <v>534.79999999999995</v>
      </c>
      <c r="X9" s="145">
        <v>581.9</v>
      </c>
      <c r="Y9" s="145">
        <v>572.4</v>
      </c>
      <c r="Z9" s="145">
        <f>2284.8-SUM(W9:Y9)</f>
        <v>595.70000000000027</v>
      </c>
      <c r="AA9" s="17">
        <f>SUM(W9:Z9)</f>
        <v>2284.8000000000002</v>
      </c>
      <c r="AB9" s="145">
        <v>604.6</v>
      </c>
      <c r="AC9" s="145">
        <v>650.9</v>
      </c>
      <c r="AD9" s="145">
        <v>655.4</v>
      </c>
      <c r="AE9" s="145">
        <f>2587.4-SUM(AB9:AD9)</f>
        <v>676.5</v>
      </c>
      <c r="AF9" s="17">
        <f>SUM(AB9:AE9)</f>
        <v>2587.4</v>
      </c>
      <c r="AG9" s="145">
        <v>641.6</v>
      </c>
      <c r="AH9" s="145">
        <v>695.9</v>
      </c>
      <c r="AI9" s="145">
        <v>670.4</v>
      </c>
      <c r="AJ9" s="145">
        <f>2665.5-SUM(AG9:AI9)</f>
        <v>657.59999999999991</v>
      </c>
      <c r="AK9" s="17">
        <f>SUM(AG9:AJ9)</f>
        <v>2665.5</v>
      </c>
      <c r="AL9" s="145"/>
      <c r="AM9" s="145"/>
      <c r="AN9" s="145"/>
      <c r="AO9" s="145"/>
      <c r="AP9" s="17"/>
      <c r="AQ9" s="267"/>
      <c r="AR9" s="267"/>
      <c r="AS9" s="267"/>
      <c r="AT9" s="267"/>
      <c r="AU9" s="17"/>
      <c r="AV9" s="267"/>
      <c r="AW9" s="267"/>
      <c r="AX9" s="267"/>
      <c r="AY9" s="267"/>
      <c r="AZ9" s="17"/>
      <c r="BA9" s="267"/>
      <c r="BB9" s="267"/>
      <c r="BC9" s="267"/>
      <c r="BD9" s="267"/>
      <c r="BE9" s="17"/>
      <c r="BF9" s="267"/>
      <c r="BG9" s="267"/>
      <c r="BH9" s="267"/>
      <c r="BI9" s="267"/>
      <c r="BJ9" s="17"/>
      <c r="BK9" s="267"/>
      <c r="BL9" s="267"/>
      <c r="BM9" s="267"/>
      <c r="BN9" s="267"/>
      <c r="BO9" s="17"/>
      <c r="BP9" s="267"/>
      <c r="BQ9" s="267"/>
      <c r="BR9" s="267"/>
      <c r="BS9" s="267"/>
      <c r="BT9" s="17"/>
      <c r="BU9" s="267"/>
      <c r="BV9" s="267"/>
      <c r="BW9" s="267"/>
      <c r="BX9" s="267"/>
      <c r="BY9" s="17"/>
      <c r="BZ9" s="267"/>
      <c r="CA9" s="267"/>
      <c r="CB9" s="267"/>
      <c r="CC9" s="267"/>
      <c r="CD9" s="17"/>
      <c r="CE9" s="267"/>
      <c r="CF9" s="267"/>
      <c r="CG9" s="267"/>
      <c r="CH9" s="267"/>
      <c r="CI9" s="17"/>
      <c r="CJ9" s="267"/>
      <c r="CK9" s="267"/>
      <c r="CL9" s="267"/>
      <c r="CM9" s="267"/>
      <c r="CN9" s="17"/>
      <c r="CO9" s="267"/>
      <c r="CP9" s="267"/>
      <c r="CQ9" s="267"/>
      <c r="CR9" s="267"/>
      <c r="CS9" s="17"/>
      <c r="CT9" s="267"/>
      <c r="CU9" s="267"/>
      <c r="CV9" s="267"/>
      <c r="CW9" s="267"/>
      <c r="CX9" s="17"/>
      <c r="CY9" s="267"/>
      <c r="CZ9" s="267"/>
      <c r="DA9" s="267"/>
      <c r="DB9" s="267"/>
      <c r="DC9" s="17"/>
      <c r="DD9" s="267"/>
      <c r="DE9" s="267"/>
      <c r="DF9" s="267"/>
      <c r="DG9" s="267"/>
      <c r="DH9" s="17"/>
      <c r="DI9" s="267"/>
      <c r="DJ9" s="267"/>
      <c r="DK9" s="267"/>
      <c r="DL9" s="267"/>
      <c r="DM9" s="17"/>
      <c r="DN9" s="267"/>
      <c r="DO9" s="267"/>
      <c r="DP9" s="267"/>
      <c r="DQ9" s="267"/>
      <c r="DR9" s="17"/>
      <c r="DS9" s="267"/>
      <c r="DT9" s="267"/>
      <c r="DU9" s="267"/>
      <c r="DV9" s="267"/>
      <c r="DW9" s="17"/>
      <c r="DX9" s="267"/>
      <c r="DY9" s="267"/>
      <c r="DZ9" s="267"/>
      <c r="EA9" s="267"/>
      <c r="EB9" s="17"/>
      <c r="EC9" s="267"/>
      <c r="ED9" s="267"/>
      <c r="EE9" s="267"/>
      <c r="EF9" s="267"/>
      <c r="EG9" s="17"/>
      <c r="EH9" s="267"/>
      <c r="EI9" s="267"/>
      <c r="EJ9" s="267"/>
      <c r="EK9" s="267"/>
      <c r="EL9" s="17"/>
    </row>
    <row r="10" spans="2:142">
      <c r="C10" s="145"/>
      <c r="D10" s="145"/>
      <c r="E10" s="145"/>
      <c r="F10" s="145"/>
      <c r="G10" s="17"/>
      <c r="H10" s="145"/>
      <c r="I10" s="145"/>
      <c r="J10" s="145"/>
      <c r="K10" s="145"/>
      <c r="L10" s="17"/>
      <c r="M10" s="145"/>
      <c r="N10" s="145"/>
      <c r="O10" s="145"/>
      <c r="P10" s="145"/>
      <c r="Q10" s="17"/>
      <c r="R10" s="145"/>
      <c r="S10" s="145"/>
      <c r="T10" s="145"/>
      <c r="U10" s="145"/>
      <c r="V10" s="17"/>
      <c r="W10" s="145"/>
      <c r="X10" s="145"/>
      <c r="Y10" s="145"/>
      <c r="Z10" s="145"/>
      <c r="AA10" s="17"/>
      <c r="AB10" s="145"/>
      <c r="AC10" s="145"/>
      <c r="AD10" s="145"/>
      <c r="AE10" s="145"/>
      <c r="AF10" s="17"/>
      <c r="AG10" s="145"/>
      <c r="AH10" s="145"/>
      <c r="AI10" s="145"/>
      <c r="AJ10" s="145"/>
      <c r="AK10" s="17"/>
      <c r="AL10" s="145"/>
      <c r="AM10" s="145"/>
      <c r="AN10" s="145"/>
      <c r="AO10" s="145"/>
      <c r="AP10" s="17"/>
      <c r="AQ10" s="267"/>
      <c r="AR10" s="267"/>
      <c r="AS10" s="267"/>
      <c r="AT10" s="267"/>
      <c r="AU10" s="17"/>
      <c r="AV10" s="267"/>
      <c r="AW10" s="267"/>
      <c r="AX10" s="267"/>
      <c r="AY10" s="267"/>
      <c r="AZ10" s="17"/>
      <c r="BA10" s="267"/>
      <c r="BB10" s="267"/>
      <c r="BC10" s="267"/>
      <c r="BD10" s="267"/>
      <c r="BE10" s="17"/>
      <c r="BF10" s="267"/>
      <c r="BG10" s="267"/>
      <c r="BH10" s="267"/>
      <c r="BI10" s="267"/>
      <c r="BJ10" s="17"/>
      <c r="BK10" s="267"/>
      <c r="BL10" s="267"/>
      <c r="BM10" s="267"/>
      <c r="BN10" s="267"/>
      <c r="BO10" s="17"/>
      <c r="BP10" s="267"/>
      <c r="BQ10" s="267"/>
      <c r="BR10" s="267"/>
      <c r="BS10" s="267"/>
      <c r="BT10" s="17"/>
      <c r="BU10" s="267"/>
      <c r="BV10" s="267"/>
      <c r="BW10" s="267"/>
      <c r="BX10" s="267"/>
      <c r="BY10" s="17"/>
      <c r="BZ10" s="267"/>
      <c r="CA10" s="267"/>
      <c r="CB10" s="267"/>
      <c r="CC10" s="267"/>
      <c r="CD10" s="17"/>
      <c r="CE10" s="267"/>
      <c r="CF10" s="267"/>
      <c r="CG10" s="267"/>
      <c r="CH10" s="267"/>
      <c r="CI10" s="17"/>
      <c r="CJ10" s="267"/>
      <c r="CK10" s="267"/>
      <c r="CL10" s="267"/>
      <c r="CM10" s="267"/>
      <c r="CN10" s="17"/>
      <c r="CO10" s="267"/>
      <c r="CP10" s="267"/>
      <c r="CQ10" s="267"/>
      <c r="CR10" s="267"/>
      <c r="CS10" s="17"/>
      <c r="CT10" s="267"/>
      <c r="CU10" s="267"/>
      <c r="CV10" s="267"/>
      <c r="CW10" s="267"/>
      <c r="CX10" s="17"/>
      <c r="CY10" s="267"/>
      <c r="CZ10" s="267"/>
      <c r="DA10" s="267"/>
      <c r="DB10" s="267"/>
      <c r="DC10" s="17"/>
      <c r="DD10" s="267"/>
      <c r="DE10" s="267"/>
      <c r="DF10" s="267"/>
      <c r="DG10" s="267"/>
      <c r="DH10" s="17"/>
      <c r="DI10" s="267"/>
      <c r="DJ10" s="267"/>
      <c r="DK10" s="267"/>
      <c r="DL10" s="267"/>
      <c r="DM10" s="17"/>
      <c r="DN10" s="267"/>
      <c r="DO10" s="267"/>
      <c r="DP10" s="267"/>
      <c r="DQ10" s="267"/>
      <c r="DR10" s="17"/>
      <c r="DS10" s="267"/>
      <c r="DT10" s="267"/>
      <c r="DU10" s="267"/>
      <c r="DV10" s="267"/>
      <c r="DW10" s="17"/>
      <c r="DX10" s="267"/>
      <c r="DY10" s="267"/>
      <c r="DZ10" s="267"/>
      <c r="EA10" s="267"/>
      <c r="EB10" s="17"/>
      <c r="EC10" s="267"/>
      <c r="ED10" s="267"/>
      <c r="EE10" s="267"/>
      <c r="EF10" s="267"/>
      <c r="EG10" s="17"/>
      <c r="EH10" s="267"/>
      <c r="EI10" s="267"/>
      <c r="EJ10" s="267"/>
      <c r="EK10" s="267"/>
      <c r="EL10" s="17"/>
    </row>
    <row r="11" spans="2:142">
      <c r="B11" s="1" t="s">
        <v>82</v>
      </c>
      <c r="C11" s="145"/>
      <c r="D11" s="145"/>
      <c r="E11" s="145"/>
      <c r="F11" s="145"/>
      <c r="G11" s="17">
        <v>299.39800000000002</v>
      </c>
      <c r="H11" s="145">
        <v>99.989000000000004</v>
      </c>
      <c r="I11" s="145">
        <v>90.183000000000007</v>
      </c>
      <c r="J11" s="145">
        <v>96.138999999999996</v>
      </c>
      <c r="K11" s="145">
        <f>418.19-SUM(H11:J11)</f>
        <v>131.87899999999996</v>
      </c>
      <c r="L11" s="17">
        <f>SUM(H11:K11)</f>
        <v>418.19</v>
      </c>
      <c r="M11" s="145">
        <v>120.261</v>
      </c>
      <c r="N11" s="145">
        <v>116.053</v>
      </c>
      <c r="O11" s="145">
        <v>133.70599999999999</v>
      </c>
      <c r="P11" s="145">
        <f>534.593-SUM(M11:O11)</f>
        <v>164.57299999999998</v>
      </c>
      <c r="Q11" s="17">
        <f>SUM(M11:P11)</f>
        <v>534.59299999999996</v>
      </c>
      <c r="R11" s="145">
        <v>154.334</v>
      </c>
      <c r="S11" s="145">
        <v>167.9</v>
      </c>
      <c r="T11" s="145">
        <v>162.4</v>
      </c>
      <c r="U11" s="145">
        <f>669.3-SUM(R11:T11)</f>
        <v>184.66599999999994</v>
      </c>
      <c r="V11" s="17">
        <f>SUM(R11:U11)</f>
        <v>669.3</v>
      </c>
      <c r="W11" s="145">
        <v>180.9</v>
      </c>
      <c r="X11" s="145">
        <v>198.3</v>
      </c>
      <c r="Y11" s="145">
        <v>181.6</v>
      </c>
      <c r="Z11" s="145">
        <f>730.2-SUM(W11:Y11)</f>
        <v>169.39999999999998</v>
      </c>
      <c r="AA11" s="17">
        <f>SUM(W11:Z11)</f>
        <v>730.2</v>
      </c>
      <c r="AB11" s="145">
        <v>197.2</v>
      </c>
      <c r="AC11" s="145">
        <v>206.6</v>
      </c>
      <c r="AD11" s="145">
        <v>182.3</v>
      </c>
      <c r="AE11" s="145">
        <f>741-SUM(AB11:AD11)</f>
        <v>154.90000000000009</v>
      </c>
      <c r="AF11" s="17">
        <f>SUM(AB11:AE11)</f>
        <v>741</v>
      </c>
      <c r="AG11" s="145">
        <v>180.3</v>
      </c>
      <c r="AH11" s="145">
        <v>199.7</v>
      </c>
      <c r="AI11" s="145">
        <v>167.3</v>
      </c>
      <c r="AJ11" s="145">
        <f>724.1-SUM(AG11:AI11)</f>
        <v>176.80000000000007</v>
      </c>
      <c r="AK11" s="17">
        <f>SUM(AG11:AJ11)</f>
        <v>724.1</v>
      </c>
      <c r="AL11" s="145">
        <v>173.5</v>
      </c>
      <c r="AM11" s="145">
        <v>136.80000000000001</v>
      </c>
      <c r="AN11" s="145">
        <v>164.3</v>
      </c>
      <c r="AO11" s="145">
        <f>626.8-SUM(AL11:AN11)</f>
        <v>152.19999999999993</v>
      </c>
      <c r="AP11" s="17">
        <f>SUM(AL11:AO11)</f>
        <v>626.79999999999995</v>
      </c>
      <c r="AQ11" s="267">
        <v>154.69999999999999</v>
      </c>
      <c r="AR11" s="267">
        <v>275.5</v>
      </c>
      <c r="AS11" s="267">
        <v>147.6</v>
      </c>
      <c r="AT11" s="267">
        <f>730.8-SUM(AQ11:AS11)</f>
        <v>153</v>
      </c>
      <c r="AU11" s="17">
        <f>SUM(AQ11:AT11)</f>
        <v>730.8</v>
      </c>
      <c r="AV11" s="267">
        <v>136.5</v>
      </c>
      <c r="AW11" s="267">
        <v>139.1</v>
      </c>
      <c r="AX11" s="267">
        <v>141.5</v>
      </c>
      <c r="AY11" s="267">
        <f>543.7-SUM(AV11:AX11)</f>
        <v>126.60000000000002</v>
      </c>
      <c r="AZ11" s="17">
        <f>SUM(AV11:AY11)</f>
        <v>543.70000000000005</v>
      </c>
      <c r="BA11" s="339">
        <v>148.6</v>
      </c>
      <c r="BB11" s="339">
        <v>136.4</v>
      </c>
      <c r="BC11" s="339">
        <v>155.1</v>
      </c>
      <c r="BD11" s="339">
        <f>615.9-SUM(BA11:BC11)</f>
        <v>175.79999999999995</v>
      </c>
      <c r="BE11" s="17">
        <f>SUM(BA11:BD11)</f>
        <v>615.9</v>
      </c>
      <c r="BF11" s="256">
        <v>184.4</v>
      </c>
      <c r="BG11" s="256">
        <v>182</v>
      </c>
      <c r="BH11" s="256">
        <v>244.3</v>
      </c>
      <c r="BI11" s="255">
        <f>BJ11-BF11-BG11-BH11</f>
        <v>160.40000000000003</v>
      </c>
      <c r="BJ11" s="280">
        <v>771.1</v>
      </c>
      <c r="BK11" s="256">
        <v>173.9</v>
      </c>
      <c r="BL11" s="256">
        <v>181.4</v>
      </c>
      <c r="BM11" s="256">
        <v>161.5</v>
      </c>
      <c r="BN11" s="255">
        <f>BO11-BK11-BL11-BM11</f>
        <v>156.90000000000009</v>
      </c>
      <c r="BO11" s="280">
        <v>673.7</v>
      </c>
      <c r="BP11" s="256">
        <v>175.1</v>
      </c>
      <c r="BQ11" s="256">
        <v>178.1</v>
      </c>
      <c r="BR11" s="256">
        <v>191.7</v>
      </c>
      <c r="BS11" s="255">
        <f>BT11-BP11-BQ11-BR11</f>
        <v>199.59999999999997</v>
      </c>
      <c r="BT11" s="280">
        <v>744.5</v>
      </c>
      <c r="BU11" s="255">
        <f>BU5-BU12</f>
        <v>201.30000000000018</v>
      </c>
      <c r="BV11" s="255">
        <f>BV5-BV12</f>
        <v>193.59999999999991</v>
      </c>
      <c r="BW11" s="255">
        <f>BW5-BW12</f>
        <v>173.10000000000002</v>
      </c>
      <c r="BX11" s="255">
        <f>BY11-BU11-BV11-BW11</f>
        <v>187.19999999999993</v>
      </c>
      <c r="BY11" s="280">
        <v>755.2</v>
      </c>
      <c r="BZ11" s="255">
        <f>BZ5*(1-BZ14)</f>
        <v>207.03118260472434</v>
      </c>
      <c r="CA11" s="255">
        <f t="shared" ref="CA11:CC11" si="54">CA5*(1-CA14)</f>
        <v>188.89706442036891</v>
      </c>
      <c r="CB11" s="255">
        <f t="shared" si="54"/>
        <v>183.23015248775783</v>
      </c>
      <c r="CC11" s="255">
        <f t="shared" si="54"/>
        <v>179.15942074949893</v>
      </c>
      <c r="CD11" s="64">
        <f>CD5-(CD5*CD14)</f>
        <v>758.31782026234987</v>
      </c>
      <c r="CE11" s="255">
        <f>CI11/4</f>
        <v>187.56556443146928</v>
      </c>
      <c r="CF11" s="255">
        <f t="shared" ref="CF11:CH12" si="55">CE11</f>
        <v>187.56556443146928</v>
      </c>
      <c r="CG11" s="255">
        <f t="shared" si="55"/>
        <v>187.56556443146928</v>
      </c>
      <c r="CH11" s="255">
        <f t="shared" si="55"/>
        <v>187.56556443146928</v>
      </c>
      <c r="CI11" s="64">
        <f>CI5-(CI5*CI14)</f>
        <v>750.26225772587713</v>
      </c>
      <c r="CJ11" s="255">
        <f>CN11/4</f>
        <v>188.06474956936404</v>
      </c>
      <c r="CK11" s="255">
        <f t="shared" ref="CK11:CM12" si="56">CJ11</f>
        <v>188.06474956936404</v>
      </c>
      <c r="CL11" s="255">
        <f t="shared" si="56"/>
        <v>188.06474956936404</v>
      </c>
      <c r="CM11" s="255">
        <f t="shared" si="56"/>
        <v>188.06474956936404</v>
      </c>
      <c r="CN11" s="64">
        <f>CN5-(CN5*CN14)</f>
        <v>752.25899827745616</v>
      </c>
      <c r="CO11" s="255">
        <f>CS11/4</f>
        <v>186.12846367431223</v>
      </c>
      <c r="CP11" s="255">
        <f t="shared" ref="CP11:CP12" si="57">CO11</f>
        <v>186.12846367431223</v>
      </c>
      <c r="CQ11" s="255">
        <f t="shared" ref="CQ11:CQ12" si="58">CP11</f>
        <v>186.12846367431223</v>
      </c>
      <c r="CR11" s="255">
        <f t="shared" ref="CR11:CR12" si="59">CQ11</f>
        <v>186.12846367431223</v>
      </c>
      <c r="CS11" s="64">
        <f>CS5-(CS5*CS14)</f>
        <v>744.51385469724892</v>
      </c>
      <c r="CT11" s="255">
        <f>CX11/4</f>
        <v>182.31676554979924</v>
      </c>
      <c r="CU11" s="255">
        <f t="shared" ref="CU11:CU12" si="60">CT11</f>
        <v>182.31676554979924</v>
      </c>
      <c r="CV11" s="255">
        <f t="shared" ref="CV11:CV12" si="61">CU11</f>
        <v>182.31676554979924</v>
      </c>
      <c r="CW11" s="255">
        <f t="shared" ref="CW11:CW12" si="62">CV11</f>
        <v>182.31676554979924</v>
      </c>
      <c r="CX11" s="64">
        <f>CX5-(CX5*CX14)</f>
        <v>729.26706219919697</v>
      </c>
      <c r="CY11" s="255">
        <f>DC11/4</f>
        <v>176.04711713217205</v>
      </c>
      <c r="CZ11" s="255">
        <f t="shared" ref="CZ11:CZ12" si="63">CY11</f>
        <v>176.04711713217205</v>
      </c>
      <c r="DA11" s="255">
        <f t="shared" ref="DA11:DA12" si="64">CZ11</f>
        <v>176.04711713217205</v>
      </c>
      <c r="DB11" s="255">
        <f t="shared" ref="DB11:DB12" si="65">DA11</f>
        <v>176.04711713217205</v>
      </c>
      <c r="DC11" s="64">
        <f>DC5-(DC5*DC14)</f>
        <v>704.18846852868819</v>
      </c>
      <c r="DD11" s="255">
        <f>DH11/4</f>
        <v>164.89670724821372</v>
      </c>
      <c r="DE11" s="255">
        <f t="shared" ref="DE11:DE12" si="66">DD11</f>
        <v>164.89670724821372</v>
      </c>
      <c r="DF11" s="255">
        <f t="shared" ref="DF11:DF12" si="67">DE11</f>
        <v>164.89670724821372</v>
      </c>
      <c r="DG11" s="255">
        <f t="shared" ref="DG11:DG12" si="68">DF11</f>
        <v>164.89670724821372</v>
      </c>
      <c r="DH11" s="64">
        <f>DH5-(DH5*DH14)</f>
        <v>659.58682899285486</v>
      </c>
      <c r="DI11" s="255">
        <f>DM11/4</f>
        <v>152.19583187339742</v>
      </c>
      <c r="DJ11" s="255">
        <f t="shared" ref="DJ11:DJ12" si="69">DI11</f>
        <v>152.19583187339742</v>
      </c>
      <c r="DK11" s="255">
        <f t="shared" ref="DK11:DK12" si="70">DJ11</f>
        <v>152.19583187339742</v>
      </c>
      <c r="DL11" s="255">
        <f t="shared" ref="DL11:DL12" si="71">DK11</f>
        <v>152.19583187339742</v>
      </c>
      <c r="DM11" s="64">
        <f>DM5-(DM5*DM14)</f>
        <v>608.7833274935897</v>
      </c>
      <c r="DN11" s="255">
        <f>DR11/4</f>
        <v>145.99719343267964</v>
      </c>
      <c r="DO11" s="255">
        <f t="shared" ref="DO11:DO12" si="72">DN11</f>
        <v>145.99719343267964</v>
      </c>
      <c r="DP11" s="255">
        <f t="shared" ref="DP11:DP12" si="73">DO11</f>
        <v>145.99719343267964</v>
      </c>
      <c r="DQ11" s="255">
        <f t="shared" ref="DQ11:DQ12" si="74">DP11</f>
        <v>145.99719343267964</v>
      </c>
      <c r="DR11" s="64">
        <f>DR5-(DR5*DR14)</f>
        <v>583.98877373071855</v>
      </c>
      <c r="DS11" s="255">
        <f>DW11/4</f>
        <v>143.26879292583521</v>
      </c>
      <c r="DT11" s="255">
        <f t="shared" ref="DT11:DT12" si="75">DS11</f>
        <v>143.26879292583521</v>
      </c>
      <c r="DU11" s="255">
        <f t="shared" ref="DU11:DU12" si="76">DT11</f>
        <v>143.26879292583521</v>
      </c>
      <c r="DV11" s="255">
        <f t="shared" ref="DV11:DV12" si="77">DU11</f>
        <v>143.26879292583521</v>
      </c>
      <c r="DW11" s="64">
        <f>DW5-(DW5*DW14)</f>
        <v>573.07517170334086</v>
      </c>
      <c r="DX11" s="255">
        <f>EB11/4</f>
        <v>138.66818337407017</v>
      </c>
      <c r="DY11" s="255">
        <f t="shared" ref="DY11:DY12" si="78">DX11</f>
        <v>138.66818337407017</v>
      </c>
      <c r="DZ11" s="255">
        <f t="shared" ref="DZ11:DZ12" si="79">DY11</f>
        <v>138.66818337407017</v>
      </c>
      <c r="EA11" s="255">
        <f t="shared" ref="EA11:EA12" si="80">DZ11</f>
        <v>138.66818337407017</v>
      </c>
      <c r="EB11" s="64">
        <f>EB5-(EB5*EB14)</f>
        <v>554.67273349628067</v>
      </c>
      <c r="EC11" s="255">
        <f>EG11/4</f>
        <v>133.37549093303471</v>
      </c>
      <c r="ED11" s="255">
        <f t="shared" ref="ED11:ED12" si="81">EC11</f>
        <v>133.37549093303471</v>
      </c>
      <c r="EE11" s="255">
        <f t="shared" ref="EE11:EE12" si="82">ED11</f>
        <v>133.37549093303471</v>
      </c>
      <c r="EF11" s="255">
        <f t="shared" ref="EF11:EF12" si="83">EE11</f>
        <v>133.37549093303471</v>
      </c>
      <c r="EG11" s="64">
        <f>EG5-(EG5*EG14)</f>
        <v>533.50196373213885</v>
      </c>
      <c r="EH11" s="255">
        <f>EL11/4</f>
        <v>127.33029039139467</v>
      </c>
      <c r="EI11" s="255">
        <f t="shared" ref="EI11:EI12" si="84">EH11</f>
        <v>127.33029039139467</v>
      </c>
      <c r="EJ11" s="255">
        <f t="shared" ref="EJ11:EJ12" si="85">EI11</f>
        <v>127.33029039139467</v>
      </c>
      <c r="EK11" s="255">
        <f t="shared" ref="EK11:EK12" si="86">EJ11</f>
        <v>127.33029039139467</v>
      </c>
      <c r="EL11" s="64">
        <f>EL5-(EL5*EL14)</f>
        <v>509.32116156557868</v>
      </c>
    </row>
    <row r="12" spans="2:142">
      <c r="B12" s="1" t="s">
        <v>83</v>
      </c>
      <c r="C12" s="145"/>
      <c r="D12" s="145"/>
      <c r="E12" s="145"/>
      <c r="F12" s="145"/>
      <c r="G12" s="17">
        <f t="shared" ref="G12:AK12" si="87">G9-G11</f>
        <v>1061.1390000000001</v>
      </c>
      <c r="H12" s="145">
        <f t="shared" si="87"/>
        <v>261.82000000000005</v>
      </c>
      <c r="I12" s="145">
        <f t="shared" si="87"/>
        <v>299.82100000000003</v>
      </c>
      <c r="J12" s="145">
        <f t="shared" si="87"/>
        <v>296.86</v>
      </c>
      <c r="K12" s="145">
        <f t="shared" si="87"/>
        <v>296.53699999999998</v>
      </c>
      <c r="L12" s="17">
        <f t="shared" si="87"/>
        <v>1155.038</v>
      </c>
      <c r="M12" s="145">
        <f t="shared" si="87"/>
        <v>320.28800000000001</v>
      </c>
      <c r="N12" s="145">
        <f t="shared" si="87"/>
        <v>334.29500000000002</v>
      </c>
      <c r="O12" s="145">
        <f t="shared" si="87"/>
        <v>322.52200000000005</v>
      </c>
      <c r="P12" s="145">
        <f t="shared" si="87"/>
        <v>319.83000000000004</v>
      </c>
      <c r="Q12" s="17">
        <f t="shared" si="87"/>
        <v>1296.9349999999999</v>
      </c>
      <c r="R12" s="145">
        <f t="shared" si="87"/>
        <v>322.64400000000001</v>
      </c>
      <c r="S12" s="145">
        <f t="shared" si="87"/>
        <v>357.5</v>
      </c>
      <c r="T12" s="145">
        <f t="shared" si="87"/>
        <v>346.5</v>
      </c>
      <c r="U12" s="145">
        <f t="shared" si="87"/>
        <v>375.25600000000009</v>
      </c>
      <c r="V12" s="17">
        <f t="shared" si="87"/>
        <v>1401.8999999999999</v>
      </c>
      <c r="W12" s="145">
        <f t="shared" si="87"/>
        <v>353.9</v>
      </c>
      <c r="X12" s="145">
        <f t="shared" si="87"/>
        <v>383.59999999999997</v>
      </c>
      <c r="Y12" s="145">
        <f t="shared" si="87"/>
        <v>390.79999999999995</v>
      </c>
      <c r="Z12" s="145">
        <f t="shared" si="87"/>
        <v>426.3000000000003</v>
      </c>
      <c r="AA12" s="17">
        <f t="shared" si="87"/>
        <v>1554.6000000000001</v>
      </c>
      <c r="AB12" s="145">
        <f t="shared" si="87"/>
        <v>407.40000000000003</v>
      </c>
      <c r="AC12" s="145">
        <f t="shared" si="87"/>
        <v>444.29999999999995</v>
      </c>
      <c r="AD12" s="145">
        <f t="shared" si="87"/>
        <v>473.09999999999997</v>
      </c>
      <c r="AE12" s="145">
        <f t="shared" si="87"/>
        <v>521.59999999999991</v>
      </c>
      <c r="AF12" s="17">
        <f t="shared" si="87"/>
        <v>1846.4</v>
      </c>
      <c r="AG12" s="145">
        <f t="shared" si="87"/>
        <v>461.3</v>
      </c>
      <c r="AH12" s="145">
        <f t="shared" si="87"/>
        <v>496.2</v>
      </c>
      <c r="AI12" s="145">
        <f t="shared" si="87"/>
        <v>503.09999999999997</v>
      </c>
      <c r="AJ12" s="145">
        <f t="shared" si="87"/>
        <v>480.79999999999984</v>
      </c>
      <c r="AK12" s="17">
        <f t="shared" si="87"/>
        <v>1941.4</v>
      </c>
      <c r="AL12" s="145">
        <f>AL5-AL11</f>
        <v>513.20000000000005</v>
      </c>
      <c r="AM12" s="145">
        <f>AM5-AM11</f>
        <v>570.29999999999995</v>
      </c>
      <c r="AN12" s="145">
        <f>AN5-AN11</f>
        <v>510.49999999999994</v>
      </c>
      <c r="AO12" s="145">
        <f>AO5-AO11</f>
        <v>538.39999999999952</v>
      </c>
      <c r="AP12" s="17">
        <f>SUM(AL12:AO12)</f>
        <v>2132.3999999999996</v>
      </c>
      <c r="AQ12" s="267">
        <f>AQ5-AQ11</f>
        <v>567.20000000000005</v>
      </c>
      <c r="AR12" s="267">
        <f>AR5-AR11</f>
        <v>473.29999999999995</v>
      </c>
      <c r="AS12" s="267">
        <f>AS5-AS11</f>
        <v>585</v>
      </c>
      <c r="AT12" s="267">
        <f>AT5-AT11</f>
        <v>568</v>
      </c>
      <c r="AU12" s="17">
        <f>SUM(AQ12:AT12)</f>
        <v>2193.5</v>
      </c>
      <c r="AV12" s="267">
        <f>AV5-AV11</f>
        <v>655.7</v>
      </c>
      <c r="AW12" s="267">
        <f>AW5-AW11</f>
        <v>645</v>
      </c>
      <c r="AX12" s="267">
        <f>AX5-AX11</f>
        <v>645.29999999999995</v>
      </c>
      <c r="AY12" s="267">
        <f>AY5-AY11</f>
        <v>642.4</v>
      </c>
      <c r="AZ12" s="17">
        <f>SUM(AV12:AY12)</f>
        <v>2588.4</v>
      </c>
      <c r="BA12" s="267">
        <f>BA5-BA11</f>
        <v>715.9</v>
      </c>
      <c r="BB12" s="267">
        <f>BB5-BB11</f>
        <v>674.30000000000007</v>
      </c>
      <c r="BC12" s="267">
        <f>BC5-BC11</f>
        <v>696.9</v>
      </c>
      <c r="BD12" s="267">
        <f>BD5-BD11</f>
        <v>630.20000000000005</v>
      </c>
      <c r="BE12" s="17">
        <f>SUM(BA12:BD12)</f>
        <v>2717.3</v>
      </c>
      <c r="BF12" s="255">
        <f t="shared" ref="BF12:BL12" si="88">BF5-BF11</f>
        <v>691.80000000000007</v>
      </c>
      <c r="BG12" s="255">
        <f t="shared" si="88"/>
        <v>709</v>
      </c>
      <c r="BH12" s="255">
        <f t="shared" si="88"/>
        <v>673</v>
      </c>
      <c r="BI12" s="255">
        <f t="shared" si="88"/>
        <v>711.69999999999959</v>
      </c>
      <c r="BJ12" s="64">
        <f>SUM(BF12:BI12)</f>
        <v>2785.5</v>
      </c>
      <c r="BK12" s="255">
        <f t="shared" si="88"/>
        <v>782.2</v>
      </c>
      <c r="BL12" s="255">
        <f t="shared" si="88"/>
        <v>804.4</v>
      </c>
      <c r="BM12" s="255">
        <f t="shared" ref="BM12:BN12" si="89">BM5-BM11</f>
        <v>797.6</v>
      </c>
      <c r="BN12" s="255">
        <f t="shared" si="89"/>
        <v>790.00000000000011</v>
      </c>
      <c r="BO12" s="64">
        <f>BO5-BO11</f>
        <v>3174.2</v>
      </c>
      <c r="BP12" s="255">
        <f t="shared" ref="BP12:BS12" si="90">BP5-BP11</f>
        <v>799.6</v>
      </c>
      <c r="BQ12" s="255">
        <f t="shared" si="90"/>
        <v>854.69999999999993</v>
      </c>
      <c r="BR12" s="255">
        <f t="shared" si="90"/>
        <v>770.09999999999991</v>
      </c>
      <c r="BS12" s="255">
        <f t="shared" si="90"/>
        <v>772.40000000000009</v>
      </c>
      <c r="BT12" s="64">
        <f>BT5-BT11</f>
        <v>3196.8</v>
      </c>
      <c r="BU12" s="256">
        <v>839.7</v>
      </c>
      <c r="BV12" s="256">
        <v>890.2</v>
      </c>
      <c r="BW12" s="256">
        <v>866.9</v>
      </c>
      <c r="BX12" s="255">
        <f t="shared" ref="BX12" si="91">BX5-BX11</f>
        <v>854.80000000000007</v>
      </c>
      <c r="BY12" s="64">
        <f>BY5-BY11</f>
        <v>3451.6000000000004</v>
      </c>
      <c r="BZ12" s="255">
        <f t="shared" ref="BZ12:CC12" si="92">BZ5-BZ11</f>
        <v>888.96881739527566</v>
      </c>
      <c r="CA12" s="255">
        <f t="shared" si="92"/>
        <v>811.10293557963109</v>
      </c>
      <c r="CB12" s="255">
        <f t="shared" si="92"/>
        <v>786.76984751224222</v>
      </c>
      <c r="CC12" s="255">
        <f t="shared" si="92"/>
        <v>769.29057925050131</v>
      </c>
      <c r="CD12" s="64">
        <f>CD5-CD11</f>
        <v>3256.1321797376504</v>
      </c>
      <c r="CE12" s="255">
        <f>CI12/4</f>
        <v>805.38562306853078</v>
      </c>
      <c r="CF12" s="255">
        <f t="shared" si="55"/>
        <v>805.38562306853078</v>
      </c>
      <c r="CG12" s="255">
        <f t="shared" si="55"/>
        <v>805.38562306853078</v>
      </c>
      <c r="CH12" s="255">
        <f t="shared" si="55"/>
        <v>805.38562306853078</v>
      </c>
      <c r="CI12" s="64">
        <f>CI5-CI11</f>
        <v>3221.5424922741231</v>
      </c>
      <c r="CJ12" s="255">
        <f>CN12/4</f>
        <v>807.52906839938589</v>
      </c>
      <c r="CK12" s="255">
        <f t="shared" si="56"/>
        <v>807.52906839938589</v>
      </c>
      <c r="CL12" s="255">
        <f t="shared" si="56"/>
        <v>807.52906839938589</v>
      </c>
      <c r="CM12" s="255">
        <f t="shared" si="56"/>
        <v>807.52906839938589</v>
      </c>
      <c r="CN12" s="64">
        <f>CN5-CN11</f>
        <v>3230.1162735975436</v>
      </c>
      <c r="CO12" s="255">
        <f>CS12/4</f>
        <v>799.21487263135191</v>
      </c>
      <c r="CP12" s="255">
        <f t="shared" si="57"/>
        <v>799.21487263135191</v>
      </c>
      <c r="CQ12" s="255">
        <f t="shared" si="58"/>
        <v>799.21487263135191</v>
      </c>
      <c r="CR12" s="255">
        <f t="shared" si="59"/>
        <v>799.21487263135191</v>
      </c>
      <c r="CS12" s="64">
        <f>CS5-CS11</f>
        <v>3196.8594905254076</v>
      </c>
      <c r="CT12" s="255">
        <f>CX12/4</f>
        <v>782.84786582887625</v>
      </c>
      <c r="CU12" s="255">
        <f t="shared" si="60"/>
        <v>782.84786582887625</v>
      </c>
      <c r="CV12" s="255">
        <f t="shared" si="61"/>
        <v>782.84786582887625</v>
      </c>
      <c r="CW12" s="255">
        <f t="shared" si="62"/>
        <v>782.84786582887625</v>
      </c>
      <c r="CX12" s="64">
        <f>CX5-CX11</f>
        <v>3131.391463315505</v>
      </c>
      <c r="CY12" s="255">
        <f>DC12/4</f>
        <v>755.92669449043353</v>
      </c>
      <c r="CZ12" s="255">
        <f t="shared" si="63"/>
        <v>755.92669449043353</v>
      </c>
      <c r="DA12" s="255">
        <f t="shared" si="64"/>
        <v>755.92669449043353</v>
      </c>
      <c r="DB12" s="255">
        <f t="shared" si="65"/>
        <v>755.92669449043353</v>
      </c>
      <c r="DC12" s="64">
        <f>DC5-DC11</f>
        <v>3023.7067779617341</v>
      </c>
      <c r="DD12" s="255">
        <f>DH12/4</f>
        <v>708.04807754343824</v>
      </c>
      <c r="DE12" s="255">
        <f t="shared" si="66"/>
        <v>708.04807754343824</v>
      </c>
      <c r="DF12" s="255">
        <f t="shared" si="67"/>
        <v>708.04807754343824</v>
      </c>
      <c r="DG12" s="255">
        <f t="shared" si="68"/>
        <v>708.04807754343824</v>
      </c>
      <c r="DH12" s="64">
        <f>DH5-DH11</f>
        <v>2832.192310173753</v>
      </c>
      <c r="DI12" s="255">
        <f>DM12/4</f>
        <v>653.51193463113088</v>
      </c>
      <c r="DJ12" s="255">
        <f t="shared" si="69"/>
        <v>653.51193463113088</v>
      </c>
      <c r="DK12" s="255">
        <f t="shared" si="70"/>
        <v>653.51193463113088</v>
      </c>
      <c r="DL12" s="255">
        <f t="shared" si="71"/>
        <v>653.51193463113088</v>
      </c>
      <c r="DM12" s="64">
        <f>DM5-DM11</f>
        <v>2614.0477385245235</v>
      </c>
      <c r="DN12" s="255">
        <f>DR12/4</f>
        <v>626.89567221704544</v>
      </c>
      <c r="DO12" s="255">
        <f t="shared" si="72"/>
        <v>626.89567221704544</v>
      </c>
      <c r="DP12" s="255">
        <f t="shared" si="73"/>
        <v>626.89567221704544</v>
      </c>
      <c r="DQ12" s="255">
        <f t="shared" si="74"/>
        <v>626.89567221704544</v>
      </c>
      <c r="DR12" s="64">
        <f>DR5-DR11</f>
        <v>2507.5826888681818</v>
      </c>
      <c r="DS12" s="255">
        <f>DW12/4</f>
        <v>615.18022461425119</v>
      </c>
      <c r="DT12" s="255">
        <f t="shared" si="75"/>
        <v>615.18022461425119</v>
      </c>
      <c r="DU12" s="255">
        <f t="shared" si="76"/>
        <v>615.18022461425119</v>
      </c>
      <c r="DV12" s="255">
        <f t="shared" si="77"/>
        <v>615.18022461425119</v>
      </c>
      <c r="DW12" s="64">
        <f>DW5-DW11</f>
        <v>2460.7208984570048</v>
      </c>
      <c r="DX12" s="255">
        <f>EB12/4</f>
        <v>595.42572009432843</v>
      </c>
      <c r="DY12" s="255">
        <f t="shared" si="78"/>
        <v>595.42572009432843</v>
      </c>
      <c r="DZ12" s="255">
        <f t="shared" si="79"/>
        <v>595.42572009432843</v>
      </c>
      <c r="EA12" s="255">
        <f t="shared" si="80"/>
        <v>595.42572009432843</v>
      </c>
      <c r="EB12" s="64">
        <f>EB5-EB11</f>
        <v>2381.7028803773137</v>
      </c>
      <c r="EC12" s="255">
        <f>EG12/4</f>
        <v>572.69948880419781</v>
      </c>
      <c r="ED12" s="255">
        <f t="shared" si="81"/>
        <v>572.69948880419781</v>
      </c>
      <c r="EE12" s="255">
        <f t="shared" si="82"/>
        <v>572.69948880419781</v>
      </c>
      <c r="EF12" s="255">
        <f t="shared" si="83"/>
        <v>572.69948880419781</v>
      </c>
      <c r="EG12" s="64">
        <f>EG5-EG11</f>
        <v>2290.7979552167913</v>
      </c>
      <c r="EH12" s="255">
        <f>EL12/4</f>
        <v>546.74207162284802</v>
      </c>
      <c r="EI12" s="255">
        <f t="shared" si="84"/>
        <v>546.74207162284802</v>
      </c>
      <c r="EJ12" s="255">
        <f t="shared" si="85"/>
        <v>546.74207162284802</v>
      </c>
      <c r="EK12" s="255">
        <f t="shared" si="86"/>
        <v>546.74207162284802</v>
      </c>
      <c r="EL12" s="64">
        <f>EL5-EL11</f>
        <v>2186.9682864913921</v>
      </c>
    </row>
    <row r="13" spans="2:142">
      <c r="C13" s="145"/>
      <c r="D13" s="145"/>
      <c r="E13" s="145"/>
      <c r="F13" s="145"/>
      <c r="G13" s="17"/>
      <c r="H13" s="145"/>
      <c r="I13" s="145"/>
      <c r="J13" s="145"/>
      <c r="K13" s="145"/>
      <c r="L13" s="17"/>
      <c r="M13" s="145"/>
      <c r="N13" s="145"/>
      <c r="O13" s="145"/>
      <c r="P13" s="145"/>
      <c r="Q13" s="17"/>
      <c r="R13" s="145"/>
      <c r="S13" s="145"/>
      <c r="T13" s="145"/>
      <c r="U13" s="145"/>
      <c r="V13" s="17"/>
      <c r="W13" s="145"/>
      <c r="X13" s="145"/>
      <c r="Y13" s="145"/>
      <c r="Z13" s="145"/>
      <c r="AA13" s="17"/>
      <c r="AB13" s="145"/>
      <c r="AC13" s="145"/>
      <c r="AD13" s="145"/>
      <c r="AE13" s="145"/>
      <c r="AF13" s="17"/>
      <c r="AG13" s="145"/>
      <c r="AH13" s="145"/>
      <c r="AI13" s="145"/>
      <c r="AJ13" s="145"/>
      <c r="AK13" s="17"/>
      <c r="AL13" s="145"/>
      <c r="AM13" s="145"/>
      <c r="AN13" s="145"/>
      <c r="AO13" s="145"/>
      <c r="AP13" s="17"/>
      <c r="AQ13" s="267"/>
      <c r="AR13" s="267"/>
      <c r="AS13" s="267"/>
      <c r="AT13" s="267"/>
      <c r="AU13" s="17"/>
      <c r="AV13" s="267"/>
      <c r="AW13" s="267"/>
      <c r="AX13" s="267"/>
      <c r="AY13" s="267"/>
      <c r="AZ13" s="17"/>
      <c r="BA13" s="267"/>
      <c r="BB13" s="267"/>
      <c r="BC13" s="267"/>
      <c r="BD13" s="267"/>
      <c r="BE13" s="17"/>
      <c r="BF13" s="267"/>
      <c r="BG13" s="267"/>
      <c r="BH13" s="267"/>
      <c r="BI13" s="267"/>
      <c r="BJ13" s="17"/>
      <c r="BK13" s="267"/>
      <c r="BL13" s="267"/>
      <c r="BM13" s="267"/>
      <c r="BN13" s="267"/>
      <c r="BO13" s="17"/>
      <c r="BP13" s="267"/>
      <c r="BQ13" s="267"/>
      <c r="BR13" s="267"/>
      <c r="BS13" s="267"/>
      <c r="BT13" s="17"/>
      <c r="BU13" s="267"/>
      <c r="BV13" s="267"/>
      <c r="BW13" s="267"/>
      <c r="BX13" s="267"/>
      <c r="BY13" s="17"/>
      <c r="BZ13" s="267"/>
      <c r="CA13" s="267"/>
      <c r="CB13" s="267"/>
      <c r="CC13" s="267"/>
      <c r="CD13" s="17"/>
      <c r="CE13" s="267"/>
      <c r="CF13" s="267"/>
      <c r="CG13" s="267"/>
      <c r="CH13" s="267"/>
      <c r="CI13" s="17"/>
      <c r="CJ13" s="267"/>
      <c r="CK13" s="267"/>
      <c r="CL13" s="267"/>
      <c r="CM13" s="267"/>
      <c r="CN13" s="17"/>
      <c r="CO13" s="267"/>
      <c r="CP13" s="267"/>
      <c r="CQ13" s="267"/>
      <c r="CR13" s="267"/>
      <c r="CS13" s="17"/>
      <c r="CT13" s="267"/>
      <c r="CU13" s="267"/>
      <c r="CV13" s="267"/>
      <c r="CW13" s="267"/>
      <c r="CX13" s="17"/>
      <c r="CY13" s="267"/>
      <c r="CZ13" s="267"/>
      <c r="DA13" s="267"/>
      <c r="DB13" s="267"/>
      <c r="DC13" s="17"/>
      <c r="DD13" s="267"/>
      <c r="DE13" s="267"/>
      <c r="DF13" s="267"/>
      <c r="DG13" s="267"/>
      <c r="DH13" s="17"/>
      <c r="DI13" s="267"/>
      <c r="DJ13" s="267"/>
      <c r="DK13" s="267"/>
      <c r="DL13" s="267"/>
      <c r="DM13" s="17"/>
      <c r="DN13" s="267"/>
      <c r="DO13" s="267"/>
      <c r="DP13" s="267"/>
      <c r="DQ13" s="267"/>
      <c r="DR13" s="17"/>
      <c r="DS13" s="267"/>
      <c r="DT13" s="267"/>
      <c r="DU13" s="267"/>
      <c r="DV13" s="267"/>
      <c r="DW13" s="17"/>
      <c r="DX13" s="267"/>
      <c r="DY13" s="267"/>
      <c r="DZ13" s="267"/>
      <c r="EA13" s="267"/>
      <c r="EB13" s="17"/>
      <c r="EC13" s="267"/>
      <c r="ED13" s="267"/>
      <c r="EE13" s="267"/>
      <c r="EF13" s="267"/>
      <c r="EG13" s="17"/>
      <c r="EH13" s="267"/>
      <c r="EI13" s="267"/>
      <c r="EJ13" s="267"/>
      <c r="EK13" s="267"/>
      <c r="EL13" s="17"/>
    </row>
    <row r="14" spans="2:142">
      <c r="B14" s="11" t="s">
        <v>111</v>
      </c>
      <c r="C14" s="151"/>
      <c r="D14" s="151"/>
      <c r="E14" s="151"/>
      <c r="F14" s="151"/>
      <c r="G14" s="33"/>
      <c r="H14" s="151"/>
      <c r="I14" s="151"/>
      <c r="J14" s="151"/>
      <c r="K14" s="151"/>
      <c r="L14" s="33"/>
      <c r="M14" s="151"/>
      <c r="N14" s="151"/>
      <c r="O14" s="151"/>
      <c r="P14" s="151"/>
      <c r="Q14" s="33"/>
      <c r="R14" s="151"/>
      <c r="S14" s="151"/>
      <c r="T14" s="151"/>
      <c r="U14" s="151"/>
      <c r="V14" s="33"/>
      <c r="W14" s="151"/>
      <c r="X14" s="151"/>
      <c r="Y14" s="151"/>
      <c r="Z14" s="151"/>
      <c r="AA14" s="33"/>
      <c r="AB14" s="151"/>
      <c r="AC14" s="151"/>
      <c r="AD14" s="151"/>
      <c r="AE14" s="151"/>
      <c r="AF14" s="33">
        <f t="shared" ref="AF14:AK14" si="93">AF12/AF9</f>
        <v>0.71361212027517973</v>
      </c>
      <c r="AG14" s="151">
        <f t="shared" si="93"/>
        <v>0.71898379052369077</v>
      </c>
      <c r="AH14" s="151">
        <f t="shared" si="93"/>
        <v>0.71303348182210091</v>
      </c>
      <c r="AI14" s="151">
        <f t="shared" si="93"/>
        <v>0.75044749403341282</v>
      </c>
      <c r="AJ14" s="151">
        <f t="shared" si="93"/>
        <v>0.73114355231143535</v>
      </c>
      <c r="AK14" s="33">
        <f t="shared" si="93"/>
        <v>0.72834365034702686</v>
      </c>
      <c r="AL14" s="151">
        <f t="shared" ref="AL14:AZ14" si="94">AL12/AL5</f>
        <v>0.74734236202126114</v>
      </c>
      <c r="AM14" s="151">
        <f t="shared" si="94"/>
        <v>0.80653372931692824</v>
      </c>
      <c r="AN14" s="151">
        <f t="shared" si="94"/>
        <v>0.75652045050385297</v>
      </c>
      <c r="AO14" s="151">
        <f t="shared" si="94"/>
        <v>0.7796119316536344</v>
      </c>
      <c r="AP14" s="33">
        <f t="shared" si="94"/>
        <v>0.77283270513192226</v>
      </c>
      <c r="AQ14" s="259">
        <f t="shared" si="94"/>
        <v>0.78570439118991564</v>
      </c>
      <c r="AR14" s="259">
        <f t="shared" si="94"/>
        <v>0.63207799145299148</v>
      </c>
      <c r="AS14" s="259">
        <f t="shared" si="94"/>
        <v>0.79852579852579852</v>
      </c>
      <c r="AT14" s="259">
        <f t="shared" si="94"/>
        <v>0.78779472954230234</v>
      </c>
      <c r="AU14" s="33">
        <f t="shared" si="94"/>
        <v>0.75009403959922039</v>
      </c>
      <c r="AV14" s="259">
        <f t="shared" si="94"/>
        <v>0.8276950265084575</v>
      </c>
      <c r="AW14" s="259">
        <f t="shared" si="94"/>
        <v>0.82259915827062868</v>
      </c>
      <c r="AX14" s="259">
        <f t="shared" si="94"/>
        <v>0.82015760040671071</v>
      </c>
      <c r="AY14" s="259">
        <f t="shared" si="94"/>
        <v>0.83537061118335498</v>
      </c>
      <c r="AZ14" s="33">
        <f t="shared" si="94"/>
        <v>0.82641039558123941</v>
      </c>
      <c r="BA14" s="259">
        <f t="shared" ref="BA14:BI14" si="95">BA12/BA5</f>
        <v>0.82810873337189128</v>
      </c>
      <c r="BB14" s="259">
        <f t="shared" si="95"/>
        <v>0.83175033921302577</v>
      </c>
      <c r="BC14" s="259">
        <f t="shared" si="95"/>
        <v>0.8179577464788732</v>
      </c>
      <c r="BD14" s="259">
        <f t="shared" si="95"/>
        <v>0.78188585607940453</v>
      </c>
      <c r="BE14" s="33">
        <f t="shared" si="95"/>
        <v>0.81522260890435627</v>
      </c>
      <c r="BF14" s="259">
        <f t="shared" si="95"/>
        <v>0.7895457658068934</v>
      </c>
      <c r="BG14" s="259">
        <f t="shared" si="95"/>
        <v>0.79573512906846244</v>
      </c>
      <c r="BH14" s="259">
        <f t="shared" si="95"/>
        <v>0.73367491551291841</v>
      </c>
      <c r="BI14" s="259">
        <f t="shared" si="95"/>
        <v>0.81607613805756207</v>
      </c>
      <c r="BJ14" s="380">
        <f>BJ12/BJ5</f>
        <v>0.78319181240510605</v>
      </c>
      <c r="BK14" s="259">
        <f t="shared" ref="BK14:BL14" si="96">BK12/BK5</f>
        <v>0.8181152599100513</v>
      </c>
      <c r="BL14" s="259">
        <f t="shared" si="96"/>
        <v>0.81598701562182996</v>
      </c>
      <c r="BM14" s="259">
        <f t="shared" ref="BM14:BN14" si="97">BM12/BM5</f>
        <v>0.83161297049317073</v>
      </c>
      <c r="BN14" s="259">
        <f t="shared" si="97"/>
        <v>0.83430140458337732</v>
      </c>
      <c r="BO14" s="33">
        <f>AVERAGE(BK14:BN14)</f>
        <v>0.82500416265210741</v>
      </c>
      <c r="BP14" s="259">
        <f t="shared" ref="BP14:BX14" si="98">BP12/BP5</f>
        <v>0.82035498101980098</v>
      </c>
      <c r="BQ14" s="259">
        <f t="shared" si="98"/>
        <v>0.82755615801704108</v>
      </c>
      <c r="BR14" s="259">
        <f t="shared" si="98"/>
        <v>0.8006862133499687</v>
      </c>
      <c r="BS14" s="259">
        <f t="shared" si="98"/>
        <v>0.79465020576131695</v>
      </c>
      <c r="BT14" s="33">
        <f t="shared" si="98"/>
        <v>0.81110293557963109</v>
      </c>
      <c r="BU14" s="259">
        <f t="shared" si="98"/>
        <v>0.80662824207492778</v>
      </c>
      <c r="BV14" s="259">
        <f t="shared" si="98"/>
        <v>0.8213692563203544</v>
      </c>
      <c r="BW14" s="259">
        <f t="shared" si="98"/>
        <v>0.83355769230769228</v>
      </c>
      <c r="BX14" s="259">
        <f t="shared" si="98"/>
        <v>0.82034548944337815</v>
      </c>
      <c r="BY14" s="33">
        <f>BT14</f>
        <v>0.81110293557963109</v>
      </c>
      <c r="BZ14" s="530">
        <f>CD14</f>
        <v>0.81110293557963109</v>
      </c>
      <c r="CA14" s="259">
        <f t="shared" ref="CA14:CC15" si="99">BZ14</f>
        <v>0.81110293557963109</v>
      </c>
      <c r="CB14" s="259">
        <f t="shared" si="99"/>
        <v>0.81110293557963109</v>
      </c>
      <c r="CC14" s="259">
        <f t="shared" si="99"/>
        <v>0.81110293557963109</v>
      </c>
      <c r="CD14" s="33">
        <f>BY14</f>
        <v>0.81110293557963109</v>
      </c>
      <c r="CE14" s="259">
        <f>CE12/CE5</f>
        <v>0.81110293557963109</v>
      </c>
      <c r="CF14" s="259">
        <f>CF12/CF5</f>
        <v>0.81110293557963109</v>
      </c>
      <c r="CG14" s="259">
        <f>CG12/CG5</f>
        <v>0.81110293557963109</v>
      </c>
      <c r="CH14" s="259">
        <f>CH12/CH5</f>
        <v>0.81110293557963109</v>
      </c>
      <c r="CI14" s="33">
        <f>CD14</f>
        <v>0.81110293557963109</v>
      </c>
      <c r="CJ14" s="259">
        <f>CJ12/CJ5</f>
        <v>0.81110293557963109</v>
      </c>
      <c r="CK14" s="259">
        <f>CK12/CK5</f>
        <v>0.81110293557963109</v>
      </c>
      <c r="CL14" s="259">
        <f>CL12/CL5</f>
        <v>0.81110293557963109</v>
      </c>
      <c r="CM14" s="259">
        <f>CM12/CM5</f>
        <v>0.81110293557963109</v>
      </c>
      <c r="CN14" s="33">
        <f>CI14</f>
        <v>0.81110293557963109</v>
      </c>
      <c r="CO14" s="259">
        <f>CO12/CO5</f>
        <v>0.81110293557963109</v>
      </c>
      <c r="CP14" s="259">
        <f>CP12/CP5</f>
        <v>0.81110293557963109</v>
      </c>
      <c r="CQ14" s="259">
        <f>CQ12/CQ5</f>
        <v>0.81110293557963109</v>
      </c>
      <c r="CR14" s="259">
        <f>CR12/CR5</f>
        <v>0.81110293557963109</v>
      </c>
      <c r="CS14" s="33">
        <f>CN14</f>
        <v>0.81110293557963109</v>
      </c>
      <c r="CT14" s="259">
        <f>CT12/CT5</f>
        <v>0.81110293557963109</v>
      </c>
      <c r="CU14" s="259">
        <f>CU12/CU5</f>
        <v>0.81110293557963109</v>
      </c>
      <c r="CV14" s="259">
        <f>CV12/CV5</f>
        <v>0.81110293557963109</v>
      </c>
      <c r="CW14" s="259">
        <f>CW12/CW5</f>
        <v>0.81110293557963109</v>
      </c>
      <c r="CX14" s="33">
        <f>CS14</f>
        <v>0.81110293557963109</v>
      </c>
      <c r="CY14" s="259">
        <f>CY12/CY5</f>
        <v>0.81110293557963109</v>
      </c>
      <c r="CZ14" s="259">
        <f>CZ12/CZ5</f>
        <v>0.81110293557963109</v>
      </c>
      <c r="DA14" s="259">
        <f>DA12/DA5</f>
        <v>0.81110293557963109</v>
      </c>
      <c r="DB14" s="259">
        <f>DB12/DB5</f>
        <v>0.81110293557963109</v>
      </c>
      <c r="DC14" s="33">
        <f>CX14</f>
        <v>0.81110293557963109</v>
      </c>
      <c r="DD14" s="259">
        <f>DD12/DD5</f>
        <v>0.81110293557963109</v>
      </c>
      <c r="DE14" s="259">
        <f>DE12/DE5</f>
        <v>0.81110293557963109</v>
      </c>
      <c r="DF14" s="259">
        <f>DF12/DF5</f>
        <v>0.81110293557963109</v>
      </c>
      <c r="DG14" s="259">
        <f>DG12/DG5</f>
        <v>0.81110293557963109</v>
      </c>
      <c r="DH14" s="33">
        <f>DC14</f>
        <v>0.81110293557963109</v>
      </c>
      <c r="DI14" s="259">
        <f>DI12/DI5</f>
        <v>0.81110293557963109</v>
      </c>
      <c r="DJ14" s="259">
        <f>DJ12/DJ5</f>
        <v>0.81110293557963109</v>
      </c>
      <c r="DK14" s="259">
        <f>DK12/DK5</f>
        <v>0.81110293557963109</v>
      </c>
      <c r="DL14" s="259">
        <f>DL12/DL5</f>
        <v>0.81110293557963109</v>
      </c>
      <c r="DM14" s="33">
        <f>DH14</f>
        <v>0.81110293557963109</v>
      </c>
      <c r="DN14" s="259">
        <f>DN12/DN5</f>
        <v>0.81110293557963109</v>
      </c>
      <c r="DO14" s="259">
        <f>DO12/DO5</f>
        <v>0.81110293557963109</v>
      </c>
      <c r="DP14" s="259">
        <f>DP12/DP5</f>
        <v>0.81110293557963109</v>
      </c>
      <c r="DQ14" s="259">
        <f>DQ12/DQ5</f>
        <v>0.81110293557963109</v>
      </c>
      <c r="DR14" s="33">
        <f>DM14</f>
        <v>0.81110293557963109</v>
      </c>
      <c r="DS14" s="259">
        <f>DS12/DS5</f>
        <v>0.81110293557963109</v>
      </c>
      <c r="DT14" s="259">
        <f>DT12/DT5</f>
        <v>0.81110293557963109</v>
      </c>
      <c r="DU14" s="259">
        <f>DU12/DU5</f>
        <v>0.81110293557963109</v>
      </c>
      <c r="DV14" s="259">
        <f>DV12/DV5</f>
        <v>0.81110293557963109</v>
      </c>
      <c r="DW14" s="33">
        <f>DR14</f>
        <v>0.81110293557963109</v>
      </c>
      <c r="DX14" s="259">
        <f>DX12/DX5</f>
        <v>0.81110293557963109</v>
      </c>
      <c r="DY14" s="259">
        <f>DY12/DY5</f>
        <v>0.81110293557963109</v>
      </c>
      <c r="DZ14" s="259">
        <f>DZ12/DZ5</f>
        <v>0.81110293557963109</v>
      </c>
      <c r="EA14" s="259">
        <f>EA12/EA5</f>
        <v>0.81110293557963109</v>
      </c>
      <c r="EB14" s="33">
        <f>DW14</f>
        <v>0.81110293557963109</v>
      </c>
      <c r="EC14" s="259">
        <f>EC12/EC5</f>
        <v>0.81110293557963109</v>
      </c>
      <c r="ED14" s="259">
        <f>ED12/ED5</f>
        <v>0.81110293557963109</v>
      </c>
      <c r="EE14" s="259">
        <f>EE12/EE5</f>
        <v>0.81110293557963109</v>
      </c>
      <c r="EF14" s="259">
        <f>EF12/EF5</f>
        <v>0.81110293557963109</v>
      </c>
      <c r="EG14" s="33">
        <f>EB14</f>
        <v>0.81110293557963109</v>
      </c>
      <c r="EH14" s="259">
        <f>EH12/EH5</f>
        <v>0.81110293557963109</v>
      </c>
      <c r="EI14" s="259">
        <f>EI12/EI5</f>
        <v>0.81110293557963109</v>
      </c>
      <c r="EJ14" s="259">
        <f>EJ12/EJ5</f>
        <v>0.81110293557963109</v>
      </c>
      <c r="EK14" s="259">
        <f>EK12/EK5</f>
        <v>0.81110293557963109</v>
      </c>
      <c r="EL14" s="33">
        <f>EG14</f>
        <v>0.81110293557963109</v>
      </c>
    </row>
    <row r="15" spans="2:142">
      <c r="B15" s="11" t="s">
        <v>110</v>
      </c>
      <c r="C15" s="151"/>
      <c r="D15" s="151"/>
      <c r="E15" s="151"/>
      <c r="F15" s="151"/>
      <c r="G15" s="33"/>
      <c r="H15" s="151"/>
      <c r="I15" s="151"/>
      <c r="J15" s="151"/>
      <c r="K15" s="151"/>
      <c r="L15" s="33"/>
      <c r="M15" s="151"/>
      <c r="N15" s="151"/>
      <c r="O15" s="151"/>
      <c r="P15" s="151"/>
      <c r="Q15" s="33"/>
      <c r="R15" s="151"/>
      <c r="S15" s="151"/>
      <c r="T15" s="151"/>
      <c r="U15" s="151"/>
      <c r="V15" s="33"/>
      <c r="W15" s="151"/>
      <c r="X15" s="151"/>
      <c r="Y15" s="151"/>
      <c r="Z15" s="151"/>
      <c r="AA15" s="33"/>
      <c r="AB15" s="151"/>
      <c r="AC15" s="151"/>
      <c r="AD15" s="151"/>
      <c r="AE15" s="151"/>
      <c r="AF15" s="33">
        <f>AF14/AF9</f>
        <v>2.7580278282259398E-4</v>
      </c>
      <c r="AG15" s="151">
        <f t="shared" ref="AG15:AZ15" si="100">AG17/AG12</f>
        <v>0.38911771081725555</v>
      </c>
      <c r="AH15" s="151">
        <f t="shared" si="100"/>
        <v>0.40004030632809351</v>
      </c>
      <c r="AI15" s="151">
        <f t="shared" si="100"/>
        <v>0.40409461339693903</v>
      </c>
      <c r="AJ15" s="151">
        <f t="shared" si="100"/>
        <v>0.39995840266222987</v>
      </c>
      <c r="AK15" s="33">
        <f t="shared" si="100"/>
        <v>0.39847532708354794</v>
      </c>
      <c r="AL15" s="151">
        <f t="shared" si="100"/>
        <v>0.39029618082618861</v>
      </c>
      <c r="AM15" s="151">
        <f t="shared" si="100"/>
        <v>0.39996493073820799</v>
      </c>
      <c r="AN15" s="151">
        <f t="shared" si="100"/>
        <v>0.4</v>
      </c>
      <c r="AO15" s="151">
        <f t="shared" si="100"/>
        <v>0.40007429420505253</v>
      </c>
      <c r="AP15" s="33">
        <f t="shared" si="100"/>
        <v>0.39767398236728574</v>
      </c>
      <c r="AQ15" s="259">
        <f t="shared" si="100"/>
        <v>0.39122002820874469</v>
      </c>
      <c r="AR15" s="259">
        <f t="shared" si="100"/>
        <v>0.40059159095710967</v>
      </c>
      <c r="AS15" s="259">
        <f t="shared" si="100"/>
        <v>0.4</v>
      </c>
      <c r="AT15" s="259">
        <f t="shared" si="100"/>
        <v>0.40000000000000008</v>
      </c>
      <c r="AU15" s="33">
        <f t="shared" si="100"/>
        <v>0.39785730567586053</v>
      </c>
      <c r="AV15" s="259">
        <f t="shared" si="100"/>
        <v>0.39316760713741039</v>
      </c>
      <c r="AW15" s="259">
        <f t="shared" si="100"/>
        <v>0.40155038759689921</v>
      </c>
      <c r="AX15" s="259">
        <f t="shared" si="100"/>
        <v>0.39996900666356738</v>
      </c>
      <c r="AY15" s="259">
        <f t="shared" si="100"/>
        <v>0.39975093399750944</v>
      </c>
      <c r="AZ15" s="33">
        <f t="shared" si="100"/>
        <v>0.3985859990727863</v>
      </c>
      <c r="BA15" s="259">
        <f>BA17/BA12</f>
        <v>0.39293197373934907</v>
      </c>
      <c r="BB15" s="259">
        <f t="shared" ref="BB15:BD15" si="101">BB17/BB12</f>
        <v>0.39997033961144884</v>
      </c>
      <c r="BC15" s="259">
        <f t="shared" si="101"/>
        <v>0.40421868273783901</v>
      </c>
      <c r="BD15" s="259">
        <f t="shared" si="101"/>
        <v>0.40066645509362103</v>
      </c>
      <c r="BE15" s="33">
        <f>BE17/BE12</f>
        <v>0.39936701873182939</v>
      </c>
      <c r="BF15" s="259">
        <f>BF17/BF12</f>
        <v>0.39505637467476146</v>
      </c>
      <c r="BG15" s="259">
        <f>BG17/BG12</f>
        <v>0.40155148095909732</v>
      </c>
      <c r="BH15" s="259">
        <f>BH17/BH12</f>
        <v>0.40193164933135217</v>
      </c>
      <c r="BI15" s="259">
        <f>BI17/BI12</f>
        <v>0.40115217085850802</v>
      </c>
      <c r="BJ15" s="380">
        <f>BI15</f>
        <v>0.40115217085850802</v>
      </c>
      <c r="BK15" s="259">
        <f>BK17/BK12</f>
        <v>0.39555100997187415</v>
      </c>
      <c r="BL15" s="259">
        <f>BL17/BL12</f>
        <v>0.40179015415216313</v>
      </c>
      <c r="BM15" s="259">
        <f>BM17/BM12</f>
        <v>0.4010782347041123</v>
      </c>
      <c r="BN15" s="259">
        <f>BN17/BN12</f>
        <v>0.40164556962025322</v>
      </c>
      <c r="BO15" s="20">
        <f>AVERAGE(BK15:BN15)</f>
        <v>0.40001624211210068</v>
      </c>
      <c r="BP15" s="266">
        <f t="shared" ref="BP15:BZ15" si="102">BP17/BP12</f>
        <v>0.3910705352676338</v>
      </c>
      <c r="BQ15" s="266">
        <f t="shared" si="102"/>
        <v>0.39066339066339067</v>
      </c>
      <c r="BR15" s="266">
        <f t="shared" si="102"/>
        <v>0.39085833008700172</v>
      </c>
      <c r="BS15" s="266">
        <f t="shared" si="102"/>
        <v>0.38969445882962189</v>
      </c>
      <c r="BT15" s="20">
        <f t="shared" si="102"/>
        <v>0.39057807807807804</v>
      </c>
      <c r="BU15" s="266">
        <f t="shared" si="102"/>
        <v>0.38525663927593184</v>
      </c>
      <c r="BV15" s="266">
        <f t="shared" si="102"/>
        <v>0.39036171646820939</v>
      </c>
      <c r="BW15" s="266">
        <f t="shared" si="102"/>
        <v>0.37501441919483219</v>
      </c>
      <c r="BX15" s="266">
        <f t="shared" si="102"/>
        <v>0.37470753392606465</v>
      </c>
      <c r="BY15" s="20">
        <f>0.375*2/3+0.35*1/3</f>
        <v>0.36666666666666664</v>
      </c>
      <c r="BZ15" s="266">
        <f t="shared" si="102"/>
        <v>0.39371459735282727</v>
      </c>
      <c r="CA15" s="266">
        <v>0.375</v>
      </c>
      <c r="CB15" s="266">
        <f t="shared" si="99"/>
        <v>0.375</v>
      </c>
      <c r="CC15" s="266">
        <f t="shared" si="99"/>
        <v>0.375</v>
      </c>
      <c r="CD15" s="20">
        <f>IF(CD25&gt;500,35%,37.5%)</f>
        <v>0.375</v>
      </c>
      <c r="CE15" s="266">
        <f>CE17/CE12</f>
        <v>0.37500000000000006</v>
      </c>
      <c r="CF15" s="266">
        <f>CF17/CF12</f>
        <v>0.37500000000000006</v>
      </c>
      <c r="CG15" s="266">
        <f>CG17/CG12</f>
        <v>0.37500000000000006</v>
      </c>
      <c r="CH15" s="266">
        <f>CH17/CH12</f>
        <v>0.37500000000000006</v>
      </c>
      <c r="CI15" s="20">
        <f>IF(CI25&gt;500,35%,37.5%)</f>
        <v>0.375</v>
      </c>
      <c r="CJ15" s="266">
        <f>CJ17/CJ12</f>
        <v>0.375</v>
      </c>
      <c r="CK15" s="266">
        <f>CK17/CK12</f>
        <v>0.375</v>
      </c>
      <c r="CL15" s="266">
        <f>CL17/CL12</f>
        <v>0.375</v>
      </c>
      <c r="CM15" s="266">
        <f>CM17/CM12</f>
        <v>0.375</v>
      </c>
      <c r="CN15" s="20">
        <f>IF(CN25&gt;500,35%,37.5%)</f>
        <v>0.375</v>
      </c>
      <c r="CO15" s="266">
        <f>CO17/CO12</f>
        <v>0.37500000000000006</v>
      </c>
      <c r="CP15" s="266">
        <f>CP17/CP12</f>
        <v>0.37500000000000006</v>
      </c>
      <c r="CQ15" s="266">
        <f>CQ17/CQ12</f>
        <v>0.37500000000000006</v>
      </c>
      <c r="CR15" s="266">
        <f>CR17/CR12</f>
        <v>0.37500000000000006</v>
      </c>
      <c r="CS15" s="20">
        <f>IF(CS25&gt;500,35%,37.5%)</f>
        <v>0.375</v>
      </c>
      <c r="CT15" s="266">
        <f>CT17/CT12</f>
        <v>0.35</v>
      </c>
      <c r="CU15" s="266">
        <f>CU17/CU12</f>
        <v>0.35</v>
      </c>
      <c r="CV15" s="266">
        <f>CV17/CV12</f>
        <v>0.35</v>
      </c>
      <c r="CW15" s="266">
        <f>CW17/CW12</f>
        <v>0.35</v>
      </c>
      <c r="CX15" s="20">
        <f>IF(CX25&gt;500,35%,37.5%)</f>
        <v>0.35</v>
      </c>
      <c r="CY15" s="266">
        <f>CY17/CY12</f>
        <v>0.34999999999999992</v>
      </c>
      <c r="CZ15" s="266">
        <f>CZ17/CZ12</f>
        <v>0.34999999999999992</v>
      </c>
      <c r="DA15" s="266">
        <f>DA17/DA12</f>
        <v>0.34999999999999992</v>
      </c>
      <c r="DB15" s="266">
        <f>DB17/DB12</f>
        <v>0.34999999999999992</v>
      </c>
      <c r="DC15" s="20">
        <f>IF(DC25&gt;500,35%,37.5%)</f>
        <v>0.35</v>
      </c>
      <c r="DD15" s="266">
        <f>DD17/DD12</f>
        <v>0.35</v>
      </c>
      <c r="DE15" s="266">
        <f>DE17/DE12</f>
        <v>0.35</v>
      </c>
      <c r="DF15" s="266">
        <f>DF17/DF12</f>
        <v>0.35</v>
      </c>
      <c r="DG15" s="266">
        <f>DG17/DG12</f>
        <v>0.35</v>
      </c>
      <c r="DH15" s="20">
        <f>IF(DH25&gt;500,35%,37.5%)</f>
        <v>0.35</v>
      </c>
      <c r="DI15" s="266">
        <f>DI17/DI12</f>
        <v>0.35</v>
      </c>
      <c r="DJ15" s="266">
        <f>DJ17/DJ12</f>
        <v>0.35</v>
      </c>
      <c r="DK15" s="266">
        <f>DK17/DK12</f>
        <v>0.35</v>
      </c>
      <c r="DL15" s="266">
        <f>DL17/DL12</f>
        <v>0.35</v>
      </c>
      <c r="DM15" s="20">
        <f>IF(DM25&gt;500,35%,37.5%)</f>
        <v>0.35</v>
      </c>
      <c r="DN15" s="266">
        <f>DN17/DN12</f>
        <v>0.35</v>
      </c>
      <c r="DO15" s="266">
        <f>DO17/DO12</f>
        <v>0.35</v>
      </c>
      <c r="DP15" s="266">
        <f>DP17/DP12</f>
        <v>0.35</v>
      </c>
      <c r="DQ15" s="266">
        <f>DQ17/DQ12</f>
        <v>0.35</v>
      </c>
      <c r="DR15" s="20">
        <f>IF(DR25&gt;500,35%,37.5%)</f>
        <v>0.35</v>
      </c>
      <c r="DS15" s="266">
        <f>DS17/DS12</f>
        <v>0.35</v>
      </c>
      <c r="DT15" s="266">
        <f>DT17/DT12</f>
        <v>0.35</v>
      </c>
      <c r="DU15" s="266">
        <f>DU17/DU12</f>
        <v>0.35</v>
      </c>
      <c r="DV15" s="266">
        <f>DV17/DV12</f>
        <v>0.35</v>
      </c>
      <c r="DW15" s="20">
        <f>IF(DW25&gt;500,35%,37.5%)</f>
        <v>0.35</v>
      </c>
      <c r="DX15" s="266">
        <f>DX17/DX12</f>
        <v>0.35</v>
      </c>
      <c r="DY15" s="266">
        <f>DY17/DY12</f>
        <v>0.35</v>
      </c>
      <c r="DZ15" s="266">
        <f>DZ17/DZ12</f>
        <v>0.35</v>
      </c>
      <c r="EA15" s="266">
        <f>EA17/EA12</f>
        <v>0.35</v>
      </c>
      <c r="EB15" s="20">
        <f>IF(EB25&gt;500,35%,37.5%)</f>
        <v>0.35</v>
      </c>
      <c r="EC15" s="266">
        <f>EC17/EC12</f>
        <v>0.35</v>
      </c>
      <c r="ED15" s="266">
        <f>ED17/ED12</f>
        <v>0.35</v>
      </c>
      <c r="EE15" s="266">
        <f>EE17/EE12</f>
        <v>0.35</v>
      </c>
      <c r="EF15" s="266">
        <f>EF17/EF12</f>
        <v>0.35</v>
      </c>
      <c r="EG15" s="20">
        <f>IF(EG25&gt;500,35%,37.5%)</f>
        <v>0.35</v>
      </c>
      <c r="EH15" s="266">
        <f>EH17/EH12</f>
        <v>0.35</v>
      </c>
      <c r="EI15" s="266">
        <f>EI17/EI12</f>
        <v>0.35</v>
      </c>
      <c r="EJ15" s="266">
        <f>EJ17/EJ12</f>
        <v>0.35</v>
      </c>
      <c r="EK15" s="266">
        <f>EK17/EK12</f>
        <v>0.35</v>
      </c>
      <c r="EL15" s="20">
        <f>IF(EL25&gt;500,35%,37.5%)</f>
        <v>0.35</v>
      </c>
    </row>
    <row r="16" spans="2:142">
      <c r="B16" s="32"/>
      <c r="C16" s="145"/>
      <c r="D16" s="145"/>
      <c r="E16" s="145"/>
      <c r="F16" s="145"/>
      <c r="G16" s="17"/>
      <c r="H16" s="145"/>
      <c r="I16" s="145"/>
      <c r="J16" s="145"/>
      <c r="K16" s="145"/>
      <c r="L16" s="17"/>
      <c r="M16" s="145"/>
      <c r="N16" s="145"/>
      <c r="O16" s="145"/>
      <c r="P16" s="145"/>
      <c r="Q16" s="17"/>
      <c r="R16" s="145"/>
      <c r="S16" s="145"/>
      <c r="T16" s="145"/>
      <c r="U16" s="145"/>
      <c r="V16" s="17"/>
      <c r="W16" s="145"/>
      <c r="X16" s="145"/>
      <c r="Y16" s="145"/>
      <c r="Z16" s="145"/>
      <c r="AA16" s="17"/>
      <c r="AB16" s="145"/>
      <c r="AC16" s="145"/>
      <c r="AD16" s="145"/>
      <c r="AE16" s="145"/>
      <c r="AF16" s="19"/>
      <c r="AG16" s="147"/>
      <c r="AH16" s="147"/>
      <c r="AI16" s="147"/>
      <c r="AJ16" s="147"/>
      <c r="AK16" s="19"/>
      <c r="AL16" s="147"/>
      <c r="AM16" s="147"/>
      <c r="AN16" s="147"/>
      <c r="AO16" s="147"/>
      <c r="AP16" s="19"/>
      <c r="AQ16" s="340"/>
      <c r="AR16" s="340"/>
      <c r="AS16" s="340"/>
      <c r="AT16" s="340"/>
      <c r="AU16" s="19"/>
      <c r="AV16" s="340"/>
      <c r="AW16" s="340"/>
      <c r="AX16" s="340"/>
      <c r="AY16" s="340"/>
      <c r="AZ16" s="19"/>
      <c r="BA16" s="267"/>
      <c r="BB16" s="267"/>
      <c r="BC16" s="267"/>
      <c r="BD16" s="267"/>
      <c r="BE16" s="19"/>
      <c r="BF16" s="267"/>
      <c r="BG16" s="267"/>
      <c r="BH16" s="267"/>
      <c r="BI16" s="267"/>
      <c r="BJ16" s="19"/>
      <c r="BK16" s="267"/>
      <c r="BL16" s="267"/>
      <c r="BM16" s="267"/>
      <c r="BN16" s="267"/>
      <c r="BO16" s="19"/>
      <c r="BP16" s="267"/>
      <c r="BQ16" s="267"/>
      <c r="BR16" s="267"/>
      <c r="BS16" s="267"/>
      <c r="BT16" s="19"/>
      <c r="BU16" s="267"/>
      <c r="BV16" s="267"/>
      <c r="BW16" s="267"/>
      <c r="BX16" s="267"/>
      <c r="BY16" s="19"/>
      <c r="BZ16" s="267"/>
      <c r="CA16" s="267"/>
      <c r="CB16" s="267"/>
      <c r="CC16" s="267"/>
      <c r="CD16" s="19"/>
      <c r="CE16" s="267"/>
      <c r="CF16" s="267"/>
      <c r="CG16" s="267"/>
      <c r="CH16" s="267"/>
      <c r="CI16" s="19"/>
      <c r="CJ16" s="267"/>
      <c r="CK16" s="267"/>
      <c r="CL16" s="267"/>
      <c r="CM16" s="267"/>
      <c r="CN16" s="19"/>
      <c r="CO16" s="267"/>
      <c r="CP16" s="267"/>
      <c r="CQ16" s="267"/>
      <c r="CR16" s="267"/>
      <c r="CS16" s="19"/>
      <c r="CT16" s="267"/>
      <c r="CU16" s="267"/>
      <c r="CV16" s="267"/>
      <c r="CW16" s="267"/>
      <c r="CX16" s="19"/>
      <c r="CY16" s="267"/>
      <c r="CZ16" s="267"/>
      <c r="DA16" s="267"/>
      <c r="DB16" s="267"/>
      <c r="DC16" s="19"/>
      <c r="DD16" s="267"/>
      <c r="DE16" s="267"/>
      <c r="DF16" s="267"/>
      <c r="DG16" s="267"/>
      <c r="DH16" s="19"/>
      <c r="DI16" s="267"/>
      <c r="DJ16" s="267"/>
      <c r="DK16" s="267"/>
      <c r="DL16" s="267"/>
      <c r="DM16" s="19"/>
      <c r="DN16" s="267"/>
      <c r="DO16" s="267"/>
      <c r="DP16" s="267"/>
      <c r="DQ16" s="267"/>
      <c r="DR16" s="19"/>
      <c r="DS16" s="267"/>
      <c r="DT16" s="267"/>
      <c r="DU16" s="267"/>
      <c r="DV16" s="267"/>
      <c r="DW16" s="19"/>
      <c r="DX16" s="267"/>
      <c r="DY16" s="267"/>
      <c r="DZ16" s="267"/>
      <c r="EA16" s="267"/>
      <c r="EB16" s="19"/>
      <c r="EC16" s="267"/>
      <c r="ED16" s="267"/>
      <c r="EE16" s="267"/>
      <c r="EF16" s="267"/>
      <c r="EG16" s="19"/>
      <c r="EH16" s="267"/>
      <c r="EI16" s="267"/>
      <c r="EJ16" s="267"/>
      <c r="EK16" s="267"/>
      <c r="EL16" s="19"/>
    </row>
    <row r="17" spans="1:142" s="3" customFormat="1">
      <c r="B17" s="10" t="s">
        <v>84</v>
      </c>
      <c r="C17" s="145"/>
      <c r="D17" s="145"/>
      <c r="E17" s="145"/>
      <c r="F17" s="145"/>
      <c r="G17" s="17">
        <v>419.197</v>
      </c>
      <c r="H17" s="145">
        <v>101.14</v>
      </c>
      <c r="I17" s="145">
        <v>119.71899999999999</v>
      </c>
      <c r="J17" s="145">
        <v>118.753</v>
      </c>
      <c r="K17" s="145">
        <f>457.025-SUM(H17:J17)</f>
        <v>117.41300000000001</v>
      </c>
      <c r="L17" s="17">
        <f>SUM(H17:K17)</f>
        <v>457.02499999999998</v>
      </c>
      <c r="M17" s="145">
        <v>123.116</v>
      </c>
      <c r="N17" s="145">
        <v>133.71799999999999</v>
      </c>
      <c r="O17" s="145">
        <v>129.00899999999999</v>
      </c>
      <c r="P17" s="145">
        <f>513.774-SUM(M17:O17)</f>
        <v>127.93100000000004</v>
      </c>
      <c r="Q17" s="17">
        <f>SUM(M17:P17)</f>
        <v>513.774</v>
      </c>
      <c r="R17" s="145">
        <v>124.057</v>
      </c>
      <c r="S17" s="145">
        <v>143</v>
      </c>
      <c r="T17" s="145">
        <v>138.6</v>
      </c>
      <c r="U17" s="145">
        <f>555.8-SUM(R17:T17)</f>
        <v>150.14299999999992</v>
      </c>
      <c r="V17" s="17">
        <f>SUM(R17:U17)</f>
        <v>555.79999999999995</v>
      </c>
      <c r="W17" s="145">
        <v>136.5</v>
      </c>
      <c r="X17" s="145">
        <v>153.5</v>
      </c>
      <c r="Y17" s="145">
        <v>156.30000000000001</v>
      </c>
      <c r="Z17" s="145">
        <f>616.8-SUM(W17:Y17)</f>
        <v>170.49999999999994</v>
      </c>
      <c r="AA17" s="17">
        <f>SUM(W17:Z17)</f>
        <v>616.79999999999995</v>
      </c>
      <c r="AB17" s="145">
        <v>158</v>
      </c>
      <c r="AC17" s="145">
        <v>177.7</v>
      </c>
      <c r="AD17" s="145">
        <v>192.2</v>
      </c>
      <c r="AE17" s="145">
        <f>733.5-SUM(AB17:AD17)</f>
        <v>205.60000000000002</v>
      </c>
      <c r="AF17" s="17">
        <f>SUM(AB17:AE17)</f>
        <v>733.5</v>
      </c>
      <c r="AG17" s="145">
        <v>179.5</v>
      </c>
      <c r="AH17" s="145">
        <v>198.5</v>
      </c>
      <c r="AI17" s="145">
        <v>203.3</v>
      </c>
      <c r="AJ17" s="145">
        <f>773.6-SUM(AG17:AI17)</f>
        <v>192.30000000000007</v>
      </c>
      <c r="AK17" s="17">
        <f>SUM(AG17:AJ17)</f>
        <v>773.6</v>
      </c>
      <c r="AL17" s="145">
        <v>200.3</v>
      </c>
      <c r="AM17" s="145">
        <v>228.1</v>
      </c>
      <c r="AN17" s="145">
        <v>204.2</v>
      </c>
      <c r="AO17" s="145">
        <f>848-SUM(AL17:AN17)</f>
        <v>215.40000000000009</v>
      </c>
      <c r="AP17" s="17">
        <f>SUM(AL17:AO17)</f>
        <v>848</v>
      </c>
      <c r="AQ17" s="267">
        <v>221.9</v>
      </c>
      <c r="AR17" s="267">
        <v>189.6</v>
      </c>
      <c r="AS17" s="267">
        <v>234</v>
      </c>
      <c r="AT17" s="267">
        <f>872.7-SUM(AQ17:AS17)</f>
        <v>227.20000000000005</v>
      </c>
      <c r="AU17" s="17">
        <f>SUM(AQ17:AT17)</f>
        <v>872.7</v>
      </c>
      <c r="AV17" s="267">
        <v>257.8</v>
      </c>
      <c r="AW17" s="267">
        <v>259</v>
      </c>
      <c r="AX17" s="267">
        <v>258.10000000000002</v>
      </c>
      <c r="AY17" s="267">
        <f>1031.7-SUM(AV17:AX17)</f>
        <v>256.80000000000007</v>
      </c>
      <c r="AZ17" s="17">
        <f>SUM(AV17:AY17)</f>
        <v>1031.7</v>
      </c>
      <c r="BA17" s="267">
        <v>281.3</v>
      </c>
      <c r="BB17" s="267">
        <v>269.7</v>
      </c>
      <c r="BC17" s="267">
        <v>281.7</v>
      </c>
      <c r="BD17" s="267">
        <f>1085.2-SUM(BA17:BC17)</f>
        <v>252.5</v>
      </c>
      <c r="BE17" s="17">
        <f>SUM(BA17:BD17)</f>
        <v>1085.2</v>
      </c>
      <c r="BF17" s="256">
        <v>273.3</v>
      </c>
      <c r="BG17" s="256">
        <v>284.7</v>
      </c>
      <c r="BH17" s="256">
        <v>270.5</v>
      </c>
      <c r="BI17" s="255">
        <v>285.5</v>
      </c>
      <c r="BJ17" s="280">
        <v>1114.0999999999999</v>
      </c>
      <c r="BK17" s="256">
        <v>309.39999999999998</v>
      </c>
      <c r="BL17" s="256">
        <v>323.2</v>
      </c>
      <c r="BM17" s="256">
        <v>319.89999999999998</v>
      </c>
      <c r="BN17" s="255">
        <f>BO17-BK17-BL17-BM17</f>
        <v>317.30000000000007</v>
      </c>
      <c r="BO17" s="64">
        <v>1269.8</v>
      </c>
      <c r="BP17" s="256">
        <v>312.7</v>
      </c>
      <c r="BQ17" s="256">
        <v>333.9</v>
      </c>
      <c r="BR17" s="256">
        <v>301</v>
      </c>
      <c r="BS17" s="256">
        <v>301</v>
      </c>
      <c r="BT17" s="64">
        <f>SUM(BP17:BS17)</f>
        <v>1248.5999999999999</v>
      </c>
      <c r="BU17" s="256">
        <v>323.5</v>
      </c>
      <c r="BV17" s="256">
        <v>347.5</v>
      </c>
      <c r="BW17" s="256">
        <v>325.10000000000002</v>
      </c>
      <c r="BX17" s="256">
        <f>BY17-BU17-BV17-BW17</f>
        <v>320.30000000000007</v>
      </c>
      <c r="BY17" s="64">
        <v>1316.4</v>
      </c>
      <c r="BZ17" s="339">
        <v>350</v>
      </c>
      <c r="CA17" s="267">
        <f t="shared" ref="CA17:CC17" si="103">CA15*CA12</f>
        <v>304.16360084236169</v>
      </c>
      <c r="CB17" s="267">
        <f t="shared" si="103"/>
        <v>295.0386928170908</v>
      </c>
      <c r="CC17" s="267">
        <f t="shared" si="103"/>
        <v>288.48396721893801</v>
      </c>
      <c r="CD17" s="64">
        <f>SUM(BZ17:CC17)</f>
        <v>1237.6862608783904</v>
      </c>
      <c r="CE17" s="255">
        <f>CI17/4</f>
        <v>302.01960865069907</v>
      </c>
      <c r="CF17" s="255">
        <f>CE17</f>
        <v>302.01960865069907</v>
      </c>
      <c r="CG17" s="255">
        <f>CF17</f>
        <v>302.01960865069907</v>
      </c>
      <c r="CH17" s="255">
        <f>CG17</f>
        <v>302.01960865069907</v>
      </c>
      <c r="CI17" s="64">
        <f>CI15*CI12</f>
        <v>1208.0784346027963</v>
      </c>
      <c r="CJ17" s="255">
        <f>CN17/4</f>
        <v>302.82340064976972</v>
      </c>
      <c r="CK17" s="255">
        <f>CJ17</f>
        <v>302.82340064976972</v>
      </c>
      <c r="CL17" s="255">
        <f>CK17</f>
        <v>302.82340064976972</v>
      </c>
      <c r="CM17" s="255">
        <f>CL17</f>
        <v>302.82340064976972</v>
      </c>
      <c r="CN17" s="64">
        <f>CN15*CN12</f>
        <v>1211.2936025990789</v>
      </c>
      <c r="CO17" s="255">
        <f>CS17/4</f>
        <v>299.70557723675699</v>
      </c>
      <c r="CP17" s="255">
        <f>CO17</f>
        <v>299.70557723675699</v>
      </c>
      <c r="CQ17" s="255">
        <f>CP17</f>
        <v>299.70557723675699</v>
      </c>
      <c r="CR17" s="255">
        <f>CQ17</f>
        <v>299.70557723675699</v>
      </c>
      <c r="CS17" s="64">
        <f>CS15*CS12</f>
        <v>1198.822308947028</v>
      </c>
      <c r="CT17" s="255">
        <f>CX17/4</f>
        <v>273.99675304010668</v>
      </c>
      <c r="CU17" s="255">
        <f>CT17</f>
        <v>273.99675304010668</v>
      </c>
      <c r="CV17" s="255">
        <f>CU17</f>
        <v>273.99675304010668</v>
      </c>
      <c r="CW17" s="255">
        <f>CV17</f>
        <v>273.99675304010668</v>
      </c>
      <c r="CX17" s="64">
        <f>CX15*CX12</f>
        <v>1095.9870121604267</v>
      </c>
      <c r="CY17" s="255">
        <f>DC17/4</f>
        <v>264.5743430716517</v>
      </c>
      <c r="CZ17" s="255">
        <f>CY17</f>
        <v>264.5743430716517</v>
      </c>
      <c r="DA17" s="255">
        <f>CZ17</f>
        <v>264.5743430716517</v>
      </c>
      <c r="DB17" s="255">
        <f>DA17</f>
        <v>264.5743430716517</v>
      </c>
      <c r="DC17" s="64">
        <f>DC15*DC12</f>
        <v>1058.2973722866068</v>
      </c>
      <c r="DD17" s="255">
        <f>DH17/4</f>
        <v>247.81682714020337</v>
      </c>
      <c r="DE17" s="255">
        <f>DD17</f>
        <v>247.81682714020337</v>
      </c>
      <c r="DF17" s="255">
        <f>DE17</f>
        <v>247.81682714020337</v>
      </c>
      <c r="DG17" s="255">
        <f>DF17</f>
        <v>247.81682714020337</v>
      </c>
      <c r="DH17" s="64">
        <f>DH15*DH12</f>
        <v>991.26730856081349</v>
      </c>
      <c r="DI17" s="255">
        <f>DM17/4</f>
        <v>228.7291771208958</v>
      </c>
      <c r="DJ17" s="255">
        <f>DI17</f>
        <v>228.7291771208958</v>
      </c>
      <c r="DK17" s="255">
        <f>DJ17</f>
        <v>228.7291771208958</v>
      </c>
      <c r="DL17" s="255">
        <f>DK17</f>
        <v>228.7291771208958</v>
      </c>
      <c r="DM17" s="64">
        <f>DM15*DM12</f>
        <v>914.91670848358319</v>
      </c>
      <c r="DN17" s="255">
        <f>DR17/4</f>
        <v>219.41348527596588</v>
      </c>
      <c r="DO17" s="255">
        <f>DN17</f>
        <v>219.41348527596588</v>
      </c>
      <c r="DP17" s="255">
        <f>DO17</f>
        <v>219.41348527596588</v>
      </c>
      <c r="DQ17" s="255">
        <f>DP17</f>
        <v>219.41348527596588</v>
      </c>
      <c r="DR17" s="64">
        <f>DR15*DR12</f>
        <v>877.65394110386353</v>
      </c>
      <c r="DS17" s="255">
        <f>DW17/4</f>
        <v>215.31307861498792</v>
      </c>
      <c r="DT17" s="255">
        <f>DS17</f>
        <v>215.31307861498792</v>
      </c>
      <c r="DU17" s="255">
        <f>DT17</f>
        <v>215.31307861498792</v>
      </c>
      <c r="DV17" s="255">
        <f>DU17</f>
        <v>215.31307861498792</v>
      </c>
      <c r="DW17" s="64">
        <f>DW15*DW12</f>
        <v>861.25231445995166</v>
      </c>
      <c r="DX17" s="255">
        <f>EB17/4</f>
        <v>208.39900203301494</v>
      </c>
      <c r="DY17" s="255">
        <f>DX17</f>
        <v>208.39900203301494</v>
      </c>
      <c r="DZ17" s="255">
        <f>DY17</f>
        <v>208.39900203301494</v>
      </c>
      <c r="EA17" s="255">
        <f>DZ17</f>
        <v>208.39900203301494</v>
      </c>
      <c r="EB17" s="64">
        <f>EB15*EB12</f>
        <v>833.59600813205975</v>
      </c>
      <c r="EC17" s="255">
        <f>EG17/4</f>
        <v>200.44482108146923</v>
      </c>
      <c r="ED17" s="255">
        <f>EC17</f>
        <v>200.44482108146923</v>
      </c>
      <c r="EE17" s="255">
        <f>ED17</f>
        <v>200.44482108146923</v>
      </c>
      <c r="EF17" s="255">
        <f>EE17</f>
        <v>200.44482108146923</v>
      </c>
      <c r="EG17" s="64">
        <f>EG15*EG12</f>
        <v>801.77928432587692</v>
      </c>
      <c r="EH17" s="255">
        <f>EL17/4</f>
        <v>191.35972506799681</v>
      </c>
      <c r="EI17" s="255">
        <f>EH17</f>
        <v>191.35972506799681</v>
      </c>
      <c r="EJ17" s="255">
        <f>EI17</f>
        <v>191.35972506799681</v>
      </c>
      <c r="EK17" s="255">
        <f>EJ17</f>
        <v>191.35972506799681</v>
      </c>
      <c r="EL17" s="64">
        <f>EL15*EL12</f>
        <v>765.43890027198722</v>
      </c>
    </row>
    <row r="18" spans="1:142" s="3" customFormat="1">
      <c r="B18" s="10" t="s">
        <v>113</v>
      </c>
      <c r="C18" s="145">
        <v>3.6989999999999998</v>
      </c>
      <c r="D18" s="145">
        <v>4.5369999999999999</v>
      </c>
      <c r="E18" s="145">
        <v>5.6619999999999999</v>
      </c>
      <c r="F18" s="145">
        <f>18.4-SUM(C18:E18)</f>
        <v>4.5019999999999989</v>
      </c>
      <c r="G18" s="17">
        <f>SUM(C18:F18)</f>
        <v>18.399999999999999</v>
      </c>
      <c r="H18" s="145">
        <v>6.6369999999999996</v>
      </c>
      <c r="I18" s="145">
        <v>3.266</v>
      </c>
      <c r="J18" s="145">
        <v>7.9989999999999997</v>
      </c>
      <c r="K18" s="145">
        <f>37.71-SUM(H18:J18)</f>
        <v>19.808000000000003</v>
      </c>
      <c r="L18" s="17">
        <f>SUM(H18:K18)</f>
        <v>37.71</v>
      </c>
      <c r="M18" s="145">
        <v>12.875</v>
      </c>
      <c r="N18" s="145">
        <v>12.074</v>
      </c>
      <c r="O18" s="145">
        <v>10.807</v>
      </c>
      <c r="P18" s="145">
        <f>47.593-SUM(M18:O18)</f>
        <v>11.837000000000003</v>
      </c>
      <c r="Q18" s="17">
        <f>SUM(M18:P18)</f>
        <v>47.593000000000004</v>
      </c>
      <c r="R18" s="145">
        <v>15.928000000000001</v>
      </c>
      <c r="S18" s="145">
        <v>16</v>
      </c>
      <c r="T18" s="145">
        <v>13.7</v>
      </c>
      <c r="U18" s="145">
        <f>61.1-SUM(R18:T18)</f>
        <v>15.472000000000001</v>
      </c>
      <c r="V18" s="17">
        <f>SUM(R18:U18)</f>
        <v>61.1</v>
      </c>
      <c r="W18" s="145">
        <v>14.1</v>
      </c>
      <c r="X18" s="145">
        <v>15</v>
      </c>
      <c r="Y18" s="145">
        <v>15.3</v>
      </c>
      <c r="Z18" s="145">
        <f>58.5-SUM(W18:Y18)</f>
        <v>14.099999999999994</v>
      </c>
      <c r="AA18" s="17">
        <f>SUM(W18:Z18)</f>
        <v>58.5</v>
      </c>
      <c r="AB18" s="145">
        <v>12.7</v>
      </c>
      <c r="AC18" s="145">
        <v>15.9</v>
      </c>
      <c r="AD18" s="145">
        <v>16.8</v>
      </c>
      <c r="AE18" s="145">
        <f>59.7-SUM(AB18:AD18)</f>
        <v>14.299999999999997</v>
      </c>
      <c r="AF18" s="17">
        <f>SUM(AB18:AE18)</f>
        <v>59.7</v>
      </c>
      <c r="AG18" s="145">
        <v>15</v>
      </c>
      <c r="AH18" s="145">
        <v>16.7</v>
      </c>
      <c r="AI18" s="145">
        <v>15.8</v>
      </c>
      <c r="AJ18" s="145">
        <f>65.6-SUM(AG18:AI18)</f>
        <v>18.099999999999994</v>
      </c>
      <c r="AK18" s="17">
        <f>SUM(AG18:AJ18)</f>
        <v>65.599999999999994</v>
      </c>
      <c r="AL18" s="145">
        <v>16.2</v>
      </c>
      <c r="AM18" s="145">
        <v>17.600000000000001</v>
      </c>
      <c r="AN18" s="145">
        <v>16</v>
      </c>
      <c r="AO18" s="145">
        <f>58.3-SUM(AL18:AN18)</f>
        <v>8.5</v>
      </c>
      <c r="AP18" s="17">
        <f>SUM(AL18:AO18)</f>
        <v>58.3</v>
      </c>
      <c r="AQ18" s="267">
        <v>2.7</v>
      </c>
      <c r="AR18" s="267">
        <v>1.8</v>
      </c>
      <c r="AS18" s="267">
        <v>0.9</v>
      </c>
      <c r="AT18" s="267">
        <f>6.1-SUM(AQ18:AS18)</f>
        <v>0.69999999999999929</v>
      </c>
      <c r="AU18" s="17">
        <f>SUM(AQ18:AT18)</f>
        <v>6.1</v>
      </c>
      <c r="AV18" s="267">
        <v>0.3</v>
      </c>
      <c r="AW18" s="267">
        <v>0.3</v>
      </c>
      <c r="AX18" s="267">
        <v>0.3</v>
      </c>
      <c r="AY18" s="267">
        <f>1.6-SUM(AV18:AX18)</f>
        <v>0.70000000000000018</v>
      </c>
      <c r="AZ18" s="17">
        <f>SUM(AV18:AY18)</f>
        <v>1.6</v>
      </c>
      <c r="BA18" s="267">
        <v>0.5</v>
      </c>
      <c r="BB18" s="267">
        <v>0.8</v>
      </c>
      <c r="BC18" s="267">
        <v>0.5</v>
      </c>
      <c r="BD18" s="267">
        <f>2.1-SUM(BA18:BC18)</f>
        <v>0.30000000000000004</v>
      </c>
      <c r="BE18" s="17">
        <f>SUM(BA18:BD18)</f>
        <v>2.1</v>
      </c>
      <c r="BF18" s="391">
        <v>1.4</v>
      </c>
      <c r="BG18" s="391">
        <v>0.7</v>
      </c>
      <c r="BH18" s="391">
        <v>0.5</v>
      </c>
      <c r="BI18" s="390">
        <f>BJ18-BF18-BG18-BH18</f>
        <v>0.40000000000000013</v>
      </c>
      <c r="BJ18" s="280">
        <v>3</v>
      </c>
      <c r="BK18" s="256">
        <v>0.2</v>
      </c>
      <c r="BL18" s="256">
        <v>0</v>
      </c>
      <c r="BM18" s="256">
        <v>0</v>
      </c>
      <c r="BN18" s="255">
        <v>0</v>
      </c>
      <c r="BO18" s="64">
        <f>BJ18</f>
        <v>3</v>
      </c>
      <c r="BP18" s="256">
        <v>0</v>
      </c>
      <c r="BQ18" s="256">
        <v>0</v>
      </c>
      <c r="BR18" s="256">
        <v>0</v>
      </c>
      <c r="BS18" s="256">
        <v>0</v>
      </c>
      <c r="BT18" s="64">
        <f>SUM(BP18:BS18)</f>
        <v>0</v>
      </c>
      <c r="BU18" s="255">
        <f>BY18/4</f>
        <v>0</v>
      </c>
      <c r="BV18" s="255">
        <f t="shared" ref="BV18:BX18" si="104">BU18</f>
        <v>0</v>
      </c>
      <c r="BW18" s="255">
        <f t="shared" si="104"/>
        <v>0</v>
      </c>
      <c r="BX18" s="255">
        <f t="shared" si="104"/>
        <v>0</v>
      </c>
      <c r="BY18" s="64">
        <f>BT18</f>
        <v>0</v>
      </c>
      <c r="BZ18" s="267">
        <f>CD18/4</f>
        <v>0</v>
      </c>
      <c r="CA18" s="267">
        <f t="shared" ref="CA18:CC19" si="105">BZ18</f>
        <v>0</v>
      </c>
      <c r="CB18" s="267">
        <f t="shared" si="105"/>
        <v>0</v>
      </c>
      <c r="CC18" s="267">
        <f t="shared" si="105"/>
        <v>0</v>
      </c>
      <c r="CD18" s="64">
        <f>BY18</f>
        <v>0</v>
      </c>
      <c r="CE18" s="255">
        <f>CI18/4</f>
        <v>0</v>
      </c>
      <c r="CF18" s="255">
        <f t="shared" ref="CF18:CH19" si="106">CE18</f>
        <v>0</v>
      </c>
      <c r="CG18" s="255">
        <f t="shared" si="106"/>
        <v>0</v>
      </c>
      <c r="CH18" s="255">
        <f t="shared" si="106"/>
        <v>0</v>
      </c>
      <c r="CI18" s="64">
        <f>CD18</f>
        <v>0</v>
      </c>
      <c r="CJ18" s="255">
        <f>CN18/4</f>
        <v>0</v>
      </c>
      <c r="CK18" s="255">
        <f t="shared" ref="CK18:CM19" si="107">CJ18</f>
        <v>0</v>
      </c>
      <c r="CL18" s="255">
        <f t="shared" si="107"/>
        <v>0</v>
      </c>
      <c r="CM18" s="255">
        <f t="shared" si="107"/>
        <v>0</v>
      </c>
      <c r="CN18" s="64">
        <f>CI18</f>
        <v>0</v>
      </c>
      <c r="CO18" s="255">
        <f>CS18/4</f>
        <v>0</v>
      </c>
      <c r="CP18" s="255">
        <f t="shared" ref="CP18:CP19" si="108">CO18</f>
        <v>0</v>
      </c>
      <c r="CQ18" s="255">
        <f t="shared" ref="CQ18:CQ19" si="109">CP18</f>
        <v>0</v>
      </c>
      <c r="CR18" s="255">
        <f t="shared" ref="CR18:CR19" si="110">CQ18</f>
        <v>0</v>
      </c>
      <c r="CS18" s="64">
        <f>CN18</f>
        <v>0</v>
      </c>
      <c r="CT18" s="255">
        <f>CX18/4</f>
        <v>0</v>
      </c>
      <c r="CU18" s="255">
        <f t="shared" ref="CU18:CU19" si="111">CT18</f>
        <v>0</v>
      </c>
      <c r="CV18" s="255">
        <f t="shared" ref="CV18:CV19" si="112">CU18</f>
        <v>0</v>
      </c>
      <c r="CW18" s="255">
        <f t="shared" ref="CW18:CW19" si="113">CV18</f>
        <v>0</v>
      </c>
      <c r="CX18" s="64">
        <f>CS18</f>
        <v>0</v>
      </c>
      <c r="CY18" s="255">
        <f>DC18/4</f>
        <v>0</v>
      </c>
      <c r="CZ18" s="255">
        <f t="shared" ref="CZ18:CZ19" si="114">CY18</f>
        <v>0</v>
      </c>
      <c r="DA18" s="255">
        <f t="shared" ref="DA18:DA19" si="115">CZ18</f>
        <v>0</v>
      </c>
      <c r="DB18" s="255">
        <f t="shared" ref="DB18:DB19" si="116">DA18</f>
        <v>0</v>
      </c>
      <c r="DC18" s="64">
        <f>CX18</f>
        <v>0</v>
      </c>
      <c r="DD18" s="255">
        <f>DH18/4</f>
        <v>0</v>
      </c>
      <c r="DE18" s="255">
        <f t="shared" ref="DE18:DE19" si="117">DD18</f>
        <v>0</v>
      </c>
      <c r="DF18" s="255">
        <f t="shared" ref="DF18:DF19" si="118">DE18</f>
        <v>0</v>
      </c>
      <c r="DG18" s="255">
        <f t="shared" ref="DG18:DG19" si="119">DF18</f>
        <v>0</v>
      </c>
      <c r="DH18" s="64">
        <f>DC18</f>
        <v>0</v>
      </c>
      <c r="DI18" s="255">
        <f>DM18/4</f>
        <v>0</v>
      </c>
      <c r="DJ18" s="255">
        <f t="shared" ref="DJ18:DJ19" si="120">DI18</f>
        <v>0</v>
      </c>
      <c r="DK18" s="255">
        <f t="shared" ref="DK18:DK19" si="121">DJ18</f>
        <v>0</v>
      </c>
      <c r="DL18" s="255">
        <f t="shared" ref="DL18:DL19" si="122">DK18</f>
        <v>0</v>
      </c>
      <c r="DM18" s="64">
        <f>DH18</f>
        <v>0</v>
      </c>
      <c r="DN18" s="255">
        <f>DR18/4</f>
        <v>0</v>
      </c>
      <c r="DO18" s="255">
        <f t="shared" ref="DO18:DO19" si="123">DN18</f>
        <v>0</v>
      </c>
      <c r="DP18" s="255">
        <f t="shared" ref="DP18:DP19" si="124">DO18</f>
        <v>0</v>
      </c>
      <c r="DQ18" s="255">
        <f t="shared" ref="DQ18:DQ19" si="125">DP18</f>
        <v>0</v>
      </c>
      <c r="DR18" s="64">
        <f>DM18</f>
        <v>0</v>
      </c>
      <c r="DS18" s="255">
        <f>DW18/4</f>
        <v>0</v>
      </c>
      <c r="DT18" s="255">
        <f t="shared" ref="DT18:DT19" si="126">DS18</f>
        <v>0</v>
      </c>
      <c r="DU18" s="255">
        <f t="shared" ref="DU18:DU19" si="127">DT18</f>
        <v>0</v>
      </c>
      <c r="DV18" s="255">
        <f t="shared" ref="DV18:DV19" si="128">DU18</f>
        <v>0</v>
      </c>
      <c r="DW18" s="64">
        <f>DR18</f>
        <v>0</v>
      </c>
      <c r="DX18" s="255">
        <f>EB18/4</f>
        <v>0</v>
      </c>
      <c r="DY18" s="255">
        <f t="shared" ref="DY18:DY19" si="129">DX18</f>
        <v>0</v>
      </c>
      <c r="DZ18" s="255">
        <f t="shared" ref="DZ18:DZ19" si="130">DY18</f>
        <v>0</v>
      </c>
      <c r="EA18" s="255">
        <f t="shared" ref="EA18:EA19" si="131">DZ18</f>
        <v>0</v>
      </c>
      <c r="EB18" s="64">
        <f>DW18</f>
        <v>0</v>
      </c>
      <c r="EC18" s="255">
        <f>EG18/4</f>
        <v>0</v>
      </c>
      <c r="ED18" s="255">
        <f t="shared" ref="ED18:ED19" si="132">EC18</f>
        <v>0</v>
      </c>
      <c r="EE18" s="255">
        <f t="shared" ref="EE18:EE19" si="133">ED18</f>
        <v>0</v>
      </c>
      <c r="EF18" s="255">
        <f t="shared" ref="EF18:EF19" si="134">EE18</f>
        <v>0</v>
      </c>
      <c r="EG18" s="64">
        <f>EB18</f>
        <v>0</v>
      </c>
      <c r="EH18" s="255">
        <f>EL18/4</f>
        <v>0</v>
      </c>
      <c r="EI18" s="255">
        <f t="shared" ref="EI18:EI19" si="135">EH18</f>
        <v>0</v>
      </c>
      <c r="EJ18" s="255">
        <f t="shared" ref="EJ18:EJ19" si="136">EI18</f>
        <v>0</v>
      </c>
      <c r="EK18" s="255">
        <f t="shared" ref="EK18:EK19" si="137">EJ18</f>
        <v>0</v>
      </c>
      <c r="EL18" s="64">
        <f>EG18</f>
        <v>0</v>
      </c>
    </row>
    <row r="19" spans="1:142" s="3" customFormat="1">
      <c r="B19" s="10" t="s">
        <v>112</v>
      </c>
      <c r="C19" s="145">
        <v>14.688000000000001</v>
      </c>
      <c r="D19" s="145">
        <v>13.927</v>
      </c>
      <c r="E19" s="145">
        <v>18.745000000000001</v>
      </c>
      <c r="F19" s="145">
        <f>67.869-9.353-3.064-SUM(C19:E19)</f>
        <v>8.0919999999999987</v>
      </c>
      <c r="G19" s="17">
        <f>SUM(C19:F19)</f>
        <v>55.451999999999998</v>
      </c>
      <c r="H19" s="145">
        <v>26.178000000000001</v>
      </c>
      <c r="I19" s="145">
        <v>28.172000000000001</v>
      </c>
      <c r="J19" s="145">
        <v>32.755000000000003</v>
      </c>
      <c r="K19" s="145">
        <f>121.008-SUM(H19:J19)</f>
        <v>33.902999999999992</v>
      </c>
      <c r="L19" s="17">
        <f>SUM(H19:K19)</f>
        <v>121.008</v>
      </c>
      <c r="M19" s="145">
        <v>24.462</v>
      </c>
      <c r="N19" s="145">
        <v>39.142000000000003</v>
      </c>
      <c r="O19" s="145">
        <v>41.780999999999999</v>
      </c>
      <c r="P19" s="145">
        <f>147.514-SUM(M19:O19)</f>
        <v>42.129000000000019</v>
      </c>
      <c r="Q19" s="17">
        <f>SUM(M19:P19)</f>
        <v>147.51400000000001</v>
      </c>
      <c r="R19" s="145">
        <v>43.395000000000003</v>
      </c>
      <c r="S19" s="145">
        <v>47.1</v>
      </c>
      <c r="T19" s="145">
        <v>51.5</v>
      </c>
      <c r="U19" s="145">
        <f>194-SUM(R19:T19)</f>
        <v>52.004999999999995</v>
      </c>
      <c r="V19" s="17">
        <f>SUM(R19:U19)</f>
        <v>194</v>
      </c>
      <c r="W19" s="145">
        <v>56.6</v>
      </c>
      <c r="X19" s="145">
        <v>62.1</v>
      </c>
      <c r="Y19" s="145">
        <v>63</v>
      </c>
      <c r="Z19" s="145">
        <f>250.8-SUM(W19:Y19)</f>
        <v>69.100000000000023</v>
      </c>
      <c r="AA19" s="17">
        <f>SUM(W19:Z19)</f>
        <v>250.8</v>
      </c>
      <c r="AB19" s="145">
        <v>76.5</v>
      </c>
      <c r="AC19" s="145">
        <v>85.2</v>
      </c>
      <c r="AD19" s="145">
        <v>90</v>
      </c>
      <c r="AE19" s="145">
        <f>335-SUM(AB19:AD19)</f>
        <v>83.300000000000011</v>
      </c>
      <c r="AF19" s="17">
        <f>SUM(AB19:AE19)</f>
        <v>335</v>
      </c>
      <c r="AG19" s="145">
        <v>84.3</v>
      </c>
      <c r="AH19" s="145">
        <v>60.4</v>
      </c>
      <c r="AI19" s="145">
        <v>64.8</v>
      </c>
      <c r="AJ19" s="145">
        <f>255.7-SUM(AG19:AI19)</f>
        <v>46.199999999999989</v>
      </c>
      <c r="AK19" s="17">
        <f>SUM(AG19:AJ19)</f>
        <v>255.7</v>
      </c>
      <c r="AL19" s="145">
        <v>38.4</v>
      </c>
      <c r="AM19" s="145">
        <v>60.7</v>
      </c>
      <c r="AN19" s="145">
        <v>37.799999999999997</v>
      </c>
      <c r="AO19" s="145">
        <f>170.9-SUM(AL19:AN19)</f>
        <v>34.000000000000028</v>
      </c>
      <c r="AP19" s="17">
        <f>SUM(AL19:AO19)</f>
        <v>170.9</v>
      </c>
      <c r="AQ19" s="267">
        <v>31.5</v>
      </c>
      <c r="AR19" s="267">
        <v>25.1</v>
      </c>
      <c r="AS19" s="267">
        <v>31.6</v>
      </c>
      <c r="AT19" s="267">
        <f>117.8-SUM(AQ19:AS19)</f>
        <v>29.599999999999994</v>
      </c>
      <c r="AU19" s="17">
        <f>SUM(AQ19:AT19)</f>
        <v>117.8</v>
      </c>
      <c r="AV19" s="267">
        <v>26.5</v>
      </c>
      <c r="AW19" s="267">
        <v>25.3</v>
      </c>
      <c r="AX19" s="267">
        <v>29.3</v>
      </c>
      <c r="AY19" s="267">
        <f>104.6-SUM(AV19:AX19)</f>
        <v>23.5</v>
      </c>
      <c r="AZ19" s="17">
        <f>SUM(AV19:AY19)</f>
        <v>104.6</v>
      </c>
      <c r="BA19" s="267">
        <v>-17.2</v>
      </c>
      <c r="BB19" s="267">
        <v>18.3</v>
      </c>
      <c r="BC19" s="267">
        <v>21</v>
      </c>
      <c r="BD19" s="267">
        <f>38.7-SUM(BA19:BC19)</f>
        <v>16.600000000000001</v>
      </c>
      <c r="BE19" s="17">
        <f>SUM(BA19:BD19)</f>
        <v>38.700000000000003</v>
      </c>
      <c r="BF19" s="256">
        <v>22.2</v>
      </c>
      <c r="BG19" s="256">
        <v>17.899999999999999</v>
      </c>
      <c r="BH19" s="256">
        <v>19.7</v>
      </c>
      <c r="BI19" s="255">
        <f>BJ19-BF19-BG19-BH19</f>
        <v>18.499999999999996</v>
      </c>
      <c r="BJ19" s="280">
        <v>78.3</v>
      </c>
      <c r="BK19" s="256">
        <f>330.661-BK17</f>
        <v>21.261000000000024</v>
      </c>
      <c r="BL19" s="256">
        <f>337.5-BL17</f>
        <v>14.300000000000011</v>
      </c>
      <c r="BM19" s="256">
        <f>337.2-BM17</f>
        <v>17.300000000000011</v>
      </c>
      <c r="BN19" s="255">
        <f>BO19-BK19-BL19-BM19</f>
        <v>16.538999999999959</v>
      </c>
      <c r="BO19" s="280">
        <v>69.400000000000006</v>
      </c>
      <c r="BP19" s="256">
        <v>16.8</v>
      </c>
      <c r="BQ19" s="256">
        <v>14.3</v>
      </c>
      <c r="BR19" s="256">
        <v>16.600000000000001</v>
      </c>
      <c r="BS19" s="256">
        <v>17</v>
      </c>
      <c r="BT19" s="64">
        <f>SUM(BP19:BS19)</f>
        <v>64.7</v>
      </c>
      <c r="BU19" s="256">
        <f>340.6-BU17</f>
        <v>17.100000000000023</v>
      </c>
      <c r="BV19" s="520">
        <f>BV21-BV20</f>
        <v>33.085715056498955</v>
      </c>
      <c r="BW19" s="255">
        <f>BW21-BW20</f>
        <v>16.315000000000012</v>
      </c>
      <c r="BX19" s="255">
        <f>BX21-BX20</f>
        <v>17.299284943501036</v>
      </c>
      <c r="BY19" s="64">
        <f>SUM(BU19:BX19)</f>
        <v>83.800000000000026</v>
      </c>
      <c r="BZ19" s="267">
        <f>BZ21-BZ20</f>
        <v>17</v>
      </c>
      <c r="CA19" s="267">
        <v>18</v>
      </c>
      <c r="CB19" s="267">
        <f t="shared" si="105"/>
        <v>18</v>
      </c>
      <c r="CC19" s="267">
        <f>CD19-BZ19-CA19-CB19</f>
        <v>19</v>
      </c>
      <c r="CD19" s="64">
        <f>18*4</f>
        <v>72</v>
      </c>
      <c r="CE19" s="255">
        <f>CI19/4</f>
        <v>18.900000000000002</v>
      </c>
      <c r="CF19" s="255">
        <f t="shared" si="106"/>
        <v>18.900000000000002</v>
      </c>
      <c r="CG19" s="255">
        <f t="shared" si="106"/>
        <v>18.900000000000002</v>
      </c>
      <c r="CH19" s="255">
        <f t="shared" si="106"/>
        <v>18.900000000000002</v>
      </c>
      <c r="CI19" s="64">
        <f>CD19*1.05</f>
        <v>75.600000000000009</v>
      </c>
      <c r="CJ19" s="255">
        <f>CN19/4</f>
        <v>19.845000000000002</v>
      </c>
      <c r="CK19" s="255">
        <f t="shared" si="107"/>
        <v>19.845000000000002</v>
      </c>
      <c r="CL19" s="255">
        <f t="shared" si="107"/>
        <v>19.845000000000002</v>
      </c>
      <c r="CM19" s="255">
        <f t="shared" si="107"/>
        <v>19.845000000000002</v>
      </c>
      <c r="CN19" s="64">
        <f>CI19*1.05</f>
        <v>79.38000000000001</v>
      </c>
      <c r="CO19" s="255">
        <f>CS19/4</f>
        <v>20.837250000000004</v>
      </c>
      <c r="CP19" s="255">
        <f t="shared" si="108"/>
        <v>20.837250000000004</v>
      </c>
      <c r="CQ19" s="255">
        <f t="shared" si="109"/>
        <v>20.837250000000004</v>
      </c>
      <c r="CR19" s="255">
        <f t="shared" si="110"/>
        <v>20.837250000000004</v>
      </c>
      <c r="CS19" s="64">
        <f>CN19*1.05</f>
        <v>83.349000000000018</v>
      </c>
      <c r="CT19" s="255">
        <f>CX19/4</f>
        <v>21.879112500000005</v>
      </c>
      <c r="CU19" s="255">
        <f t="shared" si="111"/>
        <v>21.879112500000005</v>
      </c>
      <c r="CV19" s="255">
        <f t="shared" si="112"/>
        <v>21.879112500000005</v>
      </c>
      <c r="CW19" s="255">
        <f t="shared" si="113"/>
        <v>21.879112500000005</v>
      </c>
      <c r="CX19" s="64">
        <f>CS19*1.05</f>
        <v>87.51645000000002</v>
      </c>
      <c r="CY19" s="255">
        <f>DC19/4</f>
        <v>22.973068125000005</v>
      </c>
      <c r="CZ19" s="255">
        <f t="shared" si="114"/>
        <v>22.973068125000005</v>
      </c>
      <c r="DA19" s="255">
        <f t="shared" si="115"/>
        <v>22.973068125000005</v>
      </c>
      <c r="DB19" s="255">
        <f t="shared" si="116"/>
        <v>22.973068125000005</v>
      </c>
      <c r="DC19" s="64">
        <f>CX19*1.05</f>
        <v>91.892272500000018</v>
      </c>
      <c r="DD19" s="255">
        <f>DH19/4</f>
        <v>24.121721531250007</v>
      </c>
      <c r="DE19" s="255">
        <f t="shared" si="117"/>
        <v>24.121721531250007</v>
      </c>
      <c r="DF19" s="255">
        <f t="shared" si="118"/>
        <v>24.121721531250007</v>
      </c>
      <c r="DG19" s="255">
        <f t="shared" si="119"/>
        <v>24.121721531250007</v>
      </c>
      <c r="DH19" s="64">
        <f>DC19*1.05</f>
        <v>96.486886125000026</v>
      </c>
      <c r="DI19" s="255">
        <f>DM19/4</f>
        <v>25.32780760781251</v>
      </c>
      <c r="DJ19" s="255">
        <f t="shared" si="120"/>
        <v>25.32780760781251</v>
      </c>
      <c r="DK19" s="255">
        <f t="shared" si="121"/>
        <v>25.32780760781251</v>
      </c>
      <c r="DL19" s="255">
        <f t="shared" si="122"/>
        <v>25.32780760781251</v>
      </c>
      <c r="DM19" s="64">
        <f>DH19*1.05</f>
        <v>101.31123043125004</v>
      </c>
      <c r="DN19" s="255">
        <f>DR19/4</f>
        <v>26.594197988203135</v>
      </c>
      <c r="DO19" s="255">
        <f t="shared" si="123"/>
        <v>26.594197988203135</v>
      </c>
      <c r="DP19" s="255">
        <f t="shared" si="124"/>
        <v>26.594197988203135</v>
      </c>
      <c r="DQ19" s="255">
        <f t="shared" si="125"/>
        <v>26.594197988203135</v>
      </c>
      <c r="DR19" s="64">
        <f>DM19*1.05</f>
        <v>106.37679195281254</v>
      </c>
      <c r="DS19" s="255">
        <f>DW19/4</f>
        <v>27.923907887613293</v>
      </c>
      <c r="DT19" s="255">
        <f t="shared" si="126"/>
        <v>27.923907887613293</v>
      </c>
      <c r="DU19" s="255">
        <f t="shared" si="127"/>
        <v>27.923907887613293</v>
      </c>
      <c r="DV19" s="255">
        <f t="shared" si="128"/>
        <v>27.923907887613293</v>
      </c>
      <c r="DW19" s="64">
        <f>DR19*1.05</f>
        <v>111.69563155045317</v>
      </c>
      <c r="DX19" s="255">
        <f>EB19/4</f>
        <v>29.320103281993958</v>
      </c>
      <c r="DY19" s="255">
        <f t="shared" si="129"/>
        <v>29.320103281993958</v>
      </c>
      <c r="DZ19" s="255">
        <f t="shared" si="130"/>
        <v>29.320103281993958</v>
      </c>
      <c r="EA19" s="255">
        <f t="shared" si="131"/>
        <v>29.320103281993958</v>
      </c>
      <c r="EB19" s="64">
        <f>DW19*1.05</f>
        <v>117.28041312797583</v>
      </c>
      <c r="EC19" s="255">
        <f>EG19/4</f>
        <v>30.786108446093657</v>
      </c>
      <c r="ED19" s="255">
        <f t="shared" si="132"/>
        <v>30.786108446093657</v>
      </c>
      <c r="EE19" s="255">
        <f t="shared" si="133"/>
        <v>30.786108446093657</v>
      </c>
      <c r="EF19" s="255">
        <f t="shared" si="134"/>
        <v>30.786108446093657</v>
      </c>
      <c r="EG19" s="64">
        <f>EB19*1.05</f>
        <v>123.14443378437463</v>
      </c>
      <c r="EH19" s="255">
        <f>EL19/4</f>
        <v>32.325413868398343</v>
      </c>
      <c r="EI19" s="255">
        <f t="shared" si="135"/>
        <v>32.325413868398343</v>
      </c>
      <c r="EJ19" s="255">
        <f t="shared" si="136"/>
        <v>32.325413868398343</v>
      </c>
      <c r="EK19" s="255">
        <f t="shared" si="137"/>
        <v>32.325413868398343</v>
      </c>
      <c r="EL19" s="64">
        <f>EG19*1.05</f>
        <v>129.30165547359337</v>
      </c>
    </row>
    <row r="20" spans="1:142">
      <c r="B20" s="1" t="s">
        <v>919</v>
      </c>
      <c r="BU20" s="256">
        <v>0</v>
      </c>
      <c r="BV20" s="256">
        <f>BV37</f>
        <v>16.914284943501045</v>
      </c>
      <c r="BW20" s="255">
        <f>BW37</f>
        <v>65.084999999999994</v>
      </c>
      <c r="BX20" s="255">
        <f>BY20-BU20-BV20-BW20</f>
        <v>77.000715056498947</v>
      </c>
      <c r="BY20" s="64">
        <f>BY37</f>
        <v>159</v>
      </c>
      <c r="BZ20" s="267">
        <f t="shared" ref="BZ20:EK20" si="138">BZ37</f>
        <v>77</v>
      </c>
      <c r="CA20" s="267">
        <f t="shared" si="138"/>
        <v>78.33</v>
      </c>
      <c r="CB20" s="267">
        <f t="shared" si="138"/>
        <v>84.855000000000004</v>
      </c>
      <c r="CC20" s="267">
        <f t="shared" si="138"/>
        <v>92.43714886551264</v>
      </c>
      <c r="CD20" s="64">
        <f t="shared" si="138"/>
        <v>332.62214886551266</v>
      </c>
      <c r="CE20" s="64">
        <f t="shared" si="138"/>
        <v>0</v>
      </c>
      <c r="CF20" s="64">
        <f t="shared" si="138"/>
        <v>0</v>
      </c>
      <c r="CG20" s="64">
        <f t="shared" si="138"/>
        <v>0</v>
      </c>
      <c r="CH20" s="64">
        <f t="shared" si="138"/>
        <v>0</v>
      </c>
      <c r="CI20" s="64">
        <f t="shared" si="138"/>
        <v>525.45597935230433</v>
      </c>
      <c r="CJ20" s="64">
        <f t="shared" si="138"/>
        <v>0</v>
      </c>
      <c r="CK20" s="64">
        <f t="shared" si="138"/>
        <v>0</v>
      </c>
      <c r="CL20" s="64">
        <f t="shared" si="138"/>
        <v>0</v>
      </c>
      <c r="CM20" s="64">
        <f t="shared" si="138"/>
        <v>0</v>
      </c>
      <c r="CN20" s="64">
        <f t="shared" si="138"/>
        <v>710.67980678491767</v>
      </c>
      <c r="CO20" s="64">
        <f t="shared" si="138"/>
        <v>0</v>
      </c>
      <c r="CP20" s="64">
        <f t="shared" si="138"/>
        <v>0</v>
      </c>
      <c r="CQ20" s="64">
        <f t="shared" si="138"/>
        <v>0</v>
      </c>
      <c r="CR20" s="64">
        <f t="shared" si="138"/>
        <v>0</v>
      </c>
      <c r="CS20" s="64">
        <f t="shared" si="138"/>
        <v>874.53698335381398</v>
      </c>
      <c r="CT20" s="64">
        <f t="shared" si="138"/>
        <v>0</v>
      </c>
      <c r="CU20" s="64">
        <f t="shared" si="138"/>
        <v>0</v>
      </c>
      <c r="CV20" s="64">
        <f t="shared" si="138"/>
        <v>0</v>
      </c>
      <c r="CW20" s="64">
        <f t="shared" si="138"/>
        <v>0</v>
      </c>
      <c r="CX20" s="64">
        <f t="shared" si="138"/>
        <v>1000.8097881365409</v>
      </c>
      <c r="CY20" s="64">
        <f t="shared" si="138"/>
        <v>0</v>
      </c>
      <c r="CZ20" s="64">
        <f t="shared" si="138"/>
        <v>0</v>
      </c>
      <c r="DA20" s="64">
        <f t="shared" si="138"/>
        <v>0</v>
      </c>
      <c r="DB20" s="64">
        <f t="shared" si="138"/>
        <v>0</v>
      </c>
      <c r="DC20" s="64">
        <f t="shared" si="138"/>
        <v>1070.3115971498928</v>
      </c>
      <c r="DD20" s="64">
        <f t="shared" si="138"/>
        <v>0</v>
      </c>
      <c r="DE20" s="64">
        <f t="shared" si="138"/>
        <v>0</v>
      </c>
      <c r="DF20" s="64">
        <f t="shared" si="138"/>
        <v>0</v>
      </c>
      <c r="DG20" s="64">
        <f t="shared" si="138"/>
        <v>0</v>
      </c>
      <c r="DH20" s="64">
        <f t="shared" si="138"/>
        <v>1145.8023708060086</v>
      </c>
      <c r="DI20" s="64">
        <f t="shared" si="138"/>
        <v>0</v>
      </c>
      <c r="DJ20" s="64">
        <f t="shared" si="138"/>
        <v>0</v>
      </c>
      <c r="DK20" s="64">
        <f t="shared" si="138"/>
        <v>0</v>
      </c>
      <c r="DL20" s="64">
        <f t="shared" si="138"/>
        <v>0</v>
      </c>
      <c r="DM20" s="64">
        <f t="shared" si="138"/>
        <v>1201.5169842220146</v>
      </c>
      <c r="DN20" s="64">
        <f t="shared" si="138"/>
        <v>0</v>
      </c>
      <c r="DO20" s="64">
        <f t="shared" si="138"/>
        <v>0</v>
      </c>
      <c r="DP20" s="64">
        <f t="shared" si="138"/>
        <v>0</v>
      </c>
      <c r="DQ20" s="64">
        <f t="shared" si="138"/>
        <v>0</v>
      </c>
      <c r="DR20" s="64">
        <f t="shared" si="138"/>
        <v>1260.3286650495822</v>
      </c>
      <c r="DS20" s="64">
        <f t="shared" si="138"/>
        <v>0</v>
      </c>
      <c r="DT20" s="64">
        <f t="shared" si="138"/>
        <v>0</v>
      </c>
      <c r="DU20" s="64">
        <f t="shared" si="138"/>
        <v>0</v>
      </c>
      <c r="DV20" s="64">
        <f t="shared" si="138"/>
        <v>0</v>
      </c>
      <c r="DW20" s="64">
        <f t="shared" si="138"/>
        <v>1322.1345717145593</v>
      </c>
      <c r="DX20" s="64">
        <f t="shared" si="138"/>
        <v>0</v>
      </c>
      <c r="DY20" s="64">
        <f t="shared" si="138"/>
        <v>0</v>
      </c>
      <c r="DZ20" s="64">
        <f t="shared" si="138"/>
        <v>0</v>
      </c>
      <c r="EA20" s="64">
        <f t="shared" si="138"/>
        <v>0</v>
      </c>
      <c r="EB20" s="64">
        <f t="shared" si="138"/>
        <v>1386.4923876714647</v>
      </c>
      <c r="EC20" s="64">
        <f t="shared" si="138"/>
        <v>0</v>
      </c>
      <c r="ED20" s="64">
        <f t="shared" si="138"/>
        <v>0</v>
      </c>
      <c r="EE20" s="64">
        <f t="shared" si="138"/>
        <v>0</v>
      </c>
      <c r="EF20" s="64">
        <f t="shared" si="138"/>
        <v>0</v>
      </c>
      <c r="EG20" s="64">
        <f t="shared" si="138"/>
        <v>1453.9890515014831</v>
      </c>
      <c r="EH20" s="64">
        <f t="shared" si="138"/>
        <v>0</v>
      </c>
      <c r="EI20" s="64">
        <f t="shared" si="138"/>
        <v>0</v>
      </c>
      <c r="EJ20" s="64">
        <f t="shared" si="138"/>
        <v>0</v>
      </c>
      <c r="EK20" s="64">
        <f t="shared" si="138"/>
        <v>0</v>
      </c>
      <c r="EL20" s="64">
        <f t="shared" ref="EL20" si="139">EL37</f>
        <v>1524.936824982902</v>
      </c>
    </row>
    <row r="21" spans="1:142">
      <c r="B21" s="1" t="s">
        <v>920</v>
      </c>
      <c r="BU21" s="256">
        <f>BU20+BU19</f>
        <v>17.100000000000023</v>
      </c>
      <c r="BV21" s="256">
        <v>50</v>
      </c>
      <c r="BW21" s="256">
        <v>81.400000000000006</v>
      </c>
      <c r="BX21" s="256">
        <f>BY21-BU21-BV21-BW21</f>
        <v>94.299999999999983</v>
      </c>
      <c r="BY21" s="64">
        <v>242.8</v>
      </c>
      <c r="BZ21" s="339">
        <v>94</v>
      </c>
      <c r="CA21" s="267">
        <f>CA20+CA19</f>
        <v>96.33</v>
      </c>
      <c r="CB21" s="267">
        <f>CB20+CB19</f>
        <v>102.855</v>
      </c>
      <c r="CC21" s="267">
        <f>CC20+CC19</f>
        <v>111.43714886551264</v>
      </c>
      <c r="CD21" s="64">
        <f>CD20+CD19</f>
        <v>404.62214886551266</v>
      </c>
      <c r="CI21" s="64">
        <f>CI20+CI19</f>
        <v>601.05597935230435</v>
      </c>
      <c r="CN21" s="64">
        <f>CN20+CN19</f>
        <v>790.05980678491767</v>
      </c>
      <c r="CS21" s="64">
        <f>CS20+CS19</f>
        <v>957.88598335381403</v>
      </c>
      <c r="CX21" s="64">
        <f>CX20+CX19</f>
        <v>1088.326238136541</v>
      </c>
      <c r="DC21" s="64">
        <f>DC20+DC19</f>
        <v>1162.2038696498928</v>
      </c>
      <c r="DH21" s="64">
        <f>DH20+DH19</f>
        <v>1242.2892569310086</v>
      </c>
      <c r="DM21" s="64">
        <f>DM20+DM19</f>
        <v>1302.8282146532647</v>
      </c>
      <c r="DR21" s="64">
        <f>DR20+DR19</f>
        <v>1366.7054570023947</v>
      </c>
      <c r="DW21" s="64">
        <f>DW20+DW19</f>
        <v>1433.8302032650124</v>
      </c>
      <c r="EB21" s="64">
        <f>EB20+EB19</f>
        <v>1503.7728007994406</v>
      </c>
      <c r="EG21" s="64">
        <f>EG20+EG19</f>
        <v>1577.1334852858577</v>
      </c>
      <c r="EL21" s="64">
        <f>EL20+EL19</f>
        <v>1654.2384804564954</v>
      </c>
    </row>
    <row r="23" spans="1:142">
      <c r="B23" s="1" t="s">
        <v>563</v>
      </c>
      <c r="BE23" s="64"/>
      <c r="BJ23" s="64"/>
      <c r="BO23" s="64"/>
      <c r="BT23" s="64"/>
      <c r="BY23" s="64">
        <v>3350</v>
      </c>
      <c r="BZ23" s="64">
        <f t="shared" ref="BZ23:EK23" si="140">BU23*1.02</f>
        <v>0</v>
      </c>
      <c r="CA23" s="64">
        <f t="shared" si="140"/>
        <v>0</v>
      </c>
      <c r="CB23" s="64">
        <f t="shared" si="140"/>
        <v>0</v>
      </c>
      <c r="CC23" s="64">
        <f t="shared" si="140"/>
        <v>0</v>
      </c>
      <c r="CD23" s="64">
        <f>BY23*1.05</f>
        <v>3517.5</v>
      </c>
      <c r="CE23" s="64">
        <f t="shared" si="140"/>
        <v>0</v>
      </c>
      <c r="CF23" s="64">
        <f t="shared" si="140"/>
        <v>0</v>
      </c>
      <c r="CG23" s="64">
        <f t="shared" si="140"/>
        <v>0</v>
      </c>
      <c r="CH23" s="64">
        <f t="shared" si="140"/>
        <v>0</v>
      </c>
      <c r="CI23" s="64">
        <f t="shared" si="140"/>
        <v>3587.85</v>
      </c>
      <c r="CJ23" s="64">
        <f t="shared" si="140"/>
        <v>0</v>
      </c>
      <c r="CK23" s="64">
        <f t="shared" si="140"/>
        <v>0</v>
      </c>
      <c r="CL23" s="64">
        <f t="shared" si="140"/>
        <v>0</v>
      </c>
      <c r="CM23" s="64">
        <f t="shared" si="140"/>
        <v>0</v>
      </c>
      <c r="CN23" s="64">
        <f t="shared" si="140"/>
        <v>3659.607</v>
      </c>
      <c r="CO23" s="64">
        <f t="shared" si="140"/>
        <v>0</v>
      </c>
      <c r="CP23" s="64">
        <f t="shared" si="140"/>
        <v>0</v>
      </c>
      <c r="CQ23" s="64">
        <f t="shared" si="140"/>
        <v>0</v>
      </c>
      <c r="CR23" s="64">
        <f t="shared" si="140"/>
        <v>0</v>
      </c>
      <c r="CS23" s="64">
        <f t="shared" si="140"/>
        <v>3732.7991400000001</v>
      </c>
      <c r="CT23" s="64">
        <f t="shared" si="140"/>
        <v>0</v>
      </c>
      <c r="CU23" s="64">
        <f t="shared" si="140"/>
        <v>0</v>
      </c>
      <c r="CV23" s="64">
        <f t="shared" si="140"/>
        <v>0</v>
      </c>
      <c r="CW23" s="64">
        <f t="shared" si="140"/>
        <v>0</v>
      </c>
      <c r="CX23" s="64">
        <f t="shared" si="140"/>
        <v>3807.4551228</v>
      </c>
      <c r="CY23" s="64">
        <f t="shared" si="140"/>
        <v>0</v>
      </c>
      <c r="CZ23" s="64">
        <f t="shared" si="140"/>
        <v>0</v>
      </c>
      <c r="DA23" s="64">
        <f t="shared" si="140"/>
        <v>0</v>
      </c>
      <c r="DB23" s="64">
        <f t="shared" si="140"/>
        <v>0</v>
      </c>
      <c r="DC23" s="64">
        <f t="shared" si="140"/>
        <v>3883.6042252560001</v>
      </c>
      <c r="DD23" s="64">
        <f t="shared" si="140"/>
        <v>0</v>
      </c>
      <c r="DE23" s="64">
        <f t="shared" si="140"/>
        <v>0</v>
      </c>
      <c r="DF23" s="64">
        <f t="shared" si="140"/>
        <v>0</v>
      </c>
      <c r="DG23" s="64">
        <f t="shared" si="140"/>
        <v>0</v>
      </c>
      <c r="DH23" s="64">
        <f t="shared" si="140"/>
        <v>3961.27630976112</v>
      </c>
      <c r="DI23" s="64">
        <f t="shared" si="140"/>
        <v>0</v>
      </c>
      <c r="DJ23" s="64">
        <f t="shared" si="140"/>
        <v>0</v>
      </c>
      <c r="DK23" s="64">
        <f t="shared" si="140"/>
        <v>0</v>
      </c>
      <c r="DL23" s="64">
        <f t="shared" si="140"/>
        <v>0</v>
      </c>
      <c r="DM23" s="64">
        <f t="shared" si="140"/>
        <v>4040.5018359563423</v>
      </c>
      <c r="DN23" s="64">
        <f t="shared" si="140"/>
        <v>0</v>
      </c>
      <c r="DO23" s="64">
        <f t="shared" si="140"/>
        <v>0</v>
      </c>
      <c r="DP23" s="64">
        <f t="shared" si="140"/>
        <v>0</v>
      </c>
      <c r="DQ23" s="64">
        <f t="shared" si="140"/>
        <v>0</v>
      </c>
      <c r="DR23" s="64">
        <f t="shared" si="140"/>
        <v>4121.3118726754692</v>
      </c>
      <c r="DS23" s="64">
        <f t="shared" si="140"/>
        <v>0</v>
      </c>
      <c r="DT23" s="64">
        <f t="shared" si="140"/>
        <v>0</v>
      </c>
      <c r="DU23" s="64">
        <f t="shared" si="140"/>
        <v>0</v>
      </c>
      <c r="DV23" s="64">
        <f t="shared" si="140"/>
        <v>0</v>
      </c>
      <c r="DW23" s="64">
        <f t="shared" si="140"/>
        <v>4203.7381101289784</v>
      </c>
      <c r="DX23" s="64">
        <f t="shared" si="140"/>
        <v>0</v>
      </c>
      <c r="DY23" s="64">
        <f t="shared" si="140"/>
        <v>0</v>
      </c>
      <c r="DZ23" s="64">
        <f t="shared" si="140"/>
        <v>0</v>
      </c>
      <c r="EA23" s="64">
        <f t="shared" si="140"/>
        <v>0</v>
      </c>
      <c r="EB23" s="64">
        <f t="shared" si="140"/>
        <v>4287.8128723315576</v>
      </c>
      <c r="EC23" s="64">
        <f t="shared" si="140"/>
        <v>0</v>
      </c>
      <c r="ED23" s="64">
        <f t="shared" si="140"/>
        <v>0</v>
      </c>
      <c r="EE23" s="64">
        <f t="shared" si="140"/>
        <v>0</v>
      </c>
      <c r="EF23" s="64">
        <f t="shared" si="140"/>
        <v>0</v>
      </c>
      <c r="EG23" s="64">
        <f t="shared" si="140"/>
        <v>4373.5691297781887</v>
      </c>
      <c r="EH23" s="64">
        <f t="shared" si="140"/>
        <v>0</v>
      </c>
      <c r="EI23" s="64">
        <f t="shared" si="140"/>
        <v>0</v>
      </c>
      <c r="EJ23" s="64">
        <f t="shared" si="140"/>
        <v>0</v>
      </c>
      <c r="EK23" s="64">
        <f t="shared" si="140"/>
        <v>0</v>
      </c>
      <c r="EL23" s="64">
        <f t="shared" ref="EL23" si="141">EG23*1.02</f>
        <v>4461.0405123737528</v>
      </c>
    </row>
    <row r="24" spans="1:142">
      <c r="B24" s="1" t="s">
        <v>564</v>
      </c>
      <c r="BE24" s="64"/>
      <c r="BJ24" s="64"/>
      <c r="BK24" s="64"/>
      <c r="BL24" s="64"/>
      <c r="BM24" s="64"/>
      <c r="BN24" s="64"/>
      <c r="BO24" s="64"/>
      <c r="BP24" s="64"/>
      <c r="BQ24" s="64"/>
      <c r="BR24" s="64"/>
      <c r="BS24" s="64"/>
      <c r="BT24" s="64"/>
      <c r="BU24" s="64"/>
      <c r="BV24" s="64"/>
      <c r="BW24" s="64"/>
      <c r="BX24" s="64"/>
      <c r="BY24" s="64">
        <v>650</v>
      </c>
      <c r="BZ24" s="64"/>
      <c r="CA24" s="64"/>
      <c r="CB24" s="64"/>
      <c r="CC24" s="64"/>
      <c r="CD24" s="64">
        <f>BY24*1.07</f>
        <v>695.5</v>
      </c>
      <c r="CE24" s="64"/>
      <c r="CF24" s="64"/>
      <c r="CG24" s="64"/>
      <c r="CH24" s="64"/>
      <c r="CI24" s="64">
        <f>CD24*1.07</f>
        <v>744.18500000000006</v>
      </c>
      <c r="CJ24" s="64"/>
      <c r="CK24" s="64"/>
      <c r="CL24" s="64"/>
      <c r="CM24" s="64"/>
      <c r="CN24" s="64">
        <f>CI24*1.07</f>
        <v>796.27795000000015</v>
      </c>
      <c r="CO24" s="64"/>
      <c r="CP24" s="64"/>
      <c r="CQ24" s="64"/>
      <c r="CR24" s="64"/>
      <c r="CS24" s="64">
        <f>CN24*1.035</f>
        <v>824.14767825000013</v>
      </c>
      <c r="CT24" s="64">
        <f t="shared" ref="CT24:EL24" si="142">CO24*1.035</f>
        <v>0</v>
      </c>
      <c r="CU24" s="64">
        <f t="shared" si="142"/>
        <v>0</v>
      </c>
      <c r="CV24" s="64">
        <f t="shared" si="142"/>
        <v>0</v>
      </c>
      <c r="CW24" s="64">
        <f t="shared" si="142"/>
        <v>0</v>
      </c>
      <c r="CX24" s="64">
        <f t="shared" si="142"/>
        <v>852.9928469887501</v>
      </c>
      <c r="CY24" s="64">
        <f t="shared" si="142"/>
        <v>0</v>
      </c>
      <c r="CZ24" s="64">
        <f t="shared" si="142"/>
        <v>0</v>
      </c>
      <c r="DA24" s="64">
        <f t="shared" si="142"/>
        <v>0</v>
      </c>
      <c r="DB24" s="64">
        <f t="shared" si="142"/>
        <v>0</v>
      </c>
      <c r="DC24" s="64">
        <f t="shared" si="142"/>
        <v>882.84759663335626</v>
      </c>
      <c r="DD24" s="64">
        <f t="shared" si="142"/>
        <v>0</v>
      </c>
      <c r="DE24" s="64">
        <f t="shared" si="142"/>
        <v>0</v>
      </c>
      <c r="DF24" s="64">
        <f t="shared" si="142"/>
        <v>0</v>
      </c>
      <c r="DG24" s="64">
        <f t="shared" si="142"/>
        <v>0</v>
      </c>
      <c r="DH24" s="64">
        <f t="shared" si="142"/>
        <v>913.74726251552363</v>
      </c>
      <c r="DI24" s="64">
        <f t="shared" si="142"/>
        <v>0</v>
      </c>
      <c r="DJ24" s="64">
        <f t="shared" si="142"/>
        <v>0</v>
      </c>
      <c r="DK24" s="64">
        <f t="shared" si="142"/>
        <v>0</v>
      </c>
      <c r="DL24" s="64">
        <f t="shared" si="142"/>
        <v>0</v>
      </c>
      <c r="DM24" s="64">
        <f t="shared" si="142"/>
        <v>945.72841670356684</v>
      </c>
      <c r="DN24" s="64">
        <f t="shared" si="142"/>
        <v>0</v>
      </c>
      <c r="DO24" s="64">
        <f t="shared" si="142"/>
        <v>0</v>
      </c>
      <c r="DP24" s="64">
        <f t="shared" si="142"/>
        <v>0</v>
      </c>
      <c r="DQ24" s="64">
        <f t="shared" si="142"/>
        <v>0</v>
      </c>
      <c r="DR24" s="64">
        <f t="shared" si="142"/>
        <v>978.82891128819165</v>
      </c>
      <c r="DS24" s="64">
        <f t="shared" si="142"/>
        <v>0</v>
      </c>
      <c r="DT24" s="64">
        <f t="shared" si="142"/>
        <v>0</v>
      </c>
      <c r="DU24" s="64">
        <f t="shared" si="142"/>
        <v>0</v>
      </c>
      <c r="DV24" s="64">
        <f t="shared" si="142"/>
        <v>0</v>
      </c>
      <c r="DW24" s="64">
        <f t="shared" si="142"/>
        <v>1013.0879231832782</v>
      </c>
      <c r="DX24" s="64">
        <f t="shared" si="142"/>
        <v>0</v>
      </c>
      <c r="DY24" s="64">
        <f t="shared" si="142"/>
        <v>0</v>
      </c>
      <c r="DZ24" s="64">
        <f t="shared" si="142"/>
        <v>0</v>
      </c>
      <c r="EA24" s="64">
        <f t="shared" si="142"/>
        <v>0</v>
      </c>
      <c r="EB24" s="64">
        <f t="shared" si="142"/>
        <v>1048.5460004946929</v>
      </c>
      <c r="EC24" s="64">
        <f t="shared" si="142"/>
        <v>0</v>
      </c>
      <c r="ED24" s="64">
        <f t="shared" si="142"/>
        <v>0</v>
      </c>
      <c r="EE24" s="64">
        <f t="shared" si="142"/>
        <v>0</v>
      </c>
      <c r="EF24" s="64">
        <f t="shared" si="142"/>
        <v>0</v>
      </c>
      <c r="EG24" s="64">
        <f t="shared" si="142"/>
        <v>1085.2451105120069</v>
      </c>
      <c r="EH24" s="64">
        <f t="shared" si="142"/>
        <v>0</v>
      </c>
      <c r="EI24" s="64">
        <f t="shared" si="142"/>
        <v>0</v>
      </c>
      <c r="EJ24" s="64">
        <f t="shared" si="142"/>
        <v>0</v>
      </c>
      <c r="EK24" s="64">
        <f t="shared" si="142"/>
        <v>0</v>
      </c>
      <c r="EL24" s="64">
        <f t="shared" si="142"/>
        <v>1123.2286893799271</v>
      </c>
    </row>
    <row r="25" spans="1:142">
      <c r="B25" s="1" t="s">
        <v>561</v>
      </c>
      <c r="BJ25" s="64"/>
      <c r="BK25" s="64"/>
      <c r="BL25" s="64"/>
      <c r="BM25" s="64"/>
      <c r="BN25" s="64"/>
      <c r="BO25" s="64"/>
      <c r="BP25" s="64"/>
      <c r="BQ25" s="64"/>
      <c r="BR25" s="64"/>
      <c r="BS25" s="64"/>
      <c r="BT25" s="64"/>
      <c r="BU25" s="64"/>
      <c r="BV25" s="64"/>
      <c r="BW25" s="64"/>
      <c r="BX25" s="64"/>
      <c r="BY25" s="64">
        <v>165</v>
      </c>
      <c r="BZ25" s="64">
        <f t="shared" ref="BZ25:EA25" si="143">BU25*1.5</f>
        <v>0</v>
      </c>
      <c r="CA25" s="64">
        <f t="shared" si="143"/>
        <v>0</v>
      </c>
      <c r="CB25" s="64">
        <f t="shared" si="143"/>
        <v>0</v>
      </c>
      <c r="CC25" s="64">
        <f t="shared" si="143"/>
        <v>0</v>
      </c>
      <c r="CD25" s="64">
        <f>BY25*1.35</f>
        <v>222.75000000000003</v>
      </c>
      <c r="CE25" s="64">
        <f t="shared" si="143"/>
        <v>0</v>
      </c>
      <c r="CF25" s="64">
        <f t="shared" si="143"/>
        <v>0</v>
      </c>
      <c r="CG25" s="64">
        <f t="shared" si="143"/>
        <v>0</v>
      </c>
      <c r="CH25" s="64">
        <f t="shared" si="143"/>
        <v>0</v>
      </c>
      <c r="CI25" s="64">
        <f>CD25*1.3</f>
        <v>289.57500000000005</v>
      </c>
      <c r="CJ25" s="64">
        <f t="shared" si="143"/>
        <v>0</v>
      </c>
      <c r="CK25" s="64">
        <f t="shared" si="143"/>
        <v>0</v>
      </c>
      <c r="CL25" s="64">
        <f t="shared" si="143"/>
        <v>0</v>
      </c>
      <c r="CM25" s="64">
        <f t="shared" si="143"/>
        <v>0</v>
      </c>
      <c r="CN25" s="64">
        <f>CI25*1.25</f>
        <v>361.96875000000006</v>
      </c>
      <c r="CO25" s="64">
        <f t="shared" si="143"/>
        <v>0</v>
      </c>
      <c r="CP25" s="64">
        <f t="shared" si="143"/>
        <v>0</v>
      </c>
      <c r="CQ25" s="64">
        <f t="shared" si="143"/>
        <v>0</v>
      </c>
      <c r="CR25" s="64">
        <f t="shared" si="143"/>
        <v>0</v>
      </c>
      <c r="CS25" s="64">
        <f>CN25*1.25</f>
        <v>452.46093750000006</v>
      </c>
      <c r="CT25" s="64">
        <f t="shared" si="143"/>
        <v>0</v>
      </c>
      <c r="CU25" s="64">
        <f t="shared" si="143"/>
        <v>0</v>
      </c>
      <c r="CV25" s="64">
        <f t="shared" si="143"/>
        <v>0</v>
      </c>
      <c r="CW25" s="64">
        <f t="shared" si="143"/>
        <v>0</v>
      </c>
      <c r="CX25" s="64">
        <f>CS25*1.25</f>
        <v>565.57617187500011</v>
      </c>
      <c r="CY25" s="64">
        <f t="shared" si="143"/>
        <v>0</v>
      </c>
      <c r="CZ25" s="64">
        <f t="shared" si="143"/>
        <v>0</v>
      </c>
      <c r="DA25" s="64">
        <f t="shared" si="143"/>
        <v>0</v>
      </c>
      <c r="DB25" s="64">
        <f t="shared" si="143"/>
        <v>0</v>
      </c>
      <c r="DC25" s="64">
        <f>CX25*1.25</f>
        <v>706.97021484375011</v>
      </c>
      <c r="DD25" s="64">
        <f t="shared" si="143"/>
        <v>0</v>
      </c>
      <c r="DE25" s="64">
        <f t="shared" si="143"/>
        <v>0</v>
      </c>
      <c r="DF25" s="64">
        <f t="shared" si="143"/>
        <v>0</v>
      </c>
      <c r="DG25" s="64">
        <f t="shared" si="143"/>
        <v>0</v>
      </c>
      <c r="DH25" s="64">
        <f>DC25*1.2</f>
        <v>848.36425781250011</v>
      </c>
      <c r="DI25" s="64">
        <f t="shared" si="143"/>
        <v>0</v>
      </c>
      <c r="DJ25" s="64">
        <f t="shared" si="143"/>
        <v>0</v>
      </c>
      <c r="DK25" s="64">
        <f t="shared" si="143"/>
        <v>0</v>
      </c>
      <c r="DL25" s="64">
        <f t="shared" si="143"/>
        <v>0</v>
      </c>
      <c r="DM25" s="64">
        <f>DH25*1.15</f>
        <v>975.618896484375</v>
      </c>
      <c r="DN25" s="64">
        <f t="shared" si="143"/>
        <v>0</v>
      </c>
      <c r="DO25" s="64">
        <f t="shared" si="143"/>
        <v>0</v>
      </c>
      <c r="DP25" s="64">
        <f t="shared" si="143"/>
        <v>0</v>
      </c>
      <c r="DQ25" s="64">
        <f t="shared" si="143"/>
        <v>0</v>
      </c>
      <c r="DR25" s="64">
        <f>DM25*1.1</f>
        <v>1073.1807861328125</v>
      </c>
      <c r="DS25" s="64">
        <f t="shared" si="143"/>
        <v>0</v>
      </c>
      <c r="DT25" s="64">
        <f t="shared" si="143"/>
        <v>0</v>
      </c>
      <c r="DU25" s="64">
        <f t="shared" si="143"/>
        <v>0</v>
      </c>
      <c r="DV25" s="64">
        <f t="shared" si="143"/>
        <v>0</v>
      </c>
      <c r="DW25" s="64">
        <f>DR25*1.05</f>
        <v>1126.8398254394531</v>
      </c>
      <c r="DX25" s="64">
        <f t="shared" si="143"/>
        <v>0</v>
      </c>
      <c r="DY25" s="64">
        <f t="shared" si="143"/>
        <v>0</v>
      </c>
      <c r="DZ25" s="64">
        <f t="shared" si="143"/>
        <v>0</v>
      </c>
      <c r="EA25" s="64">
        <f t="shared" si="143"/>
        <v>0</v>
      </c>
      <c r="EB25" s="64">
        <f>DW25*1.025</f>
        <v>1155.0108210754393</v>
      </c>
      <c r="EC25" s="64">
        <f t="shared" ref="EC25:EL25" si="144">DX25*1.025</f>
        <v>0</v>
      </c>
      <c r="ED25" s="64">
        <f t="shared" si="144"/>
        <v>0</v>
      </c>
      <c r="EE25" s="64">
        <f t="shared" si="144"/>
        <v>0</v>
      </c>
      <c r="EF25" s="64">
        <f t="shared" si="144"/>
        <v>0</v>
      </c>
      <c r="EG25" s="64">
        <f t="shared" si="144"/>
        <v>1183.8860916023252</v>
      </c>
      <c r="EH25" s="64">
        <f t="shared" si="144"/>
        <v>0</v>
      </c>
      <c r="EI25" s="64">
        <f t="shared" si="144"/>
        <v>0</v>
      </c>
      <c r="EJ25" s="64">
        <f t="shared" si="144"/>
        <v>0</v>
      </c>
      <c r="EK25" s="64">
        <f t="shared" si="144"/>
        <v>0</v>
      </c>
      <c r="EL25" s="64">
        <f t="shared" si="144"/>
        <v>1213.4832438923831</v>
      </c>
    </row>
    <row r="26" spans="1:142" outlineLevel="1">
      <c r="B26" s="9" t="s">
        <v>723</v>
      </c>
      <c r="BJ26" s="64"/>
      <c r="BK26" s="64"/>
      <c r="BL26" s="64"/>
      <c r="BM26" s="64"/>
      <c r="BN26" s="64"/>
      <c r="BO26" s="64"/>
      <c r="BP26" s="64"/>
      <c r="BQ26" s="64"/>
      <c r="BR26" s="64"/>
      <c r="BS26" s="64"/>
      <c r="BT26" s="64"/>
      <c r="BU26" s="64">
        <f t="shared" ref="BU26:EA26" si="145">SUM(BU23:BU25)</f>
        <v>0</v>
      </c>
      <c r="BV26" s="64">
        <f t="shared" si="145"/>
        <v>0</v>
      </c>
      <c r="BW26" s="64">
        <f t="shared" si="145"/>
        <v>0</v>
      </c>
      <c r="BX26" s="64">
        <f t="shared" si="145"/>
        <v>0</v>
      </c>
      <c r="BY26" s="64">
        <f t="shared" si="145"/>
        <v>4165</v>
      </c>
      <c r="BZ26" s="64">
        <f t="shared" si="145"/>
        <v>0</v>
      </c>
      <c r="CA26" s="64">
        <f t="shared" si="145"/>
        <v>0</v>
      </c>
      <c r="CB26" s="64">
        <f t="shared" si="145"/>
        <v>0</v>
      </c>
      <c r="CC26" s="64">
        <f t="shared" si="145"/>
        <v>0</v>
      </c>
      <c r="CD26" s="64">
        <f t="shared" si="145"/>
        <v>4435.75</v>
      </c>
      <c r="CE26" s="64">
        <f t="shared" si="145"/>
        <v>0</v>
      </c>
      <c r="CF26" s="64">
        <f t="shared" si="145"/>
        <v>0</v>
      </c>
      <c r="CG26" s="64">
        <f t="shared" si="145"/>
        <v>0</v>
      </c>
      <c r="CH26" s="64">
        <f t="shared" si="145"/>
        <v>0</v>
      </c>
      <c r="CI26" s="64">
        <f t="shared" si="145"/>
        <v>4621.6099999999997</v>
      </c>
      <c r="CJ26" s="64">
        <f t="shared" si="145"/>
        <v>0</v>
      </c>
      <c r="CK26" s="64">
        <f t="shared" si="145"/>
        <v>0</v>
      </c>
      <c r="CL26" s="64">
        <f t="shared" si="145"/>
        <v>0</v>
      </c>
      <c r="CM26" s="64">
        <f t="shared" si="145"/>
        <v>0</v>
      </c>
      <c r="CN26" s="64">
        <f t="shared" si="145"/>
        <v>4817.8536999999997</v>
      </c>
      <c r="CO26" s="64">
        <f t="shared" si="145"/>
        <v>0</v>
      </c>
      <c r="CP26" s="64">
        <f t="shared" si="145"/>
        <v>0</v>
      </c>
      <c r="CQ26" s="64">
        <f t="shared" si="145"/>
        <v>0</v>
      </c>
      <c r="CR26" s="64">
        <f t="shared" si="145"/>
        <v>0</v>
      </c>
      <c r="CS26" s="64">
        <f t="shared" si="145"/>
        <v>5009.4077557500004</v>
      </c>
      <c r="CT26" s="64">
        <f t="shared" si="145"/>
        <v>0</v>
      </c>
      <c r="CU26" s="64">
        <f t="shared" si="145"/>
        <v>0</v>
      </c>
      <c r="CV26" s="64">
        <f t="shared" si="145"/>
        <v>0</v>
      </c>
      <c r="CW26" s="64">
        <f t="shared" si="145"/>
        <v>0</v>
      </c>
      <c r="CX26" s="64">
        <f t="shared" si="145"/>
        <v>5226.02414166375</v>
      </c>
      <c r="CY26" s="64">
        <f t="shared" si="145"/>
        <v>0</v>
      </c>
      <c r="CZ26" s="64">
        <f t="shared" si="145"/>
        <v>0</v>
      </c>
      <c r="DA26" s="64">
        <f t="shared" si="145"/>
        <v>0</v>
      </c>
      <c r="DB26" s="64">
        <f t="shared" si="145"/>
        <v>0</v>
      </c>
      <c r="DC26" s="64">
        <f t="shared" si="145"/>
        <v>5473.4220367331063</v>
      </c>
      <c r="DD26" s="64">
        <f t="shared" si="145"/>
        <v>0</v>
      </c>
      <c r="DE26" s="64">
        <f t="shared" si="145"/>
        <v>0</v>
      </c>
      <c r="DF26" s="64">
        <f t="shared" si="145"/>
        <v>0</v>
      </c>
      <c r="DG26" s="64">
        <f t="shared" si="145"/>
        <v>0</v>
      </c>
      <c r="DH26" s="64">
        <f t="shared" si="145"/>
        <v>5723.3878300891438</v>
      </c>
      <c r="DI26" s="64">
        <f t="shared" si="145"/>
        <v>0</v>
      </c>
      <c r="DJ26" s="64">
        <f t="shared" si="145"/>
        <v>0</v>
      </c>
      <c r="DK26" s="64">
        <f t="shared" si="145"/>
        <v>0</v>
      </c>
      <c r="DL26" s="64">
        <f t="shared" si="145"/>
        <v>0</v>
      </c>
      <c r="DM26" s="64">
        <f t="shared" si="145"/>
        <v>5961.8491491442837</v>
      </c>
      <c r="DN26" s="64">
        <f t="shared" si="145"/>
        <v>0</v>
      </c>
      <c r="DO26" s="64">
        <f t="shared" si="145"/>
        <v>0</v>
      </c>
      <c r="DP26" s="64">
        <f t="shared" si="145"/>
        <v>0</v>
      </c>
      <c r="DQ26" s="64">
        <f t="shared" si="145"/>
        <v>0</v>
      </c>
      <c r="DR26" s="64">
        <f t="shared" si="145"/>
        <v>6173.3215700964738</v>
      </c>
      <c r="DS26" s="64">
        <f t="shared" si="145"/>
        <v>0</v>
      </c>
      <c r="DT26" s="64">
        <f t="shared" si="145"/>
        <v>0</v>
      </c>
      <c r="DU26" s="64">
        <f t="shared" si="145"/>
        <v>0</v>
      </c>
      <c r="DV26" s="64">
        <f t="shared" si="145"/>
        <v>0</v>
      </c>
      <c r="DW26" s="64">
        <f t="shared" si="145"/>
        <v>6343.6658587517095</v>
      </c>
      <c r="DX26" s="64">
        <f t="shared" si="145"/>
        <v>0</v>
      </c>
      <c r="DY26" s="64">
        <f t="shared" si="145"/>
        <v>0</v>
      </c>
      <c r="DZ26" s="64">
        <f t="shared" si="145"/>
        <v>0</v>
      </c>
      <c r="EA26" s="64">
        <f t="shared" si="145"/>
        <v>0</v>
      </c>
      <c r="EB26" s="64">
        <f t="shared" ref="EB26:EL26" si="146">SUM(EB23:EB25)</f>
        <v>6491.36969390169</v>
      </c>
      <c r="EC26" s="64">
        <f t="shared" si="146"/>
        <v>0</v>
      </c>
      <c r="ED26" s="64">
        <f t="shared" si="146"/>
        <v>0</v>
      </c>
      <c r="EE26" s="64">
        <f t="shared" si="146"/>
        <v>0</v>
      </c>
      <c r="EF26" s="64">
        <f t="shared" si="146"/>
        <v>0</v>
      </c>
      <c r="EG26" s="64">
        <f t="shared" si="146"/>
        <v>6642.7003318925208</v>
      </c>
      <c r="EH26" s="64">
        <f t="shared" si="146"/>
        <v>0</v>
      </c>
      <c r="EI26" s="64">
        <f t="shared" si="146"/>
        <v>0</v>
      </c>
      <c r="EJ26" s="64">
        <f t="shared" si="146"/>
        <v>0</v>
      </c>
      <c r="EK26" s="64">
        <f t="shared" si="146"/>
        <v>0</v>
      </c>
      <c r="EL26" s="64">
        <f t="shared" si="146"/>
        <v>6797.7524456460633</v>
      </c>
    </row>
    <row r="27" spans="1:142" outlineLevel="1">
      <c r="B27" s="9" t="s">
        <v>724</v>
      </c>
      <c r="BJ27" s="64"/>
      <c r="BK27" s="64"/>
      <c r="BL27" s="64"/>
      <c r="BM27" s="64"/>
      <c r="BN27" s="64"/>
      <c r="BO27" s="64"/>
      <c r="BP27" s="64"/>
      <c r="BQ27" s="64"/>
      <c r="BR27" s="64"/>
      <c r="BS27" s="64"/>
      <c r="BT27" s="64"/>
      <c r="BU27" s="64">
        <f t="shared" ref="BU27:CC28" si="147">BU26</f>
        <v>0</v>
      </c>
      <c r="BV27" s="64">
        <f t="shared" si="147"/>
        <v>0</v>
      </c>
      <c r="BW27" s="64">
        <f t="shared" si="147"/>
        <v>0</v>
      </c>
      <c r="BX27" s="64">
        <f t="shared" si="147"/>
        <v>0</v>
      </c>
      <c r="BY27" s="64">
        <f t="shared" si="147"/>
        <v>4165</v>
      </c>
      <c r="BZ27" s="64">
        <f t="shared" si="147"/>
        <v>0</v>
      </c>
      <c r="CA27" s="64">
        <f t="shared" si="147"/>
        <v>0</v>
      </c>
      <c r="CB27" s="64">
        <f t="shared" si="147"/>
        <v>0</v>
      </c>
      <c r="CC27" s="64">
        <f t="shared" si="147"/>
        <v>0</v>
      </c>
      <c r="CD27" s="64">
        <f>CD25+SUM(CD23:CD24)*(1-CD39)</f>
        <v>4014.4500000000003</v>
      </c>
      <c r="CE27" s="64">
        <f t="shared" ref="CE27:EL27" si="148">CE25+SUM(CE23:CE24)*(1-CE39)</f>
        <v>0</v>
      </c>
      <c r="CF27" s="64">
        <f t="shared" si="148"/>
        <v>0</v>
      </c>
      <c r="CG27" s="64">
        <f t="shared" si="148"/>
        <v>0</v>
      </c>
      <c r="CH27" s="64">
        <f t="shared" si="148"/>
        <v>0</v>
      </c>
      <c r="CI27" s="64">
        <f t="shared" si="148"/>
        <v>3971.8047500000002</v>
      </c>
      <c r="CJ27" s="64">
        <f t="shared" si="148"/>
        <v>0</v>
      </c>
      <c r="CK27" s="64">
        <f t="shared" si="148"/>
        <v>0</v>
      </c>
      <c r="CL27" s="64">
        <f t="shared" si="148"/>
        <v>0</v>
      </c>
      <c r="CM27" s="64">
        <f t="shared" si="148"/>
        <v>0</v>
      </c>
      <c r="CN27" s="64">
        <f t="shared" si="148"/>
        <v>3982.3752718749997</v>
      </c>
      <c r="CO27" s="64">
        <f t="shared" si="148"/>
        <v>0</v>
      </c>
      <c r="CP27" s="64">
        <f t="shared" si="148"/>
        <v>0</v>
      </c>
      <c r="CQ27" s="64">
        <f t="shared" si="148"/>
        <v>0</v>
      </c>
      <c r="CR27" s="64">
        <f t="shared" si="148"/>
        <v>0</v>
      </c>
      <c r="CS27" s="64">
        <f t="shared" si="148"/>
        <v>3941.3733452226566</v>
      </c>
      <c r="CT27" s="64">
        <f t="shared" si="148"/>
        <v>0</v>
      </c>
      <c r="CU27" s="64">
        <f t="shared" si="148"/>
        <v>0</v>
      </c>
      <c r="CV27" s="64">
        <f t="shared" si="148"/>
        <v>0</v>
      </c>
      <c r="CW27" s="64">
        <f t="shared" si="148"/>
        <v>0</v>
      </c>
      <c r="CX27" s="64">
        <f t="shared" si="148"/>
        <v>3860.658525514702</v>
      </c>
      <c r="CY27" s="64">
        <f t="shared" si="148"/>
        <v>0</v>
      </c>
      <c r="CZ27" s="64">
        <f t="shared" si="148"/>
        <v>0</v>
      </c>
      <c r="DA27" s="64">
        <f t="shared" si="148"/>
        <v>0</v>
      </c>
      <c r="DB27" s="64">
        <f t="shared" si="148"/>
        <v>0</v>
      </c>
      <c r="DC27" s="64">
        <f t="shared" si="148"/>
        <v>3727.8952464904223</v>
      </c>
      <c r="DD27" s="64">
        <f t="shared" si="148"/>
        <v>0</v>
      </c>
      <c r="DE27" s="64">
        <f t="shared" si="148"/>
        <v>0</v>
      </c>
      <c r="DF27" s="64">
        <f t="shared" si="148"/>
        <v>0</v>
      </c>
      <c r="DG27" s="64">
        <f t="shared" si="148"/>
        <v>0</v>
      </c>
      <c r="DH27" s="64">
        <f t="shared" si="148"/>
        <v>3491.7791391666078</v>
      </c>
      <c r="DI27" s="64">
        <f t="shared" si="148"/>
        <v>0</v>
      </c>
      <c r="DJ27" s="64">
        <f t="shared" si="148"/>
        <v>0</v>
      </c>
      <c r="DK27" s="64">
        <f t="shared" si="148"/>
        <v>0</v>
      </c>
      <c r="DL27" s="64">
        <f t="shared" si="148"/>
        <v>0</v>
      </c>
      <c r="DM27" s="64">
        <f t="shared" si="148"/>
        <v>3222.8310660181132</v>
      </c>
      <c r="DN27" s="64">
        <f t="shared" si="148"/>
        <v>0</v>
      </c>
      <c r="DO27" s="64">
        <f t="shared" si="148"/>
        <v>0</v>
      </c>
      <c r="DP27" s="64">
        <f t="shared" si="148"/>
        <v>0</v>
      </c>
      <c r="DQ27" s="64">
        <f t="shared" si="148"/>
        <v>0</v>
      </c>
      <c r="DR27" s="64">
        <f t="shared" si="148"/>
        <v>3091.5714625989003</v>
      </c>
      <c r="DS27" s="64">
        <f t="shared" si="148"/>
        <v>0</v>
      </c>
      <c r="DT27" s="64">
        <f t="shared" si="148"/>
        <v>0</v>
      </c>
      <c r="DU27" s="64">
        <f t="shared" si="148"/>
        <v>0</v>
      </c>
      <c r="DV27" s="64">
        <f t="shared" si="148"/>
        <v>0</v>
      </c>
      <c r="DW27" s="64">
        <f t="shared" si="148"/>
        <v>3033.7960701603456</v>
      </c>
      <c r="DX27" s="64">
        <f t="shared" si="148"/>
        <v>0</v>
      </c>
      <c r="DY27" s="64">
        <f t="shared" si="148"/>
        <v>0</v>
      </c>
      <c r="DZ27" s="64">
        <f t="shared" si="148"/>
        <v>0</v>
      </c>
      <c r="EA27" s="64">
        <f t="shared" si="148"/>
        <v>0</v>
      </c>
      <c r="EB27" s="64">
        <f t="shared" si="148"/>
        <v>2936.3756138735944</v>
      </c>
      <c r="EC27" s="64">
        <f t="shared" si="148"/>
        <v>0</v>
      </c>
      <c r="ED27" s="64">
        <f t="shared" si="148"/>
        <v>0</v>
      </c>
      <c r="EE27" s="64">
        <f t="shared" si="148"/>
        <v>0</v>
      </c>
      <c r="EF27" s="64">
        <f t="shared" si="148"/>
        <v>0</v>
      </c>
      <c r="EG27" s="64">
        <f t="shared" si="148"/>
        <v>2824.2999189489301</v>
      </c>
      <c r="EH27" s="64">
        <f t="shared" si="148"/>
        <v>0</v>
      </c>
      <c r="EI27" s="64">
        <f t="shared" si="148"/>
        <v>0</v>
      </c>
      <c r="EJ27" s="64">
        <f t="shared" si="148"/>
        <v>0</v>
      </c>
      <c r="EK27" s="64">
        <f t="shared" si="148"/>
        <v>0</v>
      </c>
      <c r="EL27" s="64">
        <f t="shared" si="148"/>
        <v>2696.2894480569707</v>
      </c>
    </row>
    <row r="28" spans="1:142" outlineLevel="1">
      <c r="B28" s="9" t="s">
        <v>725</v>
      </c>
      <c r="BJ28" s="64"/>
      <c r="BK28" s="64"/>
      <c r="BL28" s="64"/>
      <c r="BM28" s="64"/>
      <c r="BN28" s="64"/>
      <c r="BO28" s="64"/>
      <c r="BP28" s="64"/>
      <c r="BQ28" s="64"/>
      <c r="BR28" s="64"/>
      <c r="BS28" s="64"/>
      <c r="BT28" s="64"/>
      <c r="BU28" s="64">
        <f t="shared" si="147"/>
        <v>0</v>
      </c>
      <c r="BV28" s="64">
        <f t="shared" si="147"/>
        <v>0</v>
      </c>
      <c r="BW28" s="64">
        <f t="shared" si="147"/>
        <v>0</v>
      </c>
      <c r="BX28" s="64">
        <f t="shared" si="147"/>
        <v>0</v>
      </c>
      <c r="BY28" s="64">
        <f t="shared" si="147"/>
        <v>4165</v>
      </c>
      <c r="BZ28" s="64">
        <f t="shared" si="147"/>
        <v>0</v>
      </c>
      <c r="CA28" s="64">
        <f t="shared" si="147"/>
        <v>0</v>
      </c>
      <c r="CB28" s="64">
        <f t="shared" si="147"/>
        <v>0</v>
      </c>
      <c r="CC28" s="64">
        <f t="shared" si="147"/>
        <v>0</v>
      </c>
      <c r="CD28" s="64">
        <f>CD27*0.8</f>
        <v>3211.5600000000004</v>
      </c>
      <c r="CE28" s="64">
        <f t="shared" ref="CE28:EL28" si="149">CE27*0.8</f>
        <v>0</v>
      </c>
      <c r="CF28" s="64">
        <f t="shared" si="149"/>
        <v>0</v>
      </c>
      <c r="CG28" s="64">
        <f t="shared" si="149"/>
        <v>0</v>
      </c>
      <c r="CH28" s="64">
        <f t="shared" si="149"/>
        <v>0</v>
      </c>
      <c r="CI28" s="64">
        <f t="shared" si="149"/>
        <v>3177.4438000000005</v>
      </c>
      <c r="CJ28" s="64">
        <f t="shared" si="149"/>
        <v>0</v>
      </c>
      <c r="CK28" s="64">
        <f t="shared" si="149"/>
        <v>0</v>
      </c>
      <c r="CL28" s="64">
        <f t="shared" si="149"/>
        <v>0</v>
      </c>
      <c r="CM28" s="64">
        <f t="shared" si="149"/>
        <v>0</v>
      </c>
      <c r="CN28" s="64">
        <f t="shared" si="149"/>
        <v>3185.9002175000001</v>
      </c>
      <c r="CO28" s="64">
        <f t="shared" si="149"/>
        <v>0</v>
      </c>
      <c r="CP28" s="64">
        <f t="shared" si="149"/>
        <v>0</v>
      </c>
      <c r="CQ28" s="64">
        <f t="shared" si="149"/>
        <v>0</v>
      </c>
      <c r="CR28" s="64">
        <f t="shared" si="149"/>
        <v>0</v>
      </c>
      <c r="CS28" s="64">
        <f t="shared" si="149"/>
        <v>3153.0986761781255</v>
      </c>
      <c r="CT28" s="64">
        <f t="shared" si="149"/>
        <v>0</v>
      </c>
      <c r="CU28" s="64">
        <f t="shared" si="149"/>
        <v>0</v>
      </c>
      <c r="CV28" s="64">
        <f t="shared" si="149"/>
        <v>0</v>
      </c>
      <c r="CW28" s="64">
        <f t="shared" si="149"/>
        <v>0</v>
      </c>
      <c r="CX28" s="64">
        <f t="shared" si="149"/>
        <v>3088.5268204117619</v>
      </c>
      <c r="CY28" s="64">
        <f t="shared" si="149"/>
        <v>0</v>
      </c>
      <c r="CZ28" s="64">
        <f t="shared" si="149"/>
        <v>0</v>
      </c>
      <c r="DA28" s="64">
        <f t="shared" si="149"/>
        <v>0</v>
      </c>
      <c r="DB28" s="64">
        <f t="shared" si="149"/>
        <v>0</v>
      </c>
      <c r="DC28" s="64">
        <f t="shared" si="149"/>
        <v>2982.3161971923382</v>
      </c>
      <c r="DD28" s="64">
        <f t="shared" si="149"/>
        <v>0</v>
      </c>
      <c r="DE28" s="64">
        <f t="shared" si="149"/>
        <v>0</v>
      </c>
      <c r="DF28" s="64">
        <f t="shared" si="149"/>
        <v>0</v>
      </c>
      <c r="DG28" s="64">
        <f t="shared" si="149"/>
        <v>0</v>
      </c>
      <c r="DH28" s="64">
        <f t="shared" si="149"/>
        <v>2793.4233113332866</v>
      </c>
      <c r="DI28" s="64">
        <f t="shared" si="149"/>
        <v>0</v>
      </c>
      <c r="DJ28" s="64">
        <f t="shared" si="149"/>
        <v>0</v>
      </c>
      <c r="DK28" s="64">
        <f t="shared" si="149"/>
        <v>0</v>
      </c>
      <c r="DL28" s="64">
        <f t="shared" si="149"/>
        <v>0</v>
      </c>
      <c r="DM28" s="64">
        <f t="shared" si="149"/>
        <v>2578.264852814491</v>
      </c>
      <c r="DN28" s="64">
        <f t="shared" si="149"/>
        <v>0</v>
      </c>
      <c r="DO28" s="64">
        <f t="shared" si="149"/>
        <v>0</v>
      </c>
      <c r="DP28" s="64">
        <f t="shared" si="149"/>
        <v>0</v>
      </c>
      <c r="DQ28" s="64">
        <f t="shared" si="149"/>
        <v>0</v>
      </c>
      <c r="DR28" s="64">
        <f t="shared" si="149"/>
        <v>2473.2571700791204</v>
      </c>
      <c r="DS28" s="64">
        <f t="shared" si="149"/>
        <v>0</v>
      </c>
      <c r="DT28" s="64">
        <f t="shared" si="149"/>
        <v>0</v>
      </c>
      <c r="DU28" s="64">
        <f t="shared" si="149"/>
        <v>0</v>
      </c>
      <c r="DV28" s="64">
        <f t="shared" si="149"/>
        <v>0</v>
      </c>
      <c r="DW28" s="64">
        <f t="shared" si="149"/>
        <v>2427.0368561282767</v>
      </c>
      <c r="DX28" s="64">
        <f t="shared" si="149"/>
        <v>0</v>
      </c>
      <c r="DY28" s="64">
        <f t="shared" si="149"/>
        <v>0</v>
      </c>
      <c r="DZ28" s="64">
        <f t="shared" si="149"/>
        <v>0</v>
      </c>
      <c r="EA28" s="64">
        <f t="shared" si="149"/>
        <v>0</v>
      </c>
      <c r="EB28" s="64">
        <f t="shared" si="149"/>
        <v>2349.1004910988754</v>
      </c>
      <c r="EC28" s="64">
        <f t="shared" si="149"/>
        <v>0</v>
      </c>
      <c r="ED28" s="64">
        <f t="shared" si="149"/>
        <v>0</v>
      </c>
      <c r="EE28" s="64">
        <f t="shared" si="149"/>
        <v>0</v>
      </c>
      <c r="EF28" s="64">
        <f t="shared" si="149"/>
        <v>0</v>
      </c>
      <c r="EG28" s="64">
        <f t="shared" si="149"/>
        <v>2259.4399351591442</v>
      </c>
      <c r="EH28" s="64">
        <f t="shared" si="149"/>
        <v>0</v>
      </c>
      <c r="EI28" s="64">
        <f t="shared" si="149"/>
        <v>0</v>
      </c>
      <c r="EJ28" s="64">
        <f t="shared" si="149"/>
        <v>0</v>
      </c>
      <c r="EK28" s="64">
        <f t="shared" si="149"/>
        <v>0</v>
      </c>
      <c r="EL28" s="64">
        <f t="shared" si="149"/>
        <v>2157.0315584455766</v>
      </c>
    </row>
    <row r="29" spans="1:142">
      <c r="A29" s="412" t="s">
        <v>523</v>
      </c>
      <c r="B29" s="426" t="s">
        <v>562</v>
      </c>
      <c r="C29" s="426"/>
      <c r="D29" s="426"/>
      <c r="E29" s="426"/>
      <c r="F29" s="426"/>
      <c r="G29" s="426"/>
      <c r="H29" s="426"/>
      <c r="I29" s="426"/>
      <c r="J29" s="426"/>
      <c r="K29" s="426"/>
      <c r="L29" s="426"/>
      <c r="M29" s="426"/>
      <c r="N29" s="426"/>
      <c r="O29" s="426"/>
      <c r="P29" s="426"/>
      <c r="Q29" s="426"/>
      <c r="R29" s="426"/>
      <c r="S29" s="426"/>
      <c r="T29" s="426"/>
      <c r="U29" s="426"/>
      <c r="V29" s="426"/>
      <c r="W29" s="426"/>
      <c r="X29" s="426"/>
      <c r="Y29" s="426"/>
      <c r="Z29" s="426"/>
      <c r="AA29" s="426"/>
      <c r="AB29" s="426"/>
      <c r="AC29" s="426"/>
      <c r="AD29" s="426"/>
      <c r="AE29" s="426"/>
      <c r="AF29" s="426"/>
      <c r="AG29" s="426"/>
      <c r="AH29" s="426"/>
      <c r="AI29" s="426"/>
      <c r="AJ29" s="426"/>
      <c r="AK29" s="426"/>
      <c r="AL29" s="426"/>
      <c r="AM29" s="426"/>
      <c r="AN29" s="426"/>
      <c r="AO29" s="426"/>
      <c r="AP29" s="426"/>
      <c r="AQ29" s="426"/>
      <c r="AR29" s="426"/>
      <c r="AS29" s="426"/>
      <c r="AT29" s="426"/>
      <c r="AU29" s="426"/>
      <c r="AV29" s="426"/>
      <c r="AW29" s="426"/>
      <c r="AX29" s="426"/>
      <c r="AY29" s="426"/>
      <c r="AZ29" s="426"/>
      <c r="BA29" s="426"/>
      <c r="BB29" s="426"/>
      <c r="BC29" s="426"/>
      <c r="BD29" s="426"/>
      <c r="BE29" s="426"/>
      <c r="BF29" s="426"/>
      <c r="BG29" s="426"/>
      <c r="BH29" s="426"/>
      <c r="BI29" s="426"/>
      <c r="BJ29" s="413"/>
      <c r="BK29" s="414"/>
      <c r="BL29" s="414"/>
      <c r="BM29" s="414"/>
      <c r="BN29" s="414"/>
      <c r="BO29" s="413"/>
      <c r="BP29" s="413"/>
      <c r="BQ29" s="413"/>
      <c r="BR29" s="413"/>
      <c r="BS29" s="413"/>
      <c r="BT29" s="413"/>
      <c r="BU29" s="413">
        <f>CHOOSE(DCF!$C$28,BU26,BU27,BU28)</f>
        <v>0</v>
      </c>
      <c r="BV29" s="413">
        <f>CHOOSE(DCF!$C$28,BV26,BV27,BV28)</f>
        <v>0</v>
      </c>
      <c r="BW29" s="413">
        <f>CHOOSE(DCF!$C$28,BW26,BW27,BW28)</f>
        <v>0</v>
      </c>
      <c r="BX29" s="413">
        <f>CHOOSE(DCF!$C$28,BX26,BX27,BX28)</f>
        <v>0</v>
      </c>
      <c r="BY29" s="413">
        <f>CHOOSE(DCF!$C$28,BY26,BY27,BY28)</f>
        <v>4165</v>
      </c>
      <c r="BZ29" s="413">
        <f>CHOOSE(DCF!$C$28,BZ26,BZ27,BZ28)</f>
        <v>0</v>
      </c>
      <c r="CA29" s="413">
        <f>CHOOSE(DCF!$C$28,CA26,CA27,CA28)</f>
        <v>0</v>
      </c>
      <c r="CB29" s="413">
        <f>CHOOSE(DCF!$C$28,CB26,CB27,CB28)</f>
        <v>0</v>
      </c>
      <c r="CC29" s="413">
        <f>CHOOSE(DCF!$C$28,CC26,CC27,CC28)</f>
        <v>0</v>
      </c>
      <c r="CD29" s="413">
        <f>CHOOSE(DCF!$C$28,CD26,CD27,CD28)</f>
        <v>4014.4500000000003</v>
      </c>
      <c r="CE29" s="413">
        <f>CHOOSE(DCF!$C$28,CE26,CE27,CE28)</f>
        <v>0</v>
      </c>
      <c r="CF29" s="413">
        <f>CHOOSE(DCF!$C$28,CF26,CF27,CF28)</f>
        <v>0</v>
      </c>
      <c r="CG29" s="413">
        <f>CHOOSE(DCF!$C$28,CG26,CG27,CG28)</f>
        <v>0</v>
      </c>
      <c r="CH29" s="413">
        <f>CHOOSE(DCF!$C$28,CH26,CH27,CH28)</f>
        <v>0</v>
      </c>
      <c r="CI29" s="413">
        <f>CHOOSE(DCF!$C$28,CI26,CI27,CI28)</f>
        <v>3971.8047500000002</v>
      </c>
      <c r="CJ29" s="413">
        <f>CHOOSE(DCF!$C$28,CJ26,CJ27,CJ28)</f>
        <v>0</v>
      </c>
      <c r="CK29" s="413">
        <f>CHOOSE(DCF!$C$28,CK26,CK27,CK28)</f>
        <v>0</v>
      </c>
      <c r="CL29" s="413">
        <f>CHOOSE(DCF!$C$28,CL26,CL27,CL28)</f>
        <v>0</v>
      </c>
      <c r="CM29" s="413">
        <f>CHOOSE(DCF!$C$28,CM26,CM27,CM28)</f>
        <v>0</v>
      </c>
      <c r="CN29" s="413">
        <f>CHOOSE(DCF!$C$28,CN26,CN27,CN28)</f>
        <v>3982.3752718749997</v>
      </c>
      <c r="CO29" s="413">
        <f>CHOOSE(DCF!$C$28,CO26,CO27,CO28)</f>
        <v>0</v>
      </c>
      <c r="CP29" s="413">
        <f>CHOOSE(DCF!$C$28,CP26,CP27,CP28)</f>
        <v>0</v>
      </c>
      <c r="CQ29" s="413">
        <f>CHOOSE(DCF!$C$28,CQ26,CQ27,CQ28)</f>
        <v>0</v>
      </c>
      <c r="CR29" s="413">
        <f>CHOOSE(DCF!$C$28,CR26,CR27,CR28)</f>
        <v>0</v>
      </c>
      <c r="CS29" s="413">
        <f>CHOOSE(DCF!$C$28,CS26,CS27,CS28)</f>
        <v>3941.3733452226566</v>
      </c>
      <c r="CT29" s="413">
        <f>CHOOSE(DCF!$C$28,CT26,CT27,CT28)</f>
        <v>0</v>
      </c>
      <c r="CU29" s="413">
        <f>CHOOSE(DCF!$C$28,CU26,CU27,CU28)</f>
        <v>0</v>
      </c>
      <c r="CV29" s="413">
        <f>CHOOSE(DCF!$C$28,CV26,CV27,CV28)</f>
        <v>0</v>
      </c>
      <c r="CW29" s="413">
        <f>CHOOSE(DCF!$C$28,CW26,CW27,CW28)</f>
        <v>0</v>
      </c>
      <c r="CX29" s="413">
        <f>CHOOSE(DCF!$C$28,CX26,CX27,CX28)</f>
        <v>3860.658525514702</v>
      </c>
      <c r="CY29" s="413">
        <f>CHOOSE(DCF!$C$28,CY26,CY27,CY28)</f>
        <v>0</v>
      </c>
      <c r="CZ29" s="413">
        <f>CHOOSE(DCF!$C$28,CZ26,CZ27,CZ28)</f>
        <v>0</v>
      </c>
      <c r="DA29" s="413">
        <f>CHOOSE(DCF!$C$28,DA26,DA27,DA28)</f>
        <v>0</v>
      </c>
      <c r="DB29" s="413">
        <f>CHOOSE(DCF!$C$28,DB26,DB27,DB28)</f>
        <v>0</v>
      </c>
      <c r="DC29" s="413">
        <f>CHOOSE(DCF!$C$28,DC26,DC27,DC28)</f>
        <v>3727.8952464904223</v>
      </c>
      <c r="DD29" s="413">
        <f>CHOOSE(DCF!$C$28,DD26,DD27,DD28)</f>
        <v>0</v>
      </c>
      <c r="DE29" s="413">
        <f>CHOOSE(DCF!$C$28,DE26,DE27,DE28)</f>
        <v>0</v>
      </c>
      <c r="DF29" s="413">
        <f>CHOOSE(DCF!$C$28,DF26,DF27,DF28)</f>
        <v>0</v>
      </c>
      <c r="DG29" s="413">
        <f>CHOOSE(DCF!$C$28,DG26,DG27,DG28)</f>
        <v>0</v>
      </c>
      <c r="DH29" s="413">
        <f>CHOOSE(DCF!$C$28,DH26,DH27,DH28)</f>
        <v>3491.7791391666078</v>
      </c>
      <c r="DI29" s="413">
        <f>CHOOSE(DCF!$C$28,DI26,DI27,DI28)</f>
        <v>0</v>
      </c>
      <c r="DJ29" s="413">
        <f>CHOOSE(DCF!$C$28,DJ26,DJ27,DJ28)</f>
        <v>0</v>
      </c>
      <c r="DK29" s="413">
        <f>CHOOSE(DCF!$C$28,DK26,DK27,DK28)</f>
        <v>0</v>
      </c>
      <c r="DL29" s="413">
        <f>CHOOSE(DCF!$C$28,DL26,DL27,DL28)</f>
        <v>0</v>
      </c>
      <c r="DM29" s="413">
        <f>CHOOSE(DCF!$C$28,DM26,DM27,DM28)</f>
        <v>3222.8310660181132</v>
      </c>
      <c r="DN29" s="413">
        <f>CHOOSE(DCF!$C$28,DN26,DN27,DN28)</f>
        <v>0</v>
      </c>
      <c r="DO29" s="413">
        <f>CHOOSE(DCF!$C$28,DO26,DO27,DO28)</f>
        <v>0</v>
      </c>
      <c r="DP29" s="413">
        <f>CHOOSE(DCF!$C$28,DP26,DP27,DP28)</f>
        <v>0</v>
      </c>
      <c r="DQ29" s="413">
        <f>CHOOSE(DCF!$C$28,DQ26,DQ27,DQ28)</f>
        <v>0</v>
      </c>
      <c r="DR29" s="413">
        <f>CHOOSE(DCF!$C$28,DR26,DR27,DR28)</f>
        <v>3091.5714625989003</v>
      </c>
      <c r="DS29" s="413">
        <f>CHOOSE(DCF!$C$28,DS26,DS27,DS28)</f>
        <v>0</v>
      </c>
      <c r="DT29" s="413">
        <f>CHOOSE(DCF!$C$28,DT26,DT27,DT28)</f>
        <v>0</v>
      </c>
      <c r="DU29" s="413">
        <f>CHOOSE(DCF!$C$28,DU26,DU27,DU28)</f>
        <v>0</v>
      </c>
      <c r="DV29" s="413">
        <f>CHOOSE(DCF!$C$28,DV26,DV27,DV28)</f>
        <v>0</v>
      </c>
      <c r="DW29" s="413">
        <f>CHOOSE(DCF!$C$28,DW26,DW27,DW28)</f>
        <v>3033.7960701603456</v>
      </c>
      <c r="DX29" s="413">
        <f>CHOOSE(DCF!$C$28,DX26,DX27,DX28)</f>
        <v>0</v>
      </c>
      <c r="DY29" s="413">
        <f>CHOOSE(DCF!$C$28,DY26,DY27,DY28)</f>
        <v>0</v>
      </c>
      <c r="DZ29" s="413">
        <f>CHOOSE(DCF!$C$28,DZ26,DZ27,DZ28)</f>
        <v>0</v>
      </c>
      <c r="EA29" s="413">
        <f>CHOOSE(DCF!$C$28,EA26,EA27,EA28)</f>
        <v>0</v>
      </c>
      <c r="EB29" s="413">
        <f>CHOOSE(DCF!$C$28,EB26,EB27,EB28)</f>
        <v>2936.3756138735944</v>
      </c>
      <c r="EC29" s="413">
        <f>CHOOSE(DCF!$C$28,EC26,EC27,EC28)</f>
        <v>0</v>
      </c>
      <c r="ED29" s="413">
        <f>CHOOSE(DCF!$C$28,ED26,ED27,ED28)</f>
        <v>0</v>
      </c>
      <c r="EE29" s="413">
        <f>CHOOSE(DCF!$C$28,EE26,EE27,EE28)</f>
        <v>0</v>
      </c>
      <c r="EF29" s="413">
        <f>CHOOSE(DCF!$C$28,EF26,EF27,EF28)</f>
        <v>0</v>
      </c>
      <c r="EG29" s="413">
        <f>CHOOSE(DCF!$C$28,EG26,EG27,EG28)</f>
        <v>2824.2999189489301</v>
      </c>
      <c r="EH29" s="413">
        <f>CHOOSE(DCF!$C$28,EH26,EH27,EH28)</f>
        <v>0</v>
      </c>
      <c r="EI29" s="413">
        <f>CHOOSE(DCF!$C$28,EI26,EI27,EI28)</f>
        <v>0</v>
      </c>
      <c r="EJ29" s="413">
        <f>CHOOSE(DCF!$C$28,EJ26,EJ27,EJ28)</f>
        <v>0</v>
      </c>
      <c r="EK29" s="413">
        <f>CHOOSE(DCF!$C$28,EK26,EK27,EK28)</f>
        <v>0</v>
      </c>
      <c r="EL29" s="413">
        <f>CHOOSE(DCF!$C$28,EL26,EL27,EL28)</f>
        <v>2696.2894480569707</v>
      </c>
    </row>
    <row r="31" spans="1:142">
      <c r="BF31" s="68"/>
    </row>
    <row r="32" spans="1:142">
      <c r="B32" s="1" t="s">
        <v>809</v>
      </c>
    </row>
    <row r="33" spans="2:142">
      <c r="B33" s="1" t="s">
        <v>816</v>
      </c>
      <c r="BV33" s="1">
        <v>191</v>
      </c>
      <c r="BW33" s="1">
        <v>306</v>
      </c>
      <c r="BX33" s="64">
        <v>350</v>
      </c>
      <c r="BY33" s="64">
        <f>SUM(BU33:BX33)</f>
        <v>847</v>
      </c>
      <c r="BZ33" s="64">
        <v>360</v>
      </c>
      <c r="CA33" s="64">
        <v>360</v>
      </c>
      <c r="CB33" s="64">
        <v>365</v>
      </c>
      <c r="CC33" s="64">
        <f>CD33-SUM(BZ33:CB33)</f>
        <v>371.99424727698738</v>
      </c>
      <c r="CD33" s="64">
        <f>'US MS Market Model'!L162</f>
        <v>1456.9942472769874</v>
      </c>
      <c r="CE33" s="64"/>
      <c r="CF33" s="64"/>
      <c r="CG33" s="64"/>
      <c r="CH33" s="64"/>
      <c r="CI33" s="64">
        <f>'US MS Market Model'!M162</f>
        <v>2103.6803730934689</v>
      </c>
      <c r="CJ33" s="64"/>
      <c r="CK33" s="64"/>
      <c r="CL33" s="64"/>
      <c r="CM33" s="64"/>
      <c r="CN33" s="64">
        <f>'US MS Market Model'!N162</f>
        <v>2841.1887485099478</v>
      </c>
      <c r="CO33" s="64"/>
      <c r="CP33" s="64"/>
      <c r="CQ33" s="64"/>
      <c r="CR33" s="64"/>
      <c r="CS33" s="64">
        <f>'US MS Market Model'!O162</f>
        <v>3488.3552808855648</v>
      </c>
      <c r="CT33" s="64"/>
      <c r="CU33" s="64"/>
      <c r="CV33" s="64"/>
      <c r="CW33" s="64"/>
      <c r="CX33" s="64">
        <f>'US MS Market Model'!P162</f>
        <v>3947.380170661319</v>
      </c>
      <c r="CY33" s="64"/>
      <c r="CZ33" s="64"/>
      <c r="DA33" s="64"/>
      <c r="DB33" s="64"/>
      <c r="DC33" s="64">
        <f>'US MS Market Model'!Q162</f>
        <v>4232.7732341091978</v>
      </c>
      <c r="DD33" s="64"/>
      <c r="DE33" s="64"/>
      <c r="DF33" s="64"/>
      <c r="DG33" s="64"/>
      <c r="DH33" s="64">
        <f>'US MS Market Model'!R162</f>
        <v>4541.2960965482353</v>
      </c>
      <c r="DI33" s="64"/>
      <c r="DJ33" s="64"/>
      <c r="DK33" s="64"/>
      <c r="DL33" s="64"/>
      <c r="DM33" s="64">
        <f>'US MS Market Model'!S162</f>
        <v>4768.3170420131883</v>
      </c>
      <c r="DR33" s="64">
        <f>'US MS Market Model'!T162</f>
        <v>5006.6700214306784</v>
      </c>
      <c r="DS33" s="64"/>
      <c r="DT33" s="64"/>
      <c r="DU33" s="64"/>
      <c r="DV33" s="64"/>
      <c r="DW33" s="64">
        <f>'US MS Market Model'!U162</f>
        <v>5256.9199100474571</v>
      </c>
      <c r="DX33" s="64"/>
      <c r="DY33" s="64"/>
      <c r="DZ33" s="64"/>
      <c r="EA33" s="64"/>
      <c r="EB33" s="64">
        <f>'US MS Market Model'!V162</f>
        <v>5519.6597048330432</v>
      </c>
      <c r="EC33" s="64"/>
      <c r="ED33" s="64"/>
      <c r="EE33" s="64"/>
      <c r="EF33" s="64"/>
      <c r="EG33" s="64">
        <f>'US MS Market Model'!W162</f>
        <v>5795.5119228226658</v>
      </c>
      <c r="EH33" s="64"/>
      <c r="EI33" s="64"/>
      <c r="EJ33" s="64"/>
      <c r="EK33" s="64"/>
      <c r="EL33" s="64">
        <f>'US MS Market Model'!X162</f>
        <v>6085.1300689149275</v>
      </c>
    </row>
    <row r="34" spans="2:142">
      <c r="B34" s="1" t="s">
        <v>819</v>
      </c>
      <c r="BV34" s="68">
        <v>0.16</v>
      </c>
      <c r="BW34" s="68">
        <v>0.21249999999999999</v>
      </c>
      <c r="BX34" s="68">
        <f>BW34</f>
        <v>0.21249999999999999</v>
      </c>
      <c r="BY34" s="71">
        <f>L43</f>
        <v>0.16</v>
      </c>
      <c r="BZ34" s="71">
        <v>0.21</v>
      </c>
      <c r="CA34" s="71">
        <v>0.21</v>
      </c>
      <c r="CB34" s="71">
        <v>0.22500000000000001</v>
      </c>
      <c r="CC34" s="71">
        <v>0.24</v>
      </c>
      <c r="CD34" s="71">
        <f>SUM(BZ40:CC40)/CD33</f>
        <v>0.22141722244229781</v>
      </c>
      <c r="CI34" s="71">
        <f>L46</f>
        <v>0.24</v>
      </c>
      <c r="CN34" s="71">
        <f>CI34</f>
        <v>0.24</v>
      </c>
      <c r="CS34" s="71">
        <f>CN34</f>
        <v>0.24</v>
      </c>
      <c r="CX34" s="71">
        <f>CS34</f>
        <v>0.24</v>
      </c>
      <c r="DC34" s="71">
        <f>CX34</f>
        <v>0.24</v>
      </c>
      <c r="DH34" s="71">
        <f>DC34</f>
        <v>0.24</v>
      </c>
      <c r="DM34" s="71">
        <f>DH34</f>
        <v>0.24</v>
      </c>
      <c r="DR34" s="71">
        <f>DM34</f>
        <v>0.24</v>
      </c>
      <c r="DW34" s="71">
        <f>DR34</f>
        <v>0.24</v>
      </c>
      <c r="EB34" s="71">
        <f>DW34</f>
        <v>0.24</v>
      </c>
      <c r="EG34" s="71">
        <f>EB34</f>
        <v>0.24</v>
      </c>
      <c r="EL34" s="71">
        <f>EG34</f>
        <v>0.24</v>
      </c>
    </row>
    <row r="35" spans="2:142">
      <c r="B35" s="1" t="s">
        <v>823</v>
      </c>
      <c r="BV35" s="1">
        <v>1</v>
      </c>
      <c r="BW35" s="1">
        <v>2</v>
      </c>
      <c r="BX35" s="64">
        <f>BY35-BV35-BW35</f>
        <v>87.52383521663215</v>
      </c>
      <c r="BY35" s="64">
        <f>'ROW MS Market Model'!K162</f>
        <v>90.52383521663215</v>
      </c>
      <c r="BZ35" s="64">
        <v>90</v>
      </c>
      <c r="CA35" s="64">
        <v>91</v>
      </c>
      <c r="CB35" s="64">
        <v>91</v>
      </c>
      <c r="CC35" s="64">
        <f>CD35-SUM(BZ35:CB35)</f>
        <v>105.28431730118882</v>
      </c>
      <c r="CD35" s="64">
        <f>'ROW MS Market Model'!L162</f>
        <v>377.28431730118882</v>
      </c>
      <c r="CE35" s="64"/>
      <c r="CF35" s="64"/>
      <c r="CG35" s="64"/>
      <c r="CH35" s="64"/>
      <c r="CI35" s="64">
        <f>'ROW MS Market Model'!M162</f>
        <v>685.756326995726</v>
      </c>
      <c r="CJ35" s="64"/>
      <c r="CK35" s="64"/>
      <c r="CL35" s="64"/>
      <c r="CM35" s="64"/>
      <c r="CN35" s="64">
        <f>'ROW MS Market Model'!N162</f>
        <v>959.81690475100743</v>
      </c>
      <c r="CO35" s="64"/>
      <c r="CP35" s="64"/>
      <c r="CQ35" s="64"/>
      <c r="CR35" s="64"/>
      <c r="CS35" s="64">
        <f>'ROW MS Market Model'!O162</f>
        <v>1244.3905313759485</v>
      </c>
      <c r="CT35" s="64"/>
      <c r="CU35" s="64"/>
      <c r="CV35" s="64"/>
      <c r="CW35" s="64"/>
      <c r="CX35" s="64">
        <f>'ROW MS Market Model'!P162</f>
        <v>1781.2849059274781</v>
      </c>
      <c r="CY35" s="64"/>
      <c r="CZ35" s="64"/>
      <c r="DA35" s="64"/>
      <c r="DB35" s="64"/>
      <c r="DC35" s="64">
        <f>'ROW MS Market Model'!Q162</f>
        <v>1814.8673654561755</v>
      </c>
      <c r="DD35" s="64"/>
      <c r="DE35" s="64"/>
      <c r="DF35" s="64"/>
      <c r="DG35" s="64"/>
      <c r="DH35" s="64">
        <f>'ROW MS Market Model'!R162</f>
        <v>1863.0435878144053</v>
      </c>
      <c r="DI35" s="64"/>
      <c r="DJ35" s="64"/>
      <c r="DK35" s="64"/>
      <c r="DL35" s="64"/>
      <c r="DM35" s="64">
        <f>'ROW MS Market Model'!S162</f>
        <v>1904.029804628319</v>
      </c>
      <c r="DR35" s="64">
        <f>'ROW MS Market Model'!T162</f>
        <v>1957.5953302073156</v>
      </c>
      <c r="DS35" s="64"/>
      <c r="DT35" s="64"/>
      <c r="DU35" s="64"/>
      <c r="DV35" s="64"/>
      <c r="DW35" s="64">
        <f>'ROW MS Market Model'!U162</f>
        <v>2015.7931101056593</v>
      </c>
      <c r="DX35" s="64"/>
      <c r="DY35" s="64"/>
      <c r="DZ35" s="64"/>
      <c r="EA35" s="64"/>
      <c r="EB35" s="64">
        <f>'ROW MS Market Model'!V162</f>
        <v>2059.1352837178101</v>
      </c>
      <c r="EC35" s="64"/>
      <c r="ED35" s="64"/>
      <c r="EE35" s="64"/>
      <c r="EF35" s="64"/>
      <c r="EG35" s="64">
        <f>'ROW MS Market Model'!W162</f>
        <v>2102.2063341347798</v>
      </c>
      <c r="EH35" s="64"/>
      <c r="EI35" s="64"/>
      <c r="EJ35" s="64"/>
      <c r="EK35" s="64"/>
      <c r="EL35" s="64">
        <f>'ROW MS Market Model'!X162</f>
        <v>2150.1869481106487</v>
      </c>
    </row>
    <row r="36" spans="2:142">
      <c r="B36" s="1" t="s">
        <v>819</v>
      </c>
      <c r="BV36" s="71">
        <f>BY36</f>
        <v>0.03</v>
      </c>
      <c r="BW36" s="71">
        <f>BV36</f>
        <v>0.03</v>
      </c>
      <c r="BX36" s="71">
        <f>BW36</f>
        <v>0.03</v>
      </c>
      <c r="BY36" s="71">
        <v>0.03</v>
      </c>
      <c r="BZ36" s="71">
        <f>CD36</f>
        <v>0.03</v>
      </c>
      <c r="CA36" s="71">
        <f>CD36</f>
        <v>0.03</v>
      </c>
      <c r="CB36" s="71">
        <f>CD36</f>
        <v>0.03</v>
      </c>
      <c r="CC36" s="71">
        <f>CD36</f>
        <v>0.03</v>
      </c>
      <c r="CD36" s="71">
        <f>BY36</f>
        <v>0.03</v>
      </c>
      <c r="CE36" s="71">
        <f t="shared" ref="CE36:EL36" si="150">BZ36</f>
        <v>0.03</v>
      </c>
      <c r="CF36" s="71">
        <f t="shared" si="150"/>
        <v>0.03</v>
      </c>
      <c r="CG36" s="71">
        <f t="shared" si="150"/>
        <v>0.03</v>
      </c>
      <c r="CH36" s="71">
        <f t="shared" si="150"/>
        <v>0.03</v>
      </c>
      <c r="CI36" s="71">
        <f t="shared" si="150"/>
        <v>0.03</v>
      </c>
      <c r="CJ36" s="71">
        <f t="shared" si="150"/>
        <v>0.03</v>
      </c>
      <c r="CK36" s="71">
        <f t="shared" si="150"/>
        <v>0.03</v>
      </c>
      <c r="CL36" s="71">
        <f t="shared" si="150"/>
        <v>0.03</v>
      </c>
      <c r="CM36" s="71">
        <f t="shared" si="150"/>
        <v>0.03</v>
      </c>
      <c r="CN36" s="71">
        <f t="shared" si="150"/>
        <v>0.03</v>
      </c>
      <c r="CO36" s="71">
        <f t="shared" si="150"/>
        <v>0.03</v>
      </c>
      <c r="CP36" s="71">
        <f t="shared" si="150"/>
        <v>0.03</v>
      </c>
      <c r="CQ36" s="71">
        <f t="shared" si="150"/>
        <v>0.03</v>
      </c>
      <c r="CR36" s="71">
        <f t="shared" si="150"/>
        <v>0.03</v>
      </c>
      <c r="CS36" s="71">
        <f t="shared" si="150"/>
        <v>0.03</v>
      </c>
      <c r="CT36" s="71">
        <f t="shared" si="150"/>
        <v>0.03</v>
      </c>
      <c r="CU36" s="71">
        <f t="shared" si="150"/>
        <v>0.03</v>
      </c>
      <c r="CV36" s="71">
        <f t="shared" si="150"/>
        <v>0.03</v>
      </c>
      <c r="CW36" s="71">
        <f t="shared" si="150"/>
        <v>0.03</v>
      </c>
      <c r="CX36" s="71">
        <f t="shared" si="150"/>
        <v>0.03</v>
      </c>
      <c r="CY36" s="71">
        <f t="shared" si="150"/>
        <v>0.03</v>
      </c>
      <c r="CZ36" s="71">
        <f t="shared" si="150"/>
        <v>0.03</v>
      </c>
      <c r="DA36" s="71">
        <f t="shared" si="150"/>
        <v>0.03</v>
      </c>
      <c r="DB36" s="71">
        <f t="shared" si="150"/>
        <v>0.03</v>
      </c>
      <c r="DC36" s="71">
        <f t="shared" si="150"/>
        <v>0.03</v>
      </c>
      <c r="DD36" s="71">
        <f t="shared" si="150"/>
        <v>0.03</v>
      </c>
      <c r="DE36" s="71">
        <f t="shared" si="150"/>
        <v>0.03</v>
      </c>
      <c r="DF36" s="71">
        <f t="shared" si="150"/>
        <v>0.03</v>
      </c>
      <c r="DG36" s="71">
        <f t="shared" si="150"/>
        <v>0.03</v>
      </c>
      <c r="DH36" s="71">
        <f t="shared" si="150"/>
        <v>0.03</v>
      </c>
      <c r="DI36" s="71">
        <f t="shared" si="150"/>
        <v>0.03</v>
      </c>
      <c r="DJ36" s="71">
        <f t="shared" si="150"/>
        <v>0.03</v>
      </c>
      <c r="DK36" s="71">
        <f t="shared" si="150"/>
        <v>0.03</v>
      </c>
      <c r="DL36" s="71">
        <f t="shared" si="150"/>
        <v>0.03</v>
      </c>
      <c r="DM36" s="71">
        <f t="shared" si="150"/>
        <v>0.03</v>
      </c>
      <c r="DN36" s="71">
        <f t="shared" si="150"/>
        <v>0.03</v>
      </c>
      <c r="DO36" s="71">
        <f t="shared" si="150"/>
        <v>0.03</v>
      </c>
      <c r="DP36" s="71">
        <f t="shared" si="150"/>
        <v>0.03</v>
      </c>
      <c r="DQ36" s="71">
        <f t="shared" si="150"/>
        <v>0.03</v>
      </c>
      <c r="DR36" s="71">
        <f t="shared" si="150"/>
        <v>0.03</v>
      </c>
      <c r="DS36" s="71">
        <f t="shared" si="150"/>
        <v>0.03</v>
      </c>
      <c r="DT36" s="71">
        <f t="shared" si="150"/>
        <v>0.03</v>
      </c>
      <c r="DU36" s="71">
        <f t="shared" si="150"/>
        <v>0.03</v>
      </c>
      <c r="DV36" s="71">
        <f t="shared" si="150"/>
        <v>0.03</v>
      </c>
      <c r="DW36" s="71">
        <f t="shared" si="150"/>
        <v>0.03</v>
      </c>
      <c r="DX36" s="71">
        <f t="shared" si="150"/>
        <v>0.03</v>
      </c>
      <c r="DY36" s="71">
        <f t="shared" si="150"/>
        <v>0.03</v>
      </c>
      <c r="DZ36" s="71">
        <f t="shared" si="150"/>
        <v>0.03</v>
      </c>
      <c r="EA36" s="71">
        <f t="shared" si="150"/>
        <v>0.03</v>
      </c>
      <c r="EB36" s="71">
        <f t="shared" si="150"/>
        <v>0.03</v>
      </c>
      <c r="EC36" s="71">
        <f t="shared" si="150"/>
        <v>0.03</v>
      </c>
      <c r="ED36" s="71">
        <f t="shared" si="150"/>
        <v>0.03</v>
      </c>
      <c r="EE36" s="71">
        <f t="shared" si="150"/>
        <v>0.03</v>
      </c>
      <c r="EF36" s="71">
        <f t="shared" si="150"/>
        <v>0.03</v>
      </c>
      <c r="EG36" s="71">
        <f t="shared" si="150"/>
        <v>0.03</v>
      </c>
      <c r="EH36" s="71">
        <f t="shared" si="150"/>
        <v>0.03</v>
      </c>
      <c r="EI36" s="71">
        <f t="shared" si="150"/>
        <v>0.03</v>
      </c>
      <c r="EJ36" s="71">
        <f t="shared" si="150"/>
        <v>0.03</v>
      </c>
      <c r="EK36" s="71">
        <f t="shared" si="150"/>
        <v>0.03</v>
      </c>
      <c r="EL36" s="71">
        <f t="shared" si="150"/>
        <v>0.03</v>
      </c>
    </row>
    <row r="37" spans="2:142" s="4" customFormat="1" ht="13.5" thickBot="1">
      <c r="B37" s="427" t="s">
        <v>820</v>
      </c>
      <c r="C37" s="427"/>
      <c r="D37" s="427"/>
      <c r="E37" s="427"/>
      <c r="F37" s="427"/>
      <c r="G37" s="427"/>
      <c r="H37" s="427"/>
      <c r="I37" s="427"/>
      <c r="J37" s="427"/>
      <c r="K37" s="427"/>
      <c r="L37" s="427"/>
      <c r="M37" s="427"/>
      <c r="N37" s="427"/>
      <c r="O37" s="427"/>
      <c r="P37" s="427"/>
      <c r="Q37" s="427"/>
      <c r="R37" s="427"/>
      <c r="S37" s="427"/>
      <c r="T37" s="427"/>
      <c r="U37" s="427"/>
      <c r="V37" s="427"/>
      <c r="W37" s="427"/>
      <c r="X37" s="427"/>
      <c r="Y37" s="427"/>
      <c r="Z37" s="427"/>
      <c r="AA37" s="427"/>
      <c r="AB37" s="427"/>
      <c r="AC37" s="427"/>
      <c r="AD37" s="427"/>
      <c r="AE37" s="427"/>
      <c r="AF37" s="427"/>
      <c r="AG37" s="427"/>
      <c r="AH37" s="427"/>
      <c r="AI37" s="427"/>
      <c r="AJ37" s="427"/>
      <c r="AK37" s="427"/>
      <c r="AL37" s="427"/>
      <c r="AM37" s="427"/>
      <c r="AN37" s="427"/>
      <c r="AO37" s="427"/>
      <c r="AP37" s="427"/>
      <c r="AQ37" s="427"/>
      <c r="AR37" s="427"/>
      <c r="AS37" s="427"/>
      <c r="AT37" s="427"/>
      <c r="AU37" s="427"/>
      <c r="AV37" s="427"/>
      <c r="AW37" s="427"/>
      <c r="AX37" s="427"/>
      <c r="AY37" s="427"/>
      <c r="AZ37" s="427"/>
      <c r="BA37" s="427"/>
      <c r="BB37" s="427"/>
      <c r="BC37" s="427"/>
      <c r="BD37" s="427">
        <f>1.9+834</f>
        <v>835.9</v>
      </c>
      <c r="BE37" s="427"/>
      <c r="BF37" s="427"/>
      <c r="BG37" s="427"/>
      <c r="BH37" s="427"/>
      <c r="BI37" s="427"/>
      <c r="BJ37" s="427"/>
      <c r="BK37" s="427"/>
      <c r="BL37" s="427"/>
      <c r="BM37" s="427"/>
      <c r="BN37" s="427"/>
      <c r="BO37" s="427"/>
      <c r="BP37" s="427"/>
      <c r="BQ37" s="427"/>
      <c r="BR37" s="427"/>
      <c r="BS37" s="427"/>
      <c r="BT37" s="427"/>
      <c r="BU37" s="427"/>
      <c r="BV37" s="522">
        <f>BY37-BW37-BX37</f>
        <v>16.914284943501045</v>
      </c>
      <c r="BW37" s="522">
        <f t="shared" ref="BW37:BX37" si="151">BW33*BW34+BW35*BW36</f>
        <v>65.084999999999994</v>
      </c>
      <c r="BX37" s="522">
        <f t="shared" si="151"/>
        <v>77.000715056498962</v>
      </c>
      <c r="BY37" s="534">
        <v>159</v>
      </c>
      <c r="BZ37" s="534">
        <v>77</v>
      </c>
      <c r="CA37" s="283">
        <f t="shared" ref="CA37:EK37" si="152">CA34*CA33+CA35*CA36</f>
        <v>78.33</v>
      </c>
      <c r="CB37" s="283">
        <f t="shared" si="152"/>
        <v>84.855000000000004</v>
      </c>
      <c r="CC37" s="283">
        <f t="shared" si="152"/>
        <v>92.43714886551264</v>
      </c>
      <c r="CD37" s="283">
        <f>SUM(BZ37:CC37)</f>
        <v>332.62214886551266</v>
      </c>
      <c r="CE37" s="283">
        <f t="shared" si="152"/>
        <v>0</v>
      </c>
      <c r="CF37" s="283">
        <f t="shared" si="152"/>
        <v>0</v>
      </c>
      <c r="CG37" s="283">
        <f t="shared" si="152"/>
        <v>0</v>
      </c>
      <c r="CH37" s="283">
        <f t="shared" si="152"/>
        <v>0</v>
      </c>
      <c r="CI37" s="283">
        <f t="shared" si="152"/>
        <v>525.45597935230433</v>
      </c>
      <c r="CJ37" s="283">
        <f t="shared" si="152"/>
        <v>0</v>
      </c>
      <c r="CK37" s="283">
        <f t="shared" si="152"/>
        <v>0</v>
      </c>
      <c r="CL37" s="283">
        <f t="shared" si="152"/>
        <v>0</v>
      </c>
      <c r="CM37" s="283">
        <f t="shared" si="152"/>
        <v>0</v>
      </c>
      <c r="CN37" s="283">
        <f t="shared" si="152"/>
        <v>710.67980678491767</v>
      </c>
      <c r="CO37" s="283">
        <f t="shared" si="152"/>
        <v>0</v>
      </c>
      <c r="CP37" s="283">
        <f t="shared" si="152"/>
        <v>0</v>
      </c>
      <c r="CQ37" s="283">
        <f t="shared" si="152"/>
        <v>0</v>
      </c>
      <c r="CR37" s="283">
        <f t="shared" si="152"/>
        <v>0</v>
      </c>
      <c r="CS37" s="283">
        <f t="shared" si="152"/>
        <v>874.53698335381398</v>
      </c>
      <c r="CT37" s="283">
        <f t="shared" si="152"/>
        <v>0</v>
      </c>
      <c r="CU37" s="283">
        <f t="shared" si="152"/>
        <v>0</v>
      </c>
      <c r="CV37" s="283">
        <f t="shared" si="152"/>
        <v>0</v>
      </c>
      <c r="CW37" s="283">
        <f t="shared" si="152"/>
        <v>0</v>
      </c>
      <c r="CX37" s="283">
        <f t="shared" si="152"/>
        <v>1000.8097881365409</v>
      </c>
      <c r="CY37" s="283">
        <f t="shared" si="152"/>
        <v>0</v>
      </c>
      <c r="CZ37" s="283">
        <f t="shared" si="152"/>
        <v>0</v>
      </c>
      <c r="DA37" s="283">
        <f t="shared" si="152"/>
        <v>0</v>
      </c>
      <c r="DB37" s="283">
        <f t="shared" si="152"/>
        <v>0</v>
      </c>
      <c r="DC37" s="283">
        <f t="shared" si="152"/>
        <v>1070.3115971498928</v>
      </c>
      <c r="DD37" s="283">
        <f t="shared" si="152"/>
        <v>0</v>
      </c>
      <c r="DE37" s="283">
        <f t="shared" si="152"/>
        <v>0</v>
      </c>
      <c r="DF37" s="283">
        <f t="shared" si="152"/>
        <v>0</v>
      </c>
      <c r="DG37" s="283">
        <f t="shared" si="152"/>
        <v>0</v>
      </c>
      <c r="DH37" s="283">
        <f t="shared" si="152"/>
        <v>1145.8023708060086</v>
      </c>
      <c r="DI37" s="283">
        <f t="shared" si="152"/>
        <v>0</v>
      </c>
      <c r="DJ37" s="283">
        <f t="shared" si="152"/>
        <v>0</v>
      </c>
      <c r="DK37" s="283">
        <f t="shared" si="152"/>
        <v>0</v>
      </c>
      <c r="DL37" s="283">
        <f t="shared" si="152"/>
        <v>0</v>
      </c>
      <c r="DM37" s="283">
        <f t="shared" si="152"/>
        <v>1201.5169842220146</v>
      </c>
      <c r="DN37" s="283">
        <f t="shared" si="152"/>
        <v>0</v>
      </c>
      <c r="DO37" s="283">
        <f t="shared" si="152"/>
        <v>0</v>
      </c>
      <c r="DP37" s="283">
        <f t="shared" si="152"/>
        <v>0</v>
      </c>
      <c r="DQ37" s="283">
        <f t="shared" si="152"/>
        <v>0</v>
      </c>
      <c r="DR37" s="283">
        <f t="shared" si="152"/>
        <v>1260.3286650495822</v>
      </c>
      <c r="DS37" s="283">
        <f t="shared" si="152"/>
        <v>0</v>
      </c>
      <c r="DT37" s="283">
        <f t="shared" si="152"/>
        <v>0</v>
      </c>
      <c r="DU37" s="283">
        <f t="shared" si="152"/>
        <v>0</v>
      </c>
      <c r="DV37" s="283">
        <f t="shared" si="152"/>
        <v>0</v>
      </c>
      <c r="DW37" s="283">
        <f t="shared" si="152"/>
        <v>1322.1345717145593</v>
      </c>
      <c r="DX37" s="283">
        <f t="shared" si="152"/>
        <v>0</v>
      </c>
      <c r="DY37" s="283">
        <f t="shared" si="152"/>
        <v>0</v>
      </c>
      <c r="DZ37" s="283">
        <f t="shared" si="152"/>
        <v>0</v>
      </c>
      <c r="EA37" s="283">
        <f t="shared" si="152"/>
        <v>0</v>
      </c>
      <c r="EB37" s="283">
        <f t="shared" si="152"/>
        <v>1386.4923876714647</v>
      </c>
      <c r="EC37" s="283">
        <f t="shared" si="152"/>
        <v>0</v>
      </c>
      <c r="ED37" s="283">
        <f t="shared" si="152"/>
        <v>0</v>
      </c>
      <c r="EE37" s="283">
        <f t="shared" si="152"/>
        <v>0</v>
      </c>
      <c r="EF37" s="283">
        <f t="shared" si="152"/>
        <v>0</v>
      </c>
      <c r="EG37" s="283">
        <f t="shared" si="152"/>
        <v>1453.9890515014831</v>
      </c>
      <c r="EH37" s="283">
        <f t="shared" si="152"/>
        <v>0</v>
      </c>
      <c r="EI37" s="283">
        <f t="shared" si="152"/>
        <v>0</v>
      </c>
      <c r="EJ37" s="283">
        <f t="shared" si="152"/>
        <v>0</v>
      </c>
      <c r="EK37" s="283">
        <f t="shared" si="152"/>
        <v>0</v>
      </c>
      <c r="EL37" s="283">
        <f t="shared" ref="EL37" si="153">EL34*EL33+EL35*EL36</f>
        <v>1524.936824982902</v>
      </c>
    </row>
    <row r="38" spans="2:142" ht="13.5" thickTop="1">
      <c r="BD38" s="21">
        <f>BD5/BD37</f>
        <v>0.96423017107309494</v>
      </c>
      <c r="BE38" s="21"/>
      <c r="BF38" s="21"/>
      <c r="BG38" s="21"/>
      <c r="CC38" s="64"/>
    </row>
    <row r="39" spans="2:142">
      <c r="B39" s="1" t="s">
        <v>837</v>
      </c>
      <c r="CD39" s="21">
        <f>10%</f>
        <v>0.1</v>
      </c>
      <c r="CE39" s="21"/>
      <c r="CF39" s="21"/>
      <c r="CG39" s="21"/>
      <c r="CH39" s="21"/>
      <c r="CI39" s="21">
        <f>CD39*1.5</f>
        <v>0.15000000000000002</v>
      </c>
      <c r="CJ39" s="21"/>
      <c r="CK39" s="21"/>
      <c r="CL39" s="21"/>
      <c r="CM39" s="21"/>
      <c r="CN39" s="21">
        <f>CI39*1.25</f>
        <v>0.18750000000000003</v>
      </c>
      <c r="CO39" s="21"/>
      <c r="CP39" s="21"/>
      <c r="CQ39" s="21"/>
      <c r="CR39" s="21"/>
      <c r="CS39" s="21">
        <f>CN39*1.25</f>
        <v>0.23437500000000003</v>
      </c>
      <c r="CT39" s="21"/>
      <c r="CU39" s="21"/>
      <c r="CV39" s="21"/>
      <c r="CW39" s="21"/>
      <c r="CX39" s="21">
        <f>CS39*1.25</f>
        <v>0.29296875000000006</v>
      </c>
      <c r="CY39" s="21"/>
      <c r="CZ39" s="21"/>
      <c r="DA39" s="21"/>
      <c r="DB39" s="21"/>
      <c r="DC39" s="21">
        <f>CX39*1.25</f>
        <v>0.36621093750000006</v>
      </c>
      <c r="DD39" s="21"/>
      <c r="DE39" s="21"/>
      <c r="DF39" s="21"/>
      <c r="DG39" s="21"/>
      <c r="DH39" s="21">
        <f>DC39*1.25</f>
        <v>0.45776367187500006</v>
      </c>
      <c r="DI39" s="21"/>
      <c r="DJ39" s="21"/>
      <c r="DK39" s="21"/>
      <c r="DL39" s="21"/>
      <c r="DM39" s="21">
        <f>DH39*1.2</f>
        <v>0.54931640625</v>
      </c>
      <c r="DN39" s="21"/>
      <c r="DO39" s="21"/>
      <c r="DP39" s="21"/>
      <c r="DQ39" s="21"/>
      <c r="DR39" s="21">
        <f>DM39*1.1</f>
        <v>0.604248046875</v>
      </c>
      <c r="DS39" s="21"/>
      <c r="DT39" s="21"/>
      <c r="DU39" s="21"/>
      <c r="DV39" s="21"/>
      <c r="DW39" s="21">
        <f>DR39*1.05</f>
        <v>0.63446044921875</v>
      </c>
      <c r="DX39" s="21">
        <f t="shared" ref="DX39:EK39" si="154">DS39</f>
        <v>0</v>
      </c>
      <c r="DY39" s="21">
        <f t="shared" si="154"/>
        <v>0</v>
      </c>
      <c r="DZ39" s="21">
        <f t="shared" si="154"/>
        <v>0</v>
      </c>
      <c r="EA39" s="21">
        <f t="shared" si="154"/>
        <v>0</v>
      </c>
      <c r="EB39" s="21">
        <f>DW39*1.05</f>
        <v>0.6661834716796875</v>
      </c>
      <c r="EC39" s="21">
        <f t="shared" si="154"/>
        <v>0</v>
      </c>
      <c r="ED39" s="21">
        <f t="shared" si="154"/>
        <v>0</v>
      </c>
      <c r="EE39" s="21">
        <f t="shared" si="154"/>
        <v>0</v>
      </c>
      <c r="EF39" s="21">
        <f t="shared" si="154"/>
        <v>0</v>
      </c>
      <c r="EG39" s="21">
        <f>EB39*1.05</f>
        <v>0.69949264526367194</v>
      </c>
      <c r="EH39" s="21">
        <f t="shared" si="154"/>
        <v>0</v>
      </c>
      <c r="EI39" s="21">
        <f t="shared" si="154"/>
        <v>0</v>
      </c>
      <c r="EJ39" s="21">
        <f t="shared" si="154"/>
        <v>0</v>
      </c>
      <c r="EK39" s="21">
        <f t="shared" si="154"/>
        <v>0</v>
      </c>
      <c r="EL39" s="21">
        <f>EG39*1.05</f>
        <v>0.73446727752685559</v>
      </c>
    </row>
    <row r="40" spans="2:142">
      <c r="BZ40" s="1">
        <f>BZ33*BZ34</f>
        <v>75.599999999999994</v>
      </c>
      <c r="CA40" s="1">
        <f t="shared" ref="CA40:CC40" si="155">CA33*CA34</f>
        <v>75.599999999999994</v>
      </c>
      <c r="CB40" s="1">
        <f t="shared" si="155"/>
        <v>82.125</v>
      </c>
      <c r="CC40" s="1">
        <f t="shared" si="155"/>
        <v>89.278619346476972</v>
      </c>
    </row>
    <row r="41" spans="2:142">
      <c r="B41" s="1" t="s">
        <v>817</v>
      </c>
      <c r="G41" s="7" t="s">
        <v>428</v>
      </c>
      <c r="H41" s="7"/>
      <c r="I41" s="7"/>
      <c r="J41" s="7"/>
      <c r="K41" s="7"/>
      <c r="L41" s="7" t="s">
        <v>818</v>
      </c>
    </row>
    <row r="42" spans="2:142">
      <c r="G42" s="1">
        <v>500</v>
      </c>
      <c r="L42" s="71">
        <v>0.13500000000000001</v>
      </c>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c r="DI42" s="64"/>
      <c r="DJ42" s="64"/>
      <c r="DK42" s="64"/>
      <c r="DL42" s="64"/>
      <c r="DM42" s="64"/>
      <c r="DN42" s="64"/>
      <c r="DO42" s="64"/>
      <c r="DP42" s="64"/>
      <c r="DQ42" s="64"/>
      <c r="DR42" s="64"/>
      <c r="DS42" s="64"/>
      <c r="DT42" s="64"/>
      <c r="DU42" s="64"/>
      <c r="DV42" s="64"/>
      <c r="DW42" s="64"/>
      <c r="DX42" s="64"/>
      <c r="DY42" s="64"/>
      <c r="DZ42" s="64"/>
      <c r="EA42" s="64"/>
      <c r="EB42" s="64"/>
      <c r="EC42" s="64"/>
      <c r="ED42" s="64"/>
      <c r="EE42" s="64"/>
      <c r="EF42" s="64"/>
      <c r="EG42" s="64"/>
      <c r="EH42" s="64"/>
      <c r="EI42" s="64"/>
      <c r="EJ42" s="64"/>
      <c r="EK42" s="64"/>
      <c r="EL42" s="64"/>
    </row>
    <row r="43" spans="2:142">
      <c r="G43" s="1">
        <v>750</v>
      </c>
      <c r="L43" s="71">
        <f>L42+2.5%</f>
        <v>0.16</v>
      </c>
      <c r="BK43" s="436">
        <v>330.61099999999999</v>
      </c>
      <c r="BL43" s="436">
        <v>337.5</v>
      </c>
      <c r="BM43" s="436">
        <v>337.2</v>
      </c>
      <c r="BN43" s="436">
        <v>333.9</v>
      </c>
    </row>
    <row r="44" spans="2:142">
      <c r="G44" s="1">
        <v>1000</v>
      </c>
      <c r="L44" s="71">
        <f t="shared" ref="L44:L45" si="156">L43+2.5%</f>
        <v>0.185</v>
      </c>
    </row>
    <row r="45" spans="2:142">
      <c r="G45" s="1">
        <v>1500</v>
      </c>
      <c r="L45" s="71">
        <f t="shared" si="156"/>
        <v>0.21</v>
      </c>
    </row>
    <row r="46" spans="2:142">
      <c r="G46" s="1">
        <v>2000</v>
      </c>
      <c r="L46" s="71">
        <v>0.24</v>
      </c>
    </row>
  </sheetData>
  <mergeCells count="28">
    <mergeCell ref="DN2:DR2"/>
    <mergeCell ref="DS2:DW2"/>
    <mergeCell ref="DX2:EB2"/>
    <mergeCell ref="EC2:EG2"/>
    <mergeCell ref="EH2:EL2"/>
    <mergeCell ref="CO2:CS2"/>
    <mergeCell ref="CT2:CX2"/>
    <mergeCell ref="CY2:DC2"/>
    <mergeCell ref="DD2:DH2"/>
    <mergeCell ref="DI2:DM2"/>
    <mergeCell ref="BA2:BE2"/>
    <mergeCell ref="CJ2:CN2"/>
    <mergeCell ref="BK2:BO2"/>
    <mergeCell ref="BP2:BT2"/>
    <mergeCell ref="BU2:BY2"/>
    <mergeCell ref="BZ2:CD2"/>
    <mergeCell ref="CE2:CI2"/>
    <mergeCell ref="BF2:BJ2"/>
    <mergeCell ref="AV2:AZ2"/>
    <mergeCell ref="AG2:AK2"/>
    <mergeCell ref="AL2:AP2"/>
    <mergeCell ref="C2:G2"/>
    <mergeCell ref="H2:L2"/>
    <mergeCell ref="M2:Q2"/>
    <mergeCell ref="R2:V2"/>
    <mergeCell ref="AQ2:AU2"/>
    <mergeCell ref="W2:AA2"/>
    <mergeCell ref="AB2:AF2"/>
  </mergeCells>
  <phoneticPr fontId="16" type="noConversion"/>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C34"/>
  <sheetViews>
    <sheetView zoomScale="85" zoomScaleNormal="85" workbookViewId="0">
      <selection activeCell="C27" sqref="C27"/>
    </sheetView>
  </sheetViews>
  <sheetFormatPr defaultRowHeight="12.75" outlineLevelRow="1" outlineLevelCol="1"/>
  <cols>
    <col min="1" max="1" width="2.42578125" style="116" customWidth="1"/>
    <col min="2" max="2" width="46.42578125" style="116" customWidth="1"/>
    <col min="3" max="8" width="9.140625" style="116" customWidth="1" outlineLevel="1"/>
    <col min="9" max="16384" width="9.140625" style="116"/>
  </cols>
  <sheetData>
    <row r="2" spans="1:29" ht="13.5" thickBot="1">
      <c r="B2" s="338"/>
      <c r="C2" s="338">
        <v>2013</v>
      </c>
      <c r="D2" s="338">
        <f>C2+1</f>
        <v>2014</v>
      </c>
      <c r="E2" s="338">
        <f t="shared" ref="E2:Y2" si="0">D2+1</f>
        <v>2015</v>
      </c>
      <c r="F2" s="338">
        <f t="shared" si="0"/>
        <v>2016</v>
      </c>
      <c r="G2" s="338">
        <f t="shared" si="0"/>
        <v>2017</v>
      </c>
      <c r="H2" s="338">
        <f t="shared" si="0"/>
        <v>2018</v>
      </c>
      <c r="I2" s="338">
        <f t="shared" si="0"/>
        <v>2019</v>
      </c>
      <c r="J2" s="338">
        <f t="shared" si="0"/>
        <v>2020</v>
      </c>
      <c r="K2" s="338">
        <f t="shared" si="0"/>
        <v>2021</v>
      </c>
      <c r="L2" s="338">
        <f t="shared" si="0"/>
        <v>2022</v>
      </c>
      <c r="M2" s="338">
        <f t="shared" si="0"/>
        <v>2023</v>
      </c>
      <c r="N2" s="338">
        <f t="shared" si="0"/>
        <v>2024</v>
      </c>
      <c r="O2" s="338">
        <f t="shared" si="0"/>
        <v>2025</v>
      </c>
      <c r="P2" s="338">
        <f t="shared" si="0"/>
        <v>2026</v>
      </c>
      <c r="Q2" s="338">
        <f t="shared" si="0"/>
        <v>2027</v>
      </c>
      <c r="R2" s="338">
        <f t="shared" si="0"/>
        <v>2028</v>
      </c>
      <c r="S2" s="338">
        <f t="shared" si="0"/>
        <v>2029</v>
      </c>
      <c r="T2" s="338">
        <f t="shared" si="0"/>
        <v>2030</v>
      </c>
      <c r="U2" s="116">
        <f t="shared" si="0"/>
        <v>2031</v>
      </c>
      <c r="V2" s="116">
        <f t="shared" si="0"/>
        <v>2032</v>
      </c>
      <c r="W2" s="116">
        <f t="shared" si="0"/>
        <v>2033</v>
      </c>
      <c r="X2" s="116">
        <f t="shared" si="0"/>
        <v>2034</v>
      </c>
      <c r="Y2" s="116">
        <f t="shared" si="0"/>
        <v>2035</v>
      </c>
      <c r="Z2" s="116">
        <f>Y2+1</f>
        <v>2036</v>
      </c>
    </row>
    <row r="3" spans="1:29">
      <c r="B3" s="116" t="s">
        <v>616</v>
      </c>
      <c r="C3" s="128">
        <v>5200000</v>
      </c>
      <c r="D3" s="128">
        <f>C3*1.0265</f>
        <v>5337800</v>
      </c>
      <c r="E3" s="128">
        <f t="shared" ref="E3:Y3" si="1">D3*1.0265</f>
        <v>5479251.7000000002</v>
      </c>
      <c r="F3" s="128">
        <f t="shared" si="1"/>
        <v>5624451.87005</v>
      </c>
      <c r="G3" s="128">
        <f t="shared" si="1"/>
        <v>5773499.844606325</v>
      </c>
      <c r="H3" s="128">
        <f t="shared" si="1"/>
        <v>5926497.5904883929</v>
      </c>
      <c r="I3" s="128">
        <f t="shared" si="1"/>
        <v>6083549.7766363351</v>
      </c>
      <c r="J3" s="128">
        <f t="shared" si="1"/>
        <v>6244763.8457171982</v>
      </c>
      <c r="K3" s="128">
        <f t="shared" si="1"/>
        <v>6410250.0876287036</v>
      </c>
      <c r="L3" s="128">
        <f t="shared" si="1"/>
        <v>6580121.7149508642</v>
      </c>
      <c r="M3" s="128">
        <f t="shared" si="1"/>
        <v>6754494.9403970623</v>
      </c>
      <c r="N3" s="128">
        <f t="shared" si="1"/>
        <v>6933489.0563175846</v>
      </c>
      <c r="O3" s="128">
        <f t="shared" si="1"/>
        <v>7117226.5163100008</v>
      </c>
      <c r="P3" s="128">
        <f t="shared" si="1"/>
        <v>7305833.0189922154</v>
      </c>
      <c r="Q3" s="128">
        <f t="shared" si="1"/>
        <v>7499437.5939955087</v>
      </c>
      <c r="R3" s="128">
        <f t="shared" si="1"/>
        <v>7698172.6902363896</v>
      </c>
      <c r="S3" s="128">
        <f t="shared" si="1"/>
        <v>7902174.2665276537</v>
      </c>
      <c r="T3" s="128">
        <f t="shared" si="1"/>
        <v>8111581.884590636</v>
      </c>
      <c r="U3" s="128">
        <f t="shared" si="1"/>
        <v>8326538.8045322876</v>
      </c>
      <c r="V3" s="128">
        <f t="shared" si="1"/>
        <v>8547192.0828523934</v>
      </c>
      <c r="W3" s="128">
        <f t="shared" si="1"/>
        <v>8773692.6730479822</v>
      </c>
      <c r="X3" s="128">
        <f t="shared" si="1"/>
        <v>9006195.5288837533</v>
      </c>
      <c r="Y3" s="128">
        <f t="shared" si="1"/>
        <v>9244859.7103991732</v>
      </c>
      <c r="Z3" s="128"/>
      <c r="AA3" s="128"/>
      <c r="AB3" s="128"/>
      <c r="AC3" s="128"/>
    </row>
    <row r="4" spans="1:29">
      <c r="B4" s="116" t="s">
        <v>719</v>
      </c>
      <c r="C4" s="128">
        <f>C3*(1-C5)</f>
        <v>3120000</v>
      </c>
      <c r="D4" s="128">
        <f t="shared" ref="D4:Y4" si="2">D3*(1-D5)</f>
        <v>3202680</v>
      </c>
      <c r="E4" s="128">
        <f t="shared" si="2"/>
        <v>3287551.02</v>
      </c>
      <c r="F4" s="128">
        <f t="shared" si="2"/>
        <v>3374671.1220299997</v>
      </c>
      <c r="G4" s="128">
        <f t="shared" si="2"/>
        <v>3464099.9067637948</v>
      </c>
      <c r="H4" s="128">
        <f t="shared" si="2"/>
        <v>3555898.5542930355</v>
      </c>
      <c r="I4" s="128">
        <f t="shared" si="2"/>
        <v>3650129.8659818009</v>
      </c>
      <c r="J4" s="128">
        <f t="shared" si="2"/>
        <v>3746858.307430319</v>
      </c>
      <c r="K4" s="128">
        <f t="shared" si="2"/>
        <v>3846150.0525772218</v>
      </c>
      <c r="L4" s="128">
        <f t="shared" si="2"/>
        <v>3948073.0289705181</v>
      </c>
      <c r="M4" s="128">
        <f t="shared" si="2"/>
        <v>4052696.9642382371</v>
      </c>
      <c r="N4" s="128">
        <f t="shared" si="2"/>
        <v>4160093.4337905506</v>
      </c>
      <c r="O4" s="128">
        <f t="shared" si="2"/>
        <v>4270335.9097859999</v>
      </c>
      <c r="P4" s="128">
        <f t="shared" si="2"/>
        <v>4383499.8113953294</v>
      </c>
      <c r="Q4" s="128">
        <f t="shared" si="2"/>
        <v>4499662.5563973049</v>
      </c>
      <c r="R4" s="128">
        <f t="shared" si="2"/>
        <v>4618903.614141834</v>
      </c>
      <c r="S4" s="128">
        <f t="shared" si="2"/>
        <v>4741304.5599165922</v>
      </c>
      <c r="T4" s="128">
        <f t="shared" si="2"/>
        <v>4866949.1307543814</v>
      </c>
      <c r="U4" s="128">
        <f t="shared" si="2"/>
        <v>4995923.2827193728</v>
      </c>
      <c r="V4" s="128">
        <f t="shared" si="2"/>
        <v>5128315.2497114362</v>
      </c>
      <c r="W4" s="128">
        <f t="shared" si="2"/>
        <v>5264215.6038287887</v>
      </c>
      <c r="X4" s="128">
        <f t="shared" si="2"/>
        <v>5403717.3173302514</v>
      </c>
      <c r="Y4" s="128">
        <f t="shared" si="2"/>
        <v>5546915.8262395039</v>
      </c>
      <c r="Z4" s="128"/>
      <c r="AA4" s="128"/>
      <c r="AB4" s="128"/>
      <c r="AC4" s="128"/>
    </row>
    <row r="5" spans="1:29" s="196" customFormat="1">
      <c r="B5" s="197" t="s">
        <v>650</v>
      </c>
      <c r="C5" s="234">
        <v>0.4</v>
      </c>
      <c r="D5" s="234">
        <f>C5</f>
        <v>0.4</v>
      </c>
      <c r="E5" s="234">
        <f t="shared" ref="E5:Y5" si="3">D5</f>
        <v>0.4</v>
      </c>
      <c r="F5" s="234">
        <f t="shared" si="3"/>
        <v>0.4</v>
      </c>
      <c r="G5" s="234">
        <f t="shared" si="3"/>
        <v>0.4</v>
      </c>
      <c r="H5" s="234">
        <f t="shared" si="3"/>
        <v>0.4</v>
      </c>
      <c r="I5" s="234">
        <f t="shared" si="3"/>
        <v>0.4</v>
      </c>
      <c r="J5" s="234">
        <f t="shared" si="3"/>
        <v>0.4</v>
      </c>
      <c r="K5" s="234">
        <f t="shared" si="3"/>
        <v>0.4</v>
      </c>
      <c r="L5" s="234">
        <f t="shared" si="3"/>
        <v>0.4</v>
      </c>
      <c r="M5" s="234">
        <f t="shared" si="3"/>
        <v>0.4</v>
      </c>
      <c r="N5" s="234">
        <f t="shared" si="3"/>
        <v>0.4</v>
      </c>
      <c r="O5" s="234">
        <f t="shared" si="3"/>
        <v>0.4</v>
      </c>
      <c r="P5" s="234">
        <f t="shared" si="3"/>
        <v>0.4</v>
      </c>
      <c r="Q5" s="234">
        <f t="shared" si="3"/>
        <v>0.4</v>
      </c>
      <c r="R5" s="234">
        <f t="shared" si="3"/>
        <v>0.4</v>
      </c>
      <c r="S5" s="234">
        <f t="shared" si="3"/>
        <v>0.4</v>
      </c>
      <c r="T5" s="234">
        <f t="shared" si="3"/>
        <v>0.4</v>
      </c>
      <c r="U5" s="234">
        <f t="shared" si="3"/>
        <v>0.4</v>
      </c>
      <c r="V5" s="234">
        <f t="shared" si="3"/>
        <v>0.4</v>
      </c>
      <c r="W5" s="234">
        <f t="shared" si="3"/>
        <v>0.4</v>
      </c>
      <c r="X5" s="234">
        <f t="shared" si="3"/>
        <v>0.4</v>
      </c>
      <c r="Y5" s="234">
        <f t="shared" si="3"/>
        <v>0.4</v>
      </c>
      <c r="Z5" s="410"/>
      <c r="AA5" s="410"/>
      <c r="AB5" s="410"/>
      <c r="AC5" s="410"/>
    </row>
    <row r="6" spans="1:29" hidden="1" outlineLevel="1">
      <c r="B6" s="206" t="s">
        <v>521</v>
      </c>
      <c r="C6" s="211"/>
      <c r="D6" s="211"/>
      <c r="E6" s="211"/>
      <c r="F6" s="211"/>
      <c r="G6" s="211"/>
      <c r="H6" s="207"/>
      <c r="I6" s="207">
        <f>I7*1.25</f>
        <v>1.8749999999999999E-2</v>
      </c>
      <c r="J6" s="207">
        <f>J7*1.25</f>
        <v>3.7499999999999999E-2</v>
      </c>
      <c r="K6" s="207">
        <f t="shared" ref="K6:T6" si="4">K7*1.25</f>
        <v>7.4999999999999997E-2</v>
      </c>
      <c r="L6" s="207">
        <f t="shared" si="4"/>
        <v>0.10312500000000001</v>
      </c>
      <c r="M6" s="207">
        <f t="shared" si="4"/>
        <v>0.11562500000000001</v>
      </c>
      <c r="N6" s="207">
        <f t="shared" si="4"/>
        <v>0.12812499999999999</v>
      </c>
      <c r="O6" s="207">
        <f t="shared" si="4"/>
        <v>0.140625</v>
      </c>
      <c r="P6" s="207">
        <f t="shared" si="4"/>
        <v>0.15312499999999998</v>
      </c>
      <c r="Q6" s="207">
        <f t="shared" si="4"/>
        <v>0.16562499999999997</v>
      </c>
      <c r="R6" s="207">
        <f t="shared" si="4"/>
        <v>0.17812499999999998</v>
      </c>
      <c r="S6" s="207">
        <f t="shared" si="4"/>
        <v>0.19062499999999999</v>
      </c>
      <c r="T6" s="207">
        <f t="shared" si="4"/>
        <v>0.203125</v>
      </c>
      <c r="U6" s="207">
        <f t="shared" ref="U6" si="5">U7*1.25</f>
        <v>0.21562500000000001</v>
      </c>
      <c r="V6" s="207">
        <f t="shared" ref="V6" si="6">V7*1.25</f>
        <v>0.21562500000000001</v>
      </c>
      <c r="W6" s="207">
        <f t="shared" ref="W6" si="7">W7*1.25</f>
        <v>0.21562500000000001</v>
      </c>
      <c r="X6" s="207">
        <f t="shared" ref="X6" si="8">X7*1.25</f>
        <v>0.21562500000000001</v>
      </c>
      <c r="Y6" s="207">
        <f t="shared" ref="Y6" si="9">Y7*1.25</f>
        <v>0.21562500000000001</v>
      </c>
    </row>
    <row r="7" spans="1:29" hidden="1" outlineLevel="1">
      <c r="B7" s="206" t="s">
        <v>500</v>
      </c>
      <c r="C7" s="211"/>
      <c r="D7" s="211"/>
      <c r="E7" s="211"/>
      <c r="F7" s="211"/>
      <c r="G7" s="211"/>
      <c r="H7" s="348"/>
      <c r="I7" s="348">
        <v>1.4999999999999999E-2</v>
      </c>
      <c r="J7" s="348">
        <v>0.03</v>
      </c>
      <c r="K7" s="348">
        <v>0.06</v>
      </c>
      <c r="L7" s="348">
        <v>8.2500000000000004E-2</v>
      </c>
      <c r="M7" s="348">
        <f t="shared" ref="M7" si="10">L7+1%</f>
        <v>9.2499999999999999E-2</v>
      </c>
      <c r="N7" s="348">
        <f t="shared" ref="N7" si="11">M7+1%</f>
        <v>0.10249999999999999</v>
      </c>
      <c r="O7" s="348">
        <f t="shared" ref="O7" si="12">N7+1%</f>
        <v>0.11249999999999999</v>
      </c>
      <c r="P7" s="348">
        <f t="shared" ref="P7" si="13">O7+1%</f>
        <v>0.12249999999999998</v>
      </c>
      <c r="Q7" s="348">
        <f t="shared" ref="Q7" si="14">P7+1%</f>
        <v>0.13249999999999998</v>
      </c>
      <c r="R7" s="348">
        <f t="shared" ref="R7" si="15">Q7+1%</f>
        <v>0.14249999999999999</v>
      </c>
      <c r="S7" s="348">
        <f t="shared" ref="S7" si="16">R7+1%</f>
        <v>0.1525</v>
      </c>
      <c r="T7" s="348">
        <f t="shared" ref="T7" si="17">S7+1%</f>
        <v>0.16250000000000001</v>
      </c>
      <c r="U7" s="348">
        <f t="shared" ref="U7" si="18">T7+1%</f>
        <v>0.17250000000000001</v>
      </c>
      <c r="V7" s="348">
        <f>U7</f>
        <v>0.17250000000000001</v>
      </c>
      <c r="W7" s="348">
        <f t="shared" ref="W7:Y7" si="19">V7</f>
        <v>0.17250000000000001</v>
      </c>
      <c r="X7" s="348">
        <f t="shared" si="19"/>
        <v>0.17250000000000001</v>
      </c>
      <c r="Y7" s="348">
        <f t="shared" si="19"/>
        <v>0.17250000000000001</v>
      </c>
    </row>
    <row r="8" spans="1:29" hidden="1" outlineLevel="1">
      <c r="B8" s="206" t="s">
        <v>522</v>
      </c>
      <c r="C8" s="211"/>
      <c r="D8" s="211"/>
      <c r="E8" s="211"/>
      <c r="F8" s="211"/>
      <c r="G8" s="211"/>
      <c r="H8" s="207"/>
      <c r="I8" s="207">
        <v>0</v>
      </c>
      <c r="J8" s="207">
        <v>0</v>
      </c>
      <c r="K8" s="207">
        <f>J8</f>
        <v>0</v>
      </c>
      <c r="L8" s="207">
        <f t="shared" ref="L8:Y8" si="20">K8</f>
        <v>0</v>
      </c>
      <c r="M8" s="207">
        <f t="shared" si="20"/>
        <v>0</v>
      </c>
      <c r="N8" s="207">
        <f t="shared" si="20"/>
        <v>0</v>
      </c>
      <c r="O8" s="207">
        <f t="shared" si="20"/>
        <v>0</v>
      </c>
      <c r="P8" s="207">
        <f t="shared" si="20"/>
        <v>0</v>
      </c>
      <c r="Q8" s="207">
        <f t="shared" si="20"/>
        <v>0</v>
      </c>
      <c r="R8" s="207">
        <f t="shared" si="20"/>
        <v>0</v>
      </c>
      <c r="S8" s="207">
        <f t="shared" si="20"/>
        <v>0</v>
      </c>
      <c r="T8" s="207">
        <f t="shared" si="20"/>
        <v>0</v>
      </c>
      <c r="U8" s="207">
        <f t="shared" si="20"/>
        <v>0</v>
      </c>
      <c r="V8" s="207">
        <f t="shared" si="20"/>
        <v>0</v>
      </c>
      <c r="W8" s="207">
        <f t="shared" si="20"/>
        <v>0</v>
      </c>
      <c r="X8" s="207">
        <f t="shared" si="20"/>
        <v>0</v>
      </c>
      <c r="Y8" s="207">
        <f t="shared" si="20"/>
        <v>0</v>
      </c>
    </row>
    <row r="9" spans="1:29" s="196" customFormat="1" collapsed="1">
      <c r="A9" s="347" t="s">
        <v>523</v>
      </c>
      <c r="B9" s="350" t="s">
        <v>617</v>
      </c>
      <c r="C9" s="349"/>
      <c r="D9" s="349"/>
      <c r="E9" s="349"/>
      <c r="F9" s="349"/>
      <c r="G9" s="349"/>
      <c r="H9" s="351"/>
      <c r="I9" s="351">
        <f>CHOOSE(DCF!$C$28,I6,I7,I8)</f>
        <v>1.4999999999999999E-2</v>
      </c>
      <c r="J9" s="351">
        <f>CHOOSE(DCF!$C$28,J6,J7,J8)</f>
        <v>0.03</v>
      </c>
      <c r="K9" s="351">
        <f>CHOOSE(DCF!$C$28,K6,K7,K8)</f>
        <v>0.06</v>
      </c>
      <c r="L9" s="351">
        <f>CHOOSE(DCF!$C$28,L6,L7,L8)</f>
        <v>8.2500000000000004E-2</v>
      </c>
      <c r="M9" s="351">
        <f>CHOOSE(DCF!$C$28,M6,M7,M8)</f>
        <v>9.2499999999999999E-2</v>
      </c>
      <c r="N9" s="351">
        <f>CHOOSE(DCF!$C$28,N6,N7,N8)</f>
        <v>0.10249999999999999</v>
      </c>
      <c r="O9" s="351">
        <f>CHOOSE(DCF!$C$28,O6,O7,O8)</f>
        <v>0.11249999999999999</v>
      </c>
      <c r="P9" s="351">
        <f>CHOOSE(DCF!$C$28,P6,P7,P8)</f>
        <v>0.12249999999999998</v>
      </c>
      <c r="Q9" s="351">
        <f>CHOOSE(DCF!$C$28,Q6,Q7,Q8)</f>
        <v>0.13249999999999998</v>
      </c>
      <c r="R9" s="351">
        <f>CHOOSE(DCF!$C$28,R6,R7,R8)</f>
        <v>0.14249999999999999</v>
      </c>
      <c r="S9" s="351">
        <f>CHOOSE(DCF!$C$28,S6,S7,S8)</f>
        <v>0.1525</v>
      </c>
      <c r="T9" s="351">
        <f>CHOOSE(DCF!$C$28,T6,T7,T8)</f>
        <v>0.16250000000000001</v>
      </c>
      <c r="U9" s="351">
        <f>CHOOSE(DCF!$C$28,U6,U7,U8)</f>
        <v>0.17250000000000001</v>
      </c>
      <c r="V9" s="351">
        <f>CHOOSE(DCF!$C$28,V6,V7,V8)</f>
        <v>0.17250000000000001</v>
      </c>
      <c r="W9" s="351">
        <f>CHOOSE(DCF!$C$28,W6,W7,W8)</f>
        <v>0.17250000000000001</v>
      </c>
      <c r="X9" s="351">
        <f>CHOOSE(DCF!$C$28,X6,X7,X8)</f>
        <v>0.17250000000000001</v>
      </c>
      <c r="Y9" s="351">
        <f>CHOOSE(DCF!$C$28,Y6,Y7,Y8)</f>
        <v>0.17250000000000001</v>
      </c>
    </row>
    <row r="10" spans="1:29">
      <c r="B10" s="116" t="s">
        <v>618</v>
      </c>
      <c r="H10" s="128"/>
      <c r="I10" s="128">
        <f>I9*I4</f>
        <v>54751.947989727014</v>
      </c>
      <c r="J10" s="128">
        <f t="shared" ref="J10:Y10" si="21">J9*J4</f>
        <v>112405.74922290957</v>
      </c>
      <c r="K10" s="128">
        <f t="shared" si="21"/>
        <v>230769.0031546333</v>
      </c>
      <c r="L10" s="128">
        <f t="shared" si="21"/>
        <v>325716.02489006775</v>
      </c>
      <c r="M10" s="128">
        <f t="shared" si="21"/>
        <v>374874.46919203695</v>
      </c>
      <c r="N10" s="128">
        <f t="shared" si="21"/>
        <v>426409.57696353144</v>
      </c>
      <c r="O10" s="128">
        <f t="shared" si="21"/>
        <v>480412.78985092492</v>
      </c>
      <c r="P10" s="128">
        <f t="shared" si="21"/>
        <v>536978.7268959278</v>
      </c>
      <c r="Q10" s="128">
        <f t="shared" si="21"/>
        <v>596205.28872264281</v>
      </c>
      <c r="R10" s="128">
        <f t="shared" si="21"/>
        <v>658193.76501521131</v>
      </c>
      <c r="S10" s="128">
        <f t="shared" si="21"/>
        <v>723048.94538728031</v>
      </c>
      <c r="T10" s="128">
        <f t="shared" si="21"/>
        <v>790879.23374758696</v>
      </c>
      <c r="U10" s="128">
        <f t="shared" si="21"/>
        <v>861796.76626909187</v>
      </c>
      <c r="V10" s="128">
        <f t="shared" si="21"/>
        <v>884634.38057522278</v>
      </c>
      <c r="W10" s="128">
        <f t="shared" si="21"/>
        <v>908077.19166046614</v>
      </c>
      <c r="X10" s="128">
        <f t="shared" si="21"/>
        <v>932141.23723946849</v>
      </c>
      <c r="Y10" s="128">
        <f t="shared" si="21"/>
        <v>956842.9800263145</v>
      </c>
    </row>
    <row r="11" spans="1:29">
      <c r="B11" s="116" t="s">
        <v>619</v>
      </c>
      <c r="H11" s="128"/>
      <c r="I11" s="128">
        <v>15750</v>
      </c>
      <c r="J11" s="128">
        <f t="shared" ref="J11:Y11" si="22">I11*1.025</f>
        <v>16143.749999999998</v>
      </c>
      <c r="K11" s="128">
        <f t="shared" si="22"/>
        <v>16547.343749999996</v>
      </c>
      <c r="L11" s="128">
        <f t="shared" si="22"/>
        <v>16961.027343749996</v>
      </c>
      <c r="M11" s="128">
        <f t="shared" si="22"/>
        <v>17385.053027343743</v>
      </c>
      <c r="N11" s="128">
        <f t="shared" si="22"/>
        <v>17819.679353027335</v>
      </c>
      <c r="O11" s="128">
        <f t="shared" si="22"/>
        <v>18265.171336853018</v>
      </c>
      <c r="P11" s="128">
        <f t="shared" si="22"/>
        <v>18721.800620274342</v>
      </c>
      <c r="Q11" s="128">
        <f t="shared" si="22"/>
        <v>19189.845635781199</v>
      </c>
      <c r="R11" s="128">
        <f t="shared" si="22"/>
        <v>19669.591776675727</v>
      </c>
      <c r="S11" s="128">
        <f t="shared" si="22"/>
        <v>20161.331571092618</v>
      </c>
      <c r="T11" s="128">
        <f t="shared" si="22"/>
        <v>20665.364860369933</v>
      </c>
      <c r="U11" s="128">
        <f t="shared" si="22"/>
        <v>21181.99898187918</v>
      </c>
      <c r="V11" s="128">
        <f t="shared" si="22"/>
        <v>21711.548956426159</v>
      </c>
      <c r="W11" s="128">
        <f t="shared" si="22"/>
        <v>22254.337680336812</v>
      </c>
      <c r="X11" s="128">
        <f t="shared" si="22"/>
        <v>22810.696122345231</v>
      </c>
      <c r="Y11" s="128">
        <f t="shared" si="22"/>
        <v>23380.963525403859</v>
      </c>
    </row>
    <row r="12" spans="1:29">
      <c r="B12" s="375" t="s">
        <v>620</v>
      </c>
      <c r="C12" s="375"/>
      <c r="D12" s="375"/>
      <c r="E12" s="375"/>
      <c r="F12" s="375"/>
      <c r="G12" s="375"/>
      <c r="H12" s="375"/>
      <c r="I12" s="375">
        <f t="shared" ref="I12" si="23">I11*I10/1000000</f>
        <v>862.3431808382004</v>
      </c>
      <c r="J12" s="375">
        <f t="shared" ref="J12:Y12" si="24">J11*J10/1000000</f>
        <v>1814.6503140173461</v>
      </c>
      <c r="K12" s="375">
        <f t="shared" si="24"/>
        <v>3818.6140220445509</v>
      </c>
      <c r="L12" s="375">
        <f t="shared" si="24"/>
        <v>5524.4784044579937</v>
      </c>
      <c r="M12" s="375">
        <f t="shared" si="24"/>
        <v>6517.2125255009014</v>
      </c>
      <c r="N12" s="375">
        <f t="shared" si="24"/>
        <v>7598.481934550161</v>
      </c>
      <c r="O12" s="375">
        <f t="shared" si="24"/>
        <v>8774.8219190427062</v>
      </c>
      <c r="P12" s="375">
        <f t="shared" si="24"/>
        <v>10053.208662274308</v>
      </c>
      <c r="Q12" s="375">
        <f t="shared" si="24"/>
        <v>11441.087457823878</v>
      </c>
      <c r="R12" s="375">
        <f t="shared" si="24"/>
        <v>12946.402667802435</v>
      </c>
      <c r="S12" s="375">
        <f t="shared" si="24"/>
        <v>14577.629530081796</v>
      </c>
      <c r="T12" s="375">
        <f t="shared" si="24"/>
        <v>16343.807925883682</v>
      </c>
      <c r="U12" s="375">
        <f t="shared" si="24"/>
        <v>18254.578225698675</v>
      </c>
      <c r="V12" s="375">
        <f t="shared" si="24"/>
        <v>19206.782662396679</v>
      </c>
      <c r="W12" s="375">
        <f t="shared" si="24"/>
        <v>20208.656463023945</v>
      </c>
      <c r="X12" s="375">
        <f t="shared" si="24"/>
        <v>21262.790505776429</v>
      </c>
      <c r="Y12" s="375">
        <f t="shared" si="24"/>
        <v>22371.910815533993</v>
      </c>
    </row>
    <row r="14" spans="1:29">
      <c r="B14" s="116" t="s">
        <v>153</v>
      </c>
      <c r="H14" s="128"/>
      <c r="I14" s="128">
        <f t="shared" ref="I14" si="25">I15*I12</f>
        <v>129.35147712573004</v>
      </c>
      <c r="J14" s="128">
        <f t="shared" ref="J14:Y14" si="26">J15*J12</f>
        <v>272.1975471026019</v>
      </c>
      <c r="K14" s="128">
        <f t="shared" si="26"/>
        <v>572.79210330668263</v>
      </c>
      <c r="L14" s="128">
        <f t="shared" si="26"/>
        <v>828.67176066869899</v>
      </c>
      <c r="M14" s="128">
        <f t="shared" si="26"/>
        <v>977.58187882513516</v>
      </c>
      <c r="N14" s="128">
        <f t="shared" si="26"/>
        <v>1139.7722901825241</v>
      </c>
      <c r="O14" s="128">
        <f t="shared" si="26"/>
        <v>1316.2232878564059</v>
      </c>
      <c r="P14" s="128">
        <f t="shared" si="26"/>
        <v>1507.9812993411463</v>
      </c>
      <c r="Q14" s="128">
        <f t="shared" si="26"/>
        <v>1716.1631186735817</v>
      </c>
      <c r="R14" s="128">
        <f t="shared" si="26"/>
        <v>1941.9604001703651</v>
      </c>
      <c r="S14" s="128">
        <f t="shared" si="26"/>
        <v>2186.6444295122692</v>
      </c>
      <c r="T14" s="128">
        <f t="shared" si="26"/>
        <v>2451.5711888825522</v>
      </c>
      <c r="U14" s="128">
        <f t="shared" si="26"/>
        <v>2738.1867338548013</v>
      </c>
      <c r="V14" s="128">
        <f t="shared" si="26"/>
        <v>2881.0173993595017</v>
      </c>
      <c r="W14" s="128">
        <f t="shared" si="26"/>
        <v>3031.2984694535917</v>
      </c>
      <c r="X14" s="128">
        <f t="shared" si="26"/>
        <v>3189.4185758664644</v>
      </c>
      <c r="Y14" s="128">
        <f t="shared" si="26"/>
        <v>3355.7866223300989</v>
      </c>
    </row>
    <row r="15" spans="1:29" s="196" customFormat="1">
      <c r="B15" s="197" t="s">
        <v>621</v>
      </c>
      <c r="H15" s="236"/>
      <c r="I15" s="236">
        <v>0.15</v>
      </c>
      <c r="J15" s="236">
        <v>0.15</v>
      </c>
      <c r="K15" s="236">
        <f t="shared" ref="K15:Y15" si="27">J15</f>
        <v>0.15</v>
      </c>
      <c r="L15" s="236">
        <f t="shared" si="27"/>
        <v>0.15</v>
      </c>
      <c r="M15" s="236">
        <f t="shared" si="27"/>
        <v>0.15</v>
      </c>
      <c r="N15" s="236">
        <f t="shared" si="27"/>
        <v>0.15</v>
      </c>
      <c r="O15" s="236">
        <f t="shared" si="27"/>
        <v>0.15</v>
      </c>
      <c r="P15" s="236">
        <f t="shared" si="27"/>
        <v>0.15</v>
      </c>
      <c r="Q15" s="236">
        <f t="shared" si="27"/>
        <v>0.15</v>
      </c>
      <c r="R15" s="236">
        <f t="shared" si="27"/>
        <v>0.15</v>
      </c>
      <c r="S15" s="236">
        <f t="shared" si="27"/>
        <v>0.15</v>
      </c>
      <c r="T15" s="236">
        <f t="shared" si="27"/>
        <v>0.15</v>
      </c>
      <c r="U15" s="236">
        <f t="shared" si="27"/>
        <v>0.15</v>
      </c>
      <c r="V15" s="236">
        <f t="shared" si="27"/>
        <v>0.15</v>
      </c>
      <c r="W15" s="236">
        <f t="shared" si="27"/>
        <v>0.15</v>
      </c>
      <c r="X15" s="236">
        <f t="shared" si="27"/>
        <v>0.15</v>
      </c>
      <c r="Y15" s="236">
        <f t="shared" si="27"/>
        <v>0.15</v>
      </c>
    </row>
    <row r="17" spans="2:26">
      <c r="B17" s="116" t="s">
        <v>154</v>
      </c>
      <c r="I17" s="249">
        <v>475</v>
      </c>
      <c r="J17" s="249">
        <v>525</v>
      </c>
      <c r="K17" s="249">
        <f t="shared" ref="K17" si="28">J17*1.05</f>
        <v>551.25</v>
      </c>
      <c r="L17" s="249">
        <f>K17*1.05</f>
        <v>578.8125</v>
      </c>
      <c r="M17" s="249">
        <f t="shared" ref="M17:Y17" si="29">L17*1.05</f>
        <v>607.75312500000007</v>
      </c>
      <c r="N17" s="249">
        <f t="shared" si="29"/>
        <v>638.14078125000015</v>
      </c>
      <c r="O17" s="249">
        <f t="shared" si="29"/>
        <v>670.04782031250022</v>
      </c>
      <c r="P17" s="249">
        <f t="shared" si="29"/>
        <v>703.55021132812522</v>
      </c>
      <c r="Q17" s="249">
        <f t="shared" si="29"/>
        <v>738.72772189453156</v>
      </c>
      <c r="R17" s="249">
        <f t="shared" si="29"/>
        <v>775.66410798925813</v>
      </c>
      <c r="S17" s="249">
        <f t="shared" si="29"/>
        <v>814.44731338872111</v>
      </c>
      <c r="T17" s="249">
        <f t="shared" si="29"/>
        <v>855.16967905815716</v>
      </c>
      <c r="U17" s="249">
        <f t="shared" si="29"/>
        <v>897.92816301106507</v>
      </c>
      <c r="V17" s="249">
        <f t="shared" si="29"/>
        <v>942.82457116161834</v>
      </c>
      <c r="W17" s="249">
        <f t="shared" si="29"/>
        <v>989.96579971969925</v>
      </c>
      <c r="X17" s="249">
        <f t="shared" si="29"/>
        <v>1039.4640897056843</v>
      </c>
      <c r="Y17" s="249">
        <f t="shared" si="29"/>
        <v>1091.4372941909685</v>
      </c>
    </row>
    <row r="18" spans="2:26">
      <c r="H18" s="129"/>
      <c r="I18" s="129"/>
      <c r="J18" s="129"/>
      <c r="K18" s="129"/>
      <c r="L18" s="129"/>
      <c r="M18" s="129"/>
      <c r="N18" s="129"/>
      <c r="O18" s="129"/>
      <c r="P18" s="129"/>
      <c r="Q18" s="129"/>
      <c r="R18" s="129"/>
      <c r="S18" s="129"/>
      <c r="T18" s="129"/>
      <c r="U18" s="129"/>
      <c r="V18" s="129"/>
      <c r="W18" s="129"/>
      <c r="X18" s="129"/>
      <c r="Y18" s="129"/>
    </row>
    <row r="19" spans="2:26">
      <c r="B19" s="116" t="s">
        <v>607</v>
      </c>
      <c r="I19" s="116">
        <v>150</v>
      </c>
      <c r="J19" s="116">
        <v>150</v>
      </c>
      <c r="K19" s="116">
        <f t="shared" ref="K19:Y19" si="30">J19</f>
        <v>150</v>
      </c>
      <c r="L19" s="116">
        <f t="shared" si="30"/>
        <v>150</v>
      </c>
      <c r="M19" s="116">
        <f t="shared" si="30"/>
        <v>150</v>
      </c>
      <c r="N19" s="116">
        <f t="shared" si="30"/>
        <v>150</v>
      </c>
      <c r="O19" s="116">
        <f t="shared" si="30"/>
        <v>150</v>
      </c>
      <c r="P19" s="116">
        <f t="shared" si="30"/>
        <v>150</v>
      </c>
      <c r="Q19" s="116">
        <f t="shared" si="30"/>
        <v>150</v>
      </c>
      <c r="R19" s="116">
        <f t="shared" si="30"/>
        <v>150</v>
      </c>
      <c r="S19" s="116">
        <f t="shared" si="30"/>
        <v>150</v>
      </c>
      <c r="T19" s="116">
        <f t="shared" si="30"/>
        <v>150</v>
      </c>
      <c r="U19" s="116">
        <f t="shared" si="30"/>
        <v>150</v>
      </c>
      <c r="V19" s="116">
        <f t="shared" si="30"/>
        <v>150</v>
      </c>
      <c r="W19" s="116">
        <f t="shared" si="30"/>
        <v>150</v>
      </c>
      <c r="X19" s="116">
        <f t="shared" si="30"/>
        <v>150</v>
      </c>
      <c r="Y19" s="116">
        <f t="shared" si="30"/>
        <v>150</v>
      </c>
    </row>
    <row r="21" spans="2:26">
      <c r="B21" s="373" t="s">
        <v>718</v>
      </c>
      <c r="C21" s="373"/>
      <c r="D21" s="373"/>
      <c r="E21" s="373"/>
      <c r="F21" s="373"/>
      <c r="G21" s="373"/>
      <c r="H21" s="374"/>
      <c r="I21" s="374">
        <f t="shared" ref="I21" si="31">(I12-I14-I17-I19)*0.85*0.5</f>
        <v>45.896474077799887</v>
      </c>
      <c r="J21" s="374">
        <f>(J12-J14-J17-J19)*0.85*0.5</f>
        <v>368.66742593876626</v>
      </c>
      <c r="K21" s="374">
        <f t="shared" ref="K21:Y21" si="32">(K12-K14-K17-K19)*0.85*0.5</f>
        <v>1081.4430654635939</v>
      </c>
      <c r="L21" s="374">
        <f t="shared" si="32"/>
        <v>1685.9725111104503</v>
      </c>
      <c r="M21" s="374">
        <f t="shared" si="32"/>
        <v>2032.2979467122004</v>
      </c>
      <c r="N21" s="374">
        <f t="shared" si="32"/>
        <v>2409.9917668249955</v>
      </c>
      <c r="O21" s="374">
        <f t="shared" si="32"/>
        <v>2821.3840946213645</v>
      </c>
      <c r="P21" s="374">
        <f t="shared" si="32"/>
        <v>3268.9627894321402</v>
      </c>
      <c r="Q21" s="374">
        <f t="shared" si="32"/>
        <v>3755.3835623337004</v>
      </c>
      <c r="R21" s="374">
        <f t="shared" si="32"/>
        <v>4283.4807178481951</v>
      </c>
      <c r="S21" s="374">
        <f t="shared" si="32"/>
        <v>4856.2785595518426</v>
      </c>
      <c r="T21" s="374">
        <f t="shared" si="32"/>
        <v>5477.0034996257637</v>
      </c>
      <c r="U21" s="374">
        <f t="shared" si="32"/>
        <v>6149.0969147539436</v>
      </c>
      <c r="V21" s="374">
        <f t="shared" si="32"/>
        <v>6473.999794047113</v>
      </c>
      <c r="W21" s="374">
        <f t="shared" si="32"/>
        <v>6815.8916823865275</v>
      </c>
      <c r="X21" s="374">
        <f t="shared" si="32"/>
        <v>7175.660832086819</v>
      </c>
      <c r="Y21" s="374">
        <f t="shared" si="32"/>
        <v>7554.2419320804929</v>
      </c>
      <c r="Z21" s="249">
        <f>Y21*(1+C30)/(C26-C30)</f>
        <v>40107.573144551068</v>
      </c>
    </row>
    <row r="23" spans="2:26">
      <c r="B23" s="116" t="s">
        <v>609</v>
      </c>
      <c r="D23" s="247"/>
      <c r="E23" s="247"/>
      <c r="F23" s="247"/>
      <c r="G23" s="247"/>
      <c r="H23" s="247"/>
      <c r="I23" s="247">
        <f t="shared" ref="I23" si="33">1/(1+$C$26)^(I2-$C$28)</f>
        <v>0.90387690757773409</v>
      </c>
      <c r="J23" s="247">
        <f t="shared" ref="J23:Z23" si="34">1/(1+$C$26)^(J2-$C$28)</f>
        <v>0.73846152579880231</v>
      </c>
      <c r="K23" s="247">
        <f t="shared" si="34"/>
        <v>0.60331824003170131</v>
      </c>
      <c r="L23" s="247">
        <f t="shared" si="34"/>
        <v>0.49290705884942915</v>
      </c>
      <c r="M23" s="247">
        <f t="shared" si="34"/>
        <v>0.40270184546521992</v>
      </c>
      <c r="N23" s="247">
        <f t="shared" si="34"/>
        <v>0.32900477570687897</v>
      </c>
      <c r="O23" s="247">
        <f t="shared" si="34"/>
        <v>0.26879475139450898</v>
      </c>
      <c r="P23" s="247">
        <f t="shared" si="34"/>
        <v>0.21960355506087337</v>
      </c>
      <c r="Q23" s="247">
        <f t="shared" si="34"/>
        <v>0.17941466916738019</v>
      </c>
      <c r="R23" s="247">
        <f t="shared" si="34"/>
        <v>0.14658061206485309</v>
      </c>
      <c r="S23" s="247">
        <f t="shared" si="34"/>
        <v>0.11975540201376889</v>
      </c>
      <c r="T23" s="247">
        <f t="shared" si="34"/>
        <v>9.7839380730203346E-2</v>
      </c>
      <c r="U23" s="247">
        <f t="shared" si="34"/>
        <v>7.9934134583499433E-2</v>
      </c>
      <c r="V23" s="247">
        <f t="shared" si="34"/>
        <v>6.5305665509394983E-2</v>
      </c>
      <c r="W23" s="247">
        <f t="shared" si="34"/>
        <v>5.3354301886760602E-2</v>
      </c>
      <c r="X23" s="247">
        <f t="shared" si="34"/>
        <v>4.3590115920556061E-2</v>
      </c>
      <c r="Y23" s="247">
        <f t="shared" si="34"/>
        <v>3.5612839804375851E-2</v>
      </c>
      <c r="Z23" s="247">
        <f t="shared" si="34"/>
        <v>2.9095457356516224E-2</v>
      </c>
    </row>
    <row r="24" spans="2:26">
      <c r="B24" s="116" t="s">
        <v>610</v>
      </c>
      <c r="D24" s="249"/>
      <c r="E24" s="249"/>
      <c r="F24" s="249"/>
      <c r="G24" s="249"/>
      <c r="H24" s="249"/>
      <c r="I24" s="249">
        <f t="shared" ref="I24" si="35">I23*I21</f>
        <v>41.484763058163395</v>
      </c>
      <c r="J24" s="249">
        <f t="shared" ref="J24:R24" si="36">J23*J21</f>
        <v>272.24670987105827</v>
      </c>
      <c r="K24" s="249">
        <f t="shared" si="36"/>
        <v>652.4543269499834</v>
      </c>
      <c r="L24" s="249">
        <f t="shared" si="36"/>
        <v>831.02775175243858</v>
      </c>
      <c r="M24" s="249">
        <f t="shared" si="36"/>
        <v>818.41013367618029</v>
      </c>
      <c r="N24" s="249">
        <f t="shared" si="36"/>
        <v>792.89880069968262</v>
      </c>
      <c r="O24" s="249">
        <f t="shared" si="36"/>
        <v>758.37323630217145</v>
      </c>
      <c r="P24" s="249">
        <f t="shared" si="36"/>
        <v>717.87584992100722</v>
      </c>
      <c r="Q24" s="249">
        <f t="shared" si="36"/>
        <v>673.77089943271858</v>
      </c>
      <c r="R24" s="249">
        <f t="shared" si="36"/>
        <v>627.87522539018471</v>
      </c>
      <c r="S24" s="249">
        <f>S23*S21</f>
        <v>581.56559118997734</v>
      </c>
      <c r="T24" s="249">
        <f t="shared" ref="T24:Y24" si="37">T23*T21</f>
        <v>535.8666306605412</v>
      </c>
      <c r="U24" s="249">
        <f t="shared" si="37"/>
        <v>491.52274035092285</v>
      </c>
      <c r="V24" s="249">
        <f t="shared" si="37"/>
        <v>422.78886505793275</v>
      </c>
      <c r="W24" s="249">
        <f t="shared" si="37"/>
        <v>363.65714244951141</v>
      </c>
      <c r="X24" s="249">
        <f t="shared" si="37"/>
        <v>312.78788747725821</v>
      </c>
      <c r="Y24" s="249">
        <f t="shared" si="37"/>
        <v>269.02800777068131</v>
      </c>
      <c r="Z24" s="249">
        <f>Z23*Z21</f>
        <v>1166.9481841006409</v>
      </c>
    </row>
    <row r="25" spans="2:26">
      <c r="D25" s="249"/>
      <c r="E25" s="249"/>
      <c r="F25" s="249"/>
      <c r="G25" s="249"/>
      <c r="H25" s="249"/>
      <c r="I25" s="249"/>
      <c r="J25" s="249"/>
      <c r="K25" s="249"/>
      <c r="L25" s="249"/>
      <c r="M25" s="249"/>
    </row>
    <row r="26" spans="2:26">
      <c r="B26" s="116" t="s">
        <v>608</v>
      </c>
      <c r="C26" s="125">
        <v>0.224</v>
      </c>
    </row>
    <row r="27" spans="2:26">
      <c r="B27" s="116" t="s">
        <v>611</v>
      </c>
      <c r="C27" s="125">
        <f>SUM(I33:Y33)/SUM(I34:Y34)</f>
        <v>0.56816980272151607</v>
      </c>
    </row>
    <row r="28" spans="2:26">
      <c r="B28" s="116" t="s">
        <v>612</v>
      </c>
      <c r="C28" s="116">
        <f>DCF!C25</f>
        <v>2018.5</v>
      </c>
    </row>
    <row r="29" spans="2:26">
      <c r="B29" s="116" t="s">
        <v>615</v>
      </c>
      <c r="C29" s="125">
        <v>0.1</v>
      </c>
    </row>
    <row r="30" spans="2:26">
      <c r="B30" s="116" t="s">
        <v>613</v>
      </c>
      <c r="C30" s="125">
        <v>0.03</v>
      </c>
    </row>
    <row r="31" spans="2:26">
      <c r="B31" s="116" t="s">
        <v>622</v>
      </c>
      <c r="C31" s="249">
        <f>SUM(D24:Z24)</f>
        <v>10330.582746111057</v>
      </c>
    </row>
    <row r="32" spans="2:26">
      <c r="B32" s="116" t="s">
        <v>623</v>
      </c>
      <c r="C32" s="249">
        <f>C31*0.5</f>
        <v>5165.2913730555283</v>
      </c>
    </row>
    <row r="33" spans="2:25">
      <c r="B33" s="116" t="s">
        <v>86</v>
      </c>
      <c r="C33" s="249">
        <f>IF(DCF!C28=3,0,C32+C31)</f>
        <v>15495.874119166585</v>
      </c>
      <c r="I33" s="247">
        <f t="shared" ref="I33:Y33" si="38">1/(1+$C$26)^(I2-$C$28)</f>
        <v>0.90387690757773409</v>
      </c>
      <c r="J33" s="247">
        <f t="shared" si="38"/>
        <v>0.73846152579880231</v>
      </c>
      <c r="K33" s="247">
        <f t="shared" si="38"/>
        <v>0.60331824003170131</v>
      </c>
      <c r="L33" s="247">
        <f t="shared" si="38"/>
        <v>0.49290705884942915</v>
      </c>
      <c r="M33" s="247">
        <f t="shared" si="38"/>
        <v>0.40270184546521992</v>
      </c>
      <c r="N33" s="247">
        <f t="shared" si="38"/>
        <v>0.32900477570687897</v>
      </c>
      <c r="O33" s="247">
        <f t="shared" si="38"/>
        <v>0.26879475139450898</v>
      </c>
      <c r="P33" s="247">
        <f t="shared" si="38"/>
        <v>0.21960355506087337</v>
      </c>
      <c r="Q33" s="247">
        <f t="shared" si="38"/>
        <v>0.17941466916738019</v>
      </c>
      <c r="R33" s="247">
        <f t="shared" si="38"/>
        <v>0.14658061206485309</v>
      </c>
      <c r="S33" s="247">
        <f t="shared" si="38"/>
        <v>0.11975540201376889</v>
      </c>
      <c r="T33" s="247">
        <f t="shared" si="38"/>
        <v>9.7839380730203346E-2</v>
      </c>
      <c r="U33" s="247">
        <f t="shared" si="38"/>
        <v>7.9934134583499433E-2</v>
      </c>
      <c r="V33" s="247">
        <f t="shared" si="38"/>
        <v>6.5305665509394983E-2</v>
      </c>
      <c r="W33" s="247">
        <f t="shared" si="38"/>
        <v>5.3354301886760602E-2</v>
      </c>
      <c r="X33" s="247">
        <f t="shared" si="38"/>
        <v>4.3590115920556061E-2</v>
      </c>
      <c r="Y33" s="247">
        <f t="shared" si="38"/>
        <v>3.5612839804375851E-2</v>
      </c>
    </row>
    <row r="34" spans="2:25">
      <c r="H34" s="125">
        <v>0.1</v>
      </c>
      <c r="I34" s="247">
        <f t="shared" ref="I34:Y34" si="39">1/(1+$H$34)^(I2-$C$28)</f>
        <v>0.95346258924559224</v>
      </c>
      <c r="J34" s="247">
        <f t="shared" si="39"/>
        <v>0.86678417204144742</v>
      </c>
      <c r="K34" s="247">
        <f t="shared" si="39"/>
        <v>0.78798561094677033</v>
      </c>
      <c r="L34" s="247">
        <f t="shared" si="39"/>
        <v>0.71635055540615489</v>
      </c>
      <c r="M34" s="247">
        <f t="shared" si="39"/>
        <v>0.65122777764195883</v>
      </c>
      <c r="N34" s="247">
        <f t="shared" si="39"/>
        <v>0.59202525240178083</v>
      </c>
      <c r="O34" s="247">
        <f t="shared" si="39"/>
        <v>0.53820477491070973</v>
      </c>
      <c r="P34" s="247">
        <f t="shared" si="39"/>
        <v>0.48927706810064514</v>
      </c>
      <c r="Q34" s="247">
        <f t="shared" si="39"/>
        <v>0.44479733463695009</v>
      </c>
      <c r="R34" s="247">
        <f t="shared" si="39"/>
        <v>0.4043612133063183</v>
      </c>
      <c r="S34" s="247">
        <f t="shared" si="39"/>
        <v>0.36760110300574383</v>
      </c>
      <c r="T34" s="247">
        <f t="shared" si="39"/>
        <v>0.33418282091431251</v>
      </c>
      <c r="U34" s="247">
        <f t="shared" si="39"/>
        <v>0.30380256446755688</v>
      </c>
      <c r="V34" s="247">
        <f t="shared" si="39"/>
        <v>0.27618414951596076</v>
      </c>
      <c r="W34" s="247">
        <f t="shared" si="39"/>
        <v>0.25107649955996431</v>
      </c>
      <c r="X34" s="247">
        <f t="shared" si="39"/>
        <v>0.22825136323633116</v>
      </c>
      <c r="Y34" s="247">
        <f t="shared" si="39"/>
        <v>0.20750123930575562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2:T50"/>
  <sheetViews>
    <sheetView zoomScaleNormal="100" workbookViewId="0"/>
  </sheetViews>
  <sheetFormatPr defaultRowHeight="12.75" outlineLevelRow="1"/>
  <cols>
    <col min="1" max="1" width="2.7109375" style="116" customWidth="1"/>
    <col min="2" max="2" width="26.5703125" style="116" bestFit="1" customWidth="1"/>
    <col min="3" max="3" width="7" style="116" customWidth="1"/>
    <col min="4" max="16384" width="9.140625" style="116"/>
  </cols>
  <sheetData>
    <row r="2" spans="1:20" ht="13.5" thickBot="1">
      <c r="B2" s="338"/>
      <c r="C2" s="338"/>
      <c r="D2" s="338">
        <v>2020</v>
      </c>
      <c r="E2" s="338">
        <f>D2+1</f>
        <v>2021</v>
      </c>
      <c r="F2" s="338">
        <f t="shared" ref="F2:N2" si="0">E2+1</f>
        <v>2022</v>
      </c>
      <c r="G2" s="338">
        <f t="shared" si="0"/>
        <v>2023</v>
      </c>
      <c r="H2" s="338">
        <f t="shared" si="0"/>
        <v>2024</v>
      </c>
      <c r="I2" s="338">
        <f t="shared" si="0"/>
        <v>2025</v>
      </c>
      <c r="J2" s="338">
        <f t="shared" si="0"/>
        <v>2026</v>
      </c>
      <c r="K2" s="338">
        <f t="shared" si="0"/>
        <v>2027</v>
      </c>
      <c r="L2" s="338">
        <f t="shared" si="0"/>
        <v>2028</v>
      </c>
      <c r="M2" s="338">
        <f t="shared" si="0"/>
        <v>2029</v>
      </c>
      <c r="N2" s="338">
        <f t="shared" si="0"/>
        <v>2030</v>
      </c>
      <c r="O2" s="116">
        <f>N2+1</f>
        <v>2031</v>
      </c>
      <c r="P2" s="116">
        <f t="shared" ref="P2:T2" si="1">O2+1</f>
        <v>2032</v>
      </c>
      <c r="Q2" s="116">
        <f t="shared" si="1"/>
        <v>2033</v>
      </c>
      <c r="R2" s="116">
        <f t="shared" si="1"/>
        <v>2034</v>
      </c>
      <c r="S2" s="116">
        <f t="shared" si="1"/>
        <v>2035</v>
      </c>
      <c r="T2" s="116">
        <f t="shared" si="1"/>
        <v>2036</v>
      </c>
    </row>
    <row r="3" spans="1:20">
      <c r="B3" s="203" t="s">
        <v>603</v>
      </c>
      <c r="C3" s="203"/>
      <c r="D3" s="128">
        <v>28000</v>
      </c>
      <c r="E3" s="128">
        <f>D3*1.03</f>
        <v>28840</v>
      </c>
      <c r="F3" s="128">
        <f t="shared" ref="F3:N3" si="2">E3*1.03</f>
        <v>29705.200000000001</v>
      </c>
      <c r="G3" s="128">
        <f t="shared" si="2"/>
        <v>30596.356</v>
      </c>
      <c r="H3" s="128">
        <f t="shared" si="2"/>
        <v>31514.24668</v>
      </c>
      <c r="I3" s="128">
        <f t="shared" si="2"/>
        <v>32459.6740804</v>
      </c>
      <c r="J3" s="128">
        <f t="shared" si="2"/>
        <v>33433.464302812004</v>
      </c>
      <c r="K3" s="128">
        <f t="shared" si="2"/>
        <v>34436.468231896368</v>
      </c>
      <c r="L3" s="128">
        <f t="shared" si="2"/>
        <v>35469.562278853256</v>
      </c>
      <c r="M3" s="128">
        <f t="shared" si="2"/>
        <v>36533.649147218857</v>
      </c>
      <c r="N3" s="128">
        <f t="shared" si="2"/>
        <v>37629.658621635426</v>
      </c>
    </row>
    <row r="4" spans="1:20">
      <c r="B4" s="203" t="s">
        <v>604</v>
      </c>
      <c r="C4" s="203"/>
      <c r="D4" s="125">
        <v>0.3</v>
      </c>
      <c r="E4" s="125">
        <f>D4</f>
        <v>0.3</v>
      </c>
      <c r="F4" s="125">
        <v>0.31</v>
      </c>
      <c r="G4" s="125">
        <f t="shared" ref="G4:K4" si="3">F4</f>
        <v>0.31</v>
      </c>
      <c r="H4" s="125">
        <v>0.32</v>
      </c>
      <c r="I4" s="125">
        <f t="shared" si="3"/>
        <v>0.32</v>
      </c>
      <c r="J4" s="125">
        <v>0.33</v>
      </c>
      <c r="K4" s="125">
        <f t="shared" si="3"/>
        <v>0.33</v>
      </c>
      <c r="L4" s="125">
        <f>K4</f>
        <v>0.33</v>
      </c>
      <c r="M4" s="125">
        <f>L4</f>
        <v>0.33</v>
      </c>
      <c r="N4" s="125">
        <f>M4</f>
        <v>0.33</v>
      </c>
    </row>
    <row r="5" spans="1:20" outlineLevel="1">
      <c r="B5" s="206" t="s">
        <v>521</v>
      </c>
      <c r="C5" s="211"/>
      <c r="D5" s="208">
        <v>0.05</v>
      </c>
      <c r="E5" s="208">
        <v>0.12</v>
      </c>
      <c r="F5" s="208">
        <v>0.15</v>
      </c>
      <c r="G5" s="208">
        <v>0.18</v>
      </c>
      <c r="H5" s="208">
        <v>0.21</v>
      </c>
      <c r="I5" s="208">
        <v>0.23</v>
      </c>
      <c r="J5" s="208">
        <v>0.25</v>
      </c>
      <c r="K5" s="208">
        <v>0.27</v>
      </c>
      <c r="L5" s="207">
        <f t="shared" ref="L5:N6" si="4">K5*1.05</f>
        <v>0.28350000000000003</v>
      </c>
      <c r="M5" s="207">
        <f t="shared" si="4"/>
        <v>0.29767500000000002</v>
      </c>
      <c r="N5" s="207">
        <f t="shared" si="4"/>
        <v>0.31255875000000005</v>
      </c>
    </row>
    <row r="6" spans="1:20" outlineLevel="1">
      <c r="B6" s="206" t="s">
        <v>500</v>
      </c>
      <c r="C6" s="211"/>
      <c r="D6" s="208">
        <v>0</v>
      </c>
      <c r="E6" s="208">
        <v>0</v>
      </c>
      <c r="F6" s="208">
        <v>0</v>
      </c>
      <c r="G6" s="208">
        <v>0</v>
      </c>
      <c r="H6" s="208">
        <v>0</v>
      </c>
      <c r="I6" s="208">
        <v>0</v>
      </c>
      <c r="J6" s="208">
        <v>0</v>
      </c>
      <c r="K6" s="208">
        <v>0</v>
      </c>
      <c r="L6" s="207">
        <f t="shared" si="4"/>
        <v>0</v>
      </c>
      <c r="M6" s="207">
        <f t="shared" si="4"/>
        <v>0</v>
      </c>
      <c r="N6" s="207">
        <f t="shared" si="4"/>
        <v>0</v>
      </c>
    </row>
    <row r="7" spans="1:20" outlineLevel="1">
      <c r="B7" s="206" t="s">
        <v>522</v>
      </c>
      <c r="C7" s="211"/>
      <c r="D7" s="207">
        <v>0</v>
      </c>
      <c r="E7" s="207">
        <f>D7</f>
        <v>0</v>
      </c>
      <c r="F7" s="207">
        <f t="shared" ref="F7:N7" si="5">E7</f>
        <v>0</v>
      </c>
      <c r="G7" s="207">
        <f t="shared" si="5"/>
        <v>0</v>
      </c>
      <c r="H7" s="207">
        <f t="shared" si="5"/>
        <v>0</v>
      </c>
      <c r="I7" s="207">
        <f t="shared" si="5"/>
        <v>0</v>
      </c>
      <c r="J7" s="207">
        <f t="shared" si="5"/>
        <v>0</v>
      </c>
      <c r="K7" s="207">
        <f t="shared" si="5"/>
        <v>0</v>
      </c>
      <c r="L7" s="207">
        <f t="shared" si="5"/>
        <v>0</v>
      </c>
      <c r="M7" s="207">
        <f t="shared" si="5"/>
        <v>0</v>
      </c>
      <c r="N7" s="207">
        <f t="shared" si="5"/>
        <v>0</v>
      </c>
    </row>
    <row r="8" spans="1:20">
      <c r="A8" s="347" t="s">
        <v>523</v>
      </c>
      <c r="B8" s="211" t="s">
        <v>605</v>
      </c>
      <c r="C8" s="211"/>
      <c r="D8" s="346">
        <f>CHOOSE(DCF!$C$28,'anti-LINGO'!D5,'anti-LINGO'!D6,'anti-LINGO'!D7)</f>
        <v>0</v>
      </c>
      <c r="E8" s="346">
        <f>CHOOSE(DCF!$C$28,'anti-LINGO'!E5,'anti-LINGO'!E6,'anti-LINGO'!E7)</f>
        <v>0</v>
      </c>
      <c r="F8" s="346">
        <f>CHOOSE(DCF!$C$28,'anti-LINGO'!F5,'anti-LINGO'!F6,'anti-LINGO'!F7)</f>
        <v>0</v>
      </c>
      <c r="G8" s="346">
        <f>CHOOSE(DCF!$C$28,'anti-LINGO'!G5,'anti-LINGO'!G6,'anti-LINGO'!G7)</f>
        <v>0</v>
      </c>
      <c r="H8" s="346">
        <f>CHOOSE(DCF!$C$28,'anti-LINGO'!H5,'anti-LINGO'!H6,'anti-LINGO'!H7)</f>
        <v>0</v>
      </c>
      <c r="I8" s="346">
        <f>CHOOSE(DCF!$C$28,'anti-LINGO'!I5,'anti-LINGO'!I6,'anti-LINGO'!I7)</f>
        <v>0</v>
      </c>
      <c r="J8" s="346">
        <f>CHOOSE(DCF!$C$28,'anti-LINGO'!J5,'anti-LINGO'!J6,'anti-LINGO'!J7)</f>
        <v>0</v>
      </c>
      <c r="K8" s="346">
        <f>CHOOSE(DCF!$C$28,'anti-LINGO'!K5,'anti-LINGO'!K6,'anti-LINGO'!K7)</f>
        <v>0</v>
      </c>
      <c r="L8" s="346">
        <f>CHOOSE(DCF!$C$28,'anti-LINGO'!L5,'anti-LINGO'!L6,'anti-LINGO'!L7)</f>
        <v>0</v>
      </c>
      <c r="M8" s="346">
        <f>CHOOSE(DCF!$C$28,'anti-LINGO'!M5,'anti-LINGO'!M6,'anti-LINGO'!M7)</f>
        <v>0</v>
      </c>
      <c r="N8" s="346">
        <f>CHOOSE(DCF!$C$28,'anti-LINGO'!N5,'anti-LINGO'!N6,'anti-LINGO'!N7)</f>
        <v>0</v>
      </c>
    </row>
    <row r="10" spans="1:20">
      <c r="B10" s="116" t="s">
        <v>602</v>
      </c>
      <c r="D10" s="123">
        <f t="shared" ref="D10:N10" si="6">D8*D4*D3</f>
        <v>0</v>
      </c>
      <c r="E10" s="123">
        <f t="shared" si="6"/>
        <v>0</v>
      </c>
      <c r="F10" s="123">
        <f t="shared" si="6"/>
        <v>0</v>
      </c>
      <c r="G10" s="123">
        <f t="shared" si="6"/>
        <v>0</v>
      </c>
      <c r="H10" s="123">
        <f t="shared" si="6"/>
        <v>0</v>
      </c>
      <c r="I10" s="123">
        <f t="shared" si="6"/>
        <v>0</v>
      </c>
      <c r="J10" s="123">
        <f t="shared" si="6"/>
        <v>0</v>
      </c>
      <c r="K10" s="123">
        <f t="shared" si="6"/>
        <v>0</v>
      </c>
      <c r="L10" s="123">
        <f t="shared" si="6"/>
        <v>0</v>
      </c>
      <c r="M10" s="123">
        <f t="shared" si="6"/>
        <v>0</v>
      </c>
      <c r="N10" s="123">
        <f t="shared" si="6"/>
        <v>0</v>
      </c>
    </row>
    <row r="12" spans="1:20">
      <c r="B12" s="116" t="s">
        <v>153</v>
      </c>
      <c r="D12" s="249">
        <f>D13*D10</f>
        <v>0</v>
      </c>
      <c r="E12" s="249">
        <f t="shared" ref="E12:N12" si="7">E13*E10</f>
        <v>0</v>
      </c>
      <c r="F12" s="249">
        <f t="shared" si="7"/>
        <v>0</v>
      </c>
      <c r="G12" s="249">
        <f t="shared" si="7"/>
        <v>0</v>
      </c>
      <c r="H12" s="249">
        <f t="shared" si="7"/>
        <v>0</v>
      </c>
      <c r="I12" s="249">
        <f t="shared" si="7"/>
        <v>0</v>
      </c>
      <c r="J12" s="249">
        <f t="shared" si="7"/>
        <v>0</v>
      </c>
      <c r="K12" s="249">
        <f t="shared" si="7"/>
        <v>0</v>
      </c>
      <c r="L12" s="249">
        <f t="shared" si="7"/>
        <v>0</v>
      </c>
      <c r="M12" s="249">
        <f t="shared" si="7"/>
        <v>0</v>
      </c>
      <c r="N12" s="249">
        <f t="shared" si="7"/>
        <v>0</v>
      </c>
    </row>
    <row r="13" spans="1:20" s="196" customFormat="1">
      <c r="B13" s="197" t="s">
        <v>606</v>
      </c>
      <c r="C13" s="197"/>
      <c r="D13" s="236">
        <v>0.1</v>
      </c>
      <c r="E13" s="236">
        <f>D13</f>
        <v>0.1</v>
      </c>
      <c r="F13" s="236">
        <f t="shared" ref="F13:N13" si="8">E13</f>
        <v>0.1</v>
      </c>
      <c r="G13" s="236">
        <f t="shared" si="8"/>
        <v>0.1</v>
      </c>
      <c r="H13" s="236">
        <f t="shared" si="8"/>
        <v>0.1</v>
      </c>
      <c r="I13" s="236">
        <f t="shared" si="8"/>
        <v>0.1</v>
      </c>
      <c r="J13" s="236">
        <f t="shared" si="8"/>
        <v>0.1</v>
      </c>
      <c r="K13" s="236">
        <f t="shared" si="8"/>
        <v>0.1</v>
      </c>
      <c r="L13" s="236">
        <f t="shared" si="8"/>
        <v>0.1</v>
      </c>
      <c r="M13" s="236">
        <f t="shared" si="8"/>
        <v>0.1</v>
      </c>
      <c r="N13" s="236">
        <f t="shared" si="8"/>
        <v>0.1</v>
      </c>
    </row>
    <row r="15" spans="1:20">
      <c r="B15" s="116" t="s">
        <v>645</v>
      </c>
      <c r="D15" s="249">
        <v>50</v>
      </c>
      <c r="E15" s="249">
        <f t="shared" ref="E15:N15" si="9">D15*1.075</f>
        <v>53.75</v>
      </c>
      <c r="F15" s="249">
        <f t="shared" si="9"/>
        <v>57.78125</v>
      </c>
      <c r="G15" s="249">
        <f t="shared" si="9"/>
        <v>62.114843749999999</v>
      </c>
      <c r="H15" s="249">
        <f t="shared" si="9"/>
        <v>66.77345703124999</v>
      </c>
      <c r="I15" s="249">
        <f t="shared" si="9"/>
        <v>71.781466308593735</v>
      </c>
      <c r="J15" s="249">
        <f t="shared" si="9"/>
        <v>77.165076281738266</v>
      </c>
      <c r="K15" s="249">
        <f t="shared" si="9"/>
        <v>82.952457002868627</v>
      </c>
      <c r="L15" s="249">
        <f t="shared" si="9"/>
        <v>89.173891278083772</v>
      </c>
      <c r="M15" s="249">
        <f t="shared" si="9"/>
        <v>95.861933123940048</v>
      </c>
      <c r="N15" s="249">
        <f t="shared" si="9"/>
        <v>103.05157810823555</v>
      </c>
    </row>
    <row r="17" spans="2:20">
      <c r="B17" s="116" t="s">
        <v>607</v>
      </c>
      <c r="D17" s="116">
        <v>100</v>
      </c>
      <c r="E17" s="116">
        <f t="shared" ref="E17:N17" si="10">D17</f>
        <v>100</v>
      </c>
      <c r="F17" s="116">
        <f t="shared" si="10"/>
        <v>100</v>
      </c>
      <c r="G17" s="116">
        <f t="shared" si="10"/>
        <v>100</v>
      </c>
      <c r="H17" s="116">
        <f t="shared" si="10"/>
        <v>100</v>
      </c>
      <c r="I17" s="116">
        <f t="shared" si="10"/>
        <v>100</v>
      </c>
      <c r="J17" s="116">
        <f t="shared" si="10"/>
        <v>100</v>
      </c>
      <c r="K17" s="116">
        <f t="shared" si="10"/>
        <v>100</v>
      </c>
      <c r="L17" s="116">
        <f t="shared" si="10"/>
        <v>100</v>
      </c>
      <c r="M17" s="116">
        <f t="shared" si="10"/>
        <v>100</v>
      </c>
      <c r="N17" s="116">
        <f t="shared" si="10"/>
        <v>100</v>
      </c>
    </row>
    <row r="19" spans="2:20">
      <c r="B19" s="341" t="s">
        <v>162</v>
      </c>
      <c r="C19" s="341"/>
      <c r="D19" s="372">
        <f>(D10-D12-D15-D17)*0.85</f>
        <v>-127.5</v>
      </c>
      <c r="E19" s="372">
        <f t="shared" ref="E19:N19" si="11">(E10-E12-E15-E17)*0.85</f>
        <v>-130.6875</v>
      </c>
      <c r="F19" s="372">
        <f t="shared" si="11"/>
        <v>-134.11406249999999</v>
      </c>
      <c r="G19" s="372">
        <f t="shared" si="11"/>
        <v>-137.79761718750001</v>
      </c>
      <c r="H19" s="372">
        <f t="shared" si="11"/>
        <v>-141.7574384765625</v>
      </c>
      <c r="I19" s="372">
        <f t="shared" si="11"/>
        <v>-146.01424636230468</v>
      </c>
      <c r="J19" s="372">
        <f t="shared" si="11"/>
        <v>-150.59031483947751</v>
      </c>
      <c r="K19" s="372">
        <f t="shared" si="11"/>
        <v>-155.50958845243835</v>
      </c>
      <c r="L19" s="372">
        <f t="shared" si="11"/>
        <v>-160.79780758637119</v>
      </c>
      <c r="M19" s="372">
        <f t="shared" si="11"/>
        <v>-166.48264315534902</v>
      </c>
      <c r="N19" s="372">
        <f t="shared" si="11"/>
        <v>-172.59384139200023</v>
      </c>
      <c r="O19" s="249">
        <f>N19*(1+$C$27)</f>
        <v>-189.85322553120028</v>
      </c>
      <c r="P19" s="249">
        <f t="shared" ref="P19:S19" si="12">O19*(1+$C$27)</f>
        <v>-208.83854808432034</v>
      </c>
      <c r="Q19" s="249">
        <f t="shared" si="12"/>
        <v>-229.7224028927524</v>
      </c>
      <c r="R19" s="249">
        <f t="shared" si="12"/>
        <v>-252.69464318202765</v>
      </c>
      <c r="S19" s="249">
        <f t="shared" si="12"/>
        <v>-277.96410750023045</v>
      </c>
      <c r="T19" s="249">
        <f>N19*(1+C28)/(C24-C28)</f>
        <v>-628.73470792800094</v>
      </c>
    </row>
    <row r="21" spans="2:20">
      <c r="B21" s="116" t="s">
        <v>609</v>
      </c>
      <c r="D21" s="247">
        <f t="shared" ref="D21:N21" si="13">1/(1+$C$24)^(D2-$C$26)</f>
        <v>0.59171597633136086</v>
      </c>
      <c r="E21" s="247">
        <f t="shared" si="13"/>
        <v>0.45516613563950831</v>
      </c>
      <c r="F21" s="247">
        <f t="shared" si="13"/>
        <v>0.35012779664577565</v>
      </c>
      <c r="G21" s="247">
        <f t="shared" si="13"/>
        <v>0.26932907434290432</v>
      </c>
      <c r="H21" s="247">
        <f t="shared" si="13"/>
        <v>0.20717621103300329</v>
      </c>
      <c r="I21" s="247">
        <f t="shared" si="13"/>
        <v>0.1593663161792333</v>
      </c>
      <c r="J21" s="247">
        <f t="shared" si="13"/>
        <v>0.12258947398402563</v>
      </c>
      <c r="K21" s="247">
        <f t="shared" si="13"/>
        <v>9.4299595372327405E-2</v>
      </c>
      <c r="L21" s="247">
        <f t="shared" si="13"/>
        <v>7.2538150286405687E-2</v>
      </c>
      <c r="M21" s="247">
        <f t="shared" si="13"/>
        <v>5.579857714338899E-2</v>
      </c>
      <c r="N21" s="247">
        <f t="shared" si="13"/>
        <v>4.2921982417991528E-2</v>
      </c>
      <c r="O21" s="247">
        <f t="shared" ref="O21:S21" si="14">1/(1+$C$24)^(O2-$C$26)</f>
        <v>3.3016909552301174E-2</v>
      </c>
      <c r="P21" s="247">
        <f t="shared" si="14"/>
        <v>2.5397622732539361E-2</v>
      </c>
      <c r="Q21" s="247">
        <f t="shared" si="14"/>
        <v>1.9536632871184123E-2</v>
      </c>
      <c r="R21" s="247">
        <f t="shared" si="14"/>
        <v>1.5028179131680095E-2</v>
      </c>
      <c r="S21" s="247">
        <f t="shared" si="14"/>
        <v>1.1560137793600074E-2</v>
      </c>
      <c r="T21" s="247">
        <f>1/(1+$C$24)^(T2-$C$26)</f>
        <v>8.8924136873846701E-3</v>
      </c>
    </row>
    <row r="22" spans="2:20">
      <c r="B22" s="116" t="s">
        <v>610</v>
      </c>
      <c r="D22" s="249">
        <f>D21*D19</f>
        <v>-75.443786982248511</v>
      </c>
      <c r="E22" s="249">
        <f t="shared" ref="E22:N22" si="15">E21*E19</f>
        <v>-59.484524351388245</v>
      </c>
      <c r="F22" s="249">
        <f t="shared" si="15"/>
        <v>-46.957061202338842</v>
      </c>
      <c r="G22" s="249">
        <f t="shared" si="15"/>
        <v>-37.112904683767262</v>
      </c>
      <c r="H22" s="249">
        <f t="shared" si="15"/>
        <v>-29.368768989318294</v>
      </c>
      <c r="I22" s="249">
        <f t="shared" si="15"/>
        <v>-23.269752552447514</v>
      </c>
      <c r="J22" s="249">
        <f t="shared" si="15"/>
        <v>-18.460787483260358</v>
      </c>
      <c r="K22" s="249">
        <f t="shared" si="15"/>
        <v>-14.664491267582095</v>
      </c>
      <c r="L22" s="249">
        <f t="shared" si="15"/>
        <v>-11.663975532424738</v>
      </c>
      <c r="M22" s="249">
        <f t="shared" si="15"/>
        <v>-9.2894946071390443</v>
      </c>
      <c r="N22" s="249">
        <f t="shared" si="15"/>
        <v>-7.4080698256810518</v>
      </c>
      <c r="O22" s="249">
        <f t="shared" ref="O22" si="16">O21*O19</f>
        <v>-6.2683667755762755</v>
      </c>
      <c r="P22" s="249">
        <f t="shared" ref="P22" si="17">P21*P19</f>
        <v>-5.3040026562568485</v>
      </c>
      <c r="Q22" s="249">
        <f t="shared" ref="Q22" si="18">Q21*Q19</f>
        <v>-4.4880022476019494</v>
      </c>
      <c r="R22" s="249">
        <f t="shared" ref="R22" si="19">R21*R19</f>
        <v>-3.7975403633554956</v>
      </c>
      <c r="S22" s="249">
        <f t="shared" ref="S22" si="20">S21*S19</f>
        <v>-3.2133033843777281</v>
      </c>
      <c r="T22" s="249">
        <f>T21*T19</f>
        <v>-5.5909691225127585</v>
      </c>
    </row>
    <row r="23" spans="2:20">
      <c r="D23" s="249"/>
      <c r="E23" s="249"/>
      <c r="F23" s="249"/>
      <c r="G23" s="249"/>
      <c r="H23" s="249"/>
      <c r="I23" s="249"/>
      <c r="J23" s="249"/>
      <c r="K23" s="249"/>
      <c r="L23" s="249"/>
      <c r="M23" s="249"/>
      <c r="N23" s="249"/>
    </row>
    <row r="24" spans="2:20">
      <c r="B24" s="116" t="s">
        <v>608</v>
      </c>
      <c r="C24" s="125">
        <v>0.3</v>
      </c>
    </row>
    <row r="25" spans="2:20">
      <c r="B25" s="116" t="s">
        <v>611</v>
      </c>
      <c r="C25" s="125">
        <f>SUM(D38:N38)/SUM(D39:N39)</f>
        <v>0.41002420395853123</v>
      </c>
    </row>
    <row r="26" spans="2:20">
      <c r="B26" s="116" t="s">
        <v>612</v>
      </c>
      <c r="C26" s="116">
        <v>2018</v>
      </c>
    </row>
    <row r="27" spans="2:20">
      <c r="B27" s="116" t="s">
        <v>615</v>
      </c>
      <c r="C27" s="125">
        <v>0.1</v>
      </c>
    </row>
    <row r="28" spans="2:20">
      <c r="B28" s="116" t="s">
        <v>613</v>
      </c>
      <c r="C28" s="125">
        <v>0.02</v>
      </c>
    </row>
    <row r="29" spans="2:20">
      <c r="B29" s="116" t="s">
        <v>614</v>
      </c>
      <c r="C29" s="249">
        <f>IF(DCF!C28=1,SUM(D22:T22),0)</f>
        <v>0</v>
      </c>
    </row>
    <row r="38" spans="2:14">
      <c r="D38" s="247">
        <f>1/(1+$C$24)^(D2-$C$26)</f>
        <v>0.59171597633136086</v>
      </c>
      <c r="E38" s="247">
        <f t="shared" ref="E38:N38" si="21">1/(1+$C$24)^(E2-$C$26)</f>
        <v>0.45516613563950831</v>
      </c>
      <c r="F38" s="247">
        <f t="shared" si="21"/>
        <v>0.35012779664577565</v>
      </c>
      <c r="G38" s="247">
        <f t="shared" si="21"/>
        <v>0.26932907434290432</v>
      </c>
      <c r="H38" s="247">
        <f t="shared" si="21"/>
        <v>0.20717621103300329</v>
      </c>
      <c r="I38" s="247">
        <f t="shared" si="21"/>
        <v>0.1593663161792333</v>
      </c>
      <c r="J38" s="247">
        <f t="shared" si="21"/>
        <v>0.12258947398402563</v>
      </c>
      <c r="K38" s="247">
        <f t="shared" si="21"/>
        <v>9.4299595372327405E-2</v>
      </c>
      <c r="L38" s="247">
        <f t="shared" si="21"/>
        <v>7.2538150286405687E-2</v>
      </c>
      <c r="M38" s="247">
        <f t="shared" si="21"/>
        <v>5.579857714338899E-2</v>
      </c>
      <c r="N38" s="247">
        <f t="shared" si="21"/>
        <v>4.2921982417991528E-2</v>
      </c>
    </row>
    <row r="39" spans="2:14">
      <c r="C39" s="125">
        <v>0.1</v>
      </c>
      <c r="D39" s="247">
        <f>1/(1+$C$39)^(D2-$C$26)</f>
        <v>0.82644628099173545</v>
      </c>
      <c r="E39" s="247">
        <f t="shared" ref="E39:N39" si="22">1/(1+$C$39)^(E2-$C$26)</f>
        <v>0.75131480090157754</v>
      </c>
      <c r="F39" s="247">
        <f t="shared" si="22"/>
        <v>0.68301345536507052</v>
      </c>
      <c r="G39" s="247">
        <f t="shared" si="22"/>
        <v>0.62092132305915493</v>
      </c>
      <c r="H39" s="247">
        <f t="shared" si="22"/>
        <v>0.56447393005377722</v>
      </c>
      <c r="I39" s="247">
        <f t="shared" si="22"/>
        <v>0.51315811823070645</v>
      </c>
      <c r="J39" s="247">
        <f t="shared" si="22"/>
        <v>0.46650738020973315</v>
      </c>
      <c r="K39" s="247">
        <f t="shared" si="22"/>
        <v>0.42409761837248466</v>
      </c>
      <c r="L39" s="247">
        <f t="shared" si="22"/>
        <v>0.38554328942953148</v>
      </c>
      <c r="M39" s="247">
        <f t="shared" si="22"/>
        <v>0.3504938994813922</v>
      </c>
      <c r="N39" s="247">
        <f t="shared" si="22"/>
        <v>0.31863081771035656</v>
      </c>
    </row>
    <row r="47" spans="2:14">
      <c r="B47" s="116">
        <v>307</v>
      </c>
    </row>
    <row r="48" spans="2:14">
      <c r="B48" s="116">
        <v>18</v>
      </c>
    </row>
    <row r="49" spans="2:2">
      <c r="B49" s="116">
        <v>25</v>
      </c>
    </row>
    <row r="50" spans="2:2">
      <c r="B50" s="116">
        <v>25</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B2:AB259"/>
  <sheetViews>
    <sheetView zoomScale="85" zoomScaleNormal="85" workbookViewId="0">
      <pane ySplit="2" topLeftCell="A17" activePane="bottomLeft" state="frozen"/>
      <selection pane="bottomLeft" activeCell="L59" sqref="L59"/>
    </sheetView>
  </sheetViews>
  <sheetFormatPr defaultRowHeight="15" outlineLevelRow="1"/>
  <cols>
    <col min="1" max="1" width="2.140625" customWidth="1"/>
    <col min="2" max="2" width="36.85546875" customWidth="1"/>
    <col min="3" max="24" width="11.42578125" customWidth="1"/>
  </cols>
  <sheetData>
    <row r="2" spans="2:28">
      <c r="B2" s="354" t="s">
        <v>633</v>
      </c>
      <c r="C2" s="354">
        <v>2009</v>
      </c>
      <c r="D2" s="354">
        <f>C2+1</f>
        <v>2010</v>
      </c>
      <c r="E2" s="354">
        <f t="shared" ref="E2:X2" si="0">D2+1</f>
        <v>2011</v>
      </c>
      <c r="F2" s="354">
        <f t="shared" si="0"/>
        <v>2012</v>
      </c>
      <c r="G2" s="354">
        <f t="shared" si="0"/>
        <v>2013</v>
      </c>
      <c r="H2" s="354">
        <f t="shared" si="0"/>
        <v>2014</v>
      </c>
      <c r="I2" s="354">
        <f t="shared" si="0"/>
        <v>2015</v>
      </c>
      <c r="J2" s="354">
        <f t="shared" si="0"/>
        <v>2016</v>
      </c>
      <c r="K2" s="354">
        <f t="shared" si="0"/>
        <v>2017</v>
      </c>
      <c r="L2" s="354">
        <f t="shared" si="0"/>
        <v>2018</v>
      </c>
      <c r="M2" s="354">
        <f t="shared" si="0"/>
        <v>2019</v>
      </c>
      <c r="N2" s="354">
        <f t="shared" si="0"/>
        <v>2020</v>
      </c>
      <c r="O2" s="354">
        <f t="shared" si="0"/>
        <v>2021</v>
      </c>
      <c r="P2" s="354">
        <f t="shared" si="0"/>
        <v>2022</v>
      </c>
      <c r="Q2" s="354">
        <f t="shared" si="0"/>
        <v>2023</v>
      </c>
      <c r="R2" s="354">
        <f t="shared" si="0"/>
        <v>2024</v>
      </c>
      <c r="S2" s="354">
        <f t="shared" si="0"/>
        <v>2025</v>
      </c>
      <c r="T2" s="354">
        <f t="shared" si="0"/>
        <v>2026</v>
      </c>
      <c r="U2" s="354">
        <f t="shared" si="0"/>
        <v>2027</v>
      </c>
      <c r="V2" s="354">
        <f t="shared" si="0"/>
        <v>2028</v>
      </c>
      <c r="W2" s="354">
        <f t="shared" si="0"/>
        <v>2029</v>
      </c>
      <c r="X2" s="354">
        <f t="shared" si="0"/>
        <v>2030</v>
      </c>
    </row>
    <row r="3" spans="2:28">
      <c r="B3" s="493" t="s">
        <v>199</v>
      </c>
      <c r="C3" s="494"/>
      <c r="D3" s="494"/>
      <c r="E3" s="494"/>
      <c r="F3" s="494"/>
      <c r="G3" s="494"/>
      <c r="H3" s="494"/>
      <c r="I3" s="494"/>
      <c r="J3" s="494"/>
      <c r="K3" s="494"/>
      <c r="L3" s="494"/>
      <c r="M3" s="494"/>
      <c r="N3" s="494"/>
      <c r="O3" s="494"/>
      <c r="P3" s="494"/>
      <c r="Q3" s="494"/>
      <c r="R3" s="494"/>
      <c r="S3" s="494"/>
      <c r="T3" s="494"/>
      <c r="U3" s="494"/>
      <c r="V3" s="395"/>
      <c r="W3" s="395"/>
      <c r="X3" s="395"/>
    </row>
    <row r="5" spans="2:28">
      <c r="B5" s="126" t="s">
        <v>200</v>
      </c>
      <c r="C5" s="128">
        <v>306794320</v>
      </c>
      <c r="D5" s="128">
        <v>309346972</v>
      </c>
      <c r="E5" s="128">
        <v>311607821</v>
      </c>
      <c r="F5" s="128">
        <v>313933954</v>
      </c>
      <c r="G5" s="128">
        <f>F5*(1+G6)</f>
        <v>316277451.43814641</v>
      </c>
      <c r="H5" s="128">
        <f t="shared" ref="H5:X5" si="1">G5*(1+H6)</f>
        <v>318638442.9388898</v>
      </c>
      <c r="I5" s="128">
        <f t="shared" si="1"/>
        <v>321017059.09431922</v>
      </c>
      <c r="J5" s="128">
        <f t="shared" si="1"/>
        <v>323413431.4713856</v>
      </c>
      <c r="K5" s="128">
        <f t="shared" si="1"/>
        <v>325827692.61917889</v>
      </c>
      <c r="L5" s="128">
        <f t="shared" si="1"/>
        <v>328259976.07625979</v>
      </c>
      <c r="M5" s="128">
        <f t="shared" si="1"/>
        <v>330710416.37804604</v>
      </c>
      <c r="N5" s="128">
        <f t="shared" si="1"/>
        <v>333179149.06425387</v>
      </c>
      <c r="O5" s="128">
        <f t="shared" si="1"/>
        <v>335666310.68639517</v>
      </c>
      <c r="P5" s="128">
        <f t="shared" si="1"/>
        <v>338172038.81533027</v>
      </c>
      <c r="Q5" s="128">
        <f t="shared" si="1"/>
        <v>340696472.04887742</v>
      </c>
      <c r="R5" s="128">
        <f t="shared" si="1"/>
        <v>343239750.01947904</v>
      </c>
      <c r="S5" s="128">
        <f t="shared" si="1"/>
        <v>345802013.40192491</v>
      </c>
      <c r="T5" s="128">
        <f t="shared" si="1"/>
        <v>348383403.92113352</v>
      </c>
      <c r="U5" s="128">
        <f t="shared" si="1"/>
        <v>350984064.35999095</v>
      </c>
      <c r="V5" s="128">
        <f t="shared" si="1"/>
        <v>353604138.5672487</v>
      </c>
      <c r="W5" s="128">
        <f t="shared" si="1"/>
        <v>356243771.46548027</v>
      </c>
      <c r="X5" s="128">
        <f t="shared" si="1"/>
        <v>358903109.05909705</v>
      </c>
      <c r="Y5" s="126"/>
      <c r="Z5" s="355" t="s">
        <v>634</v>
      </c>
      <c r="AA5" s="126"/>
    </row>
    <row r="6" spans="2:28">
      <c r="B6" s="197" t="s">
        <v>201</v>
      </c>
      <c r="C6" s="196"/>
      <c r="D6" s="356">
        <f>D5/C5-1</f>
        <v>8.3204017597195978E-3</v>
      </c>
      <c r="E6" s="356">
        <f>E5/D5-1</f>
        <v>7.3084568611843093E-3</v>
      </c>
      <c r="F6" s="356">
        <f>F5/E5-1</f>
        <v>7.4649377943565298E-3</v>
      </c>
      <c r="G6" s="199">
        <f>F6</f>
        <v>7.4649377943565298E-3</v>
      </c>
      <c r="H6" s="199">
        <f t="shared" ref="H6:X6" si="2">G6</f>
        <v>7.4649377943565298E-3</v>
      </c>
      <c r="I6" s="199">
        <f t="shared" si="2"/>
        <v>7.4649377943565298E-3</v>
      </c>
      <c r="J6" s="199">
        <f t="shared" si="2"/>
        <v>7.4649377943565298E-3</v>
      </c>
      <c r="K6" s="199">
        <f t="shared" si="2"/>
        <v>7.4649377943565298E-3</v>
      </c>
      <c r="L6" s="199">
        <f t="shared" si="2"/>
        <v>7.4649377943565298E-3</v>
      </c>
      <c r="M6" s="199">
        <f t="shared" si="2"/>
        <v>7.4649377943565298E-3</v>
      </c>
      <c r="N6" s="199">
        <f t="shared" si="2"/>
        <v>7.4649377943565298E-3</v>
      </c>
      <c r="O6" s="199">
        <f t="shared" si="2"/>
        <v>7.4649377943565298E-3</v>
      </c>
      <c r="P6" s="199">
        <f t="shared" si="2"/>
        <v>7.4649377943565298E-3</v>
      </c>
      <c r="Q6" s="199">
        <f t="shared" si="2"/>
        <v>7.4649377943565298E-3</v>
      </c>
      <c r="R6" s="199">
        <f t="shared" si="2"/>
        <v>7.4649377943565298E-3</v>
      </c>
      <c r="S6" s="199">
        <f t="shared" si="2"/>
        <v>7.4649377943565298E-3</v>
      </c>
      <c r="T6" s="199">
        <f t="shared" si="2"/>
        <v>7.4649377943565298E-3</v>
      </c>
      <c r="U6" s="199">
        <f t="shared" si="2"/>
        <v>7.4649377943565298E-3</v>
      </c>
      <c r="V6" s="199">
        <f t="shared" si="2"/>
        <v>7.4649377943565298E-3</v>
      </c>
      <c r="W6" s="199">
        <f t="shared" si="2"/>
        <v>7.4649377943565298E-3</v>
      </c>
      <c r="X6" s="199">
        <f t="shared" si="2"/>
        <v>7.4649377943565298E-3</v>
      </c>
      <c r="Y6" s="196"/>
      <c r="Z6" s="196" t="s">
        <v>846</v>
      </c>
      <c r="AA6" s="196"/>
    </row>
    <row r="7" spans="2:28">
      <c r="B7" s="126" t="s">
        <v>838</v>
      </c>
      <c r="C7" s="410">
        <v>4130665</v>
      </c>
      <c r="D7" s="410">
        <v>3999386</v>
      </c>
      <c r="E7" s="410">
        <v>3953590</v>
      </c>
      <c r="F7" s="410">
        <v>3952841</v>
      </c>
      <c r="G7" s="410">
        <v>3932181</v>
      </c>
      <c r="H7" s="410">
        <v>3988076</v>
      </c>
      <c r="I7" s="410">
        <v>3977745</v>
      </c>
      <c r="J7" s="410">
        <f>J5*J8</f>
        <v>4010326.5502451812</v>
      </c>
      <c r="K7" s="410">
        <f t="shared" ref="K7:X7" si="3">K5*K8</f>
        <v>4040263.3884778181</v>
      </c>
      <c r="L7" s="410">
        <f t="shared" si="3"/>
        <v>4070423.7033456215</v>
      </c>
      <c r="M7" s="410">
        <f t="shared" si="3"/>
        <v>4100809.1630877708</v>
      </c>
      <c r="N7" s="410">
        <f t="shared" si="3"/>
        <v>4131421.4483967479</v>
      </c>
      <c r="O7" s="410">
        <f t="shared" si="3"/>
        <v>4162262.2525113001</v>
      </c>
      <c r="P7" s="410">
        <f t="shared" si="3"/>
        <v>4193333.281310095</v>
      </c>
      <c r="Q7" s="410">
        <f t="shared" si="3"/>
        <v>4224636.2534060795</v>
      </c>
      <c r="R7" s="410">
        <f t="shared" si="3"/>
        <v>4256172.9002415398</v>
      </c>
      <c r="S7" s="410">
        <f t="shared" si="3"/>
        <v>4287944.9661838692</v>
      </c>
      <c r="T7" s="410">
        <f t="shared" si="3"/>
        <v>4319954.2086220551</v>
      </c>
      <c r="U7" s="410">
        <f t="shared" si="3"/>
        <v>4352202.3980638878</v>
      </c>
      <c r="V7" s="410">
        <f t="shared" si="3"/>
        <v>4384691.3182338839</v>
      </c>
      <c r="W7" s="410">
        <f t="shared" si="3"/>
        <v>4417422.7661719555</v>
      </c>
      <c r="X7" s="410">
        <f t="shared" si="3"/>
        <v>4450398.5523328036</v>
      </c>
      <c r="Y7" s="196"/>
      <c r="Z7" s="516"/>
      <c r="AA7" s="196"/>
    </row>
    <row r="8" spans="2:28">
      <c r="B8" s="197" t="s">
        <v>839</v>
      </c>
      <c r="C8" s="450">
        <f>C7/C5</f>
        <v>1.3463955264882348E-2</v>
      </c>
      <c r="D8" s="450">
        <f t="shared" ref="D8:I8" si="4">D7/D5</f>
        <v>1.2928479545615207E-2</v>
      </c>
      <c r="E8" s="450">
        <f t="shared" si="4"/>
        <v>1.2687711069999106E-2</v>
      </c>
      <c r="F8" s="450">
        <f t="shared" si="4"/>
        <v>1.2591314031613159E-2</v>
      </c>
      <c r="G8" s="450">
        <f t="shared" si="4"/>
        <v>1.2432694718260707E-2</v>
      </c>
      <c r="H8" s="450">
        <f t="shared" si="4"/>
        <v>1.2515991363806829E-2</v>
      </c>
      <c r="I8" s="450">
        <f t="shared" si="4"/>
        <v>1.2391070465919644E-2</v>
      </c>
      <c r="J8" s="451">
        <v>1.24E-2</v>
      </c>
      <c r="K8" s="450">
        <f>J8</f>
        <v>1.24E-2</v>
      </c>
      <c r="L8" s="450">
        <f t="shared" ref="L8:X8" si="5">K8</f>
        <v>1.24E-2</v>
      </c>
      <c r="M8" s="450">
        <f t="shared" si="5"/>
        <v>1.24E-2</v>
      </c>
      <c r="N8" s="450">
        <f t="shared" si="5"/>
        <v>1.24E-2</v>
      </c>
      <c r="O8" s="450">
        <f t="shared" si="5"/>
        <v>1.24E-2</v>
      </c>
      <c r="P8" s="450">
        <f t="shared" si="5"/>
        <v>1.24E-2</v>
      </c>
      <c r="Q8" s="450">
        <f t="shared" si="5"/>
        <v>1.24E-2</v>
      </c>
      <c r="R8" s="450">
        <f t="shared" si="5"/>
        <v>1.24E-2</v>
      </c>
      <c r="S8" s="450">
        <f t="shared" si="5"/>
        <v>1.24E-2</v>
      </c>
      <c r="T8" s="450">
        <f t="shared" si="5"/>
        <v>1.24E-2</v>
      </c>
      <c r="U8" s="450">
        <f t="shared" si="5"/>
        <v>1.24E-2</v>
      </c>
      <c r="V8" s="450">
        <f t="shared" si="5"/>
        <v>1.24E-2</v>
      </c>
      <c r="W8" s="450">
        <f t="shared" si="5"/>
        <v>1.24E-2</v>
      </c>
      <c r="X8" s="450">
        <f t="shared" si="5"/>
        <v>1.24E-2</v>
      </c>
      <c r="Y8" s="196"/>
      <c r="Z8" s="196" t="s">
        <v>841</v>
      </c>
      <c r="AA8" s="196"/>
      <c r="AB8" s="452">
        <v>1.6666666666666666E-4</v>
      </c>
    </row>
    <row r="9" spans="2:28">
      <c r="B9" s="357" t="s">
        <v>840</v>
      </c>
      <c r="C9" s="453">
        <f>C7*$AB$8</f>
        <v>688.44416666666666</v>
      </c>
      <c r="D9" s="453">
        <f t="shared" ref="D9:X9" si="6">D7*$AB$8</f>
        <v>666.56433333333337</v>
      </c>
      <c r="E9" s="453">
        <f t="shared" si="6"/>
        <v>658.93166666666662</v>
      </c>
      <c r="F9" s="453">
        <f t="shared" si="6"/>
        <v>658.80683333333332</v>
      </c>
      <c r="G9" s="453">
        <f t="shared" si="6"/>
        <v>655.36349999999993</v>
      </c>
      <c r="H9" s="453">
        <f t="shared" si="6"/>
        <v>664.67933333333326</v>
      </c>
      <c r="I9" s="453">
        <f t="shared" si="6"/>
        <v>662.95749999999998</v>
      </c>
      <c r="J9" s="453">
        <f t="shared" si="6"/>
        <v>668.38775837419689</v>
      </c>
      <c r="K9" s="453">
        <f t="shared" si="6"/>
        <v>673.37723141296965</v>
      </c>
      <c r="L9" s="453">
        <f t="shared" si="6"/>
        <v>678.40395055760359</v>
      </c>
      <c r="M9" s="453">
        <f t="shared" si="6"/>
        <v>683.46819384796174</v>
      </c>
      <c r="N9" s="453">
        <f t="shared" si="6"/>
        <v>688.57024139945793</v>
      </c>
      <c r="O9" s="453">
        <f t="shared" si="6"/>
        <v>693.71037541855003</v>
      </c>
      <c r="P9" s="453">
        <f t="shared" si="6"/>
        <v>698.88888021834919</v>
      </c>
      <c r="Q9" s="453">
        <f t="shared" si="6"/>
        <v>704.10604223434655</v>
      </c>
      <c r="R9" s="453">
        <f t="shared" si="6"/>
        <v>709.36215004025667</v>
      </c>
      <c r="S9" s="453">
        <f t="shared" si="6"/>
        <v>714.65749436397812</v>
      </c>
      <c r="T9" s="453">
        <f t="shared" si="6"/>
        <v>719.99236810367586</v>
      </c>
      <c r="U9" s="453">
        <f t="shared" si="6"/>
        <v>725.36706634398126</v>
      </c>
      <c r="V9" s="453">
        <f t="shared" si="6"/>
        <v>730.78188637231392</v>
      </c>
      <c r="W9" s="453">
        <f t="shared" si="6"/>
        <v>736.23712769532585</v>
      </c>
      <c r="X9" s="453">
        <f t="shared" si="6"/>
        <v>741.7330920554673</v>
      </c>
      <c r="Y9" s="196"/>
      <c r="Z9" s="196" t="s">
        <v>847</v>
      </c>
      <c r="AA9" s="196"/>
    </row>
    <row r="10" spans="2:28">
      <c r="B10" s="454" t="s">
        <v>842</v>
      </c>
      <c r="C10" s="453">
        <f>C9*0.603</f>
        <v>415.13183249999997</v>
      </c>
      <c r="D10" s="453">
        <f t="shared" ref="D10:X10" si="7">D9*0.603</f>
        <v>401.93829299999999</v>
      </c>
      <c r="E10" s="453">
        <f t="shared" si="7"/>
        <v>397.33579499999996</v>
      </c>
      <c r="F10" s="453">
        <f t="shared" si="7"/>
        <v>397.26052049999998</v>
      </c>
      <c r="G10" s="453">
        <f t="shared" si="7"/>
        <v>395.18419049999994</v>
      </c>
      <c r="H10" s="453">
        <f t="shared" si="7"/>
        <v>400.80163799999997</v>
      </c>
      <c r="I10" s="453">
        <f t="shared" si="7"/>
        <v>399.7633725</v>
      </c>
      <c r="J10" s="453">
        <f t="shared" si="7"/>
        <v>403.03781829964072</v>
      </c>
      <c r="K10" s="453">
        <f t="shared" si="7"/>
        <v>406.0464705420207</v>
      </c>
      <c r="L10" s="453">
        <f t="shared" si="7"/>
        <v>409.07758218623496</v>
      </c>
      <c r="M10" s="453">
        <f t="shared" si="7"/>
        <v>412.13132089032092</v>
      </c>
      <c r="N10" s="453">
        <f t="shared" si="7"/>
        <v>415.20785556387312</v>
      </c>
      <c r="O10" s="453">
        <f t="shared" si="7"/>
        <v>418.30735637738564</v>
      </c>
      <c r="P10" s="453">
        <f t="shared" si="7"/>
        <v>421.42999477166455</v>
      </c>
      <c r="Q10" s="453">
        <f t="shared" si="7"/>
        <v>424.57594346731094</v>
      </c>
      <c r="R10" s="453">
        <f t="shared" si="7"/>
        <v>427.74537647427474</v>
      </c>
      <c r="S10" s="453">
        <f t="shared" si="7"/>
        <v>430.9384691014788</v>
      </c>
      <c r="T10" s="453">
        <f t="shared" si="7"/>
        <v>434.15539796651655</v>
      </c>
      <c r="U10" s="453">
        <f t="shared" si="7"/>
        <v>437.39634100542071</v>
      </c>
      <c r="V10" s="453">
        <f t="shared" si="7"/>
        <v>440.66147748250529</v>
      </c>
      <c r="W10" s="453">
        <f t="shared" si="7"/>
        <v>443.95098800028148</v>
      </c>
      <c r="X10" s="453">
        <f t="shared" si="7"/>
        <v>447.26505450944677</v>
      </c>
      <c r="Y10" s="196"/>
      <c r="Z10" s="196"/>
      <c r="AA10" s="196"/>
    </row>
    <row r="11" spans="2:28">
      <c r="B11" s="454" t="s">
        <v>843</v>
      </c>
      <c r="C11" s="453">
        <f>C9*0.273</f>
        <v>187.94525750000003</v>
      </c>
      <c r="D11" s="453">
        <f t="shared" ref="D11:X11" si="8">D9*0.273</f>
        <v>181.97206300000002</v>
      </c>
      <c r="E11" s="453">
        <f t="shared" si="8"/>
        <v>179.88834499999999</v>
      </c>
      <c r="F11" s="453">
        <f t="shared" si="8"/>
        <v>179.8542655</v>
      </c>
      <c r="G11" s="453">
        <f t="shared" si="8"/>
        <v>178.91423549999999</v>
      </c>
      <c r="H11" s="453">
        <f t="shared" si="8"/>
        <v>181.457458</v>
      </c>
      <c r="I11" s="453">
        <f t="shared" si="8"/>
        <v>180.98739750000001</v>
      </c>
      <c r="J11" s="453">
        <f t="shared" si="8"/>
        <v>182.46985803615576</v>
      </c>
      <c r="K11" s="453">
        <f t="shared" si="8"/>
        <v>183.83198417574073</v>
      </c>
      <c r="L11" s="453">
        <f t="shared" si="8"/>
        <v>185.2042785022258</v>
      </c>
      <c r="M11" s="453">
        <f t="shared" si="8"/>
        <v>186.58681692049356</v>
      </c>
      <c r="N11" s="453">
        <f t="shared" si="8"/>
        <v>187.97967590205204</v>
      </c>
      <c r="O11" s="453">
        <f t="shared" si="8"/>
        <v>189.38293248926416</v>
      </c>
      <c r="P11" s="453">
        <f t="shared" si="8"/>
        <v>190.79666429960935</v>
      </c>
      <c r="Q11" s="453">
        <f t="shared" si="8"/>
        <v>192.22094952997662</v>
      </c>
      <c r="R11" s="453">
        <f t="shared" si="8"/>
        <v>193.6558669609901</v>
      </c>
      <c r="S11" s="453">
        <f t="shared" si="8"/>
        <v>195.10149596136603</v>
      </c>
      <c r="T11" s="453">
        <f t="shared" si="8"/>
        <v>196.55791649230352</v>
      </c>
      <c r="U11" s="453">
        <f t="shared" si="8"/>
        <v>198.02520911190689</v>
      </c>
      <c r="V11" s="453">
        <f t="shared" si="8"/>
        <v>199.5034549796417</v>
      </c>
      <c r="W11" s="453">
        <f t="shared" si="8"/>
        <v>200.99273586082398</v>
      </c>
      <c r="X11" s="453">
        <f t="shared" si="8"/>
        <v>202.4931341311426</v>
      </c>
      <c r="Y11" s="196"/>
      <c r="Z11" s="196"/>
      <c r="AA11" s="196"/>
    </row>
    <row r="12" spans="2:28">
      <c r="B12" s="454" t="s">
        <v>844</v>
      </c>
      <c r="C12" s="453">
        <f>C9*0.124</f>
        <v>85.367076666666662</v>
      </c>
      <c r="D12" s="453">
        <f t="shared" ref="D12:X12" si="9">D9*0.124</f>
        <v>82.65397733333333</v>
      </c>
      <c r="E12" s="453">
        <f t="shared" si="9"/>
        <v>81.707526666666666</v>
      </c>
      <c r="F12" s="453">
        <f t="shared" si="9"/>
        <v>81.692047333333335</v>
      </c>
      <c r="G12" s="453">
        <f t="shared" si="9"/>
        <v>81.265073999999984</v>
      </c>
      <c r="H12" s="453">
        <f t="shared" si="9"/>
        <v>82.420237333333318</v>
      </c>
      <c r="I12" s="453">
        <f t="shared" si="9"/>
        <v>82.206729999999993</v>
      </c>
      <c r="J12" s="453">
        <f t="shared" si="9"/>
        <v>82.880082038400417</v>
      </c>
      <c r="K12" s="453">
        <f t="shared" si="9"/>
        <v>83.498776695208235</v>
      </c>
      <c r="L12" s="453">
        <f t="shared" si="9"/>
        <v>84.12208986914284</v>
      </c>
      <c r="M12" s="453">
        <f t="shared" si="9"/>
        <v>84.75005603714726</v>
      </c>
      <c r="N12" s="453">
        <f t="shared" si="9"/>
        <v>85.38270993353278</v>
      </c>
      <c r="O12" s="453">
        <f t="shared" si="9"/>
        <v>86.020086551900206</v>
      </c>
      <c r="P12" s="453">
        <f t="shared" si="9"/>
        <v>86.6622211470753</v>
      </c>
      <c r="Q12" s="453">
        <f t="shared" si="9"/>
        <v>87.309149237058975</v>
      </c>
      <c r="R12" s="453">
        <f t="shared" si="9"/>
        <v>87.96090660499182</v>
      </c>
      <c r="S12" s="453">
        <f t="shared" si="9"/>
        <v>88.617529301133288</v>
      </c>
      <c r="T12" s="453">
        <f t="shared" si="9"/>
        <v>89.279053644855807</v>
      </c>
      <c r="U12" s="453">
        <f t="shared" si="9"/>
        <v>89.94551622665368</v>
      </c>
      <c r="V12" s="453">
        <f t="shared" si="9"/>
        <v>90.616953910166927</v>
      </c>
      <c r="W12" s="453">
        <f t="shared" si="9"/>
        <v>91.293403834220399</v>
      </c>
      <c r="X12" s="453">
        <f t="shared" si="9"/>
        <v>91.974903414877943</v>
      </c>
      <c r="Y12" s="196"/>
      <c r="Z12" s="196"/>
      <c r="AA12" s="196"/>
    </row>
    <row r="13" spans="2:28">
      <c r="B13" s="357" t="s">
        <v>845</v>
      </c>
      <c r="C13" s="453"/>
      <c r="D13" s="453"/>
      <c r="E13" s="453"/>
      <c r="F13" s="453"/>
      <c r="G13" s="453"/>
      <c r="H13" s="453"/>
      <c r="I13" s="453"/>
      <c r="J13" s="410">
        <v>10000</v>
      </c>
      <c r="K13" s="410">
        <f>J13*(1+K6)</f>
        <v>10074.649377943566</v>
      </c>
      <c r="L13" s="410">
        <f t="shared" ref="L13:X13" si="10">K13*(1+L6)</f>
        <v>10149.856008849867</v>
      </c>
      <c r="M13" s="410">
        <f t="shared" si="10"/>
        <v>10225.624052577607</v>
      </c>
      <c r="N13" s="410">
        <f t="shared" si="10"/>
        <v>10301.957700038574</v>
      </c>
      <c r="O13" s="410">
        <f t="shared" si="10"/>
        <v>10378.861173429455</v>
      </c>
      <c r="P13" s="410">
        <f t="shared" si="10"/>
        <v>10456.338726465368</v>
      </c>
      <c r="Q13" s="410">
        <f t="shared" si="10"/>
        <v>10534.394644615153</v>
      </c>
      <c r="R13" s="410">
        <f t="shared" si="10"/>
        <v>10613.033245338407</v>
      </c>
      <c r="S13" s="410">
        <f t="shared" si="10"/>
        <v>10692.258878324295</v>
      </c>
      <c r="T13" s="410">
        <f t="shared" si="10"/>
        <v>10772.075925732142</v>
      </c>
      <c r="U13" s="410">
        <f t="shared" si="10"/>
        <v>10852.488802433818</v>
      </c>
      <c r="V13" s="410">
        <f t="shared" si="10"/>
        <v>10933.501956257936</v>
      </c>
      <c r="W13" s="410">
        <f t="shared" si="10"/>
        <v>11015.119868235877</v>
      </c>
      <c r="X13" s="410">
        <f t="shared" si="10"/>
        <v>11097.347052849638</v>
      </c>
      <c r="Y13" s="196"/>
      <c r="Z13" s="353" t="s">
        <v>848</v>
      </c>
      <c r="AA13" s="196"/>
    </row>
    <row r="14" spans="2:28">
      <c r="B14" s="454" t="s">
        <v>849</v>
      </c>
      <c r="C14" s="196"/>
      <c r="D14" s="356"/>
      <c r="E14" s="356"/>
      <c r="F14" s="356"/>
      <c r="G14" s="199"/>
      <c r="H14" s="199"/>
      <c r="I14" s="199"/>
      <c r="J14" s="128">
        <f>J13*0.14</f>
        <v>1400.0000000000002</v>
      </c>
      <c r="K14" s="128">
        <f>K13*0.14</f>
        <v>1410.4509129120993</v>
      </c>
      <c r="L14" s="128">
        <f t="shared" ref="L14:X14" si="11">L13*0.14</f>
        <v>1420.9798412389816</v>
      </c>
      <c r="M14" s="128">
        <f t="shared" si="11"/>
        <v>1431.5873673608651</v>
      </c>
      <c r="N14" s="128">
        <f t="shared" si="11"/>
        <v>1442.2740780054005</v>
      </c>
      <c r="O14" s="128">
        <f t="shared" si="11"/>
        <v>1453.0405642801238</v>
      </c>
      <c r="P14" s="128">
        <f t="shared" si="11"/>
        <v>1463.8874217051516</v>
      </c>
      <c r="Q14" s="128">
        <f t="shared" si="11"/>
        <v>1474.8152502461216</v>
      </c>
      <c r="R14" s="128">
        <f t="shared" si="11"/>
        <v>1485.8246543473772</v>
      </c>
      <c r="S14" s="128">
        <f t="shared" si="11"/>
        <v>1496.9162429654016</v>
      </c>
      <c r="T14" s="128">
        <f t="shared" si="11"/>
        <v>1508.0906296025</v>
      </c>
      <c r="U14" s="128">
        <f t="shared" si="11"/>
        <v>1519.3484323407347</v>
      </c>
      <c r="V14" s="128">
        <f t="shared" si="11"/>
        <v>1530.6902738761112</v>
      </c>
      <c r="W14" s="128">
        <f t="shared" si="11"/>
        <v>1542.116781553023</v>
      </c>
      <c r="X14" s="128">
        <f t="shared" si="11"/>
        <v>1553.6285873989495</v>
      </c>
      <c r="Y14" s="196"/>
      <c r="Z14" s="196"/>
      <c r="AA14" s="196"/>
    </row>
    <row r="15" spans="2:28">
      <c r="B15" s="454" t="s">
        <v>850</v>
      </c>
      <c r="C15" s="358"/>
      <c r="D15" s="358"/>
      <c r="E15" s="358"/>
      <c r="F15" s="358"/>
      <c r="G15" s="358"/>
      <c r="H15" s="358"/>
      <c r="I15" s="358"/>
      <c r="J15" s="456">
        <f>J13*0.51</f>
        <v>5100</v>
      </c>
      <c r="K15" s="456">
        <f>K13*0.51</f>
        <v>5138.0711827512187</v>
      </c>
      <c r="L15" s="456">
        <f t="shared" ref="L15:X15" si="12">L13*0.51</f>
        <v>5176.4265645134319</v>
      </c>
      <c r="M15" s="456">
        <f t="shared" si="12"/>
        <v>5215.0682668145791</v>
      </c>
      <c r="N15" s="456">
        <f t="shared" si="12"/>
        <v>5253.9984270196728</v>
      </c>
      <c r="O15" s="456">
        <f t="shared" si="12"/>
        <v>5293.2191984490228</v>
      </c>
      <c r="P15" s="456">
        <f t="shared" si="12"/>
        <v>5332.7327504973382</v>
      </c>
      <c r="Q15" s="456">
        <f t="shared" si="12"/>
        <v>5372.5412687537282</v>
      </c>
      <c r="R15" s="456">
        <f t="shared" si="12"/>
        <v>5412.6469551225873</v>
      </c>
      <c r="S15" s="456">
        <f t="shared" si="12"/>
        <v>5453.0520279453904</v>
      </c>
      <c r="T15" s="456">
        <f t="shared" si="12"/>
        <v>5493.7587221233925</v>
      </c>
      <c r="U15" s="456">
        <f t="shared" si="12"/>
        <v>5534.769289241247</v>
      </c>
      <c r="V15" s="456">
        <f t="shared" si="12"/>
        <v>5576.0859976915481</v>
      </c>
      <c r="W15" s="456">
        <f t="shared" si="12"/>
        <v>5617.7111328002975</v>
      </c>
      <c r="X15" s="456">
        <f t="shared" si="12"/>
        <v>5659.6469969533155</v>
      </c>
      <c r="Y15" s="353"/>
      <c r="Z15" s="353"/>
    </row>
    <row r="16" spans="2:28">
      <c r="B16" s="457" t="s">
        <v>851</v>
      </c>
      <c r="C16" s="458"/>
      <c r="D16" s="458"/>
      <c r="E16" s="458"/>
      <c r="F16" s="458"/>
      <c r="G16" s="458"/>
      <c r="H16" s="458"/>
      <c r="I16" s="458"/>
      <c r="J16" s="459">
        <f>J13*0.35</f>
        <v>3500</v>
      </c>
      <c r="K16" s="459">
        <f>K13*0.35</f>
        <v>3526.127282280248</v>
      </c>
      <c r="L16" s="459">
        <f t="shared" ref="L16:X16" si="13">L13*0.35</f>
        <v>3552.4496030974533</v>
      </c>
      <c r="M16" s="459">
        <f t="shared" si="13"/>
        <v>3578.9684184021621</v>
      </c>
      <c r="N16" s="459">
        <f t="shared" si="13"/>
        <v>3605.6851950135006</v>
      </c>
      <c r="O16" s="459">
        <f t="shared" si="13"/>
        <v>3632.6014107003093</v>
      </c>
      <c r="P16" s="459">
        <f t="shared" si="13"/>
        <v>3659.7185542628786</v>
      </c>
      <c r="Q16" s="459">
        <f t="shared" si="13"/>
        <v>3687.0381256153032</v>
      </c>
      <c r="R16" s="459">
        <f t="shared" si="13"/>
        <v>3714.5616358684424</v>
      </c>
      <c r="S16" s="459">
        <f t="shared" si="13"/>
        <v>3742.290607413503</v>
      </c>
      <c r="T16" s="459">
        <f t="shared" si="13"/>
        <v>3770.2265740062494</v>
      </c>
      <c r="U16" s="459">
        <f t="shared" si="13"/>
        <v>3798.3710808518358</v>
      </c>
      <c r="V16" s="459">
        <f t="shared" si="13"/>
        <v>3826.7256846902774</v>
      </c>
      <c r="W16" s="459">
        <f t="shared" si="13"/>
        <v>3855.2919538825568</v>
      </c>
      <c r="X16" s="459">
        <f t="shared" si="13"/>
        <v>3884.0714684973732</v>
      </c>
    </row>
    <row r="17" spans="2:25">
      <c r="B17" s="460" t="s">
        <v>852</v>
      </c>
      <c r="C17" s="461"/>
      <c r="D17" s="461"/>
      <c r="E17" s="461"/>
      <c r="F17" s="461"/>
      <c r="G17" s="461"/>
      <c r="H17" s="461"/>
      <c r="I17" s="461"/>
      <c r="J17" s="361">
        <v>0.85</v>
      </c>
      <c r="K17" s="362">
        <f t="shared" ref="K17:X19" si="14">J17</f>
        <v>0.85</v>
      </c>
      <c r="L17" s="362">
        <f t="shared" si="14"/>
        <v>0.85</v>
      </c>
      <c r="M17" s="362">
        <f t="shared" si="14"/>
        <v>0.85</v>
      </c>
      <c r="N17" s="362">
        <f t="shared" si="14"/>
        <v>0.85</v>
      </c>
      <c r="O17" s="362">
        <f t="shared" si="14"/>
        <v>0.85</v>
      </c>
      <c r="P17" s="362">
        <f t="shared" si="14"/>
        <v>0.85</v>
      </c>
      <c r="Q17" s="362">
        <f t="shared" si="14"/>
        <v>0.85</v>
      </c>
      <c r="R17" s="362">
        <f t="shared" si="14"/>
        <v>0.85</v>
      </c>
      <c r="S17" s="362">
        <f t="shared" si="14"/>
        <v>0.85</v>
      </c>
      <c r="T17" s="362">
        <f t="shared" si="14"/>
        <v>0.85</v>
      </c>
      <c r="U17" s="362">
        <f t="shared" si="14"/>
        <v>0.85</v>
      </c>
      <c r="V17" s="362">
        <f t="shared" si="14"/>
        <v>0.85</v>
      </c>
      <c r="W17" s="362">
        <f t="shared" si="14"/>
        <v>0.85</v>
      </c>
      <c r="X17" s="362">
        <f t="shared" si="14"/>
        <v>0.85</v>
      </c>
    </row>
    <row r="18" spans="2:25">
      <c r="B18" s="460" t="s">
        <v>854</v>
      </c>
      <c r="C18" s="461"/>
      <c r="D18" s="461"/>
      <c r="E18" s="461"/>
      <c r="F18" s="461"/>
      <c r="G18" s="461"/>
      <c r="H18" s="461"/>
      <c r="I18" s="461"/>
      <c r="J18" s="361">
        <v>0.75</v>
      </c>
      <c r="K18" s="362">
        <f t="shared" si="14"/>
        <v>0.75</v>
      </c>
      <c r="L18" s="362">
        <f t="shared" si="14"/>
        <v>0.75</v>
      </c>
      <c r="M18" s="362">
        <f t="shared" si="14"/>
        <v>0.75</v>
      </c>
      <c r="N18" s="362">
        <f t="shared" si="14"/>
        <v>0.75</v>
      </c>
      <c r="O18" s="362">
        <f t="shared" si="14"/>
        <v>0.75</v>
      </c>
      <c r="P18" s="362">
        <f t="shared" si="14"/>
        <v>0.75</v>
      </c>
      <c r="Q18" s="362">
        <f t="shared" si="14"/>
        <v>0.75</v>
      </c>
      <c r="R18" s="362">
        <f t="shared" si="14"/>
        <v>0.75</v>
      </c>
      <c r="S18" s="362">
        <f t="shared" si="14"/>
        <v>0.75</v>
      </c>
      <c r="T18" s="362">
        <f t="shared" si="14"/>
        <v>0.75</v>
      </c>
      <c r="U18" s="362">
        <f t="shared" si="14"/>
        <v>0.75</v>
      </c>
      <c r="V18" s="362">
        <f t="shared" si="14"/>
        <v>0.75</v>
      </c>
      <c r="W18" s="362">
        <f t="shared" si="14"/>
        <v>0.75</v>
      </c>
      <c r="X18" s="362">
        <f t="shared" si="14"/>
        <v>0.75</v>
      </c>
    </row>
    <row r="19" spans="2:25">
      <c r="B19" s="460" t="s">
        <v>853</v>
      </c>
      <c r="C19" s="461"/>
      <c r="D19" s="461"/>
      <c r="E19" s="461"/>
      <c r="F19" s="461"/>
      <c r="G19" s="461"/>
      <c r="H19" s="461"/>
      <c r="I19" s="461"/>
      <c r="J19" s="463">
        <v>0.5</v>
      </c>
      <c r="K19" s="464">
        <f t="shared" si="14"/>
        <v>0.5</v>
      </c>
      <c r="L19" s="464">
        <f t="shared" si="14"/>
        <v>0.5</v>
      </c>
      <c r="M19" s="464">
        <f t="shared" si="14"/>
        <v>0.5</v>
      </c>
      <c r="N19" s="464">
        <f t="shared" si="14"/>
        <v>0.5</v>
      </c>
      <c r="O19" s="464">
        <f t="shared" si="14"/>
        <v>0.5</v>
      </c>
      <c r="P19" s="464">
        <f t="shared" si="14"/>
        <v>0.5</v>
      </c>
      <c r="Q19" s="464">
        <f t="shared" si="14"/>
        <v>0.5</v>
      </c>
      <c r="R19" s="464">
        <f t="shared" si="14"/>
        <v>0.5</v>
      </c>
      <c r="S19" s="464">
        <f t="shared" si="14"/>
        <v>0.5</v>
      </c>
      <c r="T19" s="464">
        <f t="shared" si="14"/>
        <v>0.5</v>
      </c>
      <c r="U19" s="464">
        <f t="shared" si="14"/>
        <v>0.5</v>
      </c>
      <c r="V19" s="464">
        <f t="shared" si="14"/>
        <v>0.5</v>
      </c>
      <c r="W19" s="464">
        <f t="shared" si="14"/>
        <v>0.5</v>
      </c>
      <c r="X19" s="464">
        <f t="shared" si="14"/>
        <v>0.5</v>
      </c>
      <c r="Y19" s="461"/>
    </row>
    <row r="20" spans="2:25">
      <c r="B20" s="460"/>
      <c r="C20" s="461"/>
      <c r="D20" s="461"/>
      <c r="E20" s="461"/>
      <c r="F20" s="461"/>
      <c r="G20" s="461"/>
      <c r="H20" s="461"/>
      <c r="I20" s="461"/>
      <c r="J20" s="462"/>
      <c r="K20" s="462"/>
      <c r="L20" s="462"/>
      <c r="M20" s="462"/>
      <c r="N20" s="462"/>
      <c r="O20" s="462"/>
      <c r="P20" s="462"/>
      <c r="Q20" s="462"/>
      <c r="R20" s="462"/>
      <c r="S20" s="462"/>
      <c r="T20" s="462"/>
      <c r="U20" s="462"/>
      <c r="V20" s="462"/>
      <c r="W20" s="462"/>
      <c r="X20" s="462"/>
    </row>
    <row r="21" spans="2:25" hidden="1" outlineLevel="1">
      <c r="B21" s="475" t="s">
        <v>869</v>
      </c>
      <c r="C21" s="461"/>
      <c r="D21" s="461"/>
      <c r="E21" s="461"/>
      <c r="F21" s="461"/>
      <c r="G21" s="461"/>
      <c r="H21" s="461"/>
      <c r="I21" s="461"/>
      <c r="J21" s="462"/>
      <c r="K21" s="462"/>
      <c r="L21" s="462"/>
      <c r="M21" s="462"/>
      <c r="N21" s="462"/>
      <c r="O21" s="462"/>
      <c r="P21" s="462"/>
      <c r="Q21" s="462"/>
      <c r="R21" s="462"/>
      <c r="S21" s="462"/>
      <c r="T21" s="462"/>
      <c r="U21" s="462"/>
      <c r="V21" s="462"/>
      <c r="W21" s="462"/>
      <c r="X21" s="462"/>
    </row>
    <row r="22" spans="2:25" hidden="1" outlineLevel="1">
      <c r="B22" s="471" t="s">
        <v>875</v>
      </c>
      <c r="C22" s="461"/>
      <c r="D22" s="461"/>
      <c r="E22" s="461"/>
      <c r="F22" s="461"/>
      <c r="G22" s="461"/>
      <c r="H22" s="461"/>
      <c r="I22" s="461"/>
      <c r="J22" s="462"/>
      <c r="K22" s="462"/>
      <c r="L22" s="462"/>
      <c r="M22" s="462"/>
      <c r="N22" s="462"/>
      <c r="O22" s="462"/>
      <c r="P22" s="462"/>
      <c r="Q22" s="462"/>
      <c r="R22" s="462"/>
      <c r="S22" s="462"/>
      <c r="T22" s="462"/>
      <c r="U22" s="462"/>
      <c r="V22" s="462"/>
      <c r="W22" s="462"/>
      <c r="X22" s="462"/>
    </row>
    <row r="23" spans="2:25" hidden="1" outlineLevel="1">
      <c r="B23" s="460" t="s">
        <v>870</v>
      </c>
      <c r="C23" s="461"/>
      <c r="D23" s="461"/>
      <c r="E23" s="461"/>
      <c r="F23" s="461"/>
      <c r="G23" s="461"/>
      <c r="H23" s="461"/>
      <c r="I23" s="461"/>
      <c r="J23" s="462"/>
      <c r="K23" s="462">
        <f>J14</f>
        <v>1400.0000000000002</v>
      </c>
      <c r="L23" s="462">
        <f t="shared" ref="L23:X23" si="15">K14</f>
        <v>1410.4509129120993</v>
      </c>
      <c r="M23" s="462">
        <f t="shared" si="15"/>
        <v>1420.9798412389816</v>
      </c>
      <c r="N23" s="462">
        <f t="shared" si="15"/>
        <v>1431.5873673608651</v>
      </c>
      <c r="O23" s="462">
        <f t="shared" si="15"/>
        <v>1442.2740780054005</v>
      </c>
      <c r="P23" s="462">
        <f t="shared" si="15"/>
        <v>1453.0405642801238</v>
      </c>
      <c r="Q23" s="462">
        <f t="shared" si="15"/>
        <v>1463.8874217051516</v>
      </c>
      <c r="R23" s="462">
        <f t="shared" si="15"/>
        <v>1474.8152502461216</v>
      </c>
      <c r="S23" s="462">
        <f t="shared" si="15"/>
        <v>1485.8246543473772</v>
      </c>
      <c r="T23" s="462">
        <f t="shared" si="15"/>
        <v>1496.9162429654016</v>
      </c>
      <c r="U23" s="462">
        <f t="shared" si="15"/>
        <v>1508.0906296025</v>
      </c>
      <c r="V23" s="462">
        <f t="shared" si="15"/>
        <v>1519.3484323407347</v>
      </c>
      <c r="W23" s="462">
        <f t="shared" si="15"/>
        <v>1530.6902738761112</v>
      </c>
      <c r="X23" s="462">
        <f t="shared" si="15"/>
        <v>1542.116781553023</v>
      </c>
    </row>
    <row r="24" spans="2:25" hidden="1" outlineLevel="1">
      <c r="B24" s="460" t="s">
        <v>871</v>
      </c>
      <c r="C24" s="461"/>
      <c r="D24" s="461"/>
      <c r="E24" s="461"/>
      <c r="F24" s="461"/>
      <c r="G24" s="461"/>
      <c r="H24" s="461"/>
      <c r="I24" s="461"/>
      <c r="J24" s="462"/>
      <c r="K24" s="462">
        <f>K10</f>
        <v>406.0464705420207</v>
      </c>
      <c r="L24" s="462">
        <f t="shared" ref="L24:X24" si="16">L10</f>
        <v>409.07758218623496</v>
      </c>
      <c r="M24" s="462">
        <f t="shared" si="16"/>
        <v>412.13132089032092</v>
      </c>
      <c r="N24" s="462">
        <f t="shared" si="16"/>
        <v>415.20785556387312</v>
      </c>
      <c r="O24" s="462">
        <f t="shared" si="16"/>
        <v>418.30735637738564</v>
      </c>
      <c r="P24" s="462">
        <f t="shared" si="16"/>
        <v>421.42999477166455</v>
      </c>
      <c r="Q24" s="462">
        <f t="shared" si="16"/>
        <v>424.57594346731094</v>
      </c>
      <c r="R24" s="462">
        <f t="shared" si="16"/>
        <v>427.74537647427474</v>
      </c>
      <c r="S24" s="462">
        <f t="shared" si="16"/>
        <v>430.9384691014788</v>
      </c>
      <c r="T24" s="462">
        <f t="shared" si="16"/>
        <v>434.15539796651655</v>
      </c>
      <c r="U24" s="462">
        <f t="shared" si="16"/>
        <v>437.39634100542071</v>
      </c>
      <c r="V24" s="462">
        <f t="shared" si="16"/>
        <v>440.66147748250529</v>
      </c>
      <c r="W24" s="462">
        <f t="shared" si="16"/>
        <v>443.95098800028148</v>
      </c>
      <c r="X24" s="462">
        <f t="shared" si="16"/>
        <v>447.26505450944677</v>
      </c>
    </row>
    <row r="25" spans="2:25" hidden="1" outlineLevel="1">
      <c r="B25" s="460" t="s">
        <v>872</v>
      </c>
      <c r="C25" s="461"/>
      <c r="D25" s="461"/>
      <c r="E25" s="461"/>
      <c r="F25" s="461"/>
      <c r="G25" s="461"/>
      <c r="H25" s="461"/>
      <c r="I25" s="461"/>
      <c r="J25" s="462"/>
      <c r="K25" s="462">
        <f>K24-(K27-K23)</f>
        <v>395.59555762992164</v>
      </c>
      <c r="L25" s="462">
        <f t="shared" ref="L25:X25" si="17">L24-(L27-L23)</f>
        <v>398.54865385935261</v>
      </c>
      <c r="M25" s="462">
        <f t="shared" si="17"/>
        <v>401.52379476843748</v>
      </c>
      <c r="N25" s="462">
        <f t="shared" si="17"/>
        <v>404.5211449193377</v>
      </c>
      <c r="O25" s="462">
        <f t="shared" si="17"/>
        <v>407.54087010266232</v>
      </c>
      <c r="P25" s="462">
        <f t="shared" si="17"/>
        <v>410.58313734663676</v>
      </c>
      <c r="Q25" s="462">
        <f t="shared" si="17"/>
        <v>413.6481149263409</v>
      </c>
      <c r="R25" s="462">
        <f t="shared" si="17"/>
        <v>416.73597237301919</v>
      </c>
      <c r="S25" s="462">
        <f t="shared" si="17"/>
        <v>419.84688048345441</v>
      </c>
      <c r="T25" s="462">
        <f t="shared" si="17"/>
        <v>422.9810113294181</v>
      </c>
      <c r="U25" s="462">
        <f t="shared" si="17"/>
        <v>426.13853826718605</v>
      </c>
      <c r="V25" s="462">
        <f t="shared" si="17"/>
        <v>429.3196359471288</v>
      </c>
      <c r="W25" s="462">
        <f t="shared" si="17"/>
        <v>432.52448032336969</v>
      </c>
      <c r="X25" s="462">
        <f t="shared" si="17"/>
        <v>435.7532486635202</v>
      </c>
    </row>
    <row r="26" spans="2:25" hidden="1" outlineLevel="1">
      <c r="B26" s="465" t="s">
        <v>874</v>
      </c>
      <c r="C26" s="461"/>
      <c r="D26" s="461"/>
      <c r="E26" s="461"/>
      <c r="F26" s="461"/>
      <c r="G26" s="461"/>
      <c r="H26" s="461"/>
      <c r="I26" s="461"/>
      <c r="J26" s="462"/>
      <c r="K26" s="467">
        <f>K25/K23</f>
        <v>0.28256825544994396</v>
      </c>
      <c r="L26" s="467">
        <f t="shared" ref="L26:X26" si="18">L25/L23</f>
        <v>0.28256825544994385</v>
      </c>
      <c r="M26" s="467">
        <f t="shared" si="18"/>
        <v>0.28256825544994402</v>
      </c>
      <c r="N26" s="467">
        <f t="shared" si="18"/>
        <v>0.28256825544994396</v>
      </c>
      <c r="O26" s="467">
        <f t="shared" si="18"/>
        <v>0.28256825544994391</v>
      </c>
      <c r="P26" s="467">
        <f t="shared" si="18"/>
        <v>0.28256825544994396</v>
      </c>
      <c r="Q26" s="467">
        <f t="shared" si="18"/>
        <v>0.28256825544994379</v>
      </c>
      <c r="R26" s="467">
        <f t="shared" si="18"/>
        <v>0.28256825544994402</v>
      </c>
      <c r="S26" s="467">
        <f t="shared" si="18"/>
        <v>0.28256825544994402</v>
      </c>
      <c r="T26" s="467">
        <f t="shared" si="18"/>
        <v>0.28256825544994402</v>
      </c>
      <c r="U26" s="467">
        <f t="shared" si="18"/>
        <v>0.28256825544994396</v>
      </c>
      <c r="V26" s="467">
        <f t="shared" si="18"/>
        <v>0.28256825544994407</v>
      </c>
      <c r="W26" s="467">
        <f t="shared" si="18"/>
        <v>0.28256825544994396</v>
      </c>
      <c r="X26" s="467">
        <f t="shared" si="18"/>
        <v>0.28256825544994407</v>
      </c>
    </row>
    <row r="27" spans="2:25" hidden="1" outlineLevel="1">
      <c r="B27" s="460" t="s">
        <v>873</v>
      </c>
      <c r="C27" s="461"/>
      <c r="D27" s="461"/>
      <c r="E27" s="461"/>
      <c r="F27" s="461"/>
      <c r="G27" s="461"/>
      <c r="H27" s="461"/>
      <c r="I27" s="461"/>
      <c r="J27" s="462"/>
      <c r="K27" s="462">
        <f>K14</f>
        <v>1410.4509129120993</v>
      </c>
      <c r="L27" s="462">
        <f t="shared" ref="L27:X27" si="19">L14</f>
        <v>1420.9798412389816</v>
      </c>
      <c r="M27" s="462">
        <f t="shared" si="19"/>
        <v>1431.5873673608651</v>
      </c>
      <c r="N27" s="462">
        <f t="shared" si="19"/>
        <v>1442.2740780054005</v>
      </c>
      <c r="O27" s="462">
        <f t="shared" si="19"/>
        <v>1453.0405642801238</v>
      </c>
      <c r="P27" s="462">
        <f t="shared" si="19"/>
        <v>1463.8874217051516</v>
      </c>
      <c r="Q27" s="462">
        <f t="shared" si="19"/>
        <v>1474.8152502461216</v>
      </c>
      <c r="R27" s="462">
        <f t="shared" si="19"/>
        <v>1485.8246543473772</v>
      </c>
      <c r="S27" s="462">
        <f t="shared" si="19"/>
        <v>1496.9162429654016</v>
      </c>
      <c r="T27" s="462">
        <f t="shared" si="19"/>
        <v>1508.0906296025</v>
      </c>
      <c r="U27" s="462">
        <f t="shared" si="19"/>
        <v>1519.3484323407347</v>
      </c>
      <c r="V27" s="462">
        <f t="shared" si="19"/>
        <v>1530.6902738761112</v>
      </c>
      <c r="W27" s="462">
        <f t="shared" si="19"/>
        <v>1542.116781553023</v>
      </c>
      <c r="X27" s="462">
        <f t="shared" si="19"/>
        <v>1553.6285873989495</v>
      </c>
    </row>
    <row r="28" spans="2:25" hidden="1" outlineLevel="1">
      <c r="B28" s="471" t="s">
        <v>876</v>
      </c>
      <c r="C28" s="461"/>
      <c r="D28" s="461"/>
      <c r="E28" s="461"/>
      <c r="F28" s="461"/>
      <c r="G28" s="461"/>
      <c r="H28" s="461"/>
      <c r="I28" s="461"/>
      <c r="J28" s="462"/>
      <c r="K28" s="462"/>
      <c r="L28" s="462"/>
      <c r="M28" s="462"/>
      <c r="N28" s="462"/>
      <c r="O28" s="462"/>
      <c r="P28" s="462"/>
      <c r="Q28" s="462"/>
      <c r="R28" s="462"/>
      <c r="S28" s="462"/>
      <c r="T28" s="462"/>
      <c r="U28" s="462"/>
      <c r="V28" s="462"/>
      <c r="W28" s="462"/>
      <c r="X28" s="462"/>
    </row>
    <row r="29" spans="2:25" hidden="1" outlineLevel="1">
      <c r="B29" s="460" t="s">
        <v>870</v>
      </c>
      <c r="C29" s="461"/>
      <c r="D29" s="461"/>
      <c r="E29" s="461"/>
      <c r="F29" s="461"/>
      <c r="G29" s="461"/>
      <c r="H29" s="461"/>
      <c r="I29" s="461"/>
      <c r="J29" s="462"/>
      <c r="K29" s="462">
        <f>J15</f>
        <v>5100</v>
      </c>
      <c r="L29" s="462">
        <f t="shared" ref="L29:X29" si="20">K15</f>
        <v>5138.0711827512187</v>
      </c>
      <c r="M29" s="462">
        <f t="shared" si="20"/>
        <v>5176.4265645134319</v>
      </c>
      <c r="N29" s="462">
        <f t="shared" si="20"/>
        <v>5215.0682668145791</v>
      </c>
      <c r="O29" s="462">
        <f t="shared" si="20"/>
        <v>5253.9984270196728</v>
      </c>
      <c r="P29" s="462">
        <f t="shared" si="20"/>
        <v>5293.2191984490228</v>
      </c>
      <c r="Q29" s="462">
        <f t="shared" si="20"/>
        <v>5332.7327504973382</v>
      </c>
      <c r="R29" s="462">
        <f t="shared" si="20"/>
        <v>5372.5412687537282</v>
      </c>
      <c r="S29" s="462">
        <f t="shared" si="20"/>
        <v>5412.6469551225873</v>
      </c>
      <c r="T29" s="462">
        <f t="shared" si="20"/>
        <v>5453.0520279453904</v>
      </c>
      <c r="U29" s="462">
        <f t="shared" si="20"/>
        <v>5493.7587221233925</v>
      </c>
      <c r="V29" s="462">
        <f t="shared" si="20"/>
        <v>5534.769289241247</v>
      </c>
      <c r="W29" s="462">
        <f t="shared" si="20"/>
        <v>5576.0859976915481</v>
      </c>
      <c r="X29" s="462">
        <f t="shared" si="20"/>
        <v>5617.7111328002975</v>
      </c>
    </row>
    <row r="30" spans="2:25" hidden="1" outlineLevel="1">
      <c r="B30" s="460" t="s">
        <v>871</v>
      </c>
      <c r="C30" s="461"/>
      <c r="D30" s="461"/>
      <c r="E30" s="461"/>
      <c r="F30" s="461"/>
      <c r="G30" s="461"/>
      <c r="H30" s="461"/>
      <c r="I30" s="461"/>
      <c r="J30" s="462"/>
      <c r="K30" s="462">
        <f>K11</f>
        <v>183.83198417574073</v>
      </c>
      <c r="L30" s="462">
        <f t="shared" ref="L30:X30" si="21">L11</f>
        <v>185.2042785022258</v>
      </c>
      <c r="M30" s="462">
        <f t="shared" si="21"/>
        <v>186.58681692049356</v>
      </c>
      <c r="N30" s="462">
        <f t="shared" si="21"/>
        <v>187.97967590205204</v>
      </c>
      <c r="O30" s="462">
        <f t="shared" si="21"/>
        <v>189.38293248926416</v>
      </c>
      <c r="P30" s="462">
        <f t="shared" si="21"/>
        <v>190.79666429960935</v>
      </c>
      <c r="Q30" s="462">
        <f t="shared" si="21"/>
        <v>192.22094952997662</v>
      </c>
      <c r="R30" s="462">
        <f t="shared" si="21"/>
        <v>193.6558669609901</v>
      </c>
      <c r="S30" s="462">
        <f t="shared" si="21"/>
        <v>195.10149596136603</v>
      </c>
      <c r="T30" s="462">
        <f t="shared" si="21"/>
        <v>196.55791649230352</v>
      </c>
      <c r="U30" s="462">
        <f t="shared" si="21"/>
        <v>198.02520911190689</v>
      </c>
      <c r="V30" s="462">
        <f t="shared" si="21"/>
        <v>199.5034549796417</v>
      </c>
      <c r="W30" s="462">
        <f t="shared" si="21"/>
        <v>200.99273586082398</v>
      </c>
      <c r="X30" s="462">
        <f t="shared" si="21"/>
        <v>202.4931341311426</v>
      </c>
    </row>
    <row r="31" spans="2:25" hidden="1" outlineLevel="1">
      <c r="B31" s="460" t="s">
        <v>872</v>
      </c>
      <c r="C31" s="461"/>
      <c r="D31" s="461"/>
      <c r="E31" s="461"/>
      <c r="F31" s="461"/>
      <c r="G31" s="461"/>
      <c r="H31" s="461"/>
      <c r="I31" s="461"/>
      <c r="J31" s="462"/>
      <c r="K31" s="462">
        <f>K30-(K33-K29)</f>
        <v>145.76080142452207</v>
      </c>
      <c r="L31" s="462">
        <f t="shared" ref="L31:X31" si="22">L30-(L33-L29)</f>
        <v>146.84889674001255</v>
      </c>
      <c r="M31" s="462">
        <f t="shared" si="22"/>
        <v>147.94511461934633</v>
      </c>
      <c r="N31" s="462">
        <f t="shared" si="22"/>
        <v>149.04951569695837</v>
      </c>
      <c r="O31" s="462">
        <f t="shared" si="22"/>
        <v>150.16216105991421</v>
      </c>
      <c r="P31" s="462">
        <f t="shared" si="22"/>
        <v>151.28311225129391</v>
      </c>
      <c r="Q31" s="462">
        <f t="shared" si="22"/>
        <v>152.41243127358661</v>
      </c>
      <c r="R31" s="462">
        <f t="shared" si="22"/>
        <v>153.550180592131</v>
      </c>
      <c r="S31" s="462">
        <f t="shared" si="22"/>
        <v>154.69642313856298</v>
      </c>
      <c r="T31" s="462">
        <f t="shared" si="22"/>
        <v>155.85122231430134</v>
      </c>
      <c r="U31" s="462">
        <f t="shared" si="22"/>
        <v>157.01464199405248</v>
      </c>
      <c r="V31" s="462">
        <f t="shared" si="22"/>
        <v>158.18674652934058</v>
      </c>
      <c r="W31" s="462">
        <f t="shared" si="22"/>
        <v>159.36760075207457</v>
      </c>
      <c r="X31" s="462">
        <f t="shared" si="22"/>
        <v>160.55726997812462</v>
      </c>
    </row>
    <row r="32" spans="2:25" hidden="1" outlineLevel="1">
      <c r="B32" s="465" t="s">
        <v>874</v>
      </c>
      <c r="C32" s="461"/>
      <c r="D32" s="461"/>
      <c r="E32" s="461"/>
      <c r="F32" s="461"/>
      <c r="G32" s="461"/>
      <c r="H32" s="461"/>
      <c r="I32" s="461"/>
      <c r="J32" s="462"/>
      <c r="K32" s="467">
        <f>K31/K29</f>
        <v>2.8580549298925895E-2</v>
      </c>
      <c r="L32" s="467">
        <f t="shared" ref="L32:X32" si="23">L31/L29</f>
        <v>2.8580549298926061E-2</v>
      </c>
      <c r="M32" s="467">
        <f t="shared" si="23"/>
        <v>2.8580549298926006E-2</v>
      </c>
      <c r="N32" s="467">
        <f t="shared" si="23"/>
        <v>2.8580549298925947E-2</v>
      </c>
      <c r="O32" s="467">
        <f t="shared" si="23"/>
        <v>2.858054929892577E-2</v>
      </c>
      <c r="P32" s="467">
        <f t="shared" si="23"/>
        <v>2.8580549298926009E-2</v>
      </c>
      <c r="Q32" s="467">
        <f t="shared" si="23"/>
        <v>2.8580549298926033E-2</v>
      </c>
      <c r="R32" s="467">
        <f t="shared" si="23"/>
        <v>2.8580549298926117E-2</v>
      </c>
      <c r="S32" s="467">
        <f t="shared" si="23"/>
        <v>2.858054929892603E-2</v>
      </c>
      <c r="T32" s="467">
        <f t="shared" si="23"/>
        <v>2.8580549298925947E-2</v>
      </c>
      <c r="U32" s="467">
        <f t="shared" si="23"/>
        <v>2.858054929892603E-2</v>
      </c>
      <c r="V32" s="467">
        <f t="shared" si="23"/>
        <v>2.8580549298925912E-2</v>
      </c>
      <c r="W32" s="467">
        <f t="shared" si="23"/>
        <v>2.8580549298926054E-2</v>
      </c>
      <c r="X32" s="467">
        <f t="shared" si="23"/>
        <v>2.8580549298926051E-2</v>
      </c>
    </row>
    <row r="33" spans="2:25" hidden="1" outlineLevel="1">
      <c r="B33" s="460" t="s">
        <v>873</v>
      </c>
      <c r="C33" s="461"/>
      <c r="D33" s="461"/>
      <c r="E33" s="461"/>
      <c r="F33" s="461"/>
      <c r="G33" s="461"/>
      <c r="H33" s="461"/>
      <c r="I33" s="461"/>
      <c r="J33" s="462"/>
      <c r="K33" s="462">
        <f>K15</f>
        <v>5138.0711827512187</v>
      </c>
      <c r="L33" s="462">
        <f t="shared" ref="L33:X33" si="24">L15</f>
        <v>5176.4265645134319</v>
      </c>
      <c r="M33" s="462">
        <f t="shared" si="24"/>
        <v>5215.0682668145791</v>
      </c>
      <c r="N33" s="462">
        <f t="shared" si="24"/>
        <v>5253.9984270196728</v>
      </c>
      <c r="O33" s="462">
        <f t="shared" si="24"/>
        <v>5293.2191984490228</v>
      </c>
      <c r="P33" s="462">
        <f t="shared" si="24"/>
        <v>5332.7327504973382</v>
      </c>
      <c r="Q33" s="462">
        <f t="shared" si="24"/>
        <v>5372.5412687537282</v>
      </c>
      <c r="R33" s="462">
        <f t="shared" si="24"/>
        <v>5412.6469551225873</v>
      </c>
      <c r="S33" s="462">
        <f t="shared" si="24"/>
        <v>5453.0520279453904</v>
      </c>
      <c r="T33" s="462">
        <f t="shared" si="24"/>
        <v>5493.7587221233925</v>
      </c>
      <c r="U33" s="462">
        <f t="shared" si="24"/>
        <v>5534.769289241247</v>
      </c>
      <c r="V33" s="462">
        <f t="shared" si="24"/>
        <v>5576.0859976915481</v>
      </c>
      <c r="W33" s="462">
        <f t="shared" si="24"/>
        <v>5617.7111328002975</v>
      </c>
      <c r="X33" s="462">
        <f t="shared" si="24"/>
        <v>5659.6469969533155</v>
      </c>
    </row>
    <row r="34" spans="2:25" hidden="1" outlineLevel="1">
      <c r="B34" s="471" t="s">
        <v>877</v>
      </c>
      <c r="C34" s="461"/>
      <c r="D34" s="461"/>
      <c r="E34" s="461"/>
      <c r="F34" s="461"/>
      <c r="G34" s="461"/>
      <c r="H34" s="461"/>
      <c r="I34" s="461"/>
      <c r="J34" s="462"/>
      <c r="K34" s="462"/>
      <c r="L34" s="462"/>
      <c r="M34" s="462"/>
      <c r="N34" s="462"/>
      <c r="O34" s="462"/>
      <c r="P34" s="462"/>
      <c r="Q34" s="462"/>
      <c r="R34" s="462"/>
      <c r="S34" s="462"/>
      <c r="T34" s="462"/>
      <c r="U34" s="462"/>
      <c r="V34" s="462"/>
      <c r="W34" s="462"/>
      <c r="X34" s="462"/>
    </row>
    <row r="35" spans="2:25" hidden="1" outlineLevel="1">
      <c r="B35" s="460" t="s">
        <v>870</v>
      </c>
      <c r="C35" s="461"/>
      <c r="D35" s="461"/>
      <c r="E35" s="461"/>
      <c r="F35" s="461"/>
      <c r="G35" s="461"/>
      <c r="H35" s="461"/>
      <c r="I35" s="461"/>
      <c r="J35" s="462"/>
      <c r="K35" s="462">
        <f>J16</f>
        <v>3500</v>
      </c>
      <c r="L35" s="462">
        <f t="shared" ref="L35:X35" si="25">K16</f>
        <v>3526.127282280248</v>
      </c>
      <c r="M35" s="462">
        <f t="shared" si="25"/>
        <v>3552.4496030974533</v>
      </c>
      <c r="N35" s="462">
        <f t="shared" si="25"/>
        <v>3578.9684184021621</v>
      </c>
      <c r="O35" s="462">
        <f t="shared" si="25"/>
        <v>3605.6851950135006</v>
      </c>
      <c r="P35" s="462">
        <f t="shared" si="25"/>
        <v>3632.6014107003093</v>
      </c>
      <c r="Q35" s="462">
        <f t="shared" si="25"/>
        <v>3659.7185542628786</v>
      </c>
      <c r="R35" s="462">
        <f t="shared" si="25"/>
        <v>3687.0381256153032</v>
      </c>
      <c r="S35" s="462">
        <f t="shared" si="25"/>
        <v>3714.5616358684424</v>
      </c>
      <c r="T35" s="462">
        <f t="shared" si="25"/>
        <v>3742.290607413503</v>
      </c>
      <c r="U35" s="462">
        <f t="shared" si="25"/>
        <v>3770.2265740062494</v>
      </c>
      <c r="V35" s="462">
        <f t="shared" si="25"/>
        <v>3798.3710808518358</v>
      </c>
      <c r="W35" s="462">
        <f t="shared" si="25"/>
        <v>3826.7256846902774</v>
      </c>
      <c r="X35" s="462">
        <f t="shared" si="25"/>
        <v>3855.2919538825568</v>
      </c>
    </row>
    <row r="36" spans="2:25" hidden="1" outlineLevel="1">
      <c r="B36" s="460" t="s">
        <v>871</v>
      </c>
      <c r="C36" s="461"/>
      <c r="D36" s="461"/>
      <c r="E36" s="461"/>
      <c r="F36" s="461"/>
      <c r="G36" s="461"/>
      <c r="H36" s="461"/>
      <c r="I36" s="461"/>
      <c r="J36" s="462"/>
      <c r="K36" s="462">
        <f>K12</f>
        <v>83.498776695208235</v>
      </c>
      <c r="L36" s="462">
        <f t="shared" ref="L36:X36" si="26">L12</f>
        <v>84.12208986914284</v>
      </c>
      <c r="M36" s="462">
        <f t="shared" si="26"/>
        <v>84.75005603714726</v>
      </c>
      <c r="N36" s="462">
        <f t="shared" si="26"/>
        <v>85.38270993353278</v>
      </c>
      <c r="O36" s="462">
        <f t="shared" si="26"/>
        <v>86.020086551900206</v>
      </c>
      <c r="P36" s="462">
        <f t="shared" si="26"/>
        <v>86.6622211470753</v>
      </c>
      <c r="Q36" s="462">
        <f t="shared" si="26"/>
        <v>87.309149237058975</v>
      </c>
      <c r="R36" s="462">
        <f t="shared" si="26"/>
        <v>87.96090660499182</v>
      </c>
      <c r="S36" s="462">
        <f t="shared" si="26"/>
        <v>88.617529301133288</v>
      </c>
      <c r="T36" s="462">
        <f t="shared" si="26"/>
        <v>89.279053644855807</v>
      </c>
      <c r="U36" s="462">
        <f t="shared" si="26"/>
        <v>89.94551622665368</v>
      </c>
      <c r="V36" s="462">
        <f t="shared" si="26"/>
        <v>90.616953910166927</v>
      </c>
      <c r="W36" s="462">
        <f t="shared" si="26"/>
        <v>91.293403834220399</v>
      </c>
      <c r="X36" s="462">
        <f t="shared" si="26"/>
        <v>91.974903414877943</v>
      </c>
    </row>
    <row r="37" spans="2:25" hidden="1" outlineLevel="1">
      <c r="B37" s="460" t="s">
        <v>872</v>
      </c>
      <c r="C37" s="461"/>
      <c r="D37" s="461"/>
      <c r="E37" s="461"/>
      <c r="F37" s="461"/>
      <c r="G37" s="461"/>
      <c r="H37" s="461"/>
      <c r="I37" s="461"/>
      <c r="J37" s="462"/>
      <c r="K37" s="462">
        <f>K36-(K39-K35)</f>
        <v>57.371494414960253</v>
      </c>
      <c r="L37" s="462">
        <f t="shared" ref="L37:X37" si="27">L36-(L39-L35)</f>
        <v>57.799769051937531</v>
      </c>
      <c r="M37" s="462">
        <f t="shared" si="27"/>
        <v>58.231240732438437</v>
      </c>
      <c r="N37" s="462">
        <f t="shared" si="27"/>
        <v>58.665933322194334</v>
      </c>
      <c r="O37" s="462">
        <f t="shared" si="27"/>
        <v>59.103870865091451</v>
      </c>
      <c r="P37" s="462">
        <f t="shared" si="27"/>
        <v>59.545077584506046</v>
      </c>
      <c r="Q37" s="462">
        <f t="shared" si="27"/>
        <v>59.989577884634329</v>
      </c>
      <c r="R37" s="462">
        <f t="shared" si="27"/>
        <v>60.437396351852627</v>
      </c>
      <c r="S37" s="462">
        <f t="shared" si="27"/>
        <v>60.888557756072657</v>
      </c>
      <c r="T37" s="462">
        <f t="shared" si="27"/>
        <v>61.343087052109453</v>
      </c>
      <c r="U37" s="462">
        <f t="shared" si="27"/>
        <v>61.80100938106726</v>
      </c>
      <c r="V37" s="462">
        <f t="shared" si="27"/>
        <v>62.262350071725365</v>
      </c>
      <c r="W37" s="462">
        <f t="shared" si="27"/>
        <v>62.727134641941021</v>
      </c>
      <c r="X37" s="462">
        <f t="shared" si="27"/>
        <v>63.195388800061508</v>
      </c>
    </row>
    <row r="38" spans="2:25" hidden="1" outlineLevel="1">
      <c r="B38" s="465" t="s">
        <v>874</v>
      </c>
      <c r="C38" s="461"/>
      <c r="D38" s="461"/>
      <c r="E38" s="461"/>
      <c r="F38" s="461"/>
      <c r="G38" s="461"/>
      <c r="H38" s="461"/>
      <c r="I38" s="461"/>
      <c r="J38" s="462"/>
      <c r="K38" s="467">
        <f>K37/K35</f>
        <v>1.63918555471315E-2</v>
      </c>
      <c r="L38" s="467">
        <f t="shared" ref="L38:X38" si="28">L37/L35</f>
        <v>1.6391855547131594E-2</v>
      </c>
      <c r="M38" s="467">
        <f t="shared" si="28"/>
        <v>1.6391855547131597E-2</v>
      </c>
      <c r="N38" s="467">
        <f t="shared" si="28"/>
        <v>1.6391855547131611E-2</v>
      </c>
      <c r="O38" s="467">
        <f t="shared" si="28"/>
        <v>1.6391855547131354E-2</v>
      </c>
      <c r="P38" s="467">
        <f t="shared" si="28"/>
        <v>1.6391855547131629E-2</v>
      </c>
      <c r="Q38" s="467">
        <f t="shared" si="28"/>
        <v>1.639185554713158E-2</v>
      </c>
      <c r="R38" s="467">
        <f t="shared" si="28"/>
        <v>1.6391855547131524E-2</v>
      </c>
      <c r="S38" s="467">
        <f t="shared" si="28"/>
        <v>1.6391855547131681E-2</v>
      </c>
      <c r="T38" s="467">
        <f t="shared" si="28"/>
        <v>1.6391855547131583E-2</v>
      </c>
      <c r="U38" s="467">
        <f t="shared" si="28"/>
        <v>1.6391855547131587E-2</v>
      </c>
      <c r="V38" s="467">
        <f t="shared" si="28"/>
        <v>1.6391855547131587E-2</v>
      </c>
      <c r="W38" s="467">
        <f t="shared" si="28"/>
        <v>1.6391855547131528E-2</v>
      </c>
      <c r="X38" s="467">
        <f t="shared" si="28"/>
        <v>1.6391855547131573E-2</v>
      </c>
    </row>
    <row r="39" spans="2:25" hidden="1" outlineLevel="1">
      <c r="B39" s="460" t="s">
        <v>873</v>
      </c>
      <c r="C39" s="461"/>
      <c r="D39" s="461"/>
      <c r="E39" s="461"/>
      <c r="F39" s="461"/>
      <c r="G39" s="461"/>
      <c r="H39" s="461"/>
      <c r="I39" s="461"/>
      <c r="J39" s="462"/>
      <c r="K39" s="462">
        <f>K16</f>
        <v>3526.127282280248</v>
      </c>
      <c r="L39" s="462">
        <f t="shared" ref="L39:X39" si="29">L16</f>
        <v>3552.4496030974533</v>
      </c>
      <c r="M39" s="462">
        <f t="shared" si="29"/>
        <v>3578.9684184021621</v>
      </c>
      <c r="N39" s="462">
        <f t="shared" si="29"/>
        <v>3605.6851950135006</v>
      </c>
      <c r="O39" s="462">
        <f t="shared" si="29"/>
        <v>3632.6014107003093</v>
      </c>
      <c r="P39" s="462">
        <f t="shared" si="29"/>
        <v>3659.7185542628786</v>
      </c>
      <c r="Q39" s="462">
        <f t="shared" si="29"/>
        <v>3687.0381256153032</v>
      </c>
      <c r="R39" s="462">
        <f t="shared" si="29"/>
        <v>3714.5616358684424</v>
      </c>
      <c r="S39" s="462">
        <f t="shared" si="29"/>
        <v>3742.290607413503</v>
      </c>
      <c r="T39" s="462">
        <f t="shared" si="29"/>
        <v>3770.2265740062494</v>
      </c>
      <c r="U39" s="462">
        <f t="shared" si="29"/>
        <v>3798.3710808518358</v>
      </c>
      <c r="V39" s="462">
        <f t="shared" si="29"/>
        <v>3826.7256846902774</v>
      </c>
      <c r="W39" s="462">
        <f t="shared" si="29"/>
        <v>3855.2919538825568</v>
      </c>
      <c r="X39" s="462">
        <f t="shared" si="29"/>
        <v>3884.0714684973732</v>
      </c>
    </row>
    <row r="40" spans="2:25" collapsed="1">
      <c r="B40" s="460"/>
      <c r="C40" s="461"/>
      <c r="D40" s="461"/>
      <c r="E40" s="461"/>
      <c r="F40" s="461"/>
      <c r="G40" s="461"/>
      <c r="H40" s="461"/>
      <c r="I40" s="461"/>
      <c r="J40" s="462"/>
      <c r="K40" s="462"/>
      <c r="L40" s="462"/>
      <c r="M40" s="462"/>
      <c r="N40" s="462"/>
      <c r="O40" s="462"/>
      <c r="P40" s="462"/>
      <c r="Q40" s="462"/>
      <c r="R40" s="462"/>
      <c r="S40" s="462"/>
      <c r="T40" s="462"/>
      <c r="U40" s="462"/>
      <c r="V40" s="462"/>
      <c r="W40" s="462"/>
      <c r="X40" s="462"/>
    </row>
    <row r="41" spans="2:25">
      <c r="B41" s="460"/>
      <c r="C41" s="461"/>
      <c r="D41" s="461"/>
      <c r="E41" s="461"/>
      <c r="F41" s="461"/>
      <c r="G41" s="461"/>
      <c r="H41" s="461"/>
      <c r="I41" s="461"/>
      <c r="J41" s="462"/>
      <c r="K41" s="462"/>
      <c r="L41" s="462"/>
      <c r="M41" s="462"/>
      <c r="N41" s="462"/>
      <c r="O41" s="462"/>
      <c r="P41" s="462"/>
      <c r="Q41" s="462"/>
      <c r="R41" s="462"/>
      <c r="S41" s="462"/>
      <c r="T41" s="462"/>
      <c r="U41" s="462"/>
      <c r="V41" s="462"/>
      <c r="W41" s="462"/>
      <c r="X41" s="462"/>
    </row>
    <row r="42" spans="2:25">
      <c r="B42" s="495" t="s">
        <v>855</v>
      </c>
      <c r="C42" s="495"/>
      <c r="D42" s="495"/>
      <c r="E42" s="495"/>
      <c r="F42" s="495"/>
      <c r="G42" s="495"/>
      <c r="H42" s="495"/>
      <c r="I42" s="495"/>
      <c r="J42" s="495"/>
      <c r="K42" s="495"/>
      <c r="L42" s="495"/>
      <c r="M42" s="495"/>
      <c r="N42" s="495"/>
      <c r="O42" s="495"/>
      <c r="P42" s="495"/>
      <c r="Q42" s="495"/>
      <c r="R42" s="495"/>
      <c r="S42" s="495"/>
      <c r="T42" s="495"/>
      <c r="U42" s="495"/>
      <c r="V42" s="495"/>
      <c r="W42" s="495"/>
      <c r="X42" s="495"/>
    </row>
    <row r="43" spans="2:25">
      <c r="B43" s="465" t="s">
        <v>858</v>
      </c>
      <c r="K43" s="364">
        <v>0.22500000000000001</v>
      </c>
      <c r="L43" s="496">
        <v>0.4</v>
      </c>
      <c r="M43" s="496">
        <v>0.6</v>
      </c>
      <c r="N43" s="496">
        <v>0.7</v>
      </c>
      <c r="O43" s="496">
        <v>0.65</v>
      </c>
      <c r="P43" s="496">
        <f t="shared" ref="P43:X43" si="30">O43*0.98</f>
        <v>0.63700000000000001</v>
      </c>
      <c r="Q43" s="496">
        <f t="shared" si="30"/>
        <v>0.62426000000000004</v>
      </c>
      <c r="R43" s="496">
        <f t="shared" si="30"/>
        <v>0.61177480000000006</v>
      </c>
      <c r="S43" s="496">
        <f t="shared" si="30"/>
        <v>0.59953930400000011</v>
      </c>
      <c r="T43" s="496">
        <f t="shared" si="30"/>
        <v>0.58754851792000007</v>
      </c>
      <c r="U43" s="496">
        <f t="shared" si="30"/>
        <v>0.57579754756160006</v>
      </c>
      <c r="V43" s="496">
        <f t="shared" si="30"/>
        <v>0.56428159661036803</v>
      </c>
      <c r="W43" s="496">
        <f t="shared" si="30"/>
        <v>0.5529959646781607</v>
      </c>
      <c r="X43" s="496">
        <f t="shared" si="30"/>
        <v>0.5419360453845975</v>
      </c>
      <c r="Y43" s="363"/>
    </row>
    <row r="44" spans="2:25">
      <c r="B44" s="465" t="s">
        <v>857</v>
      </c>
      <c r="K44" s="455">
        <f>J49</f>
        <v>0</v>
      </c>
      <c r="L44" s="455">
        <f>K50</f>
        <v>330.31054531063387</v>
      </c>
      <c r="M44" s="455">
        <f t="shared" ref="M44:X44" si="31">L50</f>
        <v>512.28399425902239</v>
      </c>
      <c r="N44" s="455">
        <f t="shared" si="31"/>
        <v>656.5860860430447</v>
      </c>
      <c r="O44" s="455">
        <f t="shared" si="31"/>
        <v>822.34810746182745</v>
      </c>
      <c r="P44" s="455">
        <f t="shared" si="31"/>
        <v>962.71769937920851</v>
      </c>
      <c r="Q44" s="455">
        <f t="shared" si="31"/>
        <v>1090.6539304893172</v>
      </c>
      <c r="R44" s="455">
        <f t="shared" si="31"/>
        <v>1207.067050202947</v>
      </c>
      <c r="S44" s="455">
        <f t="shared" si="31"/>
        <v>1312.8026010077449</v>
      </c>
      <c r="T44" s="455">
        <f t="shared" si="31"/>
        <v>1408.6459946363052</v>
      </c>
      <c r="U44" s="455">
        <f t="shared" si="31"/>
        <v>1495.3267648991414</v>
      </c>
      <c r="V44" s="455">
        <f t="shared" si="31"/>
        <v>1573.5225200244174</v>
      </c>
      <c r="W44" s="455">
        <f t="shared" si="31"/>
        <v>1643.8626157327226</v>
      </c>
      <c r="X44" s="455">
        <f t="shared" si="31"/>
        <v>1706.9315687755445</v>
      </c>
    </row>
    <row r="45" spans="2:25">
      <c r="B45" s="460" t="s">
        <v>889</v>
      </c>
      <c r="K45" s="455">
        <f>(K44)*K46</f>
        <v>0</v>
      </c>
      <c r="L45" s="455">
        <f t="shared" ref="L45:X45" si="32">(L44)*L46</f>
        <v>23.33381863628637</v>
      </c>
      <c r="M45" s="455">
        <f t="shared" si="32"/>
        <v>36.188798638175264</v>
      </c>
      <c r="N45" s="455">
        <f t="shared" si="32"/>
        <v>46.382596221472483</v>
      </c>
      <c r="O45" s="455">
        <f t="shared" si="32"/>
        <v>58.092367524512909</v>
      </c>
      <c r="P45" s="455">
        <f t="shared" si="32"/>
        <v>68.008365201091635</v>
      </c>
      <c r="Q45" s="455">
        <f t="shared" si="32"/>
        <v>77.046044609497699</v>
      </c>
      <c r="R45" s="455">
        <f t="shared" si="32"/>
        <v>85.269707646739164</v>
      </c>
      <c r="S45" s="455">
        <f t="shared" si="32"/>
        <v>92.739085179226834</v>
      </c>
      <c r="T45" s="455">
        <f t="shared" si="32"/>
        <v>99.509660312732976</v>
      </c>
      <c r="U45" s="455">
        <f t="shared" si="32"/>
        <v>105.63296882128972</v>
      </c>
      <c r="V45" s="455">
        <f t="shared" si="32"/>
        <v>111.15687834862479</v>
      </c>
      <c r="W45" s="455">
        <f t="shared" si="32"/>
        <v>116.12584788174425</v>
      </c>
      <c r="X45" s="455">
        <f t="shared" si="32"/>
        <v>120.58116889033542</v>
      </c>
    </row>
    <row r="46" spans="2:25">
      <c r="B46" s="466" t="s">
        <v>890</v>
      </c>
      <c r="K46" s="497">
        <f>K49/2</f>
        <v>7.064206386248599E-2</v>
      </c>
      <c r="L46" s="497">
        <f>L49/2</f>
        <v>7.064206386248599E-2</v>
      </c>
      <c r="M46" s="497">
        <f>M49/2</f>
        <v>7.064206386248599E-2</v>
      </c>
      <c r="N46" s="497">
        <f t="shared" ref="N46:X46" si="33">N49/2</f>
        <v>7.064206386248599E-2</v>
      </c>
      <c r="O46" s="497">
        <f t="shared" si="33"/>
        <v>7.064206386248599E-2</v>
      </c>
      <c r="P46" s="497">
        <f t="shared" si="33"/>
        <v>7.064206386248599E-2</v>
      </c>
      <c r="Q46" s="497">
        <f t="shared" si="33"/>
        <v>7.064206386248599E-2</v>
      </c>
      <c r="R46" s="497">
        <f t="shared" si="33"/>
        <v>7.064206386248599E-2</v>
      </c>
      <c r="S46" s="497">
        <f t="shared" si="33"/>
        <v>7.064206386248599E-2</v>
      </c>
      <c r="T46" s="497">
        <f t="shared" si="33"/>
        <v>7.064206386248599E-2</v>
      </c>
      <c r="U46" s="497">
        <f t="shared" si="33"/>
        <v>7.064206386248599E-2</v>
      </c>
      <c r="V46" s="497">
        <f t="shared" si="33"/>
        <v>7.064206386248599E-2</v>
      </c>
      <c r="W46" s="497">
        <f t="shared" si="33"/>
        <v>7.064206386248599E-2</v>
      </c>
      <c r="X46" s="497">
        <f t="shared" si="33"/>
        <v>7.064206386248599E-2</v>
      </c>
    </row>
    <row r="47" spans="2:25">
      <c r="B47" s="460" t="s">
        <v>856</v>
      </c>
      <c r="C47" s="461"/>
      <c r="D47" s="461"/>
      <c r="E47" s="461"/>
      <c r="F47" s="461"/>
      <c r="G47" s="461"/>
      <c r="H47" s="461"/>
      <c r="I47" s="461"/>
      <c r="J47" s="462"/>
      <c r="K47" s="468">
        <f>K10*K17*K43+307</f>
        <v>384.65638749116147</v>
      </c>
      <c r="L47" s="468">
        <f>L10*L17*L43+100</f>
        <v>239.08637794331989</v>
      </c>
      <c r="M47" s="462">
        <f t="shared" ref="M47:X47" si="34">M10*M17*M43</f>
        <v>210.18697365406365</v>
      </c>
      <c r="N47" s="462">
        <f t="shared" si="34"/>
        <v>247.04867406050448</v>
      </c>
      <c r="O47" s="462">
        <f t="shared" si="34"/>
        <v>231.11481439850559</v>
      </c>
      <c r="P47" s="462">
        <f t="shared" si="34"/>
        <v>228.18327066911777</v>
      </c>
      <c r="Q47" s="462">
        <f t="shared" si="34"/>
        <v>225.288911698568</v>
      </c>
      <c r="R47" s="462">
        <f t="shared" si="34"/>
        <v>222.43126582195302</v>
      </c>
      <c r="S47" s="462">
        <f t="shared" si="34"/>
        <v>219.6098673571372</v>
      </c>
      <c r="T47" s="462">
        <f t="shared" si="34"/>
        <v>216.82425652886542</v>
      </c>
      <c r="U47" s="462">
        <f t="shared" si="34"/>
        <v>214.07397939383776</v>
      </c>
      <c r="V47" s="462">
        <f t="shared" si="34"/>
        <v>211.35858776673504</v>
      </c>
      <c r="W47" s="462">
        <f t="shared" si="34"/>
        <v>208.67763914718248</v>
      </c>
      <c r="X47" s="462">
        <f t="shared" si="34"/>
        <v>206.03069664763962</v>
      </c>
    </row>
    <row r="48" spans="2:25">
      <c r="B48" s="460" t="s">
        <v>891</v>
      </c>
      <c r="C48" s="461"/>
      <c r="D48" s="461"/>
      <c r="E48" s="461"/>
      <c r="F48" s="461"/>
      <c r="G48" s="461"/>
      <c r="H48" s="461"/>
      <c r="I48" s="461"/>
      <c r="J48" s="462"/>
      <c r="K48" s="462">
        <f>(K47)*K49</f>
        <v>54.345842180527569</v>
      </c>
      <c r="L48" s="462">
        <f>(L47)*L49</f>
        <v>33.779110358644928</v>
      </c>
      <c r="M48" s="462">
        <f>(M47)*M49</f>
        <v>29.696083231866048</v>
      </c>
      <c r="N48" s="462">
        <f t="shared" ref="N48:X48" si="35">(N47)*N49</f>
        <v>34.90405642024929</v>
      </c>
      <c r="O48" s="462">
        <f t="shared" si="35"/>
        <v>32.652854956611655</v>
      </c>
      <c r="P48" s="462">
        <f t="shared" si="35"/>
        <v>32.238674357917489</v>
      </c>
      <c r="Q48" s="462">
        <f t="shared" si="35"/>
        <v>31.829747375440416</v>
      </c>
      <c r="R48" s="462">
        <f t="shared" si="35"/>
        <v>31.426007370416006</v>
      </c>
      <c r="S48" s="462">
        <f t="shared" si="35"/>
        <v>31.027388549349929</v>
      </c>
      <c r="T48" s="462">
        <f t="shared" si="35"/>
        <v>30.633825953296313</v>
      </c>
      <c r="U48" s="462">
        <f t="shared" si="35"/>
        <v>30.245255447271994</v>
      </c>
      <c r="V48" s="462">
        <f t="shared" si="35"/>
        <v>29.861613709805095</v>
      </c>
      <c r="W48" s="462">
        <f t="shared" si="35"/>
        <v>29.482838222616142</v>
      </c>
      <c r="X48" s="462">
        <f t="shared" si="35"/>
        <v>29.10886726043007</v>
      </c>
    </row>
    <row r="49" spans="2:24">
      <c r="B49" s="466" t="s">
        <v>892</v>
      </c>
      <c r="C49" s="461"/>
      <c r="D49" s="461"/>
      <c r="E49" s="461"/>
      <c r="F49" s="461"/>
      <c r="G49" s="461"/>
      <c r="H49" s="461"/>
      <c r="I49" s="461"/>
      <c r="J49" s="462"/>
      <c r="K49" s="469">
        <f>K26*0.5</f>
        <v>0.14128412772497198</v>
      </c>
      <c r="L49" s="467">
        <f>K49</f>
        <v>0.14128412772497198</v>
      </c>
      <c r="M49" s="467">
        <f t="shared" ref="M49:X49" si="36">L49</f>
        <v>0.14128412772497198</v>
      </c>
      <c r="N49" s="467">
        <f t="shared" si="36"/>
        <v>0.14128412772497198</v>
      </c>
      <c r="O49" s="467">
        <f t="shared" si="36"/>
        <v>0.14128412772497198</v>
      </c>
      <c r="P49" s="467">
        <f t="shared" si="36"/>
        <v>0.14128412772497198</v>
      </c>
      <c r="Q49" s="467">
        <f t="shared" si="36"/>
        <v>0.14128412772497198</v>
      </c>
      <c r="R49" s="467">
        <f t="shared" si="36"/>
        <v>0.14128412772497198</v>
      </c>
      <c r="S49" s="467">
        <f t="shared" si="36"/>
        <v>0.14128412772497198</v>
      </c>
      <c r="T49" s="467">
        <f t="shared" si="36"/>
        <v>0.14128412772497198</v>
      </c>
      <c r="U49" s="467">
        <f t="shared" si="36"/>
        <v>0.14128412772497198</v>
      </c>
      <c r="V49" s="467">
        <f t="shared" si="36"/>
        <v>0.14128412772497198</v>
      </c>
      <c r="W49" s="467">
        <f t="shared" si="36"/>
        <v>0.14128412772497198</v>
      </c>
      <c r="X49" s="467">
        <f t="shared" si="36"/>
        <v>0.14128412772497198</v>
      </c>
    </row>
    <row r="50" spans="2:24">
      <c r="B50" s="460" t="s">
        <v>859</v>
      </c>
      <c r="C50" s="461"/>
      <c r="D50" s="461"/>
      <c r="E50" s="461"/>
      <c r="F50" s="461"/>
      <c r="G50" s="461"/>
      <c r="H50" s="461"/>
      <c r="I50" s="461"/>
      <c r="J50" s="462"/>
      <c r="K50" s="462">
        <f>K44+K47-K48-K45</f>
        <v>330.31054531063387</v>
      </c>
      <c r="L50" s="462">
        <f>L44+L47-L48-L45</f>
        <v>512.28399425902239</v>
      </c>
      <c r="M50" s="462">
        <f>M44+M47-M48-M45</f>
        <v>656.5860860430447</v>
      </c>
      <c r="N50" s="462">
        <f t="shared" ref="N50:X50" si="37">N44+N47-N48-N45</f>
        <v>822.34810746182745</v>
      </c>
      <c r="O50" s="462">
        <f t="shared" si="37"/>
        <v>962.71769937920851</v>
      </c>
      <c r="P50" s="462">
        <f t="shared" si="37"/>
        <v>1090.6539304893172</v>
      </c>
      <c r="Q50" s="462">
        <f t="shared" si="37"/>
        <v>1207.067050202947</v>
      </c>
      <c r="R50" s="462">
        <f t="shared" si="37"/>
        <v>1312.8026010077449</v>
      </c>
      <c r="S50" s="462">
        <f t="shared" si="37"/>
        <v>1408.6459946363052</v>
      </c>
      <c r="T50" s="462">
        <f t="shared" si="37"/>
        <v>1495.3267648991414</v>
      </c>
      <c r="U50" s="462">
        <f t="shared" si="37"/>
        <v>1573.5225200244174</v>
      </c>
      <c r="V50" s="462">
        <f t="shared" si="37"/>
        <v>1643.8626157327226</v>
      </c>
      <c r="W50" s="462">
        <f t="shared" si="37"/>
        <v>1706.9315687755445</v>
      </c>
      <c r="X50" s="462">
        <f t="shared" si="37"/>
        <v>1763.2722292724186</v>
      </c>
    </row>
    <row r="51" spans="2:24">
      <c r="B51" s="460"/>
      <c r="C51" s="461"/>
      <c r="D51" s="461"/>
      <c r="E51" s="461"/>
      <c r="F51" s="461"/>
      <c r="G51" s="461"/>
      <c r="H51" s="461"/>
      <c r="I51" s="461"/>
      <c r="J51" s="462"/>
      <c r="K51" s="467"/>
      <c r="L51" s="467"/>
      <c r="M51" s="467"/>
      <c r="N51" s="467"/>
      <c r="O51" s="467"/>
      <c r="P51" s="467"/>
      <c r="Q51" s="467"/>
      <c r="R51" s="467"/>
      <c r="S51" s="467"/>
      <c r="T51" s="467"/>
      <c r="U51" s="467"/>
      <c r="V51" s="467"/>
      <c r="W51" s="467"/>
      <c r="X51" s="467"/>
    </row>
    <row r="52" spans="2:24">
      <c r="B52" s="460"/>
      <c r="C52" s="461"/>
      <c r="D52" s="461"/>
      <c r="E52" s="461"/>
      <c r="F52" s="461"/>
      <c r="G52" s="461"/>
      <c r="H52" s="461"/>
      <c r="I52" s="461"/>
      <c r="J52" s="462"/>
      <c r="K52" s="462"/>
      <c r="L52" s="462"/>
      <c r="M52" s="462"/>
      <c r="N52" s="462"/>
      <c r="O52" s="462"/>
      <c r="P52" s="462"/>
      <c r="Q52" s="462"/>
      <c r="R52" s="462"/>
      <c r="S52" s="462"/>
      <c r="T52" s="462"/>
      <c r="U52" s="462"/>
      <c r="V52" s="462"/>
      <c r="W52" s="462"/>
      <c r="X52" s="462"/>
    </row>
    <row r="53" spans="2:24">
      <c r="B53" s="495" t="s">
        <v>861</v>
      </c>
      <c r="C53" s="495"/>
      <c r="D53" s="495"/>
      <c r="E53" s="495"/>
      <c r="F53" s="495"/>
      <c r="G53" s="495"/>
      <c r="H53" s="495"/>
      <c r="I53" s="495"/>
      <c r="J53" s="495"/>
      <c r="K53" s="495"/>
      <c r="L53" s="495"/>
      <c r="M53" s="495"/>
      <c r="N53" s="495"/>
      <c r="O53" s="495"/>
      <c r="P53" s="495"/>
      <c r="Q53" s="495"/>
      <c r="R53" s="495"/>
      <c r="S53" s="495"/>
      <c r="T53" s="495"/>
      <c r="U53" s="495"/>
      <c r="V53" s="495"/>
      <c r="W53" s="495"/>
      <c r="X53" s="495"/>
    </row>
    <row r="54" spans="2:24">
      <c r="B54" s="465" t="s">
        <v>858</v>
      </c>
      <c r="C54" s="461"/>
      <c r="D54" s="461"/>
      <c r="E54" s="461"/>
      <c r="F54" s="461"/>
      <c r="G54" s="461"/>
      <c r="H54" s="461"/>
      <c r="I54" s="461"/>
      <c r="J54" s="462"/>
      <c r="K54" s="364">
        <v>0.14499999999999999</v>
      </c>
      <c r="L54" s="496">
        <v>0.3</v>
      </c>
      <c r="M54" s="496">
        <f>L54*1.2</f>
        <v>0.36</v>
      </c>
      <c r="N54" s="496">
        <f>M54*1.2</f>
        <v>0.432</v>
      </c>
      <c r="O54" s="496">
        <f>N54*1.1</f>
        <v>0.47520000000000001</v>
      </c>
      <c r="P54" s="363">
        <f t="shared" ref="P54" si="38">O54*0.975</f>
        <v>0.46332000000000001</v>
      </c>
      <c r="Q54" s="363">
        <f t="shared" ref="Q54" si="39">P54*0.975</f>
        <v>0.451737</v>
      </c>
      <c r="R54" s="363">
        <f t="shared" ref="R54:W54" si="40">Q54*0.975</f>
        <v>0.44044357499999998</v>
      </c>
      <c r="S54" s="363">
        <f t="shared" si="40"/>
        <v>0.42943248562499997</v>
      </c>
      <c r="T54" s="363">
        <f t="shared" si="40"/>
        <v>0.41869667348437495</v>
      </c>
      <c r="U54" s="363">
        <f t="shared" si="40"/>
        <v>0.40822925664726556</v>
      </c>
      <c r="V54" s="363">
        <f t="shared" si="40"/>
        <v>0.39802352523108392</v>
      </c>
      <c r="W54" s="363">
        <f t="shared" si="40"/>
        <v>0.38807293710030683</v>
      </c>
      <c r="X54" s="363">
        <f>W54*0.975</f>
        <v>0.37837111367279913</v>
      </c>
    </row>
    <row r="55" spans="2:24">
      <c r="B55" s="465" t="s">
        <v>857</v>
      </c>
      <c r="C55" s="461"/>
      <c r="D55" s="461"/>
      <c r="E55" s="461"/>
      <c r="F55" s="461"/>
      <c r="G55" s="461"/>
      <c r="H55" s="461"/>
      <c r="I55" s="461"/>
      <c r="J55" s="462"/>
      <c r="K55" s="455">
        <f>J60</f>
        <v>0</v>
      </c>
      <c r="L55" s="455">
        <f>K61</f>
        <v>743.14758517508494</v>
      </c>
      <c r="M55" s="455">
        <f t="shared" ref="M55:X55" si="41">L61</f>
        <v>870.14973080823245</v>
      </c>
      <c r="N55" s="455">
        <f t="shared" si="41"/>
        <v>906.65364923308789</v>
      </c>
      <c r="O55" s="455">
        <f t="shared" si="41"/>
        <v>952.86202435011603</v>
      </c>
      <c r="P55" s="455">
        <f t="shared" si="41"/>
        <v>1004.8123664981231</v>
      </c>
      <c r="Q55" s="455">
        <f t="shared" si="41"/>
        <v>1054.8583661870393</v>
      </c>
      <c r="R55" s="455">
        <f t="shared" si="41"/>
        <v>1103.0478288445318</v>
      </c>
      <c r="S55" s="455">
        <f t="shared" si="41"/>
        <v>1149.4275118232681</v>
      </c>
      <c r="T55" s="455">
        <f t="shared" si="41"/>
        <v>1194.0431458452344</v>
      </c>
      <c r="U55" s="455">
        <f t="shared" si="41"/>
        <v>1236.9394560250007</v>
      </c>
      <c r="V55" s="455">
        <f t="shared" si="41"/>
        <v>1278.1601824799834</v>
      </c>
      <c r="W55" s="455">
        <f t="shared" si="41"/>
        <v>1317.7481005356003</v>
      </c>
      <c r="X55" s="455">
        <f t="shared" si="41"/>
        <v>1355.7450405330674</v>
      </c>
    </row>
    <row r="56" spans="2:24">
      <c r="B56" s="460" t="s">
        <v>889</v>
      </c>
      <c r="C56" s="461"/>
      <c r="D56" s="461"/>
      <c r="E56" s="461"/>
      <c r="F56" s="461"/>
      <c r="G56" s="461"/>
      <c r="H56" s="461"/>
      <c r="I56" s="461"/>
      <c r="J56" s="462"/>
      <c r="K56" s="455">
        <f>(K55)*K57</f>
        <v>0</v>
      </c>
      <c r="L56" s="455">
        <f t="shared" ref="L56:X56" si="42">(L55)*L57</f>
        <v>10.619783097237123</v>
      </c>
      <c r="M56" s="455">
        <f t="shared" si="42"/>
        <v>12.434678639405892</v>
      </c>
      <c r="N56" s="455">
        <f t="shared" si="42"/>
        <v>12.956329659478667</v>
      </c>
      <c r="O56" s="455">
        <f t="shared" si="42"/>
        <v>13.616660031006409</v>
      </c>
      <c r="P56" s="455">
        <f t="shared" si="42"/>
        <v>14.359044688435</v>
      </c>
      <c r="Q56" s="455">
        <f t="shared" si="42"/>
        <v>15.074215769096551</v>
      </c>
      <c r="R56" s="455">
        <f t="shared" si="42"/>
        <v>15.762856425682156</v>
      </c>
      <c r="S56" s="455">
        <f t="shared" si="42"/>
        <v>16.425634833603322</v>
      </c>
      <c r="T56" s="455">
        <f t="shared" si="42"/>
        <v>17.063204497437141</v>
      </c>
      <c r="U56" s="455">
        <f t="shared" si="42"/>
        <v>17.676204551354555</v>
      </c>
      <c r="V56" s="455">
        <f t="shared" si="42"/>
        <v>18.265260053646642</v>
      </c>
      <c r="W56" s="455">
        <f t="shared" si="42"/>
        <v>18.830982275461839</v>
      </c>
      <c r="X56" s="455">
        <f t="shared" si="42"/>
        <v>19.37396898386481</v>
      </c>
    </row>
    <row r="57" spans="2:24">
      <c r="B57" s="466" t="s">
        <v>890</v>
      </c>
      <c r="C57" s="461"/>
      <c r="D57" s="461"/>
      <c r="E57" s="461"/>
      <c r="F57" s="461"/>
      <c r="G57" s="461"/>
      <c r="H57" s="461"/>
      <c r="I57" s="461"/>
      <c r="J57" s="462"/>
      <c r="K57" s="497">
        <f>K60/2</f>
        <v>1.4290274649462947E-2</v>
      </c>
      <c r="L57" s="497">
        <f t="shared" ref="L57:X57" si="43">L60/2</f>
        <v>1.4290274649462947E-2</v>
      </c>
      <c r="M57" s="497">
        <f t="shared" si="43"/>
        <v>1.4290274649462947E-2</v>
      </c>
      <c r="N57" s="497">
        <f t="shared" si="43"/>
        <v>1.4290274649462947E-2</v>
      </c>
      <c r="O57" s="497">
        <f t="shared" si="43"/>
        <v>1.4290274649462947E-2</v>
      </c>
      <c r="P57" s="497">
        <f t="shared" si="43"/>
        <v>1.4290274649462947E-2</v>
      </c>
      <c r="Q57" s="497">
        <f t="shared" si="43"/>
        <v>1.4290274649462947E-2</v>
      </c>
      <c r="R57" s="497">
        <f t="shared" si="43"/>
        <v>1.4290274649462947E-2</v>
      </c>
      <c r="S57" s="497">
        <f t="shared" si="43"/>
        <v>1.4290274649462947E-2</v>
      </c>
      <c r="T57" s="497">
        <f t="shared" si="43"/>
        <v>1.4290274649462947E-2</v>
      </c>
      <c r="U57" s="497">
        <f t="shared" si="43"/>
        <v>1.4290274649462947E-2</v>
      </c>
      <c r="V57" s="497">
        <f t="shared" si="43"/>
        <v>1.4290274649462947E-2</v>
      </c>
      <c r="W57" s="497">
        <f t="shared" si="43"/>
        <v>1.4290274649462947E-2</v>
      </c>
      <c r="X57" s="497">
        <f t="shared" si="43"/>
        <v>1.4290274649462947E-2</v>
      </c>
    </row>
    <row r="58" spans="2:24">
      <c r="B58" s="460" t="s">
        <v>856</v>
      </c>
      <c r="C58" s="461"/>
      <c r="D58" s="461"/>
      <c r="E58" s="461"/>
      <c r="F58" s="461"/>
      <c r="G58" s="461"/>
      <c r="H58" s="461"/>
      <c r="I58" s="461"/>
      <c r="J58" s="462"/>
      <c r="K58" s="468">
        <f>K11*K18*K54+K54*K15</f>
        <v>765.01204977803854</v>
      </c>
      <c r="L58" s="468">
        <f>L11*L18*L54+100</f>
        <v>141.67096266300081</v>
      </c>
      <c r="M58" s="462">
        <f t="shared" ref="M58:X58" si="44">M11*M18*M54</f>
        <v>50.378440568533257</v>
      </c>
      <c r="N58" s="462">
        <f t="shared" si="44"/>
        <v>60.905414992264859</v>
      </c>
      <c r="O58" s="462">
        <f t="shared" si="44"/>
        <v>67.49607713917375</v>
      </c>
      <c r="P58" s="462">
        <f t="shared" si="44"/>
        <v>66.29993287747125</v>
      </c>
      <c r="Q58" s="462">
        <f t="shared" si="44"/>
        <v>65.124986308367284</v>
      </c>
      <c r="R58" s="462">
        <f t="shared" si="44"/>
        <v>63.970861773017141</v>
      </c>
      <c r="S58" s="462">
        <f t="shared" si="44"/>
        <v>62.837190269883976</v>
      </c>
      <c r="T58" s="462">
        <f t="shared" si="44"/>
        <v>61.723609336760283</v>
      </c>
      <c r="U58" s="462">
        <f t="shared" si="44"/>
        <v>60.629762934879807</v>
      </c>
      <c r="V58" s="462">
        <f t="shared" si="44"/>
        <v>59.555301335083378</v>
      </c>
      <c r="W58" s="462">
        <f t="shared" si="44"/>
        <v>58.499881006002092</v>
      </c>
      <c r="X58" s="462">
        <f t="shared" si="44"/>
        <v>57.463164504221936</v>
      </c>
    </row>
    <row r="59" spans="2:24">
      <c r="B59" s="460" t="s">
        <v>891</v>
      </c>
      <c r="C59" s="461"/>
      <c r="D59" s="461"/>
      <c r="E59" s="461"/>
      <c r="F59" s="461"/>
      <c r="G59" s="461"/>
      <c r="H59" s="461"/>
      <c r="I59" s="461"/>
      <c r="J59" s="462"/>
      <c r="K59" s="462">
        <f>(K58)*K60</f>
        <v>21.864464602953582</v>
      </c>
      <c r="L59" s="462">
        <f t="shared" ref="L59:X59" si="45">(L58)*L60</f>
        <v>4.0490339326161839</v>
      </c>
      <c r="M59" s="462">
        <f t="shared" si="45"/>
        <v>1.4398435042719731</v>
      </c>
      <c r="N59" s="462">
        <f t="shared" si="45"/>
        <v>1.7407102157579661</v>
      </c>
      <c r="O59" s="462">
        <f t="shared" si="45"/>
        <v>1.9290749601602604</v>
      </c>
      <c r="P59" s="462">
        <f t="shared" si="45"/>
        <v>1.8948885001200448</v>
      </c>
      <c r="Q59" s="462">
        <f t="shared" si="45"/>
        <v>1.861307881778165</v>
      </c>
      <c r="R59" s="462">
        <f t="shared" si="45"/>
        <v>1.8283223685984904</v>
      </c>
      <c r="S59" s="462">
        <f t="shared" si="45"/>
        <v>1.7959214143144056</v>
      </c>
      <c r="T59" s="462">
        <f t="shared" si="45"/>
        <v>1.76409465955692</v>
      </c>
      <c r="U59" s="462">
        <f t="shared" si="45"/>
        <v>1.7328319285425222</v>
      </c>
      <c r="V59" s="462">
        <f t="shared" si="45"/>
        <v>1.7021232258197376</v>
      </c>
      <c r="W59" s="462">
        <f t="shared" si="45"/>
        <v>1.6719587330733414</v>
      </c>
      <c r="X59" s="462">
        <f t="shared" si="45"/>
        <v>1.6423288059852037</v>
      </c>
    </row>
    <row r="60" spans="2:24">
      <c r="B60" s="466" t="s">
        <v>892</v>
      </c>
      <c r="C60" s="461"/>
      <c r="D60" s="461"/>
      <c r="E60" s="461"/>
      <c r="F60" s="461"/>
      <c r="G60" s="461"/>
      <c r="H60" s="461"/>
      <c r="I60" s="461"/>
      <c r="J60" s="462"/>
      <c r="K60" s="469">
        <f>K32</f>
        <v>2.8580549298925895E-2</v>
      </c>
      <c r="L60" s="467">
        <f>K60</f>
        <v>2.8580549298925895E-2</v>
      </c>
      <c r="M60" s="467">
        <f t="shared" ref="M60:X60" si="46">L60</f>
        <v>2.8580549298925895E-2</v>
      </c>
      <c r="N60" s="467">
        <f t="shared" si="46"/>
        <v>2.8580549298925895E-2</v>
      </c>
      <c r="O60" s="467">
        <f t="shared" si="46"/>
        <v>2.8580549298925895E-2</v>
      </c>
      <c r="P60" s="467">
        <f t="shared" si="46"/>
        <v>2.8580549298925895E-2</v>
      </c>
      <c r="Q60" s="467">
        <f t="shared" si="46"/>
        <v>2.8580549298925895E-2</v>
      </c>
      <c r="R60" s="467">
        <f t="shared" si="46"/>
        <v>2.8580549298925895E-2</v>
      </c>
      <c r="S60" s="467">
        <f t="shared" si="46"/>
        <v>2.8580549298925895E-2</v>
      </c>
      <c r="T60" s="467">
        <f t="shared" si="46"/>
        <v>2.8580549298925895E-2</v>
      </c>
      <c r="U60" s="467">
        <f t="shared" si="46"/>
        <v>2.8580549298925895E-2</v>
      </c>
      <c r="V60" s="467">
        <f t="shared" si="46"/>
        <v>2.8580549298925895E-2</v>
      </c>
      <c r="W60" s="467">
        <f t="shared" si="46"/>
        <v>2.8580549298925895E-2</v>
      </c>
      <c r="X60" s="467">
        <f t="shared" si="46"/>
        <v>2.8580549298925895E-2</v>
      </c>
    </row>
    <row r="61" spans="2:24">
      <c r="B61" s="460" t="s">
        <v>859</v>
      </c>
      <c r="C61" s="461"/>
      <c r="D61" s="461"/>
      <c r="E61" s="461"/>
      <c r="F61" s="461"/>
      <c r="G61" s="461"/>
      <c r="H61" s="461"/>
      <c r="I61" s="461"/>
      <c r="J61" s="462"/>
      <c r="K61" s="462">
        <f>K55+K58-K59-K56</f>
        <v>743.14758517508494</v>
      </c>
      <c r="L61" s="462">
        <f t="shared" ref="L61:X61" si="47">L55+L58-L59-L56</f>
        <v>870.14973080823245</v>
      </c>
      <c r="M61" s="462">
        <f t="shared" si="47"/>
        <v>906.65364923308789</v>
      </c>
      <c r="N61" s="462">
        <f t="shared" si="47"/>
        <v>952.86202435011603</v>
      </c>
      <c r="O61" s="462">
        <f t="shared" si="47"/>
        <v>1004.8123664981231</v>
      </c>
      <c r="P61" s="462">
        <f t="shared" si="47"/>
        <v>1054.8583661870393</v>
      </c>
      <c r="Q61" s="462">
        <f t="shared" si="47"/>
        <v>1103.0478288445318</v>
      </c>
      <c r="R61" s="462">
        <f t="shared" si="47"/>
        <v>1149.4275118232681</v>
      </c>
      <c r="S61" s="462">
        <f t="shared" si="47"/>
        <v>1194.0431458452344</v>
      </c>
      <c r="T61" s="462">
        <f t="shared" si="47"/>
        <v>1236.9394560250007</v>
      </c>
      <c r="U61" s="462">
        <f t="shared" si="47"/>
        <v>1278.1601824799834</v>
      </c>
      <c r="V61" s="462">
        <f t="shared" si="47"/>
        <v>1317.7481005356003</v>
      </c>
      <c r="W61" s="462">
        <f t="shared" si="47"/>
        <v>1355.7450405330674</v>
      </c>
      <c r="X61" s="462">
        <f t="shared" si="47"/>
        <v>1392.1919072474391</v>
      </c>
    </row>
    <row r="62" spans="2:24">
      <c r="B62" s="460"/>
      <c r="C62" s="461"/>
      <c r="D62" s="461"/>
      <c r="E62" s="461"/>
      <c r="F62" s="461"/>
      <c r="G62" s="461"/>
      <c r="H62" s="461"/>
      <c r="I62" s="461"/>
      <c r="J62" s="462"/>
      <c r="K62" s="467"/>
      <c r="L62" s="467"/>
      <c r="M62" s="467"/>
      <c r="N62" s="467"/>
      <c r="O62" s="467"/>
      <c r="P62" s="467"/>
      <c r="Q62" s="467"/>
      <c r="R62" s="467"/>
      <c r="S62" s="467"/>
      <c r="T62" s="467"/>
      <c r="U62" s="467"/>
      <c r="V62" s="467"/>
      <c r="W62" s="467"/>
      <c r="X62" s="467"/>
    </row>
    <row r="63" spans="2:24">
      <c r="B63" s="460"/>
      <c r="C63" s="461"/>
      <c r="D63" s="461"/>
      <c r="E63" s="461"/>
      <c r="F63" s="461"/>
      <c r="G63" s="461"/>
      <c r="H63" s="461"/>
      <c r="I63" s="461"/>
      <c r="J63" s="462"/>
      <c r="K63" s="462"/>
      <c r="L63" s="462"/>
      <c r="M63" s="462"/>
      <c r="N63" s="462"/>
      <c r="O63" s="462"/>
      <c r="P63" s="462"/>
      <c r="Q63" s="462"/>
      <c r="R63" s="462"/>
      <c r="S63" s="462"/>
      <c r="T63" s="462"/>
      <c r="U63" s="462"/>
      <c r="V63" s="462"/>
      <c r="W63" s="462"/>
      <c r="X63" s="462"/>
    </row>
    <row r="64" spans="2:24">
      <c r="B64" s="495" t="s">
        <v>860</v>
      </c>
      <c r="C64" s="495"/>
      <c r="D64" s="495"/>
      <c r="E64" s="495"/>
      <c r="F64" s="495"/>
      <c r="G64" s="495"/>
      <c r="H64" s="495"/>
      <c r="I64" s="495"/>
      <c r="J64" s="495"/>
      <c r="K64" s="495"/>
      <c r="L64" s="495"/>
      <c r="M64" s="495"/>
      <c r="N64" s="495"/>
      <c r="O64" s="495"/>
      <c r="P64" s="495"/>
      <c r="Q64" s="495"/>
      <c r="R64" s="495"/>
      <c r="S64" s="495"/>
      <c r="T64" s="495"/>
      <c r="U64" s="495"/>
      <c r="V64" s="495"/>
      <c r="W64" s="495"/>
      <c r="X64" s="495"/>
    </row>
    <row r="65" spans="2:24">
      <c r="B65" s="465" t="s">
        <v>858</v>
      </c>
      <c r="C65" s="461"/>
      <c r="D65" s="461"/>
      <c r="E65" s="461"/>
      <c r="F65" s="461"/>
      <c r="G65" s="461"/>
      <c r="H65" s="461"/>
      <c r="I65" s="461"/>
      <c r="J65" s="462"/>
      <c r="K65" s="364">
        <v>7.0000000000000007E-2</v>
      </c>
      <c r="L65" s="498">
        <v>0.2</v>
      </c>
      <c r="M65" s="363">
        <f>L65*1.2</f>
        <v>0.24</v>
      </c>
      <c r="N65" s="363">
        <f>M65*1.05</f>
        <v>0.252</v>
      </c>
      <c r="O65" s="363">
        <f t="shared" ref="O65" si="48">N65*1.035</f>
        <v>0.26082</v>
      </c>
      <c r="P65" s="363">
        <f>O65*0.975</f>
        <v>0.25429950000000001</v>
      </c>
      <c r="Q65" s="363">
        <f t="shared" ref="Q65" si="49">P65*0.975</f>
        <v>0.2479420125</v>
      </c>
      <c r="R65" s="363">
        <f>Q65*0.95</f>
        <v>0.23554491187499998</v>
      </c>
      <c r="S65" s="363">
        <f>R65*0.95</f>
        <v>0.22376766628124997</v>
      </c>
      <c r="T65" s="363">
        <f t="shared" ref="T65:X65" si="50">S65*0.95</f>
        <v>0.21257928296718745</v>
      </c>
      <c r="U65" s="363">
        <f t="shared" si="50"/>
        <v>0.20195031881882808</v>
      </c>
      <c r="V65" s="363">
        <f t="shared" si="50"/>
        <v>0.19185280287788667</v>
      </c>
      <c r="W65" s="363">
        <f t="shared" si="50"/>
        <v>0.18226016273399231</v>
      </c>
      <c r="X65" s="363">
        <f t="shared" si="50"/>
        <v>0.17314715459729269</v>
      </c>
    </row>
    <row r="66" spans="2:24">
      <c r="B66" s="465" t="s">
        <v>857</v>
      </c>
      <c r="C66" s="461"/>
      <c r="D66" s="461"/>
      <c r="E66" s="461"/>
      <c r="F66" s="461"/>
      <c r="G66" s="461"/>
      <c r="H66" s="461"/>
      <c r="I66" s="461"/>
      <c r="J66" s="462"/>
      <c r="K66" s="455">
        <f>J71</f>
        <v>0</v>
      </c>
      <c r="L66" s="455">
        <f>K72</f>
        <v>121.39146296299089</v>
      </c>
      <c r="M66" s="455">
        <f t="shared" ref="M66:X66" si="51">L72</f>
        <v>617.35960520465051</v>
      </c>
      <c r="N66" s="455">
        <f t="shared" si="51"/>
        <v>1034.7360686796724</v>
      </c>
      <c r="O66" s="455">
        <f t="shared" si="51"/>
        <v>1473.12469343877</v>
      </c>
      <c r="P66" s="455">
        <f t="shared" si="51"/>
        <v>1927.0133462515216</v>
      </c>
      <c r="Q66" s="455">
        <f t="shared" si="51"/>
        <v>2337.3369990520473</v>
      </c>
      <c r="R66" s="455">
        <f t="shared" si="51"/>
        <v>2729.4604050456805</v>
      </c>
      <c r="S66" s="455">
        <f t="shared" si="51"/>
        <v>3092.6510756260141</v>
      </c>
      <c r="T66" s="455">
        <f t="shared" si="51"/>
        <v>3428.4481592595121</v>
      </c>
      <c r="U66" s="455">
        <f t="shared" si="51"/>
        <v>3738.3174425260004</v>
      </c>
      <c r="V66" s="455">
        <f t="shared" si="51"/>
        <v>4023.6546779266137</v>
      </c>
      <c r="W66" s="455">
        <f t="shared" si="51"/>
        <v>4285.7887644759812</v>
      </c>
      <c r="X66" s="455">
        <f t="shared" si="51"/>
        <v>4525.9847875042415</v>
      </c>
    </row>
    <row r="67" spans="2:24">
      <c r="B67" s="460" t="s">
        <v>889</v>
      </c>
      <c r="C67" s="461"/>
      <c r="D67" s="461"/>
      <c r="E67" s="461"/>
      <c r="F67" s="461"/>
      <c r="G67" s="461"/>
      <c r="H67" s="461"/>
      <c r="I67" s="461"/>
      <c r="J67" s="462"/>
      <c r="K67" s="455">
        <f>(K66)*K68</f>
        <v>0</v>
      </c>
      <c r="L67" s="455">
        <f t="shared" ref="L67:X67" si="52">(L66)*L68</f>
        <v>0.99491566277215515</v>
      </c>
      <c r="M67" s="455">
        <f t="shared" si="52"/>
        <v>5.0598347345743813</v>
      </c>
      <c r="N67" s="455">
        <f t="shared" si="52"/>
        <v>8.4806220836019648</v>
      </c>
      <c r="O67" s="455">
        <f t="shared" si="52"/>
        <v>12.073623588880347</v>
      </c>
      <c r="P67" s="455">
        <f t="shared" si="52"/>
        <v>15.793662204574719</v>
      </c>
      <c r="Q67" s="455">
        <f t="shared" si="52"/>
        <v>19.156645226713497</v>
      </c>
      <c r="R67" s="455">
        <f t="shared" si="52"/>
        <v>22.370460340561916</v>
      </c>
      <c r="S67" s="455">
        <f t="shared" si="52"/>
        <v>25.347144844671238</v>
      </c>
      <c r="T67" s="455">
        <f t="shared" si="52"/>
        <v>28.099313488705405</v>
      </c>
      <c r="U67" s="455">
        <f t="shared" si="52"/>
        <v>30.638979753604133</v>
      </c>
      <c r="V67" s="455">
        <f t="shared" si="52"/>
        <v>32.977583126056487</v>
      </c>
      <c r="W67" s="455">
        <f t="shared" si="52"/>
        <v>35.126015166404734</v>
      </c>
      <c r="X67" s="455">
        <f t="shared" si="52"/>
        <v>37.094644422642091</v>
      </c>
    </row>
    <row r="68" spans="2:24">
      <c r="B68" s="466" t="s">
        <v>890</v>
      </c>
      <c r="C68" s="461"/>
      <c r="D68" s="461"/>
      <c r="E68" s="461"/>
      <c r="F68" s="461"/>
      <c r="G68" s="461"/>
      <c r="H68" s="461"/>
      <c r="I68" s="461"/>
      <c r="J68" s="462"/>
      <c r="K68" s="497">
        <f>K71/2</f>
        <v>8.1959277735657501E-3</v>
      </c>
      <c r="L68" s="497">
        <f t="shared" ref="L68:X68" si="53">L71/2</f>
        <v>8.1959277735657501E-3</v>
      </c>
      <c r="M68" s="497">
        <f t="shared" si="53"/>
        <v>8.1959277735657501E-3</v>
      </c>
      <c r="N68" s="497">
        <f t="shared" si="53"/>
        <v>8.1959277735657501E-3</v>
      </c>
      <c r="O68" s="497">
        <f t="shared" si="53"/>
        <v>8.1959277735657501E-3</v>
      </c>
      <c r="P68" s="497">
        <f t="shared" si="53"/>
        <v>8.1959277735657501E-3</v>
      </c>
      <c r="Q68" s="497">
        <f t="shared" si="53"/>
        <v>8.1959277735657501E-3</v>
      </c>
      <c r="R68" s="497">
        <f t="shared" si="53"/>
        <v>8.1959277735657501E-3</v>
      </c>
      <c r="S68" s="497">
        <f t="shared" si="53"/>
        <v>8.1959277735657501E-3</v>
      </c>
      <c r="T68" s="497">
        <f t="shared" si="53"/>
        <v>8.1959277735657501E-3</v>
      </c>
      <c r="U68" s="497">
        <f t="shared" si="53"/>
        <v>8.1959277735657501E-3</v>
      </c>
      <c r="V68" s="497">
        <f t="shared" si="53"/>
        <v>8.1959277735657501E-3</v>
      </c>
      <c r="W68" s="497">
        <f t="shared" si="53"/>
        <v>8.1959277735657501E-3</v>
      </c>
      <c r="X68" s="497">
        <f t="shared" si="53"/>
        <v>8.1959277735657501E-3</v>
      </c>
    </row>
    <row r="69" spans="2:24">
      <c r="B69" s="460" t="s">
        <v>856</v>
      </c>
      <c r="C69" s="461"/>
      <c r="D69" s="461"/>
      <c r="E69" s="461"/>
      <c r="F69" s="461"/>
      <c r="G69" s="461"/>
      <c r="H69" s="461"/>
      <c r="I69" s="461"/>
      <c r="J69" s="462"/>
      <c r="K69" s="462">
        <f t="shared" ref="K69:X69" si="54">K16*K19*K65</f>
        <v>123.41445487980869</v>
      </c>
      <c r="L69" s="462">
        <f>L16*L19*L65+150</f>
        <v>505.24496030974535</v>
      </c>
      <c r="M69" s="462">
        <f t="shared" si="54"/>
        <v>429.47621020825943</v>
      </c>
      <c r="N69" s="462">
        <f t="shared" si="54"/>
        <v>454.31633457170108</v>
      </c>
      <c r="O69" s="462">
        <f t="shared" si="54"/>
        <v>473.72754996942734</v>
      </c>
      <c r="P69" s="462">
        <f t="shared" si="54"/>
        <v>465.33229924488649</v>
      </c>
      <c r="Q69" s="462">
        <f t="shared" si="54"/>
        <v>457.08582651464303</v>
      </c>
      <c r="R69" s="462">
        <f t="shared" si="54"/>
        <v>437.473046587444</v>
      </c>
      <c r="S69" s="462">
        <f t="shared" si="54"/>
        <v>418.70181788358047</v>
      </c>
      <c r="T69" s="462">
        <f t="shared" si="54"/>
        <v>400.73603086304212</v>
      </c>
      <c r="U69" s="462">
        <f t="shared" si="54"/>
        <v>383.54112538512243</v>
      </c>
      <c r="V69" s="462">
        <f t="shared" si="54"/>
        <v>367.08402422631485</v>
      </c>
      <c r="W69" s="462">
        <f t="shared" si="54"/>
        <v>351.33306945084297</v>
      </c>
      <c r="X69" s="462">
        <f t="shared" si="54"/>
        <v>336.25796151142413</v>
      </c>
    </row>
    <row r="70" spans="2:24">
      <c r="B70" s="460" t="s">
        <v>891</v>
      </c>
      <c r="C70" s="461"/>
      <c r="D70" s="461"/>
      <c r="E70" s="461"/>
      <c r="F70" s="461"/>
      <c r="G70" s="461"/>
      <c r="H70" s="461"/>
      <c r="I70" s="461"/>
      <c r="J70" s="462"/>
      <c r="K70" s="462">
        <f>(K69)*K71</f>
        <v>2.0229919168178023</v>
      </c>
      <c r="L70" s="462">
        <f t="shared" ref="L70:O70" si="55">(L69)*L71</f>
        <v>8.2819024053135344</v>
      </c>
      <c r="M70" s="462">
        <f t="shared" si="55"/>
        <v>7.0399119986632712</v>
      </c>
      <c r="N70" s="462">
        <f t="shared" si="55"/>
        <v>7.4470877290015887</v>
      </c>
      <c r="O70" s="462">
        <f t="shared" si="55"/>
        <v>7.7652735677953721</v>
      </c>
      <c r="P70" s="462">
        <f t="shared" ref="P70:X70" si="56">(P66+P69)*P71</f>
        <v>39.214984239786183</v>
      </c>
      <c r="Q70" s="462">
        <f t="shared" si="56"/>
        <v>45.805775294296232</v>
      </c>
      <c r="R70" s="462">
        <f t="shared" si="56"/>
        <v>51.911915666548744</v>
      </c>
      <c r="S70" s="462">
        <f t="shared" si="56"/>
        <v>57.557589405411491</v>
      </c>
      <c r="T70" s="462">
        <f t="shared" si="56"/>
        <v>62.767434107848636</v>
      </c>
      <c r="U70" s="462">
        <f t="shared" si="56"/>
        <v>67.56491023090544</v>
      </c>
      <c r="V70" s="462">
        <f t="shared" si="56"/>
        <v>71.972354550890444</v>
      </c>
      <c r="W70" s="462">
        <f t="shared" si="56"/>
        <v>76.011031256178015</v>
      </c>
      <c r="X70" s="462">
        <f t="shared" si="56"/>
        <v>79.701180776952356</v>
      </c>
    </row>
    <row r="71" spans="2:24">
      <c r="B71" s="466" t="s">
        <v>892</v>
      </c>
      <c r="C71" s="461"/>
      <c r="D71" s="461"/>
      <c r="E71" s="461"/>
      <c r="F71" s="461"/>
      <c r="G71" s="461"/>
      <c r="H71" s="461"/>
      <c r="I71" s="461"/>
      <c r="J71" s="462"/>
      <c r="K71" s="469">
        <f>K38</f>
        <v>1.63918555471315E-2</v>
      </c>
      <c r="L71" s="467">
        <f>K71</f>
        <v>1.63918555471315E-2</v>
      </c>
      <c r="M71" s="467">
        <f t="shared" ref="M71:X71" si="57">L71</f>
        <v>1.63918555471315E-2</v>
      </c>
      <c r="N71" s="467">
        <f t="shared" si="57"/>
        <v>1.63918555471315E-2</v>
      </c>
      <c r="O71" s="467">
        <f t="shared" si="57"/>
        <v>1.63918555471315E-2</v>
      </c>
      <c r="P71" s="467">
        <f t="shared" si="57"/>
        <v>1.63918555471315E-2</v>
      </c>
      <c r="Q71" s="467">
        <f t="shared" si="57"/>
        <v>1.63918555471315E-2</v>
      </c>
      <c r="R71" s="467">
        <f t="shared" si="57"/>
        <v>1.63918555471315E-2</v>
      </c>
      <c r="S71" s="467">
        <f t="shared" si="57"/>
        <v>1.63918555471315E-2</v>
      </c>
      <c r="T71" s="467">
        <f t="shared" si="57"/>
        <v>1.63918555471315E-2</v>
      </c>
      <c r="U71" s="467">
        <f t="shared" si="57"/>
        <v>1.63918555471315E-2</v>
      </c>
      <c r="V71" s="467">
        <f t="shared" si="57"/>
        <v>1.63918555471315E-2</v>
      </c>
      <c r="W71" s="467">
        <f t="shared" si="57"/>
        <v>1.63918555471315E-2</v>
      </c>
      <c r="X71" s="467">
        <f t="shared" si="57"/>
        <v>1.63918555471315E-2</v>
      </c>
    </row>
    <row r="72" spans="2:24">
      <c r="B72" s="460" t="s">
        <v>859</v>
      </c>
      <c r="C72" s="461"/>
      <c r="D72" s="461"/>
      <c r="E72" s="461"/>
      <c r="F72" s="461"/>
      <c r="G72" s="461"/>
      <c r="H72" s="461"/>
      <c r="I72" s="461"/>
      <c r="J72" s="462"/>
      <c r="K72" s="462">
        <f>K66+K69-K70-K67</f>
        <v>121.39146296299089</v>
      </c>
      <c r="L72" s="462">
        <f t="shared" ref="L72:X72" si="58">L66+L69-L70-L67</f>
        <v>617.35960520465051</v>
      </c>
      <c r="M72" s="462">
        <f t="shared" si="58"/>
        <v>1034.7360686796724</v>
      </c>
      <c r="N72" s="462">
        <f t="shared" si="58"/>
        <v>1473.12469343877</v>
      </c>
      <c r="O72" s="462">
        <f t="shared" si="58"/>
        <v>1927.0133462515216</v>
      </c>
      <c r="P72" s="462">
        <f t="shared" si="58"/>
        <v>2337.3369990520473</v>
      </c>
      <c r="Q72" s="462">
        <f t="shared" si="58"/>
        <v>2729.4604050456805</v>
      </c>
      <c r="R72" s="462">
        <f t="shared" si="58"/>
        <v>3092.6510756260141</v>
      </c>
      <c r="S72" s="462">
        <f t="shared" si="58"/>
        <v>3428.4481592595121</v>
      </c>
      <c r="T72" s="462">
        <f t="shared" si="58"/>
        <v>3738.3174425260004</v>
      </c>
      <c r="U72" s="462">
        <f t="shared" si="58"/>
        <v>4023.6546779266137</v>
      </c>
      <c r="V72" s="462">
        <f t="shared" si="58"/>
        <v>4285.7887644759812</v>
      </c>
      <c r="W72" s="462">
        <f t="shared" si="58"/>
        <v>4525.9847875042415</v>
      </c>
      <c r="X72" s="462">
        <f t="shared" si="58"/>
        <v>4745.4469238160718</v>
      </c>
    </row>
    <row r="73" spans="2:24">
      <c r="B73" s="460"/>
      <c r="C73" s="461"/>
      <c r="D73" s="461"/>
      <c r="E73" s="461"/>
      <c r="F73" s="461"/>
      <c r="G73" s="461"/>
      <c r="H73" s="461"/>
      <c r="I73" s="461"/>
      <c r="J73" s="462"/>
      <c r="K73" s="467"/>
      <c r="L73" s="467"/>
      <c r="M73" s="467"/>
      <c r="N73" s="467"/>
      <c r="O73" s="467"/>
      <c r="P73" s="467"/>
      <c r="Q73" s="467"/>
      <c r="R73" s="467"/>
      <c r="S73" s="467"/>
      <c r="T73" s="467"/>
      <c r="U73" s="467"/>
      <c r="V73" s="467"/>
      <c r="W73" s="467"/>
      <c r="X73" s="467"/>
    </row>
    <row r="74" spans="2:24">
      <c r="B74" s="460"/>
      <c r="C74" s="461"/>
      <c r="D74" s="461"/>
      <c r="E74" s="461"/>
      <c r="F74" s="461"/>
      <c r="G74" s="461"/>
      <c r="H74" s="461"/>
      <c r="I74" s="461"/>
      <c r="J74" s="462"/>
      <c r="K74" s="462"/>
      <c r="L74" s="462"/>
      <c r="M74" s="462"/>
      <c r="N74" s="462"/>
      <c r="O74" s="462"/>
      <c r="P74" s="462"/>
      <c r="Q74" s="462"/>
      <c r="R74" s="462"/>
      <c r="S74" s="462"/>
      <c r="T74" s="462"/>
      <c r="U74" s="462"/>
      <c r="V74" s="462"/>
      <c r="W74" s="462"/>
      <c r="X74" s="462"/>
    </row>
    <row r="75" spans="2:24">
      <c r="B75" s="460" t="s">
        <v>862</v>
      </c>
      <c r="C75" s="461"/>
      <c r="D75" s="461"/>
      <c r="E75" s="461"/>
      <c r="F75" s="461"/>
      <c r="G75" s="461"/>
      <c r="H75" s="461"/>
      <c r="I75" s="461"/>
      <c r="J75" s="462"/>
      <c r="K75" s="462">
        <f t="shared" ref="K75:X75" si="59">K47+K58+K69</f>
        <v>1273.0828921490088</v>
      </c>
      <c r="L75" s="462">
        <f t="shared" si="59"/>
        <v>886.00230091606602</v>
      </c>
      <c r="M75" s="462">
        <f t="shared" si="59"/>
        <v>690.04162443085636</v>
      </c>
      <c r="N75" s="462">
        <f t="shared" si="59"/>
        <v>762.27042362447037</v>
      </c>
      <c r="O75" s="462">
        <f t="shared" si="59"/>
        <v>772.33844150710661</v>
      </c>
      <c r="P75" s="462">
        <f t="shared" si="59"/>
        <v>759.81550279147552</v>
      </c>
      <c r="Q75" s="462">
        <f t="shared" si="59"/>
        <v>747.49972452157829</v>
      </c>
      <c r="R75" s="462">
        <f t="shared" si="59"/>
        <v>723.87517418241418</v>
      </c>
      <c r="S75" s="462">
        <f t="shared" si="59"/>
        <v>701.14887551060167</v>
      </c>
      <c r="T75" s="462">
        <f t="shared" si="59"/>
        <v>679.28389672866774</v>
      </c>
      <c r="U75" s="462">
        <f t="shared" si="59"/>
        <v>658.24486771383999</v>
      </c>
      <c r="V75" s="462">
        <f t="shared" si="59"/>
        <v>637.99791332813334</v>
      </c>
      <c r="W75" s="462">
        <f t="shared" si="59"/>
        <v>618.51058960402747</v>
      </c>
      <c r="X75" s="462">
        <f t="shared" si="59"/>
        <v>599.75182266328568</v>
      </c>
    </row>
    <row r="76" spans="2:24">
      <c r="B76" s="465" t="s">
        <v>864</v>
      </c>
      <c r="C76" s="461"/>
      <c r="D76" s="461"/>
      <c r="E76" s="461"/>
      <c r="F76" s="461"/>
      <c r="G76" s="461"/>
      <c r="H76" s="461"/>
      <c r="I76" s="461"/>
      <c r="J76" s="462"/>
      <c r="K76" s="462">
        <v>500000</v>
      </c>
      <c r="L76" s="462">
        <f>K76*1.02</f>
        <v>510000</v>
      </c>
      <c r="M76" s="462">
        <f t="shared" ref="M76:X76" si="60">L76*1.02</f>
        <v>520200</v>
      </c>
      <c r="N76" s="462">
        <f t="shared" si="60"/>
        <v>530604</v>
      </c>
      <c r="O76" s="462">
        <f t="shared" si="60"/>
        <v>541216.07999999996</v>
      </c>
      <c r="P76" s="462">
        <f t="shared" si="60"/>
        <v>552040.40159999998</v>
      </c>
      <c r="Q76" s="462">
        <f t="shared" si="60"/>
        <v>563081.20963199995</v>
      </c>
      <c r="R76" s="462">
        <f t="shared" si="60"/>
        <v>574342.83382463991</v>
      </c>
      <c r="S76" s="462">
        <f t="shared" si="60"/>
        <v>585829.69050113275</v>
      </c>
      <c r="T76" s="462">
        <f t="shared" si="60"/>
        <v>597546.28431115544</v>
      </c>
      <c r="U76" s="462">
        <f t="shared" si="60"/>
        <v>609497.20999737852</v>
      </c>
      <c r="V76" s="462">
        <f t="shared" si="60"/>
        <v>621687.15419732605</v>
      </c>
      <c r="W76" s="462">
        <f t="shared" si="60"/>
        <v>634120.89728127257</v>
      </c>
      <c r="X76" s="462">
        <f t="shared" si="60"/>
        <v>646803.31522689806</v>
      </c>
    </row>
    <row r="77" spans="2:24">
      <c r="B77" s="465" t="s">
        <v>866</v>
      </c>
      <c r="C77" s="461"/>
      <c r="D77" s="461"/>
      <c r="E77" s="461"/>
      <c r="F77" s="461"/>
      <c r="G77" s="461"/>
      <c r="H77" s="461"/>
      <c r="I77" s="461"/>
      <c r="J77" s="462"/>
      <c r="K77" s="470">
        <f>K75*K76/1000000</f>
        <v>636.54144607450439</v>
      </c>
      <c r="L77" s="470">
        <f t="shared" ref="L77:X77" si="61">L75*L76/1000000</f>
        <v>451.86117346719368</v>
      </c>
      <c r="M77" s="470">
        <f t="shared" si="61"/>
        <v>358.95965302893148</v>
      </c>
      <c r="N77" s="470">
        <f t="shared" si="61"/>
        <v>404.46373585683847</v>
      </c>
      <c r="O77" s="470">
        <f t="shared" si="61"/>
        <v>418.00198374578548</v>
      </c>
      <c r="P77" s="470">
        <f t="shared" si="61"/>
        <v>419.44885530291208</v>
      </c>
      <c r="Q77" s="470">
        <f t="shared" si="61"/>
        <v>420.90304908319706</v>
      </c>
      <c r="R77" s="470">
        <f t="shared" si="61"/>
        <v>415.75251887523257</v>
      </c>
      <c r="S77" s="470">
        <f t="shared" si="61"/>
        <v>410.753828735593</v>
      </c>
      <c r="T77" s="470">
        <f t="shared" si="61"/>
        <v>405.90356848261803</v>
      </c>
      <c r="U77" s="470">
        <f t="shared" si="61"/>
        <v>401.19841036667896</v>
      </c>
      <c r="V77" s="470">
        <f t="shared" si="61"/>
        <v>396.63510712079949</v>
      </c>
      <c r="W77" s="470">
        <f t="shared" si="61"/>
        <v>392.2104900576748</v>
      </c>
      <c r="X77" s="470">
        <f t="shared" si="61"/>
        <v>387.92146721198787</v>
      </c>
    </row>
    <row r="78" spans="2:24">
      <c r="B78" s="460"/>
      <c r="C78" s="461"/>
      <c r="D78" s="461"/>
      <c r="E78" s="461"/>
      <c r="F78" s="461"/>
      <c r="G78" s="461"/>
      <c r="H78" s="461"/>
      <c r="I78" s="461"/>
      <c r="J78" s="462"/>
      <c r="K78" s="462"/>
      <c r="L78" s="462"/>
      <c r="M78" s="462"/>
      <c r="N78" s="462"/>
      <c r="O78" s="462"/>
      <c r="P78" s="462"/>
      <c r="Q78" s="462"/>
      <c r="R78" s="462"/>
      <c r="S78" s="462"/>
      <c r="T78" s="462"/>
      <c r="U78" s="462"/>
      <c r="V78" s="462"/>
      <c r="W78" s="462"/>
      <c r="X78" s="462"/>
    </row>
    <row r="79" spans="2:24">
      <c r="B79" s="460" t="s">
        <v>863</v>
      </c>
      <c r="C79" s="461"/>
      <c r="D79" s="461"/>
      <c r="E79" s="461"/>
      <c r="F79" s="461"/>
      <c r="G79" s="461"/>
      <c r="H79" s="461"/>
      <c r="I79" s="461"/>
      <c r="J79" s="462"/>
      <c r="K79" s="462">
        <f t="shared" ref="K79:X79" si="62">K44+K55+K66</f>
        <v>0</v>
      </c>
      <c r="L79" s="462">
        <f t="shared" si="62"/>
        <v>1194.8495934487096</v>
      </c>
      <c r="M79" s="462">
        <f t="shared" si="62"/>
        <v>1999.7933302719052</v>
      </c>
      <c r="N79" s="462">
        <f t="shared" si="62"/>
        <v>2597.9758039558051</v>
      </c>
      <c r="O79" s="462">
        <f t="shared" si="62"/>
        <v>3248.3348252507135</v>
      </c>
      <c r="P79" s="462">
        <f t="shared" si="62"/>
        <v>3894.5434121288536</v>
      </c>
      <c r="Q79" s="462">
        <f t="shared" si="62"/>
        <v>4482.8492957284034</v>
      </c>
      <c r="R79" s="462">
        <f t="shared" si="62"/>
        <v>5039.57528409316</v>
      </c>
      <c r="S79" s="462">
        <f t="shared" si="62"/>
        <v>5554.8811884570268</v>
      </c>
      <c r="T79" s="462">
        <f t="shared" si="62"/>
        <v>6031.1372997410517</v>
      </c>
      <c r="U79" s="462">
        <f t="shared" si="62"/>
        <v>6470.5836634501429</v>
      </c>
      <c r="V79" s="462">
        <f t="shared" si="62"/>
        <v>6875.337380431014</v>
      </c>
      <c r="W79" s="462">
        <f t="shared" si="62"/>
        <v>7247.3994807443041</v>
      </c>
      <c r="X79" s="462">
        <f t="shared" si="62"/>
        <v>7588.6613968128531</v>
      </c>
    </row>
    <row r="80" spans="2:24">
      <c r="B80" s="460" t="s">
        <v>865</v>
      </c>
      <c r="C80" s="461"/>
      <c r="D80" s="461"/>
      <c r="E80" s="461"/>
      <c r="F80" s="461"/>
      <c r="G80" s="461"/>
      <c r="H80" s="461"/>
      <c r="I80" s="461"/>
      <c r="J80" s="462"/>
      <c r="K80" s="462">
        <v>310000</v>
      </c>
      <c r="L80" s="462">
        <f>K80*1.02</f>
        <v>316200</v>
      </c>
      <c r="M80" s="462">
        <f t="shared" ref="M80:X80" si="63">L80*1.02</f>
        <v>322524</v>
      </c>
      <c r="N80" s="462">
        <f t="shared" si="63"/>
        <v>328974.48</v>
      </c>
      <c r="O80" s="462">
        <f t="shared" si="63"/>
        <v>335553.96960000001</v>
      </c>
      <c r="P80" s="462">
        <f t="shared" si="63"/>
        <v>342265.048992</v>
      </c>
      <c r="Q80" s="462">
        <f t="shared" si="63"/>
        <v>349110.34997183998</v>
      </c>
      <c r="R80" s="462">
        <f t="shared" si="63"/>
        <v>356092.55697127676</v>
      </c>
      <c r="S80" s="462">
        <f t="shared" si="63"/>
        <v>363214.40811070229</v>
      </c>
      <c r="T80" s="462">
        <f t="shared" si="63"/>
        <v>370478.69627291634</v>
      </c>
      <c r="U80" s="462">
        <f t="shared" si="63"/>
        <v>377888.2701983747</v>
      </c>
      <c r="V80" s="462">
        <f t="shared" si="63"/>
        <v>385446.03560234222</v>
      </c>
      <c r="W80" s="462">
        <f t="shared" si="63"/>
        <v>393154.95631438907</v>
      </c>
      <c r="X80" s="462">
        <f t="shared" si="63"/>
        <v>401018.05544067686</v>
      </c>
    </row>
    <row r="81" spans="2:26">
      <c r="B81" s="460" t="s">
        <v>868</v>
      </c>
      <c r="C81" s="461"/>
      <c r="D81" s="461"/>
      <c r="E81" s="461"/>
      <c r="F81" s="461"/>
      <c r="G81" s="461"/>
      <c r="H81" s="461"/>
      <c r="I81" s="461"/>
      <c r="J81" s="462"/>
      <c r="K81" s="470">
        <f>K79*K80/1000000</f>
        <v>0</v>
      </c>
      <c r="L81" s="470">
        <f t="shared" ref="L81:X81" si="64">L79*L80/1000000</f>
        <v>377.81144144848196</v>
      </c>
      <c r="M81" s="470">
        <f t="shared" si="64"/>
        <v>644.98134405261601</v>
      </c>
      <c r="N81" s="470">
        <f t="shared" si="64"/>
        <v>854.66773915894282</v>
      </c>
      <c r="O81" s="470">
        <f t="shared" si="64"/>
        <v>1089.9916452027994</v>
      </c>
      <c r="P81" s="470">
        <f t="shared" si="64"/>
        <v>1332.9660917537528</v>
      </c>
      <c r="Q81" s="470">
        <f t="shared" si="64"/>
        <v>1565.0090865027591</v>
      </c>
      <c r="R81" s="470">
        <f t="shared" si="64"/>
        <v>1794.5552489619818</v>
      </c>
      <c r="S81" s="470">
        <f t="shared" si="64"/>
        <v>2017.6128829906936</v>
      </c>
      <c r="T81" s="470">
        <f t="shared" si="64"/>
        <v>2234.4078838510218</v>
      </c>
      <c r="U81" s="470">
        <f t="shared" si="64"/>
        <v>2445.157667755037</v>
      </c>
      <c r="V81" s="470">
        <f t="shared" si="64"/>
        <v>2650.0715367157268</v>
      </c>
      <c r="W81" s="470">
        <f t="shared" si="64"/>
        <v>2849.3510262449531</v>
      </c>
      <c r="X81" s="470">
        <f t="shared" si="64"/>
        <v>3043.1902367476209</v>
      </c>
    </row>
    <row r="82" spans="2:26">
      <c r="C82" s="461"/>
      <c r="D82" s="461"/>
      <c r="E82" s="461"/>
      <c r="F82" s="461"/>
      <c r="G82" s="461"/>
      <c r="H82" s="461"/>
      <c r="I82" s="461"/>
      <c r="J82" s="462"/>
      <c r="K82" s="462"/>
      <c r="L82" s="462"/>
      <c r="M82" s="462"/>
      <c r="N82" s="462"/>
      <c r="O82" s="462"/>
      <c r="P82" s="462"/>
      <c r="Q82" s="462"/>
      <c r="R82" s="462"/>
      <c r="S82" s="462"/>
      <c r="T82" s="462"/>
      <c r="U82" s="462"/>
      <c r="V82" s="462"/>
      <c r="W82" s="462"/>
      <c r="X82" s="462"/>
    </row>
    <row r="83" spans="2:26">
      <c r="B83" s="471" t="s">
        <v>867</v>
      </c>
      <c r="C83" s="472"/>
      <c r="D83" s="472"/>
      <c r="E83" s="472"/>
      <c r="F83" s="472"/>
      <c r="G83" s="472"/>
      <c r="H83" s="472"/>
      <c r="I83" s="472"/>
      <c r="J83" s="473"/>
      <c r="K83" s="474">
        <f>K77+K81</f>
        <v>636.54144607450439</v>
      </c>
      <c r="L83" s="474">
        <f t="shared" ref="L83:X83" si="65">L77+L81</f>
        <v>829.67261491567569</v>
      </c>
      <c r="M83" s="474">
        <f t="shared" si="65"/>
        <v>1003.9409970815475</v>
      </c>
      <c r="N83" s="474">
        <f t="shared" si="65"/>
        <v>1259.1314750157812</v>
      </c>
      <c r="O83" s="474">
        <f t="shared" si="65"/>
        <v>1507.993628948585</v>
      </c>
      <c r="P83" s="474">
        <f t="shared" si="65"/>
        <v>1752.4149470566649</v>
      </c>
      <c r="Q83" s="474">
        <f t="shared" si="65"/>
        <v>1985.9121355859561</v>
      </c>
      <c r="R83" s="474">
        <f t="shared" si="65"/>
        <v>2210.3077678372142</v>
      </c>
      <c r="S83" s="474">
        <f t="shared" si="65"/>
        <v>2428.3667117262867</v>
      </c>
      <c r="T83" s="474">
        <f t="shared" si="65"/>
        <v>2640.3114523336399</v>
      </c>
      <c r="U83" s="474">
        <f t="shared" si="65"/>
        <v>2846.3560781217161</v>
      </c>
      <c r="V83" s="474">
        <f t="shared" si="65"/>
        <v>3046.7066438365264</v>
      </c>
      <c r="W83" s="474">
        <f t="shared" si="65"/>
        <v>3241.5615163026278</v>
      </c>
      <c r="X83" s="474">
        <f t="shared" si="65"/>
        <v>3431.1117039596088</v>
      </c>
    </row>
    <row r="84" spans="2:26">
      <c r="B84" s="460"/>
      <c r="C84" s="461"/>
      <c r="D84" s="461"/>
      <c r="E84" s="461"/>
      <c r="F84" s="461"/>
      <c r="G84" s="461"/>
      <c r="H84" s="461"/>
      <c r="I84" s="461"/>
      <c r="J84" s="462"/>
      <c r="K84" s="462"/>
      <c r="L84" s="462"/>
      <c r="M84" s="462"/>
      <c r="N84" s="462"/>
      <c r="O84" s="462"/>
      <c r="P84" s="462"/>
      <c r="Q84" s="462"/>
      <c r="R84" s="462"/>
      <c r="S84" s="462"/>
      <c r="T84" s="462"/>
      <c r="U84" s="462"/>
      <c r="V84" s="462"/>
      <c r="W84" s="462"/>
      <c r="X84" s="462"/>
    </row>
    <row r="85" spans="2:26">
      <c r="B85" s="493" t="s">
        <v>635</v>
      </c>
      <c r="C85" s="494"/>
      <c r="D85" s="494"/>
      <c r="E85" s="494"/>
      <c r="F85" s="494"/>
      <c r="G85" s="494"/>
      <c r="H85" s="494"/>
      <c r="I85" s="494"/>
      <c r="J85" s="494"/>
      <c r="K85" s="494"/>
      <c r="L85" s="494"/>
      <c r="M85" s="494"/>
      <c r="N85" s="494"/>
      <c r="O85" s="494"/>
      <c r="P85" s="494"/>
      <c r="Q85" s="494"/>
      <c r="R85" s="494"/>
      <c r="S85" s="494"/>
      <c r="T85" s="494"/>
      <c r="U85" s="494"/>
      <c r="V85" s="494"/>
      <c r="W85" s="494"/>
      <c r="X85" s="494"/>
    </row>
    <row r="86" spans="2:26">
      <c r="B86" s="126" t="s">
        <v>242</v>
      </c>
      <c r="C86" s="128">
        <f>D86/(1+D87)</f>
        <v>499545429.71086746</v>
      </c>
      <c r="D86" s="128">
        <v>501044066</v>
      </c>
      <c r="E86" s="128">
        <f t="shared" ref="E86:X86" si="66">D86*(1+E87)</f>
        <v>502547198.19799995</v>
      </c>
      <c r="F86" s="128">
        <f t="shared" si="66"/>
        <v>504054839.7925939</v>
      </c>
      <c r="G86" s="128">
        <f t="shared" si="66"/>
        <v>505567004.3119716</v>
      </c>
      <c r="H86" s="128">
        <f t="shared" si="66"/>
        <v>507083705.32490748</v>
      </c>
      <c r="I86" s="128">
        <f t="shared" si="66"/>
        <v>508604956.44088215</v>
      </c>
      <c r="J86" s="128">
        <f t="shared" si="66"/>
        <v>510130771.31020474</v>
      </c>
      <c r="K86" s="128">
        <f t="shared" si="66"/>
        <v>511661163.62413532</v>
      </c>
      <c r="L86" s="128">
        <f t="shared" si="66"/>
        <v>513196147.11500764</v>
      </c>
      <c r="M86" s="128">
        <f t="shared" si="66"/>
        <v>514735735.55635262</v>
      </c>
      <c r="N86" s="128">
        <f t="shared" si="66"/>
        <v>516279942.76302159</v>
      </c>
      <c r="O86" s="128">
        <f t="shared" si="66"/>
        <v>517828782.59131062</v>
      </c>
      <c r="P86" s="128">
        <f t="shared" si="66"/>
        <v>519382268.93908447</v>
      </c>
      <c r="Q86" s="128">
        <f t="shared" si="66"/>
        <v>520940415.74590164</v>
      </c>
      <c r="R86" s="128">
        <f t="shared" si="66"/>
        <v>522503236.99313927</v>
      </c>
      <c r="S86" s="128">
        <f t="shared" si="66"/>
        <v>524070746.70411861</v>
      </c>
      <c r="T86" s="128">
        <f t="shared" si="66"/>
        <v>525642958.94423091</v>
      </c>
      <c r="U86" s="128">
        <f t="shared" si="66"/>
        <v>527219887.82106358</v>
      </c>
      <c r="V86" s="128">
        <f t="shared" si="66"/>
        <v>528801547.48452669</v>
      </c>
      <c r="W86" s="128">
        <f t="shared" si="66"/>
        <v>530387952.12698025</v>
      </c>
      <c r="X86" s="128">
        <f t="shared" si="66"/>
        <v>531979115.98336112</v>
      </c>
    </row>
    <row r="87" spans="2:26">
      <c r="B87" s="197" t="s">
        <v>201</v>
      </c>
      <c r="C87" s="196"/>
      <c r="D87" s="356">
        <v>3.0000000000000001E-3</v>
      </c>
      <c r="E87" s="356">
        <f>D87</f>
        <v>3.0000000000000001E-3</v>
      </c>
      <c r="F87" s="356">
        <f>E87</f>
        <v>3.0000000000000001E-3</v>
      </c>
      <c r="G87" s="199">
        <f>F87</f>
        <v>3.0000000000000001E-3</v>
      </c>
      <c r="H87" s="199">
        <f t="shared" ref="H87:X87" si="67">G87</f>
        <v>3.0000000000000001E-3</v>
      </c>
      <c r="I87" s="199">
        <f t="shared" si="67"/>
        <v>3.0000000000000001E-3</v>
      </c>
      <c r="J87" s="199">
        <f t="shared" si="67"/>
        <v>3.0000000000000001E-3</v>
      </c>
      <c r="K87" s="199">
        <f t="shared" si="67"/>
        <v>3.0000000000000001E-3</v>
      </c>
      <c r="L87" s="199">
        <f t="shared" si="67"/>
        <v>3.0000000000000001E-3</v>
      </c>
      <c r="M87" s="199">
        <f t="shared" si="67"/>
        <v>3.0000000000000001E-3</v>
      </c>
      <c r="N87" s="199">
        <f t="shared" si="67"/>
        <v>3.0000000000000001E-3</v>
      </c>
      <c r="O87" s="199">
        <f t="shared" si="67"/>
        <v>3.0000000000000001E-3</v>
      </c>
      <c r="P87" s="199">
        <f t="shared" si="67"/>
        <v>3.0000000000000001E-3</v>
      </c>
      <c r="Q87" s="199">
        <f t="shared" si="67"/>
        <v>3.0000000000000001E-3</v>
      </c>
      <c r="R87" s="199">
        <f t="shared" si="67"/>
        <v>3.0000000000000001E-3</v>
      </c>
      <c r="S87" s="199">
        <f t="shared" si="67"/>
        <v>3.0000000000000001E-3</v>
      </c>
      <c r="T87" s="199">
        <f t="shared" si="67"/>
        <v>3.0000000000000001E-3</v>
      </c>
      <c r="U87" s="199">
        <f t="shared" si="67"/>
        <v>3.0000000000000001E-3</v>
      </c>
      <c r="V87" s="199">
        <f t="shared" si="67"/>
        <v>3.0000000000000001E-3</v>
      </c>
      <c r="W87" s="199">
        <f t="shared" si="67"/>
        <v>3.0000000000000001E-3</v>
      </c>
      <c r="X87" s="199">
        <f t="shared" si="67"/>
        <v>3.0000000000000001E-3</v>
      </c>
    </row>
    <row r="88" spans="2:26">
      <c r="B88" s="476" t="s">
        <v>878</v>
      </c>
      <c r="C88" s="477">
        <v>5412572</v>
      </c>
      <c r="D88" s="477">
        <v>5411129</v>
      </c>
      <c r="E88" s="477">
        <v>5266162</v>
      </c>
      <c r="F88" s="478">
        <v>5230626</v>
      </c>
      <c r="G88" s="478">
        <v>5075380</v>
      </c>
      <c r="H88" s="478">
        <v>5131500</v>
      </c>
      <c r="I88" s="478">
        <v>5091290</v>
      </c>
      <c r="J88" s="462">
        <f>J86*J89</f>
        <v>5101307.7131020473</v>
      </c>
      <c r="K88" s="462">
        <f t="shared" ref="K88:X88" si="68">K86*K89</f>
        <v>5116611.6362413531</v>
      </c>
      <c r="L88" s="462">
        <f t="shared" si="68"/>
        <v>5131961.4711500769</v>
      </c>
      <c r="M88" s="462">
        <f t="shared" si="68"/>
        <v>5147357.355563526</v>
      </c>
      <c r="N88" s="462">
        <f t="shared" si="68"/>
        <v>5162799.4276302159</v>
      </c>
      <c r="O88" s="462">
        <f t="shared" si="68"/>
        <v>5178287.8259131061</v>
      </c>
      <c r="P88" s="462">
        <f t="shared" si="68"/>
        <v>5193822.6893908447</v>
      </c>
      <c r="Q88" s="462">
        <f t="shared" si="68"/>
        <v>5209404.1574590169</v>
      </c>
      <c r="R88" s="462">
        <f t="shared" si="68"/>
        <v>5225032.3699313924</v>
      </c>
      <c r="S88" s="462">
        <f t="shared" si="68"/>
        <v>5240707.4670411861</v>
      </c>
      <c r="T88" s="462">
        <f t="shared" si="68"/>
        <v>5256429.589442309</v>
      </c>
      <c r="U88" s="462">
        <f t="shared" si="68"/>
        <v>5272198.8782106359</v>
      </c>
      <c r="V88" s="462">
        <f t="shared" si="68"/>
        <v>5288015.4748452669</v>
      </c>
      <c r="W88" s="462">
        <f t="shared" si="68"/>
        <v>5303879.5212698029</v>
      </c>
      <c r="X88" s="462">
        <f t="shared" si="68"/>
        <v>5319791.159833611</v>
      </c>
      <c r="Z88" t="s">
        <v>879</v>
      </c>
    </row>
    <row r="89" spans="2:26">
      <c r="B89" s="197" t="s">
        <v>839</v>
      </c>
      <c r="C89" s="450">
        <f>C88/C86</f>
        <v>1.0834994533195409E-2</v>
      </c>
      <c r="D89" s="450">
        <f t="shared" ref="D89:I89" si="69">D88/D86</f>
        <v>1.0799706786668141E-2</v>
      </c>
      <c r="E89" s="450">
        <f t="shared" si="69"/>
        <v>1.0478940125192321E-2</v>
      </c>
      <c r="F89" s="450">
        <f t="shared" si="69"/>
        <v>1.0377097067756106E-2</v>
      </c>
      <c r="G89" s="450">
        <f t="shared" si="69"/>
        <v>1.0038985845025838E-2</v>
      </c>
      <c r="H89" s="450">
        <f t="shared" si="69"/>
        <v>1.0119631031551401E-2</v>
      </c>
      <c r="I89" s="450">
        <f t="shared" si="69"/>
        <v>1.0010303548018584E-2</v>
      </c>
      <c r="J89" s="469">
        <v>0.01</v>
      </c>
      <c r="K89" s="479">
        <f>J89</f>
        <v>0.01</v>
      </c>
      <c r="L89" s="479">
        <f t="shared" ref="L89:X89" si="70">K89</f>
        <v>0.01</v>
      </c>
      <c r="M89" s="479">
        <f t="shared" si="70"/>
        <v>0.01</v>
      </c>
      <c r="N89" s="479">
        <f t="shared" si="70"/>
        <v>0.01</v>
      </c>
      <c r="O89" s="479">
        <f t="shared" si="70"/>
        <v>0.01</v>
      </c>
      <c r="P89" s="479">
        <f t="shared" si="70"/>
        <v>0.01</v>
      </c>
      <c r="Q89" s="479">
        <f t="shared" si="70"/>
        <v>0.01</v>
      </c>
      <c r="R89" s="479">
        <f t="shared" si="70"/>
        <v>0.01</v>
      </c>
      <c r="S89" s="479">
        <f t="shared" si="70"/>
        <v>0.01</v>
      </c>
      <c r="T89" s="479">
        <f t="shared" si="70"/>
        <v>0.01</v>
      </c>
      <c r="U89" s="479">
        <f t="shared" si="70"/>
        <v>0.01</v>
      </c>
      <c r="V89" s="479">
        <f t="shared" si="70"/>
        <v>0.01</v>
      </c>
      <c r="W89" s="479">
        <f t="shared" si="70"/>
        <v>0.01</v>
      </c>
      <c r="X89" s="479">
        <f t="shared" si="70"/>
        <v>0.01</v>
      </c>
    </row>
    <row r="90" spans="2:26">
      <c r="B90" s="357" t="s">
        <v>840</v>
      </c>
      <c r="C90" s="453">
        <f>C88*$AB$8</f>
        <v>902.09533333333331</v>
      </c>
      <c r="D90" s="453">
        <f t="shared" ref="D90:X90" si="71">D88*$AB$8</f>
        <v>901.85483333333332</v>
      </c>
      <c r="E90" s="453">
        <f t="shared" si="71"/>
        <v>877.69366666666667</v>
      </c>
      <c r="F90" s="453">
        <f t="shared" si="71"/>
        <v>871.77099999999996</v>
      </c>
      <c r="G90" s="453">
        <f t="shared" si="71"/>
        <v>845.89666666666665</v>
      </c>
      <c r="H90" s="453">
        <f t="shared" si="71"/>
        <v>855.25</v>
      </c>
      <c r="I90" s="453">
        <f t="shared" si="71"/>
        <v>848.54833333333329</v>
      </c>
      <c r="J90" s="453">
        <f t="shared" si="71"/>
        <v>850.21795218367458</v>
      </c>
      <c r="K90" s="453">
        <f t="shared" si="71"/>
        <v>852.76860604022545</v>
      </c>
      <c r="L90" s="453">
        <f t="shared" si="71"/>
        <v>855.32691185834608</v>
      </c>
      <c r="M90" s="453">
        <f t="shared" si="71"/>
        <v>857.89289259392103</v>
      </c>
      <c r="N90" s="453">
        <f t="shared" si="71"/>
        <v>860.46657127170261</v>
      </c>
      <c r="O90" s="453">
        <f t="shared" si="71"/>
        <v>863.04797098551762</v>
      </c>
      <c r="P90" s="453">
        <f t="shared" si="71"/>
        <v>865.63711489847412</v>
      </c>
      <c r="Q90" s="453">
        <f t="shared" si="71"/>
        <v>868.23402624316941</v>
      </c>
      <c r="R90" s="453">
        <f t="shared" si="71"/>
        <v>870.83872832189866</v>
      </c>
      <c r="S90" s="453">
        <f t="shared" si="71"/>
        <v>873.45124450686433</v>
      </c>
      <c r="T90" s="453">
        <f t="shared" si="71"/>
        <v>876.07159824038479</v>
      </c>
      <c r="U90" s="453">
        <f t="shared" si="71"/>
        <v>878.69981303510599</v>
      </c>
      <c r="V90" s="453">
        <f t="shared" si="71"/>
        <v>881.33591247421111</v>
      </c>
      <c r="W90" s="453">
        <f t="shared" si="71"/>
        <v>883.97992021163384</v>
      </c>
      <c r="X90" s="453">
        <f t="shared" si="71"/>
        <v>886.63185997226844</v>
      </c>
    </row>
    <row r="91" spans="2:26">
      <c r="B91" s="454" t="s">
        <v>842</v>
      </c>
      <c r="C91" s="453">
        <f>C90*0.603</f>
        <v>543.96348599999999</v>
      </c>
      <c r="D91" s="453">
        <f t="shared" ref="D91:X91" si="72">D90*0.603</f>
        <v>543.8184645</v>
      </c>
      <c r="E91" s="453">
        <f t="shared" si="72"/>
        <v>529.249281</v>
      </c>
      <c r="F91" s="453">
        <f t="shared" si="72"/>
        <v>525.67791299999999</v>
      </c>
      <c r="G91" s="453">
        <f t="shared" si="72"/>
        <v>510.07568999999995</v>
      </c>
      <c r="H91" s="453">
        <f t="shared" si="72"/>
        <v>515.71574999999996</v>
      </c>
      <c r="I91" s="453">
        <f t="shared" si="72"/>
        <v>511.67464499999994</v>
      </c>
      <c r="J91" s="453">
        <f t="shared" si="72"/>
        <v>512.68142516675573</v>
      </c>
      <c r="K91" s="453">
        <f t="shared" si="72"/>
        <v>514.2194694422559</v>
      </c>
      <c r="L91" s="453">
        <f t="shared" si="72"/>
        <v>515.76212785058271</v>
      </c>
      <c r="M91" s="453">
        <f t="shared" si="72"/>
        <v>517.30941423413435</v>
      </c>
      <c r="N91" s="453">
        <f t="shared" si="72"/>
        <v>518.86134247683663</v>
      </c>
      <c r="O91" s="453">
        <f t="shared" si="72"/>
        <v>520.41792650426714</v>
      </c>
      <c r="P91" s="453">
        <f t="shared" si="72"/>
        <v>521.9791802837799</v>
      </c>
      <c r="Q91" s="453">
        <f t="shared" si="72"/>
        <v>523.54511782463112</v>
      </c>
      <c r="R91" s="453">
        <f t="shared" si="72"/>
        <v>525.11575317810491</v>
      </c>
      <c r="S91" s="453">
        <f t="shared" si="72"/>
        <v>526.69110043763919</v>
      </c>
      <c r="T91" s="453">
        <f t="shared" si="72"/>
        <v>528.27117373895203</v>
      </c>
      <c r="U91" s="453">
        <f t="shared" si="72"/>
        <v>529.85598726016894</v>
      </c>
      <c r="V91" s="453">
        <f t="shared" si="72"/>
        <v>531.44555522194923</v>
      </c>
      <c r="W91" s="453">
        <f t="shared" si="72"/>
        <v>533.03989188761523</v>
      </c>
      <c r="X91" s="453">
        <f t="shared" si="72"/>
        <v>534.6390115632779</v>
      </c>
    </row>
    <row r="92" spans="2:26">
      <c r="B92" s="454" t="s">
        <v>843</v>
      </c>
      <c r="C92" s="453">
        <f>C90*0.273</f>
        <v>246.27202600000001</v>
      </c>
      <c r="D92" s="453">
        <f t="shared" ref="D92:X92" si="73">D90*0.273</f>
        <v>246.20636950000002</v>
      </c>
      <c r="E92" s="453">
        <f t="shared" si="73"/>
        <v>239.61037100000001</v>
      </c>
      <c r="F92" s="453">
        <f t="shared" si="73"/>
        <v>237.993483</v>
      </c>
      <c r="G92" s="453">
        <f t="shared" si="73"/>
        <v>230.92979000000003</v>
      </c>
      <c r="H92" s="453">
        <f t="shared" si="73"/>
        <v>233.48325000000003</v>
      </c>
      <c r="I92" s="453">
        <f t="shared" si="73"/>
        <v>231.653695</v>
      </c>
      <c r="J92" s="453">
        <f t="shared" si="73"/>
        <v>232.10950094614319</v>
      </c>
      <c r="K92" s="453">
        <f t="shared" si="73"/>
        <v>232.80582944898157</v>
      </c>
      <c r="L92" s="453">
        <f t="shared" si="73"/>
        <v>233.5042469373285</v>
      </c>
      <c r="M92" s="453">
        <f t="shared" si="73"/>
        <v>234.20475967814045</v>
      </c>
      <c r="N92" s="453">
        <f t="shared" si="73"/>
        <v>234.90737395717483</v>
      </c>
      <c r="O92" s="453">
        <f t="shared" si="73"/>
        <v>235.61209607904632</v>
      </c>
      <c r="P92" s="453">
        <f t="shared" si="73"/>
        <v>236.31893236728345</v>
      </c>
      <c r="Q92" s="453">
        <f t="shared" si="73"/>
        <v>237.02788916438527</v>
      </c>
      <c r="R92" s="453">
        <f t="shared" si="73"/>
        <v>237.73897283187836</v>
      </c>
      <c r="S92" s="453">
        <f t="shared" si="73"/>
        <v>238.45218975037398</v>
      </c>
      <c r="T92" s="453">
        <f t="shared" si="73"/>
        <v>239.16754631962507</v>
      </c>
      <c r="U92" s="453">
        <f t="shared" si="73"/>
        <v>239.88504895858395</v>
      </c>
      <c r="V92" s="453">
        <f t="shared" si="73"/>
        <v>240.60470410545966</v>
      </c>
      <c r="W92" s="453">
        <f t="shared" si="73"/>
        <v>241.32651821777606</v>
      </c>
      <c r="X92" s="453">
        <f t="shared" si="73"/>
        <v>242.05049777242931</v>
      </c>
    </row>
    <row r="93" spans="2:26">
      <c r="B93" s="454" t="s">
        <v>844</v>
      </c>
      <c r="C93" s="453">
        <f>C90*0.124</f>
        <v>111.85982133333333</v>
      </c>
      <c r="D93" s="453">
        <f t="shared" ref="D93:X93" si="74">D90*0.124</f>
        <v>111.82999933333333</v>
      </c>
      <c r="E93" s="453">
        <f t="shared" si="74"/>
        <v>108.83401466666666</v>
      </c>
      <c r="F93" s="453">
        <f t="shared" si="74"/>
        <v>108.099604</v>
      </c>
      <c r="G93" s="453">
        <f t="shared" si="74"/>
        <v>104.89118666666667</v>
      </c>
      <c r="H93" s="453">
        <f t="shared" si="74"/>
        <v>106.051</v>
      </c>
      <c r="I93" s="453">
        <f t="shared" si="74"/>
        <v>105.21999333333332</v>
      </c>
      <c r="J93" s="453">
        <f t="shared" si="74"/>
        <v>105.42702607077565</v>
      </c>
      <c r="K93" s="453">
        <f t="shared" si="74"/>
        <v>105.74330714898795</v>
      </c>
      <c r="L93" s="453">
        <f t="shared" si="74"/>
        <v>106.06053707043492</v>
      </c>
      <c r="M93" s="453">
        <f t="shared" si="74"/>
        <v>106.37871868164621</v>
      </c>
      <c r="N93" s="453">
        <f t="shared" si="74"/>
        <v>106.69785483769112</v>
      </c>
      <c r="O93" s="453">
        <f t="shared" si="74"/>
        <v>107.01794840220418</v>
      </c>
      <c r="P93" s="453">
        <f t="shared" si="74"/>
        <v>107.33900224741079</v>
      </c>
      <c r="Q93" s="453">
        <f t="shared" si="74"/>
        <v>107.661019254153</v>
      </c>
      <c r="R93" s="453">
        <f t="shared" si="74"/>
        <v>107.98400231191543</v>
      </c>
      <c r="S93" s="453">
        <f t="shared" si="74"/>
        <v>108.30795431885117</v>
      </c>
      <c r="T93" s="453">
        <f t="shared" si="74"/>
        <v>108.63287818180771</v>
      </c>
      <c r="U93" s="453">
        <f t="shared" si="74"/>
        <v>108.95877681635314</v>
      </c>
      <c r="V93" s="453">
        <f t="shared" si="74"/>
        <v>109.28565314680218</v>
      </c>
      <c r="W93" s="453">
        <f t="shared" si="74"/>
        <v>109.6135101062426</v>
      </c>
      <c r="X93" s="453">
        <f t="shared" si="74"/>
        <v>109.94235063656129</v>
      </c>
    </row>
    <row r="94" spans="2:26">
      <c r="B94" s="357" t="s">
        <v>845</v>
      </c>
      <c r="C94" s="453"/>
      <c r="D94" s="453"/>
      <c r="E94" s="453"/>
      <c r="F94" s="453"/>
      <c r="G94" s="453"/>
      <c r="H94" s="453"/>
      <c r="I94" s="453"/>
      <c r="J94" s="410">
        <v>15000</v>
      </c>
      <c r="K94" s="410">
        <f>J94*(1+K87)</f>
        <v>15044.999999999998</v>
      </c>
      <c r="L94" s="410">
        <f t="shared" ref="L94:X94" si="75">K94*(1+L87)</f>
        <v>15090.134999999997</v>
      </c>
      <c r="M94" s="410">
        <f t="shared" si="75"/>
        <v>15135.405404999994</v>
      </c>
      <c r="N94" s="410">
        <f t="shared" si="75"/>
        <v>15180.811621214993</v>
      </c>
      <c r="O94" s="410">
        <f t="shared" si="75"/>
        <v>15226.354056078635</v>
      </c>
      <c r="P94" s="410">
        <f t="shared" si="75"/>
        <v>15272.033118246869</v>
      </c>
      <c r="Q94" s="410">
        <f t="shared" si="75"/>
        <v>15317.849217601608</v>
      </c>
      <c r="R94" s="410">
        <f t="shared" si="75"/>
        <v>15363.802765254411</v>
      </c>
      <c r="S94" s="410">
        <f t="shared" si="75"/>
        <v>15409.894173550174</v>
      </c>
      <c r="T94" s="410">
        <f t="shared" si="75"/>
        <v>15456.123856070823</v>
      </c>
      <c r="U94" s="410">
        <f t="shared" si="75"/>
        <v>15502.492227639033</v>
      </c>
      <c r="V94" s="410">
        <f t="shared" si="75"/>
        <v>15548.999704321948</v>
      </c>
      <c r="W94" s="410">
        <f t="shared" si="75"/>
        <v>15595.646703434912</v>
      </c>
      <c r="X94" s="410">
        <f t="shared" si="75"/>
        <v>15642.433643545215</v>
      </c>
    </row>
    <row r="95" spans="2:26">
      <c r="B95" s="454" t="s">
        <v>849</v>
      </c>
      <c r="C95" s="196"/>
      <c r="D95" s="356"/>
      <c r="E95" s="356"/>
      <c r="F95" s="356"/>
      <c r="G95" s="199"/>
      <c r="H95" s="199"/>
      <c r="I95" s="199"/>
      <c r="J95" s="128">
        <f>J94*0.14</f>
        <v>2100</v>
      </c>
      <c r="K95" s="128">
        <f>K94*0.14</f>
        <v>2106.2999999999997</v>
      </c>
      <c r="L95" s="128">
        <f t="shared" ref="L95:X95" si="76">L94*0.14</f>
        <v>2112.6188999999999</v>
      </c>
      <c r="M95" s="128">
        <f t="shared" si="76"/>
        <v>2118.9567566999995</v>
      </c>
      <c r="N95" s="128">
        <f t="shared" si="76"/>
        <v>2125.313626970099</v>
      </c>
      <c r="O95" s="128">
        <f t="shared" si="76"/>
        <v>2131.6895678510091</v>
      </c>
      <c r="P95" s="128">
        <f t="shared" si="76"/>
        <v>2138.0846365545617</v>
      </c>
      <c r="Q95" s="128">
        <f t="shared" si="76"/>
        <v>2144.4988904642255</v>
      </c>
      <c r="R95" s="128">
        <f t="shared" si="76"/>
        <v>2150.9323871356178</v>
      </c>
      <c r="S95" s="128">
        <f t="shared" si="76"/>
        <v>2157.3851842970244</v>
      </c>
      <c r="T95" s="128">
        <f t="shared" si="76"/>
        <v>2163.8573398499152</v>
      </c>
      <c r="U95" s="128">
        <f t="shared" si="76"/>
        <v>2170.3489118694647</v>
      </c>
      <c r="V95" s="128">
        <f t="shared" si="76"/>
        <v>2176.8599586050727</v>
      </c>
      <c r="W95" s="128">
        <f t="shared" si="76"/>
        <v>2183.3905384808877</v>
      </c>
      <c r="X95" s="128">
        <f t="shared" si="76"/>
        <v>2189.9407100963303</v>
      </c>
    </row>
    <row r="96" spans="2:26">
      <c r="B96" s="454" t="s">
        <v>850</v>
      </c>
      <c r="C96" s="358"/>
      <c r="D96" s="358"/>
      <c r="E96" s="358"/>
      <c r="F96" s="358"/>
      <c r="G96" s="358"/>
      <c r="H96" s="358"/>
      <c r="I96" s="358"/>
      <c r="J96" s="456">
        <f>J94*0.51</f>
        <v>7650</v>
      </c>
      <c r="K96" s="456">
        <f>K94*0.51</f>
        <v>7672.9499999999989</v>
      </c>
      <c r="L96" s="456">
        <f t="shared" ref="L96:X96" si="77">L94*0.51</f>
        <v>7695.9688499999984</v>
      </c>
      <c r="M96" s="456">
        <f t="shared" si="77"/>
        <v>7719.0567565499969</v>
      </c>
      <c r="N96" s="456">
        <f t="shared" si="77"/>
        <v>7742.2139268196461</v>
      </c>
      <c r="O96" s="456">
        <f t="shared" si="77"/>
        <v>7765.4405686001037</v>
      </c>
      <c r="P96" s="456">
        <f t="shared" si="77"/>
        <v>7788.7368903059032</v>
      </c>
      <c r="Q96" s="456">
        <f t="shared" si="77"/>
        <v>7812.1031009768203</v>
      </c>
      <c r="R96" s="456">
        <f t="shared" si="77"/>
        <v>7835.53941027975</v>
      </c>
      <c r="S96" s="456">
        <f t="shared" si="77"/>
        <v>7859.0460285105892</v>
      </c>
      <c r="T96" s="456">
        <f t="shared" si="77"/>
        <v>7882.6231665961195</v>
      </c>
      <c r="U96" s="456">
        <f t="shared" si="77"/>
        <v>7906.2710360959072</v>
      </c>
      <c r="V96" s="456">
        <f t="shared" si="77"/>
        <v>7929.9898492041939</v>
      </c>
      <c r="W96" s="456">
        <f t="shared" si="77"/>
        <v>7953.7798187518047</v>
      </c>
      <c r="X96" s="456">
        <f t="shared" si="77"/>
        <v>7977.64115820806</v>
      </c>
    </row>
    <row r="97" spans="2:24">
      <c r="B97" s="457" t="s">
        <v>851</v>
      </c>
      <c r="C97" s="458"/>
      <c r="D97" s="458"/>
      <c r="E97" s="458"/>
      <c r="F97" s="458"/>
      <c r="G97" s="458"/>
      <c r="H97" s="458"/>
      <c r="I97" s="458"/>
      <c r="J97" s="459">
        <f>J94*0.35</f>
        <v>5250</v>
      </c>
      <c r="K97" s="459">
        <f>K94*0.35</f>
        <v>5265.7499999999991</v>
      </c>
      <c r="L97" s="459">
        <f t="shared" ref="L97:X97" si="78">L94*0.35</f>
        <v>5281.5472499999987</v>
      </c>
      <c r="M97" s="459">
        <f t="shared" si="78"/>
        <v>5297.3918917499977</v>
      </c>
      <c r="N97" s="459">
        <f t="shared" si="78"/>
        <v>5313.2840674252475</v>
      </c>
      <c r="O97" s="459">
        <f t="shared" si="78"/>
        <v>5329.2239196275223</v>
      </c>
      <c r="P97" s="459">
        <f t="shared" si="78"/>
        <v>5345.2115913864036</v>
      </c>
      <c r="Q97" s="459">
        <f t="shared" si="78"/>
        <v>5361.2472261605626</v>
      </c>
      <c r="R97" s="459">
        <f t="shared" si="78"/>
        <v>5377.3309678390433</v>
      </c>
      <c r="S97" s="459">
        <f t="shared" si="78"/>
        <v>5393.4629607425604</v>
      </c>
      <c r="T97" s="459">
        <f t="shared" si="78"/>
        <v>5409.6433496247873</v>
      </c>
      <c r="U97" s="459">
        <f t="shared" si="78"/>
        <v>5425.8722796736611</v>
      </c>
      <c r="V97" s="459">
        <f t="shared" si="78"/>
        <v>5442.1498965126812</v>
      </c>
      <c r="W97" s="459">
        <f t="shared" si="78"/>
        <v>5458.4763462022183</v>
      </c>
      <c r="X97" s="459">
        <f t="shared" si="78"/>
        <v>5474.8517752408252</v>
      </c>
    </row>
    <row r="98" spans="2:24">
      <c r="B98" s="460" t="s">
        <v>852</v>
      </c>
      <c r="C98" s="461"/>
      <c r="D98" s="461"/>
      <c r="E98" s="461"/>
      <c r="F98" s="461"/>
      <c r="G98" s="461"/>
      <c r="H98" s="461"/>
      <c r="I98" s="461"/>
      <c r="J98" s="361">
        <v>0.85</v>
      </c>
      <c r="K98" s="362">
        <f t="shared" ref="K98:X100" si="79">J98</f>
        <v>0.85</v>
      </c>
      <c r="L98" s="362">
        <f t="shared" si="79"/>
        <v>0.85</v>
      </c>
      <c r="M98" s="362">
        <f t="shared" si="79"/>
        <v>0.85</v>
      </c>
      <c r="N98" s="362">
        <f t="shared" si="79"/>
        <v>0.85</v>
      </c>
      <c r="O98" s="362">
        <f t="shared" si="79"/>
        <v>0.85</v>
      </c>
      <c r="P98" s="362">
        <f t="shared" si="79"/>
        <v>0.85</v>
      </c>
      <c r="Q98" s="362">
        <f t="shared" si="79"/>
        <v>0.85</v>
      </c>
      <c r="R98" s="362">
        <f t="shared" si="79"/>
        <v>0.85</v>
      </c>
      <c r="S98" s="362">
        <f t="shared" si="79"/>
        <v>0.85</v>
      </c>
      <c r="T98" s="362">
        <f t="shared" si="79"/>
        <v>0.85</v>
      </c>
      <c r="U98" s="362">
        <f t="shared" si="79"/>
        <v>0.85</v>
      </c>
      <c r="V98" s="362">
        <f t="shared" si="79"/>
        <v>0.85</v>
      </c>
      <c r="W98" s="362">
        <f t="shared" si="79"/>
        <v>0.85</v>
      </c>
      <c r="X98" s="362">
        <f t="shared" si="79"/>
        <v>0.85</v>
      </c>
    </row>
    <row r="99" spans="2:24">
      <c r="B99" s="460" t="s">
        <v>854</v>
      </c>
      <c r="C99" s="461"/>
      <c r="D99" s="461"/>
      <c r="E99" s="461"/>
      <c r="F99" s="461"/>
      <c r="G99" s="461"/>
      <c r="H99" s="461"/>
      <c r="I99" s="461"/>
      <c r="J99" s="361">
        <v>0.75</v>
      </c>
      <c r="K99" s="362">
        <f t="shared" si="79"/>
        <v>0.75</v>
      </c>
      <c r="L99" s="362">
        <f t="shared" si="79"/>
        <v>0.75</v>
      </c>
      <c r="M99" s="362">
        <f t="shared" si="79"/>
        <v>0.75</v>
      </c>
      <c r="N99" s="362">
        <f t="shared" si="79"/>
        <v>0.75</v>
      </c>
      <c r="O99" s="362">
        <f t="shared" si="79"/>
        <v>0.75</v>
      </c>
      <c r="P99" s="362">
        <f t="shared" si="79"/>
        <v>0.75</v>
      </c>
      <c r="Q99" s="362">
        <f t="shared" si="79"/>
        <v>0.75</v>
      </c>
      <c r="R99" s="362">
        <f t="shared" si="79"/>
        <v>0.75</v>
      </c>
      <c r="S99" s="362">
        <f t="shared" si="79"/>
        <v>0.75</v>
      </c>
      <c r="T99" s="362">
        <f t="shared" si="79"/>
        <v>0.75</v>
      </c>
      <c r="U99" s="362">
        <f t="shared" si="79"/>
        <v>0.75</v>
      </c>
      <c r="V99" s="362">
        <f t="shared" si="79"/>
        <v>0.75</v>
      </c>
      <c r="W99" s="362">
        <f t="shared" si="79"/>
        <v>0.75</v>
      </c>
      <c r="X99" s="362">
        <f t="shared" si="79"/>
        <v>0.75</v>
      </c>
    </row>
    <row r="100" spans="2:24">
      <c r="B100" s="460" t="s">
        <v>853</v>
      </c>
      <c r="C100" s="461"/>
      <c r="D100" s="461"/>
      <c r="E100" s="461"/>
      <c r="F100" s="461"/>
      <c r="G100" s="461"/>
      <c r="H100" s="461"/>
      <c r="I100" s="461"/>
      <c r="J100" s="463">
        <v>0.25</v>
      </c>
      <c r="K100" s="464">
        <f t="shared" si="79"/>
        <v>0.25</v>
      </c>
      <c r="L100" s="464">
        <f t="shared" si="79"/>
        <v>0.25</v>
      </c>
      <c r="M100" s="464">
        <f t="shared" si="79"/>
        <v>0.25</v>
      </c>
      <c r="N100" s="464">
        <f t="shared" si="79"/>
        <v>0.25</v>
      </c>
      <c r="O100" s="464">
        <f t="shared" si="79"/>
        <v>0.25</v>
      </c>
      <c r="P100" s="464">
        <f t="shared" si="79"/>
        <v>0.25</v>
      </c>
      <c r="Q100" s="464">
        <f t="shared" si="79"/>
        <v>0.25</v>
      </c>
      <c r="R100" s="464">
        <f t="shared" si="79"/>
        <v>0.25</v>
      </c>
      <c r="S100" s="464">
        <f t="shared" si="79"/>
        <v>0.25</v>
      </c>
      <c r="T100" s="464">
        <f t="shared" si="79"/>
        <v>0.25</v>
      </c>
      <c r="U100" s="464">
        <f t="shared" si="79"/>
        <v>0.25</v>
      </c>
      <c r="V100" s="464">
        <f t="shared" si="79"/>
        <v>0.25</v>
      </c>
      <c r="W100" s="464">
        <f t="shared" si="79"/>
        <v>0.25</v>
      </c>
      <c r="X100" s="464">
        <f t="shared" si="79"/>
        <v>0.25</v>
      </c>
    </row>
    <row r="101" spans="2:24">
      <c r="B101" s="460"/>
      <c r="C101" s="461"/>
      <c r="D101" s="461"/>
      <c r="E101" s="461"/>
      <c r="F101" s="461"/>
      <c r="G101" s="461"/>
      <c r="H101" s="461"/>
      <c r="I101" s="461"/>
      <c r="J101" s="462"/>
      <c r="K101" s="462"/>
      <c r="L101" s="462"/>
      <c r="M101" s="462"/>
      <c r="N101" s="462"/>
      <c r="O101" s="462"/>
      <c r="P101" s="462"/>
      <c r="Q101" s="462"/>
      <c r="R101" s="462"/>
      <c r="S101" s="462"/>
      <c r="T101" s="462"/>
      <c r="U101" s="462"/>
      <c r="V101" s="462"/>
      <c r="W101" s="462"/>
      <c r="X101" s="462"/>
    </row>
    <row r="102" spans="2:24">
      <c r="B102" s="475" t="s">
        <v>869</v>
      </c>
      <c r="C102" s="461"/>
      <c r="D102" s="461"/>
      <c r="E102" s="461"/>
      <c r="F102" s="461"/>
      <c r="G102" s="461"/>
      <c r="H102" s="461"/>
      <c r="I102" s="461"/>
      <c r="J102" s="462"/>
      <c r="K102" s="462"/>
      <c r="L102" s="462"/>
      <c r="M102" s="462"/>
      <c r="N102" s="462"/>
      <c r="O102" s="462"/>
      <c r="P102" s="462"/>
      <c r="Q102" s="462"/>
      <c r="R102" s="462"/>
      <c r="S102" s="462"/>
      <c r="T102" s="462"/>
      <c r="U102" s="462"/>
      <c r="V102" s="462"/>
      <c r="W102" s="462"/>
      <c r="X102" s="462"/>
    </row>
    <row r="103" spans="2:24">
      <c r="B103" s="471" t="s">
        <v>875</v>
      </c>
      <c r="C103" s="461"/>
      <c r="D103" s="461"/>
      <c r="E103" s="461"/>
      <c r="F103" s="461"/>
      <c r="G103" s="461"/>
      <c r="H103" s="461"/>
      <c r="I103" s="461"/>
      <c r="J103" s="462"/>
      <c r="K103" s="462"/>
      <c r="L103" s="462"/>
      <c r="M103" s="462"/>
      <c r="N103" s="462"/>
      <c r="O103" s="462"/>
      <c r="P103" s="462"/>
      <c r="Q103" s="462"/>
      <c r="R103" s="462"/>
      <c r="S103" s="462"/>
      <c r="T103" s="462"/>
      <c r="U103" s="462"/>
      <c r="V103" s="462"/>
      <c r="W103" s="462"/>
      <c r="X103" s="462"/>
    </row>
    <row r="104" spans="2:24">
      <c r="B104" s="460" t="s">
        <v>870</v>
      </c>
      <c r="C104" s="461"/>
      <c r="D104" s="461"/>
      <c r="E104" s="461"/>
      <c r="F104" s="461"/>
      <c r="G104" s="461"/>
      <c r="H104" s="461"/>
      <c r="I104" s="461"/>
      <c r="J104" s="462"/>
      <c r="K104" s="462">
        <f>J95</f>
        <v>2100</v>
      </c>
      <c r="L104" s="462">
        <f t="shared" ref="L104:X104" si="80">K95</f>
        <v>2106.2999999999997</v>
      </c>
      <c r="M104" s="462">
        <f t="shared" si="80"/>
        <v>2112.6188999999999</v>
      </c>
      <c r="N104" s="462">
        <f t="shared" si="80"/>
        <v>2118.9567566999995</v>
      </c>
      <c r="O104" s="462">
        <f t="shared" si="80"/>
        <v>2125.313626970099</v>
      </c>
      <c r="P104" s="462">
        <f t="shared" si="80"/>
        <v>2131.6895678510091</v>
      </c>
      <c r="Q104" s="462">
        <f t="shared" si="80"/>
        <v>2138.0846365545617</v>
      </c>
      <c r="R104" s="462">
        <f t="shared" si="80"/>
        <v>2144.4988904642255</v>
      </c>
      <c r="S104" s="462">
        <f t="shared" si="80"/>
        <v>2150.9323871356178</v>
      </c>
      <c r="T104" s="462">
        <f t="shared" si="80"/>
        <v>2157.3851842970244</v>
      </c>
      <c r="U104" s="462">
        <f t="shared" si="80"/>
        <v>2163.8573398499152</v>
      </c>
      <c r="V104" s="462">
        <f t="shared" si="80"/>
        <v>2170.3489118694647</v>
      </c>
      <c r="W104" s="462">
        <f t="shared" si="80"/>
        <v>2176.8599586050727</v>
      </c>
      <c r="X104" s="462">
        <f t="shared" si="80"/>
        <v>2183.3905384808877</v>
      </c>
    </row>
    <row r="105" spans="2:24">
      <c r="B105" s="460" t="s">
        <v>871</v>
      </c>
      <c r="C105" s="461"/>
      <c r="D105" s="461"/>
      <c r="E105" s="461"/>
      <c r="F105" s="461"/>
      <c r="G105" s="461"/>
      <c r="H105" s="461"/>
      <c r="I105" s="461"/>
      <c r="J105" s="462"/>
      <c r="K105" s="462">
        <f>K91</f>
        <v>514.2194694422559</v>
      </c>
      <c r="L105" s="462">
        <f t="shared" ref="L105:X105" si="81">L91</f>
        <v>515.76212785058271</v>
      </c>
      <c r="M105" s="462">
        <f t="shared" si="81"/>
        <v>517.30941423413435</v>
      </c>
      <c r="N105" s="462">
        <f t="shared" si="81"/>
        <v>518.86134247683663</v>
      </c>
      <c r="O105" s="462">
        <f t="shared" si="81"/>
        <v>520.41792650426714</v>
      </c>
      <c r="P105" s="462">
        <f t="shared" si="81"/>
        <v>521.9791802837799</v>
      </c>
      <c r="Q105" s="462">
        <f t="shared" si="81"/>
        <v>523.54511782463112</v>
      </c>
      <c r="R105" s="462">
        <f t="shared" si="81"/>
        <v>525.11575317810491</v>
      </c>
      <c r="S105" s="462">
        <f t="shared" si="81"/>
        <v>526.69110043763919</v>
      </c>
      <c r="T105" s="462">
        <f t="shared" si="81"/>
        <v>528.27117373895203</v>
      </c>
      <c r="U105" s="462">
        <f t="shared" si="81"/>
        <v>529.85598726016894</v>
      </c>
      <c r="V105" s="462">
        <f t="shared" si="81"/>
        <v>531.44555522194923</v>
      </c>
      <c r="W105" s="462">
        <f t="shared" si="81"/>
        <v>533.03989188761523</v>
      </c>
      <c r="X105" s="462">
        <f t="shared" si="81"/>
        <v>534.6390115632779</v>
      </c>
    </row>
    <row r="106" spans="2:24">
      <c r="B106" s="460" t="s">
        <v>872</v>
      </c>
      <c r="C106" s="461"/>
      <c r="D106" s="461"/>
      <c r="E106" s="461"/>
      <c r="F106" s="461"/>
      <c r="G106" s="461"/>
      <c r="H106" s="461"/>
      <c r="I106" s="461"/>
      <c r="J106" s="462"/>
      <c r="K106" s="462">
        <f>K105-(K108-K104)</f>
        <v>507.91946944225617</v>
      </c>
      <c r="L106" s="462">
        <f t="shared" ref="L106:X106" si="82">L105-(L108-L104)</f>
        <v>509.4432278505825</v>
      </c>
      <c r="M106" s="462">
        <f t="shared" si="82"/>
        <v>510.97155753413483</v>
      </c>
      <c r="N106" s="462">
        <f t="shared" si="82"/>
        <v>512.50447220673709</v>
      </c>
      <c r="O106" s="462">
        <f t="shared" si="82"/>
        <v>514.04198562335705</v>
      </c>
      <c r="P106" s="462">
        <f t="shared" si="82"/>
        <v>515.58411158022727</v>
      </c>
      <c r="Q106" s="462">
        <f t="shared" si="82"/>
        <v>517.13086391496734</v>
      </c>
      <c r="R106" s="462">
        <f t="shared" si="82"/>
        <v>518.68225650671263</v>
      </c>
      <c r="S106" s="462">
        <f t="shared" si="82"/>
        <v>520.23830327623261</v>
      </c>
      <c r="T106" s="462">
        <f t="shared" si="82"/>
        <v>521.79901818606118</v>
      </c>
      <c r="U106" s="462">
        <f t="shared" si="82"/>
        <v>523.36441524061945</v>
      </c>
      <c r="V106" s="462">
        <f t="shared" si="82"/>
        <v>524.9345084863412</v>
      </c>
      <c r="W106" s="462">
        <f t="shared" si="82"/>
        <v>526.50931201180026</v>
      </c>
      <c r="X106" s="462">
        <f t="shared" si="82"/>
        <v>528.08883994783525</v>
      </c>
    </row>
    <row r="107" spans="2:24">
      <c r="B107" s="465" t="s">
        <v>874</v>
      </c>
      <c r="C107" s="461"/>
      <c r="D107" s="461"/>
      <c r="E107" s="461"/>
      <c r="F107" s="461"/>
      <c r="G107" s="461"/>
      <c r="H107" s="461"/>
      <c r="I107" s="461"/>
      <c r="J107" s="462"/>
      <c r="K107" s="467">
        <f>K106/K104</f>
        <v>0.24186641402012199</v>
      </c>
      <c r="L107" s="467">
        <f t="shared" ref="L107:X107" si="83">L106/L104</f>
        <v>0.24186641402012182</v>
      </c>
      <c r="M107" s="467">
        <f t="shared" si="83"/>
        <v>0.24186641402012207</v>
      </c>
      <c r="N107" s="467">
        <f t="shared" si="83"/>
        <v>0.24186641402012204</v>
      </c>
      <c r="O107" s="467">
        <f t="shared" si="83"/>
        <v>0.24186641402012199</v>
      </c>
      <c r="P107" s="467">
        <f t="shared" si="83"/>
        <v>0.24186641402012207</v>
      </c>
      <c r="Q107" s="467">
        <f t="shared" si="83"/>
        <v>0.24186641402012182</v>
      </c>
      <c r="R107" s="467">
        <f t="shared" si="83"/>
        <v>0.24186641402012202</v>
      </c>
      <c r="S107" s="467">
        <f t="shared" si="83"/>
        <v>0.24186641402012199</v>
      </c>
      <c r="T107" s="467">
        <f t="shared" si="83"/>
        <v>0.24186641402012193</v>
      </c>
      <c r="U107" s="467">
        <f t="shared" si="83"/>
        <v>0.24186641402012202</v>
      </c>
      <c r="V107" s="467">
        <f t="shared" si="83"/>
        <v>0.24186641402012199</v>
      </c>
      <c r="W107" s="467">
        <f t="shared" si="83"/>
        <v>0.24186641402012204</v>
      </c>
      <c r="X107" s="467">
        <f t="shared" si="83"/>
        <v>0.24186641402012188</v>
      </c>
    </row>
    <row r="108" spans="2:24">
      <c r="B108" s="460" t="s">
        <v>873</v>
      </c>
      <c r="C108" s="461"/>
      <c r="D108" s="461"/>
      <c r="E108" s="461"/>
      <c r="F108" s="461"/>
      <c r="G108" s="461"/>
      <c r="H108" s="461"/>
      <c r="I108" s="461"/>
      <c r="J108" s="462"/>
      <c r="K108" s="462">
        <f>K95</f>
        <v>2106.2999999999997</v>
      </c>
      <c r="L108" s="462">
        <f t="shared" ref="L108:X108" si="84">L95</f>
        <v>2112.6188999999999</v>
      </c>
      <c r="M108" s="462">
        <f t="shared" si="84"/>
        <v>2118.9567566999995</v>
      </c>
      <c r="N108" s="462">
        <f t="shared" si="84"/>
        <v>2125.313626970099</v>
      </c>
      <c r="O108" s="462">
        <f t="shared" si="84"/>
        <v>2131.6895678510091</v>
      </c>
      <c r="P108" s="462">
        <f t="shared" si="84"/>
        <v>2138.0846365545617</v>
      </c>
      <c r="Q108" s="462">
        <f t="shared" si="84"/>
        <v>2144.4988904642255</v>
      </c>
      <c r="R108" s="462">
        <f t="shared" si="84"/>
        <v>2150.9323871356178</v>
      </c>
      <c r="S108" s="462">
        <f t="shared" si="84"/>
        <v>2157.3851842970244</v>
      </c>
      <c r="T108" s="462">
        <f t="shared" si="84"/>
        <v>2163.8573398499152</v>
      </c>
      <c r="U108" s="462">
        <f t="shared" si="84"/>
        <v>2170.3489118694647</v>
      </c>
      <c r="V108" s="462">
        <f t="shared" si="84"/>
        <v>2176.8599586050727</v>
      </c>
      <c r="W108" s="462">
        <f t="shared" si="84"/>
        <v>2183.3905384808877</v>
      </c>
      <c r="X108" s="462">
        <f t="shared" si="84"/>
        <v>2189.9407100963303</v>
      </c>
    </row>
    <row r="109" spans="2:24">
      <c r="B109" s="471" t="s">
        <v>876</v>
      </c>
      <c r="C109" s="461"/>
      <c r="D109" s="461"/>
      <c r="E109" s="461"/>
      <c r="F109" s="461"/>
      <c r="G109" s="461"/>
      <c r="H109" s="461"/>
      <c r="I109" s="461"/>
      <c r="J109" s="462"/>
      <c r="K109" s="462"/>
      <c r="L109" s="462"/>
      <c r="M109" s="462"/>
      <c r="N109" s="462"/>
      <c r="O109" s="462"/>
      <c r="P109" s="462"/>
      <c r="Q109" s="462"/>
      <c r="R109" s="462"/>
      <c r="S109" s="462"/>
      <c r="T109" s="462"/>
      <c r="U109" s="462"/>
      <c r="V109" s="462"/>
      <c r="W109" s="462"/>
      <c r="X109" s="462"/>
    </row>
    <row r="110" spans="2:24">
      <c r="B110" s="460" t="s">
        <v>870</v>
      </c>
      <c r="C110" s="461"/>
      <c r="D110" s="461"/>
      <c r="E110" s="461"/>
      <c r="F110" s="461"/>
      <c r="G110" s="461"/>
      <c r="H110" s="461"/>
      <c r="I110" s="461"/>
      <c r="J110" s="462"/>
      <c r="K110" s="462">
        <f>J96</f>
        <v>7650</v>
      </c>
      <c r="L110" s="462">
        <f t="shared" ref="L110:X110" si="85">K96</f>
        <v>7672.9499999999989</v>
      </c>
      <c r="M110" s="462">
        <f t="shared" si="85"/>
        <v>7695.9688499999984</v>
      </c>
      <c r="N110" s="462">
        <f t="shared" si="85"/>
        <v>7719.0567565499969</v>
      </c>
      <c r="O110" s="462">
        <f t="shared" si="85"/>
        <v>7742.2139268196461</v>
      </c>
      <c r="P110" s="462">
        <f t="shared" si="85"/>
        <v>7765.4405686001037</v>
      </c>
      <c r="Q110" s="462">
        <f t="shared" si="85"/>
        <v>7788.7368903059032</v>
      </c>
      <c r="R110" s="462">
        <f t="shared" si="85"/>
        <v>7812.1031009768203</v>
      </c>
      <c r="S110" s="462">
        <f t="shared" si="85"/>
        <v>7835.53941027975</v>
      </c>
      <c r="T110" s="462">
        <f t="shared" si="85"/>
        <v>7859.0460285105892</v>
      </c>
      <c r="U110" s="462">
        <f t="shared" si="85"/>
        <v>7882.6231665961195</v>
      </c>
      <c r="V110" s="462">
        <f t="shared" si="85"/>
        <v>7906.2710360959072</v>
      </c>
      <c r="W110" s="462">
        <f t="shared" si="85"/>
        <v>7929.9898492041939</v>
      </c>
      <c r="X110" s="462">
        <f t="shared" si="85"/>
        <v>7953.7798187518047</v>
      </c>
    </row>
    <row r="111" spans="2:24">
      <c r="B111" s="460" t="s">
        <v>871</v>
      </c>
      <c r="C111" s="461"/>
      <c r="D111" s="461"/>
      <c r="E111" s="461"/>
      <c r="F111" s="461"/>
      <c r="G111" s="461"/>
      <c r="H111" s="461"/>
      <c r="I111" s="461"/>
      <c r="J111" s="462"/>
      <c r="K111" s="462">
        <f>K92</f>
        <v>232.80582944898157</v>
      </c>
      <c r="L111" s="462">
        <f t="shared" ref="L111:X111" si="86">L92</f>
        <v>233.5042469373285</v>
      </c>
      <c r="M111" s="462">
        <f t="shared" si="86"/>
        <v>234.20475967814045</v>
      </c>
      <c r="N111" s="462">
        <f t="shared" si="86"/>
        <v>234.90737395717483</v>
      </c>
      <c r="O111" s="462">
        <f t="shared" si="86"/>
        <v>235.61209607904632</v>
      </c>
      <c r="P111" s="462">
        <f t="shared" si="86"/>
        <v>236.31893236728345</v>
      </c>
      <c r="Q111" s="462">
        <f t="shared" si="86"/>
        <v>237.02788916438527</v>
      </c>
      <c r="R111" s="462">
        <f t="shared" si="86"/>
        <v>237.73897283187836</v>
      </c>
      <c r="S111" s="462">
        <f t="shared" si="86"/>
        <v>238.45218975037398</v>
      </c>
      <c r="T111" s="462">
        <f t="shared" si="86"/>
        <v>239.16754631962507</v>
      </c>
      <c r="U111" s="462">
        <f t="shared" si="86"/>
        <v>239.88504895858395</v>
      </c>
      <c r="V111" s="462">
        <f t="shared" si="86"/>
        <v>240.60470410545966</v>
      </c>
      <c r="W111" s="462">
        <f t="shared" si="86"/>
        <v>241.32651821777606</v>
      </c>
      <c r="X111" s="462">
        <f t="shared" si="86"/>
        <v>242.05049777242931</v>
      </c>
    </row>
    <row r="112" spans="2:24">
      <c r="B112" s="460" t="s">
        <v>872</v>
      </c>
      <c r="C112" s="461"/>
      <c r="D112" s="461"/>
      <c r="E112" s="461"/>
      <c r="F112" s="461"/>
      <c r="G112" s="461"/>
      <c r="H112" s="461"/>
      <c r="I112" s="461"/>
      <c r="J112" s="462"/>
      <c r="K112" s="462">
        <f>K111-(K114-K110)</f>
        <v>209.85582944898266</v>
      </c>
      <c r="L112" s="462">
        <f t="shared" ref="L112:X112" si="87">L111-(L114-L110)</f>
        <v>210.48539693732903</v>
      </c>
      <c r="M112" s="462">
        <f t="shared" si="87"/>
        <v>211.11685312814197</v>
      </c>
      <c r="N112" s="462">
        <f t="shared" si="87"/>
        <v>211.75020368752561</v>
      </c>
      <c r="O112" s="462">
        <f t="shared" si="87"/>
        <v>212.38545429858871</v>
      </c>
      <c r="P112" s="462">
        <f t="shared" si="87"/>
        <v>213.02261066148392</v>
      </c>
      <c r="Q112" s="462">
        <f t="shared" si="87"/>
        <v>213.66167849346817</v>
      </c>
      <c r="R112" s="462">
        <f t="shared" si="87"/>
        <v>214.3026635289487</v>
      </c>
      <c r="S112" s="462">
        <f t="shared" si="87"/>
        <v>214.94557151953478</v>
      </c>
      <c r="T112" s="462">
        <f t="shared" si="87"/>
        <v>215.59040823409472</v>
      </c>
      <c r="U112" s="462">
        <f t="shared" si="87"/>
        <v>216.23717945879625</v>
      </c>
      <c r="V112" s="462">
        <f t="shared" si="87"/>
        <v>216.88589099717299</v>
      </c>
      <c r="W112" s="462">
        <f t="shared" si="87"/>
        <v>217.53654867016527</v>
      </c>
      <c r="X112" s="462">
        <f t="shared" si="87"/>
        <v>218.18915831617397</v>
      </c>
    </row>
    <row r="113" spans="2:24">
      <c r="B113" s="465" t="s">
        <v>874</v>
      </c>
      <c r="C113" s="461"/>
      <c r="D113" s="461"/>
      <c r="E113" s="461"/>
      <c r="F113" s="461"/>
      <c r="G113" s="461"/>
      <c r="H113" s="461"/>
      <c r="I113" s="461"/>
      <c r="J113" s="462"/>
      <c r="K113" s="467">
        <f>K112/K110</f>
        <v>2.7432134568494467E-2</v>
      </c>
      <c r="L113" s="467">
        <f t="shared" ref="L113:X113" si="88">L112/L110</f>
        <v>2.7432134568494394E-2</v>
      </c>
      <c r="M113" s="467">
        <f t="shared" si="88"/>
        <v>2.7432134568494519E-2</v>
      </c>
      <c r="N113" s="467">
        <f t="shared" si="88"/>
        <v>2.7432134568494422E-2</v>
      </c>
      <c r="O113" s="467">
        <f t="shared" si="88"/>
        <v>2.7432134568494495E-2</v>
      </c>
      <c r="P113" s="467">
        <f t="shared" si="88"/>
        <v>2.7432134568494426E-2</v>
      </c>
      <c r="Q113" s="467">
        <f t="shared" si="88"/>
        <v>2.7432134568494405E-2</v>
      </c>
      <c r="R113" s="467">
        <f t="shared" si="88"/>
        <v>2.7432134568494422E-2</v>
      </c>
      <c r="S113" s="467">
        <f t="shared" si="88"/>
        <v>2.7432134568494328E-2</v>
      </c>
      <c r="T113" s="467">
        <f t="shared" si="88"/>
        <v>2.7432134568494498E-2</v>
      </c>
      <c r="U113" s="467">
        <f t="shared" si="88"/>
        <v>2.7432134568494405E-2</v>
      </c>
      <c r="V113" s="467">
        <f t="shared" si="88"/>
        <v>2.7432134568494453E-2</v>
      </c>
      <c r="W113" s="467">
        <f t="shared" si="88"/>
        <v>2.7432134568494554E-2</v>
      </c>
      <c r="X113" s="467">
        <f t="shared" si="88"/>
        <v>2.7432134568494332E-2</v>
      </c>
    </row>
    <row r="114" spans="2:24">
      <c r="B114" s="460" t="s">
        <v>873</v>
      </c>
      <c r="C114" s="461"/>
      <c r="D114" s="461"/>
      <c r="E114" s="461"/>
      <c r="F114" s="461"/>
      <c r="G114" s="461"/>
      <c r="H114" s="461"/>
      <c r="I114" s="461"/>
      <c r="J114" s="462"/>
      <c r="K114" s="462">
        <f>K96</f>
        <v>7672.9499999999989</v>
      </c>
      <c r="L114" s="462">
        <f t="shared" ref="L114:X114" si="89">L96</f>
        <v>7695.9688499999984</v>
      </c>
      <c r="M114" s="462">
        <f t="shared" si="89"/>
        <v>7719.0567565499969</v>
      </c>
      <c r="N114" s="462">
        <f t="shared" si="89"/>
        <v>7742.2139268196461</v>
      </c>
      <c r="O114" s="462">
        <f t="shared" si="89"/>
        <v>7765.4405686001037</v>
      </c>
      <c r="P114" s="462">
        <f t="shared" si="89"/>
        <v>7788.7368903059032</v>
      </c>
      <c r="Q114" s="462">
        <f t="shared" si="89"/>
        <v>7812.1031009768203</v>
      </c>
      <c r="R114" s="462">
        <f t="shared" si="89"/>
        <v>7835.53941027975</v>
      </c>
      <c r="S114" s="462">
        <f t="shared" si="89"/>
        <v>7859.0460285105892</v>
      </c>
      <c r="T114" s="462">
        <f t="shared" si="89"/>
        <v>7882.6231665961195</v>
      </c>
      <c r="U114" s="462">
        <f t="shared" si="89"/>
        <v>7906.2710360959072</v>
      </c>
      <c r="V114" s="462">
        <f t="shared" si="89"/>
        <v>7929.9898492041939</v>
      </c>
      <c r="W114" s="462">
        <f t="shared" si="89"/>
        <v>7953.7798187518047</v>
      </c>
      <c r="X114" s="462">
        <f t="shared" si="89"/>
        <v>7977.64115820806</v>
      </c>
    </row>
    <row r="115" spans="2:24">
      <c r="B115" s="471" t="s">
        <v>877</v>
      </c>
      <c r="C115" s="461"/>
      <c r="D115" s="461"/>
      <c r="E115" s="461"/>
      <c r="F115" s="461"/>
      <c r="G115" s="461"/>
      <c r="H115" s="461"/>
      <c r="I115" s="461"/>
      <c r="J115" s="462"/>
      <c r="K115" s="462"/>
      <c r="L115" s="462"/>
      <c r="M115" s="462"/>
      <c r="N115" s="462"/>
      <c r="O115" s="462"/>
      <c r="P115" s="462"/>
      <c r="Q115" s="462"/>
      <c r="R115" s="462"/>
      <c r="S115" s="462"/>
      <c r="T115" s="462"/>
      <c r="U115" s="462"/>
      <c r="V115" s="462"/>
      <c r="W115" s="462"/>
      <c r="X115" s="462"/>
    </row>
    <row r="116" spans="2:24">
      <c r="B116" s="460" t="s">
        <v>870</v>
      </c>
      <c r="C116" s="461"/>
      <c r="D116" s="461"/>
      <c r="E116" s="461"/>
      <c r="F116" s="461"/>
      <c r="G116" s="461"/>
      <c r="H116" s="461"/>
      <c r="I116" s="461"/>
      <c r="J116" s="462"/>
      <c r="K116" s="462">
        <f>J97</f>
        <v>5250</v>
      </c>
      <c r="L116" s="462">
        <f t="shared" ref="L116:X116" si="90">K97</f>
        <v>5265.7499999999991</v>
      </c>
      <c r="M116" s="462">
        <f t="shared" si="90"/>
        <v>5281.5472499999987</v>
      </c>
      <c r="N116" s="462">
        <f t="shared" si="90"/>
        <v>5297.3918917499977</v>
      </c>
      <c r="O116" s="462">
        <f t="shared" si="90"/>
        <v>5313.2840674252475</v>
      </c>
      <c r="P116" s="462">
        <f t="shared" si="90"/>
        <v>5329.2239196275223</v>
      </c>
      <c r="Q116" s="462">
        <f t="shared" si="90"/>
        <v>5345.2115913864036</v>
      </c>
      <c r="R116" s="462">
        <f t="shared" si="90"/>
        <v>5361.2472261605626</v>
      </c>
      <c r="S116" s="462">
        <f t="shared" si="90"/>
        <v>5377.3309678390433</v>
      </c>
      <c r="T116" s="462">
        <f t="shared" si="90"/>
        <v>5393.4629607425604</v>
      </c>
      <c r="U116" s="462">
        <f t="shared" si="90"/>
        <v>5409.6433496247873</v>
      </c>
      <c r="V116" s="462">
        <f t="shared" si="90"/>
        <v>5425.8722796736611</v>
      </c>
      <c r="W116" s="462">
        <f t="shared" si="90"/>
        <v>5442.1498965126812</v>
      </c>
      <c r="X116" s="462">
        <f t="shared" si="90"/>
        <v>5458.4763462022183</v>
      </c>
    </row>
    <row r="117" spans="2:24">
      <c r="B117" s="460" t="s">
        <v>871</v>
      </c>
      <c r="C117" s="461"/>
      <c r="D117" s="461"/>
      <c r="E117" s="461"/>
      <c r="F117" s="461"/>
      <c r="G117" s="461"/>
      <c r="H117" s="461"/>
      <c r="I117" s="461"/>
      <c r="J117" s="462"/>
      <c r="K117" s="462">
        <f>K93</f>
        <v>105.74330714898795</v>
      </c>
      <c r="L117" s="462">
        <f t="shared" ref="L117:X117" si="91">L93</f>
        <v>106.06053707043492</v>
      </c>
      <c r="M117" s="462">
        <f t="shared" si="91"/>
        <v>106.37871868164621</v>
      </c>
      <c r="N117" s="462">
        <f t="shared" si="91"/>
        <v>106.69785483769112</v>
      </c>
      <c r="O117" s="462">
        <f t="shared" si="91"/>
        <v>107.01794840220418</v>
      </c>
      <c r="P117" s="462">
        <f t="shared" si="91"/>
        <v>107.33900224741079</v>
      </c>
      <c r="Q117" s="462">
        <f t="shared" si="91"/>
        <v>107.661019254153</v>
      </c>
      <c r="R117" s="462">
        <f t="shared" si="91"/>
        <v>107.98400231191543</v>
      </c>
      <c r="S117" s="462">
        <f t="shared" si="91"/>
        <v>108.30795431885117</v>
      </c>
      <c r="T117" s="462">
        <f t="shared" si="91"/>
        <v>108.63287818180771</v>
      </c>
      <c r="U117" s="462">
        <f t="shared" si="91"/>
        <v>108.95877681635314</v>
      </c>
      <c r="V117" s="462">
        <f t="shared" si="91"/>
        <v>109.28565314680218</v>
      </c>
      <c r="W117" s="462">
        <f t="shared" si="91"/>
        <v>109.6135101062426</v>
      </c>
      <c r="X117" s="462">
        <f t="shared" si="91"/>
        <v>109.94235063656129</v>
      </c>
    </row>
    <row r="118" spans="2:24">
      <c r="B118" s="460" t="s">
        <v>872</v>
      </c>
      <c r="C118" s="461"/>
      <c r="D118" s="461"/>
      <c r="E118" s="461"/>
      <c r="F118" s="461"/>
      <c r="G118" s="461"/>
      <c r="H118" s="461"/>
      <c r="I118" s="461"/>
      <c r="J118" s="462"/>
      <c r="K118" s="462">
        <f>K117-(K120-K116)</f>
        <v>89.993307148988862</v>
      </c>
      <c r="L118" s="462">
        <f t="shared" ref="L118:X118" si="92">L117-(L120-L116)</f>
        <v>90.263287070435297</v>
      </c>
      <c r="M118" s="462">
        <f t="shared" si="92"/>
        <v>90.534076931647178</v>
      </c>
      <c r="N118" s="462">
        <f t="shared" si="92"/>
        <v>90.805679162441379</v>
      </c>
      <c r="O118" s="462">
        <f t="shared" si="92"/>
        <v>91.078096199929405</v>
      </c>
      <c r="P118" s="462">
        <f t="shared" si="92"/>
        <v>91.351330488529456</v>
      </c>
      <c r="Q118" s="462">
        <f t="shared" si="92"/>
        <v>91.625384479993997</v>
      </c>
      <c r="R118" s="462">
        <f t="shared" si="92"/>
        <v>91.90026063343474</v>
      </c>
      <c r="S118" s="462">
        <f t="shared" si="92"/>
        <v>92.175961415334044</v>
      </c>
      <c r="T118" s="462">
        <f t="shared" si="92"/>
        <v>92.452489299580805</v>
      </c>
      <c r="U118" s="462">
        <f t="shared" si="92"/>
        <v>92.729846767479401</v>
      </c>
      <c r="V118" s="462">
        <f t="shared" si="92"/>
        <v>93.008036307782092</v>
      </c>
      <c r="W118" s="462">
        <f t="shared" si="92"/>
        <v>93.287060416705415</v>
      </c>
      <c r="X118" s="462">
        <f t="shared" si="92"/>
        <v>93.566921597954433</v>
      </c>
    </row>
    <row r="119" spans="2:24">
      <c r="B119" s="465" t="s">
        <v>874</v>
      </c>
      <c r="C119" s="461"/>
      <c r="D119" s="461"/>
      <c r="E119" s="461"/>
      <c r="F119" s="461"/>
      <c r="G119" s="461"/>
      <c r="H119" s="461"/>
      <c r="I119" s="461"/>
      <c r="J119" s="462"/>
      <c r="K119" s="467">
        <f>K118/K116</f>
        <v>1.7141582314093115E-2</v>
      </c>
      <c r="L119" s="467">
        <f t="shared" ref="L119:X119" si="93">L118/L116</f>
        <v>1.7141582314093018E-2</v>
      </c>
      <c r="M119" s="467">
        <f t="shared" si="93"/>
        <v>1.7141582314093129E-2</v>
      </c>
      <c r="N119" s="467">
        <f t="shared" si="93"/>
        <v>1.7141582314092994E-2</v>
      </c>
      <c r="O119" s="467">
        <f t="shared" si="93"/>
        <v>1.7141582314093125E-2</v>
      </c>
      <c r="P119" s="467">
        <f t="shared" si="93"/>
        <v>1.7141582314093178E-2</v>
      </c>
      <c r="Q119" s="467">
        <f t="shared" si="93"/>
        <v>1.7141582314092987E-2</v>
      </c>
      <c r="R119" s="467">
        <f t="shared" si="93"/>
        <v>1.7141582314093129E-2</v>
      </c>
      <c r="S119" s="467">
        <f t="shared" si="93"/>
        <v>1.7141582314092945E-2</v>
      </c>
      <c r="T119" s="467">
        <f t="shared" si="93"/>
        <v>1.7141582314093087E-2</v>
      </c>
      <c r="U119" s="467">
        <f t="shared" si="93"/>
        <v>1.714158231409306E-2</v>
      </c>
      <c r="V119" s="467">
        <f t="shared" si="93"/>
        <v>1.7141582314093108E-2</v>
      </c>
      <c r="W119" s="467">
        <f t="shared" si="93"/>
        <v>1.7141582314093108E-2</v>
      </c>
      <c r="X119" s="467">
        <f t="shared" si="93"/>
        <v>1.714158231409291E-2</v>
      </c>
    </row>
    <row r="120" spans="2:24">
      <c r="B120" s="460" t="s">
        <v>873</v>
      </c>
      <c r="C120" s="461"/>
      <c r="D120" s="461"/>
      <c r="E120" s="461"/>
      <c r="F120" s="461"/>
      <c r="G120" s="461"/>
      <c r="H120" s="461"/>
      <c r="I120" s="461"/>
      <c r="J120" s="462"/>
      <c r="K120" s="462">
        <f>K97</f>
        <v>5265.7499999999991</v>
      </c>
      <c r="L120" s="462">
        <f t="shared" ref="L120:X120" si="94">L97</f>
        <v>5281.5472499999987</v>
      </c>
      <c r="M120" s="462">
        <f t="shared" si="94"/>
        <v>5297.3918917499977</v>
      </c>
      <c r="N120" s="462">
        <f t="shared" si="94"/>
        <v>5313.2840674252475</v>
      </c>
      <c r="O120" s="462">
        <f t="shared" si="94"/>
        <v>5329.2239196275223</v>
      </c>
      <c r="P120" s="462">
        <f t="shared" si="94"/>
        <v>5345.2115913864036</v>
      </c>
      <c r="Q120" s="462">
        <f t="shared" si="94"/>
        <v>5361.2472261605626</v>
      </c>
      <c r="R120" s="462">
        <f t="shared" si="94"/>
        <v>5377.3309678390433</v>
      </c>
      <c r="S120" s="462">
        <f t="shared" si="94"/>
        <v>5393.4629607425604</v>
      </c>
      <c r="T120" s="462">
        <f t="shared" si="94"/>
        <v>5409.6433496247873</v>
      </c>
      <c r="U120" s="462">
        <f t="shared" si="94"/>
        <v>5425.8722796736611</v>
      </c>
      <c r="V120" s="462">
        <f t="shared" si="94"/>
        <v>5442.1498965126812</v>
      </c>
      <c r="W120" s="462">
        <f t="shared" si="94"/>
        <v>5458.4763462022183</v>
      </c>
      <c r="X120" s="462">
        <f t="shared" si="94"/>
        <v>5474.8517752408252</v>
      </c>
    </row>
    <row r="121" spans="2:24">
      <c r="B121" s="460"/>
      <c r="C121" s="461"/>
      <c r="D121" s="461"/>
      <c r="E121" s="461"/>
      <c r="F121" s="461"/>
      <c r="G121" s="461"/>
      <c r="H121" s="461"/>
      <c r="I121" s="461"/>
      <c r="J121" s="462"/>
      <c r="K121" s="462"/>
      <c r="L121" s="462"/>
      <c r="M121" s="462"/>
      <c r="N121" s="462"/>
      <c r="O121" s="462"/>
      <c r="P121" s="462"/>
      <c r="Q121" s="462"/>
      <c r="R121" s="462"/>
      <c r="S121" s="462"/>
      <c r="T121" s="462"/>
      <c r="U121" s="462"/>
      <c r="V121" s="462"/>
      <c r="W121" s="462"/>
      <c r="X121" s="462"/>
    </row>
    <row r="122" spans="2:24">
      <c r="B122" s="460"/>
      <c r="C122" s="461"/>
      <c r="D122" s="461"/>
      <c r="E122" s="461"/>
      <c r="F122" s="461"/>
      <c r="G122" s="461"/>
      <c r="H122" s="461"/>
      <c r="I122" s="461"/>
      <c r="J122" s="462"/>
      <c r="K122" s="462"/>
      <c r="L122" s="462"/>
      <c r="M122" s="462"/>
      <c r="N122" s="462"/>
      <c r="O122" s="462"/>
      <c r="P122" s="462"/>
      <c r="Q122" s="462"/>
      <c r="R122" s="462"/>
      <c r="S122" s="462"/>
      <c r="T122" s="462"/>
      <c r="U122" s="462"/>
      <c r="V122" s="462"/>
      <c r="W122" s="462"/>
      <c r="X122" s="462"/>
    </row>
    <row r="123" spans="2:24">
      <c r="B123" s="495" t="s">
        <v>880</v>
      </c>
      <c r="C123" s="495"/>
      <c r="D123" s="495"/>
      <c r="E123" s="495"/>
      <c r="F123" s="495"/>
      <c r="G123" s="495"/>
      <c r="H123" s="495"/>
      <c r="I123" s="495"/>
      <c r="J123" s="495"/>
      <c r="K123" s="495"/>
      <c r="L123" s="495"/>
      <c r="M123" s="495"/>
      <c r="N123" s="495"/>
      <c r="O123" s="495"/>
      <c r="P123" s="495"/>
      <c r="Q123" s="495"/>
      <c r="R123" s="495"/>
      <c r="S123" s="495"/>
      <c r="T123" s="495"/>
      <c r="U123" s="495"/>
      <c r="V123" s="495"/>
      <c r="W123" s="495"/>
      <c r="X123" s="495"/>
    </row>
    <row r="124" spans="2:24">
      <c r="B124" s="465" t="s">
        <v>858</v>
      </c>
      <c r="L124" s="364">
        <v>0.15</v>
      </c>
      <c r="M124" s="363">
        <v>0.15</v>
      </c>
      <c r="N124" s="363">
        <v>0.26249999999999996</v>
      </c>
      <c r="O124" s="363">
        <v>0.32000000000000006</v>
      </c>
      <c r="P124" s="363">
        <v>0.40500000000000003</v>
      </c>
      <c r="Q124" s="363">
        <v>0.47499999999999998</v>
      </c>
      <c r="R124" s="363">
        <v>0.53625</v>
      </c>
      <c r="S124" s="363">
        <v>0.53625</v>
      </c>
      <c r="T124" s="363">
        <v>0.53625</v>
      </c>
      <c r="U124" s="363">
        <v>0.53625</v>
      </c>
      <c r="V124" s="363">
        <v>0.53625</v>
      </c>
      <c r="W124" s="363">
        <v>0.53625</v>
      </c>
      <c r="X124" s="363">
        <v>0.53625</v>
      </c>
    </row>
    <row r="125" spans="2:24">
      <c r="B125" s="465" t="s">
        <v>857</v>
      </c>
      <c r="K125" s="455"/>
      <c r="L125" s="455">
        <f>K131</f>
        <v>0</v>
      </c>
      <c r="M125" s="455">
        <f t="shared" ref="M125:X125" si="95">L131</f>
        <v>277.29469121021026</v>
      </c>
      <c r="N125" s="455">
        <f t="shared" si="95"/>
        <v>369.57809277577826</v>
      </c>
      <c r="O125" s="455">
        <f t="shared" si="95"/>
        <v>412.65366442623673</v>
      </c>
      <c r="P125" s="455">
        <f t="shared" si="95"/>
        <v>470.06672940417729</v>
      </c>
      <c r="Q125" s="455">
        <f t="shared" si="95"/>
        <v>549.45008682338903</v>
      </c>
      <c r="R125" s="455">
        <f t="shared" si="95"/>
        <v>643.25862003733323</v>
      </c>
      <c r="S125" s="455">
        <f t="shared" si="95"/>
        <v>746.92984433937988</v>
      </c>
      <c r="T125" s="455">
        <f t="shared" si="95"/>
        <v>838.60816266840072</v>
      </c>
      <c r="U125" s="455">
        <f t="shared" si="95"/>
        <v>919.74554876805325</v>
      </c>
      <c r="V125" s="455">
        <f t="shared" si="95"/>
        <v>991.61838944016927</v>
      </c>
      <c r="W125" s="455">
        <f t="shared" si="95"/>
        <v>1055.3487188514366</v>
      </c>
      <c r="X125" s="455">
        <f t="shared" si="95"/>
        <v>1111.9228849073211</v>
      </c>
    </row>
    <row r="126" spans="2:24">
      <c r="B126" s="460" t="s">
        <v>889</v>
      </c>
      <c r="K126" s="455"/>
      <c r="L126" s="455">
        <f>L125*L127</f>
        <v>0</v>
      </c>
      <c r="M126" s="455">
        <f t="shared" ref="M126:X126" si="96">M125*M127</f>
        <v>33.534136294915278</v>
      </c>
      <c r="N126" s="455">
        <f t="shared" si="96"/>
        <v>44.694264000036689</v>
      </c>
      <c r="O126" s="455">
        <f t="shared" si="96"/>
        <v>49.903531023518298</v>
      </c>
      <c r="P126" s="455">
        <f t="shared" si="96"/>
        <v>56.846677095577661</v>
      </c>
      <c r="Q126" s="455">
        <f t="shared" si="96"/>
        <v>66.446761091508847</v>
      </c>
      <c r="R126" s="455">
        <f t="shared" si="96"/>
        <v>77.791327857980932</v>
      </c>
      <c r="S126" s="455">
        <f t="shared" si="96"/>
        <v>90.328621487486799</v>
      </c>
      <c r="T126" s="455">
        <f t="shared" si="96"/>
        <v>101.41557453630453</v>
      </c>
      <c r="U126" s="455">
        <f t="shared" si="96"/>
        <v>111.22777884574906</v>
      </c>
      <c r="V126" s="455">
        <f t="shared" si="96"/>
        <v>119.91959196515118</v>
      </c>
      <c r="W126" s="455">
        <f t="shared" si="96"/>
        <v>127.62670508466336</v>
      </c>
      <c r="X126" s="455">
        <f t="shared" si="96"/>
        <v>134.46840041972121</v>
      </c>
    </row>
    <row r="127" spans="2:24">
      <c r="B127" s="466" t="s">
        <v>890</v>
      </c>
      <c r="K127" s="455"/>
      <c r="L127" s="497">
        <f>L130/2</f>
        <v>0.12093320701006091</v>
      </c>
      <c r="M127" s="497">
        <f t="shared" ref="M127:X127" si="97">M130/2</f>
        <v>0.12093320701006091</v>
      </c>
      <c r="N127" s="497">
        <f t="shared" si="97"/>
        <v>0.12093320701006091</v>
      </c>
      <c r="O127" s="497">
        <f t="shared" si="97"/>
        <v>0.12093320701006091</v>
      </c>
      <c r="P127" s="497">
        <f t="shared" si="97"/>
        <v>0.12093320701006091</v>
      </c>
      <c r="Q127" s="497">
        <f t="shared" si="97"/>
        <v>0.12093320701006091</v>
      </c>
      <c r="R127" s="497">
        <f t="shared" si="97"/>
        <v>0.12093320701006091</v>
      </c>
      <c r="S127" s="497">
        <f t="shared" si="97"/>
        <v>0.12093320701006091</v>
      </c>
      <c r="T127" s="497">
        <f t="shared" si="97"/>
        <v>0.12093320701006091</v>
      </c>
      <c r="U127" s="497">
        <f t="shared" si="97"/>
        <v>0.12093320701006091</v>
      </c>
      <c r="V127" s="497">
        <f t="shared" si="97"/>
        <v>0.12093320701006091</v>
      </c>
      <c r="W127" s="497">
        <f t="shared" si="97"/>
        <v>0.12093320701006091</v>
      </c>
      <c r="X127" s="497">
        <f t="shared" si="97"/>
        <v>0.12093320701006091</v>
      </c>
    </row>
    <row r="128" spans="2:24">
      <c r="B128" s="460" t="s">
        <v>856</v>
      </c>
      <c r="C128" s="461"/>
      <c r="D128" s="461"/>
      <c r="E128" s="461"/>
      <c r="F128" s="461"/>
      <c r="G128" s="461"/>
      <c r="H128" s="461"/>
      <c r="I128" s="461"/>
      <c r="J128" s="462"/>
      <c r="K128" s="468"/>
      <c r="L128" s="468">
        <f>L91*L98*L124+300</f>
        <v>365.75967130094932</v>
      </c>
      <c r="M128" s="462">
        <f>M91*M98*M124+100</f>
        <v>165.95695031485212</v>
      </c>
      <c r="N128" s="462">
        <f t="shared" ref="N128:X128" si="98">N91*N98*N124</f>
        <v>115.77093704014415</v>
      </c>
      <c r="O128" s="462">
        <f t="shared" si="98"/>
        <v>141.55367600916068</v>
      </c>
      <c r="P128" s="462">
        <f t="shared" si="98"/>
        <v>179.69133281269123</v>
      </c>
      <c r="Q128" s="462">
        <f t="shared" si="98"/>
        <v>211.3813413216948</v>
      </c>
      <c r="R128" s="462">
        <f t="shared" si="98"/>
        <v>239.35432424549495</v>
      </c>
      <c r="S128" s="462">
        <f t="shared" si="98"/>
        <v>240.0723872182314</v>
      </c>
      <c r="T128" s="462">
        <f t="shared" si="98"/>
        <v>240.79260437988606</v>
      </c>
      <c r="U128" s="462">
        <f t="shared" si="98"/>
        <v>241.51498219302576</v>
      </c>
      <c r="V128" s="462">
        <f t="shared" si="98"/>
        <v>242.23952713960475</v>
      </c>
      <c r="W128" s="462">
        <f t="shared" si="98"/>
        <v>242.9662457210236</v>
      </c>
      <c r="X128" s="462">
        <f t="shared" si="98"/>
        <v>243.6951444581866</v>
      </c>
    </row>
    <row r="129" spans="2:24">
      <c r="B129" s="460" t="s">
        <v>891</v>
      </c>
      <c r="C129" s="461"/>
      <c r="D129" s="461"/>
      <c r="E129" s="461"/>
      <c r="F129" s="461"/>
      <c r="G129" s="461"/>
      <c r="H129" s="461"/>
      <c r="I129" s="461"/>
      <c r="J129" s="462"/>
      <c r="K129" s="462"/>
      <c r="L129" s="462">
        <f>(L128)*L130</f>
        <v>88.464980090739076</v>
      </c>
      <c r="M129" s="462">
        <f t="shared" ref="M129:X129" si="99">(M128)*M130</f>
        <v>40.139412454368809</v>
      </c>
      <c r="N129" s="462">
        <f t="shared" si="99"/>
        <v>28.001101389648962</v>
      </c>
      <c r="O129" s="462">
        <f t="shared" si="99"/>
        <v>34.237080007701842</v>
      </c>
      <c r="P129" s="462">
        <f t="shared" si="99"/>
        <v>43.461298297901877</v>
      </c>
      <c r="Q129" s="462">
        <f t="shared" si="99"/>
        <v>51.126047016241721</v>
      </c>
      <c r="R129" s="462">
        <f t="shared" si="99"/>
        <v>57.891772085467366</v>
      </c>
      <c r="S129" s="462">
        <f t="shared" si="99"/>
        <v>58.065447401723759</v>
      </c>
      <c r="T129" s="462">
        <f t="shared" si="99"/>
        <v>58.239643743928923</v>
      </c>
      <c r="U129" s="462">
        <f t="shared" si="99"/>
        <v>58.414362675160717</v>
      </c>
      <c r="V129" s="462">
        <f t="shared" si="99"/>
        <v>58.589605763186178</v>
      </c>
      <c r="W129" s="462">
        <f t="shared" si="99"/>
        <v>58.765374580475743</v>
      </c>
      <c r="X129" s="462">
        <f t="shared" si="99"/>
        <v>58.941670704217159</v>
      </c>
    </row>
    <row r="130" spans="2:24">
      <c r="B130" s="466" t="s">
        <v>892</v>
      </c>
      <c r="C130" s="461"/>
      <c r="D130" s="461"/>
      <c r="E130" s="461"/>
      <c r="F130" s="461"/>
      <c r="G130" s="461"/>
      <c r="H130" s="461"/>
      <c r="I130" s="461"/>
      <c r="J130" s="462"/>
      <c r="K130" s="469"/>
      <c r="L130" s="469">
        <f>L107</f>
        <v>0.24186641402012182</v>
      </c>
      <c r="M130" s="467">
        <f t="shared" ref="M130:X130" si="100">L130</f>
        <v>0.24186641402012182</v>
      </c>
      <c r="N130" s="467">
        <f t="shared" si="100"/>
        <v>0.24186641402012182</v>
      </c>
      <c r="O130" s="467">
        <f t="shared" si="100"/>
        <v>0.24186641402012182</v>
      </c>
      <c r="P130" s="467">
        <f t="shared" si="100"/>
        <v>0.24186641402012182</v>
      </c>
      <c r="Q130" s="467">
        <f t="shared" si="100"/>
        <v>0.24186641402012182</v>
      </c>
      <c r="R130" s="467">
        <f t="shared" si="100"/>
        <v>0.24186641402012182</v>
      </c>
      <c r="S130" s="467">
        <f t="shared" si="100"/>
        <v>0.24186641402012182</v>
      </c>
      <c r="T130" s="467">
        <f t="shared" si="100"/>
        <v>0.24186641402012182</v>
      </c>
      <c r="U130" s="467">
        <f t="shared" si="100"/>
        <v>0.24186641402012182</v>
      </c>
      <c r="V130" s="467">
        <f t="shared" si="100"/>
        <v>0.24186641402012182</v>
      </c>
      <c r="W130" s="467">
        <f t="shared" si="100"/>
        <v>0.24186641402012182</v>
      </c>
      <c r="X130" s="467">
        <f t="shared" si="100"/>
        <v>0.24186641402012182</v>
      </c>
    </row>
    <row r="131" spans="2:24">
      <c r="B131" s="460" t="s">
        <v>859</v>
      </c>
      <c r="C131" s="461"/>
      <c r="D131" s="461"/>
      <c r="E131" s="461"/>
      <c r="F131" s="461"/>
      <c r="G131" s="461"/>
      <c r="H131" s="461"/>
      <c r="I131" s="461"/>
      <c r="J131" s="462"/>
      <c r="K131" s="462"/>
      <c r="L131" s="462">
        <f>L125+L128-L129-L126</f>
        <v>277.29469121021026</v>
      </c>
      <c r="M131" s="462">
        <f t="shared" ref="M131:X131" si="101">M125+M128-M129-M126</f>
        <v>369.57809277577826</v>
      </c>
      <c r="N131" s="462">
        <f t="shared" si="101"/>
        <v>412.65366442623673</v>
      </c>
      <c r="O131" s="462">
        <f t="shared" si="101"/>
        <v>470.06672940417729</v>
      </c>
      <c r="P131" s="462">
        <f t="shared" si="101"/>
        <v>549.45008682338903</v>
      </c>
      <c r="Q131" s="462">
        <f t="shared" si="101"/>
        <v>643.25862003733323</v>
      </c>
      <c r="R131" s="462">
        <f t="shared" si="101"/>
        <v>746.92984433937988</v>
      </c>
      <c r="S131" s="462">
        <f t="shared" si="101"/>
        <v>838.60816266840072</v>
      </c>
      <c r="T131" s="462">
        <f t="shared" si="101"/>
        <v>919.74554876805325</v>
      </c>
      <c r="U131" s="462">
        <f t="shared" si="101"/>
        <v>991.61838944016927</v>
      </c>
      <c r="V131" s="462">
        <f t="shared" si="101"/>
        <v>1055.3487188514366</v>
      </c>
      <c r="W131" s="462">
        <f t="shared" si="101"/>
        <v>1111.9228849073211</v>
      </c>
      <c r="X131" s="462">
        <f t="shared" si="101"/>
        <v>1162.2079582415695</v>
      </c>
    </row>
    <row r="132" spans="2:24">
      <c r="B132" s="460"/>
      <c r="C132" s="461"/>
      <c r="D132" s="461"/>
      <c r="E132" s="461"/>
      <c r="F132" s="461"/>
      <c r="G132" s="461"/>
      <c r="H132" s="461"/>
      <c r="I132" s="461"/>
      <c r="J132" s="462"/>
      <c r="K132" s="462"/>
      <c r="L132" s="462"/>
      <c r="M132" s="462"/>
      <c r="N132" s="462"/>
      <c r="O132" s="462"/>
      <c r="P132" s="462"/>
      <c r="Q132" s="462"/>
      <c r="R132" s="462"/>
      <c r="S132" s="462"/>
      <c r="T132" s="462"/>
      <c r="U132" s="462"/>
      <c r="V132" s="462"/>
      <c r="W132" s="462"/>
      <c r="X132" s="462"/>
    </row>
    <row r="133" spans="2:24">
      <c r="B133" s="495" t="s">
        <v>881</v>
      </c>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row>
    <row r="134" spans="2:24">
      <c r="B134" s="465" t="s">
        <v>858</v>
      </c>
      <c r="C134" s="461"/>
      <c r="D134" s="461"/>
      <c r="E134" s="461"/>
      <c r="F134" s="461"/>
      <c r="G134" s="461"/>
      <c r="H134" s="461"/>
      <c r="I134" s="461"/>
      <c r="J134" s="462"/>
      <c r="K134" s="462"/>
      <c r="L134" s="364">
        <v>0.1</v>
      </c>
      <c r="M134" s="496">
        <v>7.4999999999999997E-2</v>
      </c>
      <c r="N134" s="496">
        <f>M134*1.5</f>
        <v>0.11249999999999999</v>
      </c>
      <c r="O134" s="496">
        <f>N134*1.25</f>
        <v>0.140625</v>
      </c>
      <c r="P134" s="363">
        <f>O134*1.05</f>
        <v>0.14765625000000002</v>
      </c>
      <c r="Q134" s="363">
        <f>P134*1.025</f>
        <v>0.15134765625000002</v>
      </c>
      <c r="R134" s="363">
        <f t="shared" ref="R134:U134" si="102">Q134*1.025</f>
        <v>0.15513134765625</v>
      </c>
      <c r="S134" s="363">
        <f t="shared" si="102"/>
        <v>0.15900963134765625</v>
      </c>
      <c r="T134" s="363">
        <f t="shared" si="102"/>
        <v>0.16298487213134763</v>
      </c>
      <c r="U134" s="363">
        <f t="shared" si="102"/>
        <v>0.16705949393463132</v>
      </c>
      <c r="V134" s="363">
        <f>U134</f>
        <v>0.16705949393463132</v>
      </c>
      <c r="W134" s="363">
        <f>V134</f>
        <v>0.16705949393463132</v>
      </c>
      <c r="X134" s="363">
        <f>W134</f>
        <v>0.16705949393463132</v>
      </c>
    </row>
    <row r="135" spans="2:24">
      <c r="B135" s="465" t="s">
        <v>857</v>
      </c>
      <c r="C135" s="461"/>
      <c r="D135" s="461"/>
      <c r="E135" s="461"/>
      <c r="F135" s="461"/>
      <c r="G135" s="461"/>
      <c r="H135" s="461"/>
      <c r="I135" s="461"/>
      <c r="J135" s="462"/>
      <c r="K135" s="462"/>
      <c r="L135" s="455">
        <f>K140</f>
        <v>0</v>
      </c>
      <c r="M135" s="455">
        <f>L141</f>
        <v>746.45830359960644</v>
      </c>
      <c r="N135" s="455">
        <f t="shared" ref="N135:X135" si="103">M141</f>
        <v>943.54603067351661</v>
      </c>
      <c r="O135" s="455">
        <f t="shared" si="103"/>
        <v>949.88088610638476</v>
      </c>
      <c r="P135" s="455">
        <f t="shared" si="103"/>
        <v>961.02028854077491</v>
      </c>
      <c r="Q135" s="455">
        <f t="shared" si="103"/>
        <v>973.29143311350867</v>
      </c>
      <c r="R135" s="455">
        <f t="shared" si="103"/>
        <v>986.10884656222436</v>
      </c>
      <c r="S135" s="455">
        <f t="shared" si="103"/>
        <v>999.48509807999437</v>
      </c>
      <c r="T135" s="455">
        <f t="shared" si="103"/>
        <v>1013.4331476965368</v>
      </c>
      <c r="U135" s="455">
        <f t="shared" si="103"/>
        <v>1027.9663567303398</v>
      </c>
      <c r="V135" s="455">
        <f t="shared" si="103"/>
        <v>1043.0984985413691</v>
      </c>
      <c r="W135" s="455">
        <f t="shared" si="103"/>
        <v>1058.1107822697411</v>
      </c>
      <c r="X135" s="455">
        <f t="shared" si="103"/>
        <v>1073.0051149831602</v>
      </c>
    </row>
    <row r="136" spans="2:24">
      <c r="B136" s="460" t="s">
        <v>889</v>
      </c>
      <c r="C136" s="461"/>
      <c r="D136" s="461"/>
      <c r="E136" s="461"/>
      <c r="F136" s="461"/>
      <c r="G136" s="461"/>
      <c r="H136" s="461"/>
      <c r="I136" s="461"/>
      <c r="J136" s="462"/>
      <c r="K136" s="462"/>
      <c r="L136" s="455">
        <f>L135*L137</f>
        <v>0</v>
      </c>
      <c r="M136" s="455">
        <f t="shared" ref="M136:X136" si="104">M135*M137</f>
        <v>10.238472317057223</v>
      </c>
      <c r="N136" s="455">
        <f t="shared" si="104"/>
        <v>12.941740842502323</v>
      </c>
      <c r="O136" s="455">
        <f t="shared" si="104"/>
        <v>13.028630145855523</v>
      </c>
      <c r="P136" s="455">
        <f t="shared" si="104"/>
        <v>13.181418939151925</v>
      </c>
      <c r="Q136" s="455">
        <f t="shared" si="104"/>
        <v>13.349730783766265</v>
      </c>
      <c r="R136" s="455">
        <f t="shared" si="104"/>
        <v>13.525535289038865</v>
      </c>
      <c r="S136" s="455">
        <f t="shared" si="104"/>
        <v>13.709004854867612</v>
      </c>
      <c r="T136" s="455">
        <f t="shared" si="104"/>
        <v>13.900317241892127</v>
      </c>
      <c r="U136" s="455">
        <f t="shared" si="104"/>
        <v>14.099655714855798</v>
      </c>
      <c r="V136" s="455">
        <f t="shared" si="104"/>
        <v>14.307209190090644</v>
      </c>
      <c r="W136" s="455">
        <f t="shared" si="104"/>
        <v>14.513118683799204</v>
      </c>
      <c r="X136" s="455">
        <f t="shared" si="104"/>
        <v>14.717410353450425</v>
      </c>
    </row>
    <row r="137" spans="2:24">
      <c r="B137" s="466" t="s">
        <v>890</v>
      </c>
      <c r="C137" s="461"/>
      <c r="D137" s="461"/>
      <c r="E137" s="461"/>
      <c r="F137" s="461"/>
      <c r="G137" s="461"/>
      <c r="H137" s="461"/>
      <c r="I137" s="461"/>
      <c r="J137" s="462"/>
      <c r="K137" s="462"/>
      <c r="L137" s="497">
        <f>L140/2</f>
        <v>1.3716067284247197E-2</v>
      </c>
      <c r="M137" s="497">
        <f t="shared" ref="M137:X137" si="105">M140/2</f>
        <v>1.3716067284247197E-2</v>
      </c>
      <c r="N137" s="497">
        <f t="shared" si="105"/>
        <v>1.3716067284247197E-2</v>
      </c>
      <c r="O137" s="497">
        <f t="shared" si="105"/>
        <v>1.3716067284247197E-2</v>
      </c>
      <c r="P137" s="497">
        <f t="shared" si="105"/>
        <v>1.3716067284247197E-2</v>
      </c>
      <c r="Q137" s="497">
        <f t="shared" si="105"/>
        <v>1.3716067284247197E-2</v>
      </c>
      <c r="R137" s="497">
        <f t="shared" si="105"/>
        <v>1.3716067284247197E-2</v>
      </c>
      <c r="S137" s="497">
        <f t="shared" si="105"/>
        <v>1.3716067284247197E-2</v>
      </c>
      <c r="T137" s="497">
        <f t="shared" si="105"/>
        <v>1.3716067284247197E-2</v>
      </c>
      <c r="U137" s="497">
        <f t="shared" si="105"/>
        <v>1.3716067284247197E-2</v>
      </c>
      <c r="V137" s="497">
        <f t="shared" si="105"/>
        <v>1.3716067284247197E-2</v>
      </c>
      <c r="W137" s="497">
        <f t="shared" si="105"/>
        <v>1.3716067284247197E-2</v>
      </c>
      <c r="X137" s="497">
        <f t="shared" si="105"/>
        <v>1.3716067284247197E-2</v>
      </c>
    </row>
    <row r="138" spans="2:24">
      <c r="B138" s="460" t="s">
        <v>856</v>
      </c>
      <c r="C138" s="461"/>
      <c r="D138" s="461"/>
      <c r="E138" s="461"/>
      <c r="F138" s="461"/>
      <c r="G138" s="461"/>
      <c r="H138" s="461"/>
      <c r="I138" s="461"/>
      <c r="J138" s="462"/>
      <c r="K138" s="462"/>
      <c r="L138" s="468">
        <f>L92*L99*L134+750</f>
        <v>767.51281852029967</v>
      </c>
      <c r="M138" s="468">
        <f>M92*M99*M134+200</f>
        <v>213.17401773189539</v>
      </c>
      <c r="N138" s="462">
        <f t="shared" ref="N138:X138" si="106">N92*N99*N134</f>
        <v>19.820309677636622</v>
      </c>
      <c r="O138" s="462">
        <f t="shared" si="106"/>
        <v>24.849713258336919</v>
      </c>
      <c r="P138" s="462">
        <f t="shared" si="106"/>
        <v>26.170475518017525</v>
      </c>
      <c r="Q138" s="462">
        <f t="shared" si="106"/>
        <v>26.905211618185866</v>
      </c>
      <c r="R138" s="462">
        <f t="shared" si="106"/>
        <v>27.660575434366425</v>
      </c>
      <c r="S138" s="462">
        <f t="shared" si="106"/>
        <v>28.437146089686259</v>
      </c>
      <c r="T138" s="462">
        <f t="shared" si="106"/>
        <v>29.235518966154189</v>
      </c>
      <c r="U138" s="462">
        <f t="shared" si="106"/>
        <v>30.056306161128969</v>
      </c>
      <c r="V138" s="462">
        <f t="shared" si="106"/>
        <v>30.146475079612351</v>
      </c>
      <c r="W138" s="462">
        <f t="shared" si="106"/>
        <v>30.236914504851189</v>
      </c>
      <c r="X138" s="462">
        <f t="shared" si="106"/>
        <v>30.327625248365738</v>
      </c>
    </row>
    <row r="139" spans="2:24">
      <c r="B139" s="460" t="s">
        <v>891</v>
      </c>
      <c r="C139" s="461"/>
      <c r="D139" s="461"/>
      <c r="E139" s="461"/>
      <c r="F139" s="461"/>
      <c r="G139" s="461"/>
      <c r="H139" s="461"/>
      <c r="I139" s="461"/>
      <c r="J139" s="462"/>
      <c r="K139" s="462"/>
      <c r="L139" s="462">
        <f>L138*L140</f>
        <v>21.054514920693276</v>
      </c>
      <c r="M139" s="462">
        <f t="shared" ref="M139:X139" si="107">M138*M140</f>
        <v>5.8478183409279643</v>
      </c>
      <c r="N139" s="462">
        <f t="shared" si="107"/>
        <v>0.54371340226615961</v>
      </c>
      <c r="O139" s="462">
        <f t="shared" si="107"/>
        <v>0.6816806780911977</v>
      </c>
      <c r="P139" s="462">
        <f t="shared" si="107"/>
        <v>0.71791200613174477</v>
      </c>
      <c r="Q139" s="462">
        <f t="shared" si="107"/>
        <v>0.73806738570389352</v>
      </c>
      <c r="R139" s="462">
        <f t="shared" si="107"/>
        <v>0.75878862755753007</v>
      </c>
      <c r="S139" s="462">
        <f t="shared" si="107"/>
        <v>0.78009161827620765</v>
      </c>
      <c r="T139" s="462">
        <f t="shared" si="107"/>
        <v>0.80199269045931176</v>
      </c>
      <c r="U139" s="462">
        <f t="shared" si="107"/>
        <v>0.82450863524395701</v>
      </c>
      <c r="V139" s="462">
        <f t="shared" si="107"/>
        <v>0.82698216114968881</v>
      </c>
      <c r="W139" s="462">
        <f t="shared" si="107"/>
        <v>0.82946310763313791</v>
      </c>
      <c r="X139" s="462">
        <f t="shared" si="107"/>
        <v>0.83195149695603721</v>
      </c>
    </row>
    <row r="140" spans="2:24">
      <c r="B140" s="466" t="s">
        <v>892</v>
      </c>
      <c r="C140" s="461"/>
      <c r="D140" s="461"/>
      <c r="E140" s="461"/>
      <c r="F140" s="461"/>
      <c r="G140" s="461"/>
      <c r="H140" s="461"/>
      <c r="I140" s="461"/>
      <c r="J140" s="462"/>
      <c r="K140" s="462"/>
      <c r="L140" s="469">
        <f>L113</f>
        <v>2.7432134568494394E-2</v>
      </c>
      <c r="M140" s="467">
        <f>L140</f>
        <v>2.7432134568494394E-2</v>
      </c>
      <c r="N140" s="467">
        <f t="shared" ref="N140:X140" si="108">M140</f>
        <v>2.7432134568494394E-2</v>
      </c>
      <c r="O140" s="467">
        <f t="shared" si="108"/>
        <v>2.7432134568494394E-2</v>
      </c>
      <c r="P140" s="467">
        <f t="shared" si="108"/>
        <v>2.7432134568494394E-2</v>
      </c>
      <c r="Q140" s="467">
        <f t="shared" si="108"/>
        <v>2.7432134568494394E-2</v>
      </c>
      <c r="R140" s="467">
        <f t="shared" si="108"/>
        <v>2.7432134568494394E-2</v>
      </c>
      <c r="S140" s="467">
        <f t="shared" si="108"/>
        <v>2.7432134568494394E-2</v>
      </c>
      <c r="T140" s="467">
        <f t="shared" si="108"/>
        <v>2.7432134568494394E-2</v>
      </c>
      <c r="U140" s="467">
        <f t="shared" si="108"/>
        <v>2.7432134568494394E-2</v>
      </c>
      <c r="V140" s="467">
        <f t="shared" si="108"/>
        <v>2.7432134568494394E-2</v>
      </c>
      <c r="W140" s="467">
        <f t="shared" si="108"/>
        <v>2.7432134568494394E-2</v>
      </c>
      <c r="X140" s="467">
        <f t="shared" si="108"/>
        <v>2.7432134568494394E-2</v>
      </c>
    </row>
    <row r="141" spans="2:24">
      <c r="B141" s="460" t="s">
        <v>859</v>
      </c>
      <c r="C141" s="461"/>
      <c r="D141" s="461"/>
      <c r="E141" s="461"/>
      <c r="F141" s="461"/>
      <c r="G141" s="461"/>
      <c r="H141" s="461"/>
      <c r="I141" s="461"/>
      <c r="J141" s="462"/>
      <c r="K141" s="462"/>
      <c r="L141" s="462">
        <f>L135+L138-L139-L136</f>
        <v>746.45830359960644</v>
      </c>
      <c r="M141" s="462">
        <f t="shared" ref="M141:X141" si="109">M135+M138-M139-M136</f>
        <v>943.54603067351661</v>
      </c>
      <c r="N141" s="462">
        <f t="shared" si="109"/>
        <v>949.88088610638476</v>
      </c>
      <c r="O141" s="462">
        <f t="shared" si="109"/>
        <v>961.02028854077491</v>
      </c>
      <c r="P141" s="462">
        <f t="shared" si="109"/>
        <v>973.29143311350867</v>
      </c>
      <c r="Q141" s="462">
        <f t="shared" si="109"/>
        <v>986.10884656222436</v>
      </c>
      <c r="R141" s="462">
        <f t="shared" si="109"/>
        <v>999.48509807999437</v>
      </c>
      <c r="S141" s="462">
        <f t="shared" si="109"/>
        <v>1013.4331476965368</v>
      </c>
      <c r="T141" s="462">
        <f t="shared" si="109"/>
        <v>1027.9663567303398</v>
      </c>
      <c r="U141" s="462">
        <f t="shared" si="109"/>
        <v>1043.0984985413691</v>
      </c>
      <c r="V141" s="462">
        <f t="shared" si="109"/>
        <v>1058.1107822697411</v>
      </c>
      <c r="W141" s="462">
        <f t="shared" si="109"/>
        <v>1073.0051149831602</v>
      </c>
      <c r="X141" s="462">
        <f t="shared" si="109"/>
        <v>1087.7833783811195</v>
      </c>
    </row>
    <row r="142" spans="2:24">
      <c r="B142" s="460"/>
      <c r="C142" s="461"/>
      <c r="D142" s="461"/>
      <c r="E142" s="461"/>
      <c r="F142" s="461"/>
      <c r="G142" s="461"/>
      <c r="H142" s="461"/>
      <c r="I142" s="461"/>
      <c r="J142" s="462"/>
      <c r="K142" s="462"/>
      <c r="L142" s="462"/>
      <c r="M142" s="462"/>
      <c r="N142" s="462"/>
      <c r="O142" s="462"/>
      <c r="P142" s="462"/>
      <c r="Q142" s="462"/>
      <c r="R142" s="462"/>
      <c r="S142" s="462"/>
      <c r="T142" s="462"/>
      <c r="U142" s="462"/>
      <c r="V142" s="462"/>
      <c r="W142" s="462"/>
      <c r="X142" s="462"/>
    </row>
    <row r="143" spans="2:24">
      <c r="B143" s="495" t="s">
        <v>882</v>
      </c>
      <c r="C143" s="495"/>
      <c r="D143" s="495"/>
      <c r="E143" s="495"/>
      <c r="F143" s="495"/>
      <c r="G143" s="495"/>
      <c r="H143" s="495"/>
      <c r="I143" s="495"/>
      <c r="J143" s="495"/>
      <c r="K143" s="495"/>
      <c r="L143" s="495"/>
      <c r="M143" s="495"/>
      <c r="N143" s="495"/>
      <c r="O143" s="495"/>
      <c r="P143" s="495"/>
      <c r="Q143" s="495"/>
      <c r="R143" s="495"/>
      <c r="S143" s="495"/>
      <c r="T143" s="495"/>
      <c r="U143" s="495"/>
      <c r="V143" s="495"/>
      <c r="W143" s="495"/>
      <c r="X143" s="495"/>
    </row>
    <row r="144" spans="2:24">
      <c r="B144" s="465" t="s">
        <v>858</v>
      </c>
      <c r="C144" s="461"/>
      <c r="D144" s="461"/>
      <c r="E144" s="461"/>
      <c r="F144" s="461"/>
      <c r="G144" s="461"/>
      <c r="H144" s="461"/>
      <c r="I144" s="461"/>
      <c r="J144" s="462"/>
      <c r="K144" s="462"/>
      <c r="L144" s="364">
        <v>0.01</v>
      </c>
      <c r="M144" s="363">
        <f>L144*2</f>
        <v>0.02</v>
      </c>
      <c r="N144" s="363">
        <f>M144*1.5</f>
        <v>0.03</v>
      </c>
      <c r="O144" s="363">
        <f>N144*1.25</f>
        <v>3.7499999999999999E-2</v>
      </c>
      <c r="P144" s="363">
        <f>O144*1.15</f>
        <v>4.3124999999999997E-2</v>
      </c>
      <c r="Q144" s="363">
        <f>P144*1.05</f>
        <v>4.5281249999999995E-2</v>
      </c>
      <c r="R144" s="363">
        <f t="shared" ref="R144:X144" si="110">Q144*1.05</f>
        <v>4.7545312499999999E-2</v>
      </c>
      <c r="S144" s="363">
        <f t="shared" si="110"/>
        <v>4.9922578124999999E-2</v>
      </c>
      <c r="T144" s="363">
        <f t="shared" si="110"/>
        <v>5.2418707031249998E-2</v>
      </c>
      <c r="U144" s="363">
        <f t="shared" si="110"/>
        <v>5.5039642382812497E-2</v>
      </c>
      <c r="V144" s="363">
        <f t="shared" si="110"/>
        <v>5.7791624501953125E-2</v>
      </c>
      <c r="W144" s="363">
        <f t="shared" si="110"/>
        <v>6.0681205727050783E-2</v>
      </c>
      <c r="X144" s="363">
        <f t="shared" si="110"/>
        <v>6.3715266013403327E-2</v>
      </c>
    </row>
    <row r="145" spans="2:24">
      <c r="B145" s="465" t="s">
        <v>857</v>
      </c>
      <c r="C145" s="461"/>
      <c r="D145" s="461"/>
      <c r="E145" s="461"/>
      <c r="F145" s="461"/>
      <c r="G145" s="461"/>
      <c r="H145" s="461"/>
      <c r="I145" s="461"/>
      <c r="J145" s="462"/>
      <c r="K145" s="462"/>
      <c r="L145" s="455">
        <f>K150</f>
        <v>0</v>
      </c>
      <c r="M145" s="455">
        <f>L151</f>
        <v>288.17788988472483</v>
      </c>
      <c r="N145" s="455">
        <f t="shared" ref="N145:X145" si="111">M151</f>
        <v>606.59843374315437</v>
      </c>
      <c r="O145" s="455">
        <f t="shared" si="111"/>
        <v>886.28055445701682</v>
      </c>
      <c r="P145" s="455">
        <f t="shared" si="111"/>
        <v>1026.0753262099831</v>
      </c>
      <c r="Q145" s="455">
        <f t="shared" si="111"/>
        <v>1073.9212751708487</v>
      </c>
      <c r="R145" s="455">
        <f t="shared" si="111"/>
        <v>1124.3675745229441</v>
      </c>
      <c r="S145" s="455">
        <f t="shared" si="111"/>
        <v>1177.5519414557916</v>
      </c>
      <c r="T145" s="455">
        <f t="shared" si="111"/>
        <v>1233.6194170395131</v>
      </c>
      <c r="U145" s="455">
        <f t="shared" si="111"/>
        <v>1292.7227554529836</v>
      </c>
      <c r="V145" s="455">
        <f t="shared" si="111"/>
        <v>1355.0228338997708</v>
      </c>
      <c r="W145" s="455">
        <f t="shared" si="111"/>
        <v>1420.6890843114143</v>
      </c>
      <c r="X145" s="455">
        <f t="shared" si="111"/>
        <v>1489.8999479960369</v>
      </c>
    </row>
    <row r="146" spans="2:24">
      <c r="B146" s="460" t="s">
        <v>889</v>
      </c>
      <c r="C146" s="461"/>
      <c r="D146" s="461"/>
      <c r="E146" s="461"/>
      <c r="F146" s="461"/>
      <c r="G146" s="461"/>
      <c r="H146" s="461"/>
      <c r="I146" s="461"/>
      <c r="J146" s="462"/>
      <c r="K146" s="462"/>
      <c r="L146" s="455">
        <f>L145*L147</f>
        <v>0</v>
      </c>
      <c r="M146" s="455">
        <f t="shared" ref="M146:X146" si="112">M145*M147</f>
        <v>2.4699125102803223</v>
      </c>
      <c r="N146" s="455">
        <f t="shared" si="112"/>
        <v>5.1990284918040901</v>
      </c>
      <c r="O146" s="455">
        <f t="shared" si="112"/>
        <v>7.5961255388024771</v>
      </c>
      <c r="P146" s="455">
        <f t="shared" si="112"/>
        <v>8.7942773323441354</v>
      </c>
      <c r="Q146" s="455">
        <f t="shared" si="112"/>
        <v>9.2043549685984214</v>
      </c>
      <c r="R146" s="455">
        <f t="shared" si="112"/>
        <v>9.6367196649910802</v>
      </c>
      <c r="S146" s="455">
        <f t="shared" si="112"/>
        <v>10.092551766792248</v>
      </c>
      <c r="T146" s="455">
        <f t="shared" si="112"/>
        <v>10.573094390723128</v>
      </c>
      <c r="U146" s="455">
        <f t="shared" si="112"/>
        <v>11.079656760949229</v>
      </c>
      <c r="V146" s="455">
        <f t="shared" si="112"/>
        <v>11.613617722384257</v>
      </c>
      <c r="W146" s="455">
        <f t="shared" si="112"/>
        <v>12.176429440728771</v>
      </c>
      <c r="X146" s="455">
        <f t="shared" si="112"/>
        <v>12.769621299168486</v>
      </c>
    </row>
    <row r="147" spans="2:24">
      <c r="B147" s="466" t="s">
        <v>890</v>
      </c>
      <c r="C147" s="461"/>
      <c r="D147" s="461"/>
      <c r="E147" s="461"/>
      <c r="F147" s="461"/>
      <c r="G147" s="461"/>
      <c r="H147" s="461"/>
      <c r="I147" s="461"/>
      <c r="J147" s="462"/>
      <c r="K147" s="462"/>
      <c r="L147" s="497">
        <f>L150/2</f>
        <v>8.570791157046509E-3</v>
      </c>
      <c r="M147" s="497">
        <f t="shared" ref="M147:X147" si="113">M150/2</f>
        <v>8.570791157046509E-3</v>
      </c>
      <c r="N147" s="497">
        <f t="shared" si="113"/>
        <v>8.570791157046509E-3</v>
      </c>
      <c r="O147" s="497">
        <f t="shared" si="113"/>
        <v>8.570791157046509E-3</v>
      </c>
      <c r="P147" s="497">
        <f t="shared" si="113"/>
        <v>8.570791157046509E-3</v>
      </c>
      <c r="Q147" s="497">
        <f t="shared" si="113"/>
        <v>8.570791157046509E-3</v>
      </c>
      <c r="R147" s="497">
        <f t="shared" si="113"/>
        <v>8.570791157046509E-3</v>
      </c>
      <c r="S147" s="497">
        <f t="shared" si="113"/>
        <v>8.570791157046509E-3</v>
      </c>
      <c r="T147" s="497">
        <f t="shared" si="113"/>
        <v>8.570791157046509E-3</v>
      </c>
      <c r="U147" s="497">
        <f t="shared" si="113"/>
        <v>8.570791157046509E-3</v>
      </c>
      <c r="V147" s="497">
        <f t="shared" si="113"/>
        <v>8.570791157046509E-3</v>
      </c>
      <c r="W147" s="497">
        <f t="shared" si="113"/>
        <v>8.570791157046509E-3</v>
      </c>
      <c r="X147" s="497">
        <f t="shared" si="113"/>
        <v>8.570791157046509E-3</v>
      </c>
    </row>
    <row r="148" spans="2:24">
      <c r="B148" s="460" t="s">
        <v>856</v>
      </c>
      <c r="C148" s="461"/>
      <c r="D148" s="461"/>
      <c r="E148" s="461"/>
      <c r="F148" s="461"/>
      <c r="G148" s="461"/>
      <c r="H148" s="461"/>
      <c r="I148" s="461"/>
      <c r="J148" s="462"/>
      <c r="K148" s="462"/>
      <c r="L148" s="462">
        <f>L97*L100*L144+280</f>
        <v>293.20386812499999</v>
      </c>
      <c r="M148" s="462">
        <f>M97*M100*M144+300</f>
        <v>326.48695945874999</v>
      </c>
      <c r="N148" s="462">
        <f>N97*N100*N144+250</f>
        <v>289.84963050568933</v>
      </c>
      <c r="O148" s="462">
        <f>O97*O100*O144+100</f>
        <v>149.96147424650803</v>
      </c>
      <c r="P148" s="462">
        <f t="shared" ref="P148:X148" si="114">P97*P100*P144</f>
        <v>57.628062469634656</v>
      </c>
      <c r="Q148" s="462">
        <f t="shared" si="114"/>
        <v>60.690993989895738</v>
      </c>
      <c r="R148" s="462">
        <f t="shared" si="114"/>
        <v>63.916720320458687</v>
      </c>
      <c r="S148" s="462">
        <f t="shared" si="114"/>
        <v>67.313894005491065</v>
      </c>
      <c r="T148" s="462">
        <f t="shared" si="114"/>
        <v>70.891627471882913</v>
      </c>
      <c r="U148" s="462">
        <f t="shared" si="114"/>
        <v>74.659517472013476</v>
      </c>
      <c r="V148" s="462">
        <f t="shared" si="114"/>
        <v>78.627670825650981</v>
      </c>
      <c r="W148" s="462">
        <f t="shared" si="114"/>
        <v>82.806731530034327</v>
      </c>
      <c r="X148" s="462">
        <f t="shared" si="114"/>
        <v>87.207909310855655</v>
      </c>
    </row>
    <row r="149" spans="2:24">
      <c r="B149" s="460" t="s">
        <v>891</v>
      </c>
      <c r="C149" s="461"/>
      <c r="D149" s="461"/>
      <c r="E149" s="461"/>
      <c r="F149" s="461"/>
      <c r="G149" s="461"/>
      <c r="H149" s="461"/>
      <c r="I149" s="461"/>
      <c r="J149" s="462"/>
      <c r="K149" s="462"/>
      <c r="L149" s="462">
        <f>L148*L150</f>
        <v>5.0259782402751609</v>
      </c>
      <c r="M149" s="462">
        <f t="shared" ref="M149:X149" si="115">M148*M150</f>
        <v>5.5965030900401134</v>
      </c>
      <c r="N149" s="462">
        <f t="shared" si="115"/>
        <v>4.9684813000227201</v>
      </c>
      <c r="O149" s="462">
        <f t="shared" si="115"/>
        <v>2.5705769547392578</v>
      </c>
      <c r="P149" s="462">
        <f t="shared" si="115"/>
        <v>0.98783617642493704</v>
      </c>
      <c r="Q149" s="462">
        <f t="shared" si="115"/>
        <v>1.0403396692019224</v>
      </c>
      <c r="R149" s="462">
        <f t="shared" si="115"/>
        <v>1.0956337226200044</v>
      </c>
      <c r="S149" s="462">
        <f t="shared" si="115"/>
        <v>1.1538666549772576</v>
      </c>
      <c r="T149" s="462">
        <f t="shared" si="115"/>
        <v>1.2151946676892988</v>
      </c>
      <c r="U149" s="462">
        <f t="shared" si="115"/>
        <v>1.2797822642769849</v>
      </c>
      <c r="V149" s="462">
        <f t="shared" si="115"/>
        <v>1.3478026916233063</v>
      </c>
      <c r="W149" s="462">
        <f t="shared" si="115"/>
        <v>1.419438404683085</v>
      </c>
      <c r="X149" s="462">
        <f t="shared" si="115"/>
        <v>1.494881555891991</v>
      </c>
    </row>
    <row r="150" spans="2:24">
      <c r="B150" s="466" t="s">
        <v>892</v>
      </c>
      <c r="C150" s="461"/>
      <c r="D150" s="461"/>
      <c r="E150" s="461"/>
      <c r="F150" s="461"/>
      <c r="G150" s="461"/>
      <c r="H150" s="461"/>
      <c r="I150" s="461"/>
      <c r="J150" s="462"/>
      <c r="K150" s="462"/>
      <c r="L150" s="469">
        <f>L119</f>
        <v>1.7141582314093018E-2</v>
      </c>
      <c r="M150" s="467">
        <f>L150</f>
        <v>1.7141582314093018E-2</v>
      </c>
      <c r="N150" s="467">
        <f t="shared" ref="N150:X150" si="116">M150</f>
        <v>1.7141582314093018E-2</v>
      </c>
      <c r="O150" s="467">
        <f t="shared" si="116"/>
        <v>1.7141582314093018E-2</v>
      </c>
      <c r="P150" s="467">
        <f t="shared" si="116"/>
        <v>1.7141582314093018E-2</v>
      </c>
      <c r="Q150" s="467">
        <f t="shared" si="116"/>
        <v>1.7141582314093018E-2</v>
      </c>
      <c r="R150" s="467">
        <f t="shared" si="116"/>
        <v>1.7141582314093018E-2</v>
      </c>
      <c r="S150" s="467">
        <f t="shared" si="116"/>
        <v>1.7141582314093018E-2</v>
      </c>
      <c r="T150" s="467">
        <f t="shared" si="116"/>
        <v>1.7141582314093018E-2</v>
      </c>
      <c r="U150" s="467">
        <f t="shared" si="116"/>
        <v>1.7141582314093018E-2</v>
      </c>
      <c r="V150" s="467">
        <f t="shared" si="116"/>
        <v>1.7141582314093018E-2</v>
      </c>
      <c r="W150" s="467">
        <f t="shared" si="116"/>
        <v>1.7141582314093018E-2</v>
      </c>
      <c r="X150" s="467">
        <f t="shared" si="116"/>
        <v>1.7141582314093018E-2</v>
      </c>
    </row>
    <row r="151" spans="2:24">
      <c r="B151" s="460" t="s">
        <v>859</v>
      </c>
      <c r="C151" s="461"/>
      <c r="D151" s="461"/>
      <c r="E151" s="461"/>
      <c r="F151" s="461"/>
      <c r="G151" s="461"/>
      <c r="H151" s="461"/>
      <c r="I151" s="461"/>
      <c r="J151" s="462"/>
      <c r="K151" s="462"/>
      <c r="L151" s="462">
        <f>L145+L148-L149-L146</f>
        <v>288.17788988472483</v>
      </c>
      <c r="M151" s="462">
        <f t="shared" ref="M151:X151" si="117">M145+M148-M149-M146</f>
        <v>606.59843374315437</v>
      </c>
      <c r="N151" s="462">
        <f t="shared" si="117"/>
        <v>886.28055445701682</v>
      </c>
      <c r="O151" s="462">
        <f t="shared" si="117"/>
        <v>1026.0753262099831</v>
      </c>
      <c r="P151" s="462">
        <f t="shared" si="117"/>
        <v>1073.9212751708487</v>
      </c>
      <c r="Q151" s="462">
        <f t="shared" si="117"/>
        <v>1124.3675745229441</v>
      </c>
      <c r="R151" s="462">
        <f t="shared" si="117"/>
        <v>1177.5519414557916</v>
      </c>
      <c r="S151" s="462">
        <f t="shared" si="117"/>
        <v>1233.6194170395131</v>
      </c>
      <c r="T151" s="462">
        <f t="shared" si="117"/>
        <v>1292.7227554529836</v>
      </c>
      <c r="U151" s="462">
        <f t="shared" si="117"/>
        <v>1355.0228338997708</v>
      </c>
      <c r="V151" s="462">
        <f t="shared" si="117"/>
        <v>1420.6890843114143</v>
      </c>
      <c r="W151" s="462">
        <f t="shared" si="117"/>
        <v>1489.8999479960369</v>
      </c>
      <c r="X151" s="462">
        <f t="shared" si="117"/>
        <v>1562.8433544518323</v>
      </c>
    </row>
    <row r="152" spans="2:24">
      <c r="B152" s="460"/>
      <c r="C152" s="461"/>
      <c r="D152" s="461"/>
      <c r="E152" s="461"/>
      <c r="F152" s="461"/>
      <c r="G152" s="461"/>
      <c r="H152" s="461"/>
      <c r="I152" s="461"/>
      <c r="J152" s="462"/>
      <c r="K152" s="462"/>
      <c r="L152" s="467"/>
      <c r="M152" s="467"/>
      <c r="N152" s="467"/>
      <c r="O152" s="467"/>
      <c r="P152" s="467"/>
      <c r="Q152" s="467"/>
      <c r="R152" s="467"/>
      <c r="S152" s="467"/>
      <c r="T152" s="467"/>
      <c r="U152" s="467"/>
      <c r="V152" s="467"/>
      <c r="W152" s="467"/>
      <c r="X152" s="467"/>
    </row>
    <row r="153" spans="2:24">
      <c r="B153" s="460"/>
      <c r="C153" s="461"/>
      <c r="D153" s="461"/>
      <c r="E153" s="461"/>
      <c r="F153" s="461"/>
      <c r="G153" s="461"/>
      <c r="H153" s="461"/>
      <c r="I153" s="461"/>
      <c r="J153" s="462"/>
      <c r="K153" s="462"/>
      <c r="L153" s="462"/>
      <c r="M153" s="462"/>
      <c r="N153" s="462"/>
      <c r="O153" s="462"/>
      <c r="P153" s="462"/>
      <c r="Q153" s="462"/>
      <c r="R153" s="462"/>
      <c r="S153" s="462"/>
      <c r="T153" s="462"/>
      <c r="U153" s="462"/>
      <c r="V153" s="462"/>
      <c r="W153" s="462"/>
      <c r="X153" s="462"/>
    </row>
    <row r="154" spans="2:24">
      <c r="B154" s="460" t="s">
        <v>862</v>
      </c>
      <c r="C154" s="461"/>
      <c r="D154" s="461"/>
      <c r="E154" s="461"/>
      <c r="F154" s="461"/>
      <c r="G154" s="461"/>
      <c r="H154" s="461"/>
      <c r="I154" s="461"/>
      <c r="J154" s="462"/>
      <c r="K154" s="462">
        <f t="shared" ref="K154:X154" si="118">K128+K138+K148</f>
        <v>0</v>
      </c>
      <c r="L154" s="462">
        <f t="shared" si="118"/>
        <v>1426.4763579462492</v>
      </c>
      <c r="M154" s="462">
        <f t="shared" si="118"/>
        <v>705.61792750549751</v>
      </c>
      <c r="N154" s="462">
        <f t="shared" si="118"/>
        <v>425.44087722347012</v>
      </c>
      <c r="O154" s="462">
        <f t="shared" si="118"/>
        <v>316.36486351400561</v>
      </c>
      <c r="P154" s="462">
        <f t="shared" si="118"/>
        <v>263.4898708003434</v>
      </c>
      <c r="Q154" s="462">
        <f t="shared" si="118"/>
        <v>298.97754692977639</v>
      </c>
      <c r="R154" s="462">
        <f t="shared" si="118"/>
        <v>330.93162000032009</v>
      </c>
      <c r="S154" s="462">
        <f t="shared" si="118"/>
        <v>335.82342731340873</v>
      </c>
      <c r="T154" s="462">
        <f t="shared" si="118"/>
        <v>340.91975081792316</v>
      </c>
      <c r="U154" s="462">
        <f t="shared" si="118"/>
        <v>346.23080582616819</v>
      </c>
      <c r="V154" s="462">
        <f t="shared" si="118"/>
        <v>351.01367304486809</v>
      </c>
      <c r="W154" s="462">
        <f t="shared" si="118"/>
        <v>356.00989175590911</v>
      </c>
      <c r="X154" s="462">
        <f t="shared" si="118"/>
        <v>361.23067901740802</v>
      </c>
    </row>
    <row r="155" spans="2:24">
      <c r="B155" s="465" t="s">
        <v>864</v>
      </c>
      <c r="C155" s="461"/>
      <c r="D155" s="461"/>
      <c r="E155" s="461"/>
      <c r="F155" s="461"/>
      <c r="G155" s="461"/>
      <c r="H155" s="461"/>
      <c r="I155" s="461"/>
      <c r="J155" s="462"/>
      <c r="K155" s="462">
        <v>500000</v>
      </c>
      <c r="L155" s="462">
        <f>K155*0.98</f>
        <v>490000</v>
      </c>
      <c r="M155" s="462">
        <f t="shared" ref="M155:X155" si="119">L155*0.98</f>
        <v>480200</v>
      </c>
      <c r="N155" s="462">
        <f t="shared" si="119"/>
        <v>470596</v>
      </c>
      <c r="O155" s="462">
        <f t="shared" si="119"/>
        <v>461184.08</v>
      </c>
      <c r="P155" s="462">
        <f t="shared" si="119"/>
        <v>451960.39840000001</v>
      </c>
      <c r="Q155" s="462">
        <f t="shared" si="119"/>
        <v>442921.19043199997</v>
      </c>
      <c r="R155" s="462">
        <f t="shared" si="119"/>
        <v>434062.76662335999</v>
      </c>
      <c r="S155" s="462">
        <f t="shared" si="119"/>
        <v>425381.51129089278</v>
      </c>
      <c r="T155" s="462">
        <f t="shared" si="119"/>
        <v>416873.88106507494</v>
      </c>
      <c r="U155" s="462">
        <f t="shared" si="119"/>
        <v>408536.40344377345</v>
      </c>
      <c r="V155" s="462">
        <f t="shared" si="119"/>
        <v>400365.67537489795</v>
      </c>
      <c r="W155" s="462">
        <f t="shared" si="119"/>
        <v>392358.3618674</v>
      </c>
      <c r="X155" s="462">
        <f t="shared" si="119"/>
        <v>384511.19463005202</v>
      </c>
    </row>
    <row r="156" spans="2:24">
      <c r="B156" s="465" t="s">
        <v>866</v>
      </c>
      <c r="C156" s="461"/>
      <c r="D156" s="461"/>
      <c r="E156" s="461"/>
      <c r="F156" s="461"/>
      <c r="G156" s="461"/>
      <c r="H156" s="461"/>
      <c r="I156" s="461"/>
      <c r="J156" s="462"/>
      <c r="K156" s="470">
        <f>K154*K155/1000000</f>
        <v>0</v>
      </c>
      <c r="L156" s="470">
        <f t="shared" ref="L156:X156" si="120">L154*L155/1000000</f>
        <v>698.97341539366209</v>
      </c>
      <c r="M156" s="470">
        <f t="shared" si="120"/>
        <v>338.83772878813988</v>
      </c>
      <c r="N156" s="470">
        <f t="shared" si="120"/>
        <v>200.21077505785615</v>
      </c>
      <c r="O156" s="470">
        <f t="shared" si="120"/>
        <v>145.90243852403225</v>
      </c>
      <c r="P156" s="470">
        <f t="shared" si="120"/>
        <v>119.08698698128774</v>
      </c>
      <c r="Q156" s="470">
        <f t="shared" si="120"/>
        <v>132.42349099857572</v>
      </c>
      <c r="R156" s="470">
        <f t="shared" si="120"/>
        <v>143.6450945404894</v>
      </c>
      <c r="S156" s="470">
        <f t="shared" si="120"/>
        <v>142.85307703746508</v>
      </c>
      <c r="T156" s="470">
        <f t="shared" si="120"/>
        <v>142.12053965520587</v>
      </c>
      <c r="U156" s="470">
        <f t="shared" si="120"/>
        <v>141.44788817366225</v>
      </c>
      <c r="V156" s="470">
        <f t="shared" si="120"/>
        <v>140.53382627443222</v>
      </c>
      <c r="W156" s="470">
        <f t="shared" si="120"/>
        <v>139.6834579379389</v>
      </c>
      <c r="X156" s="470">
        <f t="shared" si="120"/>
        <v>138.89723992600844</v>
      </c>
    </row>
    <row r="157" spans="2:24">
      <c r="B157" s="460"/>
      <c r="C157" s="461"/>
      <c r="D157" s="461"/>
      <c r="E157" s="461"/>
      <c r="F157" s="461"/>
      <c r="G157" s="461"/>
      <c r="H157" s="461"/>
      <c r="I157" s="461"/>
      <c r="J157" s="462"/>
      <c r="K157" s="462"/>
      <c r="L157" s="462"/>
      <c r="M157" s="462"/>
      <c r="N157" s="462"/>
      <c r="O157" s="462"/>
      <c r="P157" s="462"/>
      <c r="Q157" s="462"/>
      <c r="R157" s="462"/>
      <c r="S157" s="462"/>
      <c r="T157" s="462"/>
      <c r="U157" s="462"/>
      <c r="V157" s="462"/>
      <c r="W157" s="462"/>
      <c r="X157" s="462"/>
    </row>
    <row r="158" spans="2:24">
      <c r="B158" s="460" t="s">
        <v>863</v>
      </c>
      <c r="C158" s="461"/>
      <c r="D158" s="461"/>
      <c r="E158" s="461"/>
      <c r="F158" s="461"/>
      <c r="G158" s="461"/>
      <c r="H158" s="461"/>
      <c r="I158" s="461"/>
      <c r="J158" s="462"/>
      <c r="K158" s="462">
        <f t="shared" ref="K158:X158" si="121">K125+K135+K145</f>
        <v>0</v>
      </c>
      <c r="L158" s="462">
        <f t="shared" si="121"/>
        <v>0</v>
      </c>
      <c r="M158" s="462">
        <f t="shared" si="121"/>
        <v>1311.9308846945416</v>
      </c>
      <c r="N158" s="462">
        <f t="shared" si="121"/>
        <v>1919.7225571924494</v>
      </c>
      <c r="O158" s="462">
        <f t="shared" si="121"/>
        <v>2248.8151049896383</v>
      </c>
      <c r="P158" s="462">
        <f t="shared" si="121"/>
        <v>2457.1623441549355</v>
      </c>
      <c r="Q158" s="462">
        <f t="shared" si="121"/>
        <v>2596.6627951077462</v>
      </c>
      <c r="R158" s="462">
        <f t="shared" si="121"/>
        <v>2753.7350411225016</v>
      </c>
      <c r="S158" s="462">
        <f t="shared" si="121"/>
        <v>2923.9668838751659</v>
      </c>
      <c r="T158" s="462">
        <f t="shared" si="121"/>
        <v>3085.6607274044509</v>
      </c>
      <c r="U158" s="462">
        <f t="shared" si="121"/>
        <v>3240.4346609513768</v>
      </c>
      <c r="V158" s="462">
        <f t="shared" si="121"/>
        <v>3389.7397218813094</v>
      </c>
      <c r="W158" s="462">
        <f t="shared" si="121"/>
        <v>3534.148585432592</v>
      </c>
      <c r="X158" s="462">
        <f t="shared" si="121"/>
        <v>3674.8279478865179</v>
      </c>
    </row>
    <row r="159" spans="2:24">
      <c r="B159" s="460" t="s">
        <v>865</v>
      </c>
      <c r="C159" s="461"/>
      <c r="D159" s="461"/>
      <c r="E159" s="461"/>
      <c r="F159" s="461"/>
      <c r="G159" s="461"/>
      <c r="H159" s="461"/>
      <c r="I159" s="461"/>
      <c r="J159" s="462"/>
      <c r="K159" s="462">
        <v>310000</v>
      </c>
      <c r="L159" s="462">
        <f>K159*0.98</f>
        <v>303800</v>
      </c>
      <c r="M159" s="462">
        <f t="shared" ref="M159:X159" si="122">L159*0.98</f>
        <v>297724</v>
      </c>
      <c r="N159" s="462">
        <f t="shared" si="122"/>
        <v>291769.52</v>
      </c>
      <c r="O159" s="462">
        <f t="shared" si="122"/>
        <v>285934.12959999999</v>
      </c>
      <c r="P159" s="462">
        <f t="shared" si="122"/>
        <v>280215.44700799999</v>
      </c>
      <c r="Q159" s="462">
        <f t="shared" si="122"/>
        <v>274611.13806783996</v>
      </c>
      <c r="R159" s="462">
        <f t="shared" si="122"/>
        <v>269118.91530648316</v>
      </c>
      <c r="S159" s="462">
        <f t="shared" si="122"/>
        <v>263736.53700035351</v>
      </c>
      <c r="T159" s="462">
        <f t="shared" si="122"/>
        <v>258461.80626034644</v>
      </c>
      <c r="U159" s="462">
        <f t="shared" si="122"/>
        <v>253292.57013513951</v>
      </c>
      <c r="V159" s="462">
        <f t="shared" si="122"/>
        <v>248226.71873243671</v>
      </c>
      <c r="W159" s="462">
        <f t="shared" si="122"/>
        <v>243262.18435778798</v>
      </c>
      <c r="X159" s="462">
        <f t="shared" si="122"/>
        <v>238396.9406706322</v>
      </c>
    </row>
    <row r="160" spans="2:24">
      <c r="B160" s="460" t="s">
        <v>868</v>
      </c>
      <c r="C160" s="461"/>
      <c r="D160" s="461"/>
      <c r="E160" s="461"/>
      <c r="F160" s="461"/>
      <c r="G160" s="461"/>
      <c r="H160" s="461"/>
      <c r="I160" s="461"/>
      <c r="J160" s="462"/>
      <c r="K160" s="470">
        <f>K158*K159/1000000</f>
        <v>0</v>
      </c>
      <c r="L160" s="470">
        <f t="shared" ref="L160:X160" si="123">L158*L159/1000000</f>
        <v>0</v>
      </c>
      <c r="M160" s="470">
        <f t="shared" si="123"/>
        <v>390.59331071479772</v>
      </c>
      <c r="N160" s="470">
        <f t="shared" si="123"/>
        <v>560.11652904521361</v>
      </c>
      <c r="O160" s="470">
        <f t="shared" si="123"/>
        <v>643.01298967654475</v>
      </c>
      <c r="P160" s="470">
        <f t="shared" si="123"/>
        <v>688.53484463860036</v>
      </c>
      <c r="Q160" s="470">
        <f t="shared" si="123"/>
        <v>713.07252534295651</v>
      </c>
      <c r="R160" s="470">
        <f t="shared" si="123"/>
        <v>741.08218730834142</v>
      </c>
      <c r="S160" s="470">
        <f t="shared" si="123"/>
        <v>771.15690025695096</v>
      </c>
      <c r="T160" s="470">
        <f t="shared" si="123"/>
        <v>797.52544511156884</v>
      </c>
      <c r="U160" s="470">
        <f t="shared" si="123"/>
        <v>820.77802362736372</v>
      </c>
      <c r="V160" s="470">
        <f t="shared" si="123"/>
        <v>841.42396851960007</v>
      </c>
      <c r="W160" s="470">
        <f t="shared" si="123"/>
        <v>859.7247047373188</v>
      </c>
      <c r="X160" s="470">
        <f t="shared" si="123"/>
        <v>876.06774026708331</v>
      </c>
    </row>
    <row r="161" spans="2:24">
      <c r="C161" s="461"/>
      <c r="D161" s="461"/>
      <c r="E161" s="461"/>
      <c r="F161" s="461"/>
      <c r="G161" s="461"/>
      <c r="H161" s="461"/>
      <c r="I161" s="461"/>
      <c r="J161" s="462"/>
      <c r="K161" s="462"/>
      <c r="L161" s="462"/>
      <c r="M161" s="462"/>
      <c r="N161" s="462"/>
      <c r="O161" s="462"/>
      <c r="P161" s="462"/>
      <c r="Q161" s="462"/>
      <c r="R161" s="462"/>
      <c r="S161" s="462"/>
      <c r="T161" s="462"/>
      <c r="U161" s="462"/>
      <c r="V161" s="462"/>
      <c r="W161" s="462"/>
      <c r="X161" s="462"/>
    </row>
    <row r="162" spans="2:24">
      <c r="B162" s="471" t="s">
        <v>883</v>
      </c>
      <c r="C162" s="472"/>
      <c r="D162" s="472"/>
      <c r="E162" s="472"/>
      <c r="F162" s="472"/>
      <c r="G162" s="472"/>
      <c r="H162" s="472"/>
      <c r="I162" s="472"/>
      <c r="J162" s="473"/>
      <c r="K162" s="474">
        <f>K156+K160</f>
        <v>0</v>
      </c>
      <c r="L162" s="474">
        <f t="shared" ref="L162:X162" si="124">L156+L160</f>
        <v>698.97341539366209</v>
      </c>
      <c r="M162" s="474">
        <f t="shared" si="124"/>
        <v>729.43103950293767</v>
      </c>
      <c r="N162" s="474">
        <f t="shared" si="124"/>
        <v>760.32730410306976</v>
      </c>
      <c r="O162" s="474">
        <f t="shared" si="124"/>
        <v>788.91542820057703</v>
      </c>
      <c r="P162" s="474">
        <f t="shared" si="124"/>
        <v>807.6218316198881</v>
      </c>
      <c r="Q162" s="474">
        <f t="shared" si="124"/>
        <v>845.49601634153225</v>
      </c>
      <c r="R162" s="474">
        <f t="shared" si="124"/>
        <v>884.72728184883078</v>
      </c>
      <c r="S162" s="474">
        <f t="shared" si="124"/>
        <v>914.0099772944161</v>
      </c>
      <c r="T162" s="474">
        <f t="shared" si="124"/>
        <v>939.64598476677475</v>
      </c>
      <c r="U162" s="474">
        <f t="shared" si="124"/>
        <v>962.22591180102597</v>
      </c>
      <c r="V162" s="474">
        <f t="shared" si="124"/>
        <v>981.95779479403222</v>
      </c>
      <c r="W162" s="474">
        <f t="shared" si="124"/>
        <v>999.4081626752577</v>
      </c>
      <c r="X162" s="474">
        <f t="shared" si="124"/>
        <v>1014.9649801930917</v>
      </c>
    </row>
    <row r="163" spans="2:24">
      <c r="B163" s="460"/>
      <c r="C163" s="461"/>
      <c r="D163" s="461"/>
      <c r="E163" s="461"/>
      <c r="F163" s="461"/>
      <c r="G163" s="461"/>
      <c r="H163" s="461"/>
      <c r="I163" s="461"/>
      <c r="J163" s="462"/>
      <c r="K163" s="462"/>
      <c r="L163" s="462"/>
      <c r="M163" s="462"/>
      <c r="N163" s="462"/>
      <c r="O163" s="462"/>
      <c r="P163" s="462"/>
      <c r="Q163" s="462"/>
      <c r="R163" s="462"/>
      <c r="S163" s="462"/>
      <c r="T163" s="462"/>
      <c r="U163" s="462"/>
      <c r="V163" s="462"/>
      <c r="W163" s="462"/>
      <c r="X163" s="462"/>
    </row>
    <row r="164" spans="2:24">
      <c r="B164" s="493" t="s">
        <v>636</v>
      </c>
      <c r="C164" s="494"/>
      <c r="D164" s="494"/>
      <c r="E164" s="494"/>
      <c r="F164" s="494"/>
      <c r="G164" s="494"/>
      <c r="H164" s="494"/>
      <c r="I164" s="494"/>
      <c r="J164" s="494"/>
      <c r="K164" s="494"/>
      <c r="L164" s="494"/>
      <c r="M164" s="494"/>
      <c r="N164" s="494"/>
      <c r="O164" s="494"/>
      <c r="P164" s="494"/>
      <c r="Q164" s="494"/>
      <c r="R164" s="494"/>
      <c r="S164" s="494"/>
      <c r="T164" s="494"/>
      <c r="U164" s="494"/>
      <c r="V164" s="494"/>
      <c r="W164" s="494"/>
      <c r="X164" s="494"/>
    </row>
    <row r="165" spans="2:24">
      <c r="B165" s="353" t="s">
        <v>637</v>
      </c>
      <c r="C165" s="359">
        <v>127557958</v>
      </c>
      <c r="D165" s="359">
        <v>127450459</v>
      </c>
      <c r="E165" s="365">
        <v>127817277</v>
      </c>
      <c r="F165" s="359">
        <v>127561489</v>
      </c>
      <c r="G165" s="359">
        <v>127338600</v>
      </c>
      <c r="H165" s="359">
        <v>127131800</v>
      </c>
      <c r="I165" s="359">
        <v>126958500</v>
      </c>
      <c r="J165" s="359">
        <f>I165*(1+J166)</f>
        <v>126785436.234286</v>
      </c>
      <c r="K165" s="359">
        <f t="shared" ref="K165:X165" si="125">J165*(1+K166)</f>
        <v>126612608.38083468</v>
      </c>
      <c r="L165" s="359">
        <f t="shared" si="125"/>
        <v>126440016.11806174</v>
      </c>
      <c r="M165" s="359">
        <f t="shared" si="125"/>
        <v>126267659.12482119</v>
      </c>
      <c r="N165" s="359">
        <f t="shared" si="125"/>
        <v>126095537.08040483</v>
      </c>
      <c r="O165" s="359">
        <f t="shared" si="125"/>
        <v>125923649.66454166</v>
      </c>
      <c r="P165" s="359">
        <f t="shared" si="125"/>
        <v>125751996.55739723</v>
      </c>
      <c r="Q165" s="359">
        <f t="shared" si="125"/>
        <v>125580577.43957308</v>
      </c>
      <c r="R165" s="359">
        <f t="shared" si="125"/>
        <v>125409391.99210614</v>
      </c>
      <c r="S165" s="359">
        <f t="shared" si="125"/>
        <v>125238439.89646813</v>
      </c>
      <c r="T165" s="359">
        <f t="shared" si="125"/>
        <v>125067720.834565</v>
      </c>
      <c r="U165" s="359">
        <f t="shared" si="125"/>
        <v>124897234.48873627</v>
      </c>
      <c r="V165" s="359">
        <f t="shared" si="125"/>
        <v>124726980.5417545</v>
      </c>
      <c r="W165" s="359">
        <f t="shared" si="125"/>
        <v>124556958.67682467</v>
      </c>
      <c r="X165" s="359">
        <f t="shared" si="125"/>
        <v>124387168.57758363</v>
      </c>
    </row>
    <row r="166" spans="2:24">
      <c r="B166" s="197" t="s">
        <v>201</v>
      </c>
      <c r="C166" s="360"/>
      <c r="D166" s="366">
        <f>D165/C165-1</f>
        <v>-8.4274632242076208E-4</v>
      </c>
      <c r="E166" s="366">
        <f>E165/D165-1</f>
        <v>2.8781222357150416E-3</v>
      </c>
      <c r="F166" s="366">
        <f t="shared" ref="F166:I166" si="126">F165/E165-1</f>
        <v>-2.0012005106320174E-3</v>
      </c>
      <c r="G166" s="366">
        <f t="shared" si="126"/>
        <v>-1.7473063519978238E-3</v>
      </c>
      <c r="H166" s="366">
        <f t="shared" si="126"/>
        <v>-1.6240165982663868E-3</v>
      </c>
      <c r="I166" s="366">
        <f t="shared" si="126"/>
        <v>-1.3631522561624587E-3</v>
      </c>
      <c r="J166" s="484">
        <f>I166</f>
        <v>-1.3631522561624587E-3</v>
      </c>
      <c r="K166" s="366">
        <f t="shared" ref="K166:X166" si="127">J166</f>
        <v>-1.3631522561624587E-3</v>
      </c>
      <c r="L166" s="366">
        <f t="shared" si="127"/>
        <v>-1.3631522561624587E-3</v>
      </c>
      <c r="M166" s="366">
        <f t="shared" si="127"/>
        <v>-1.3631522561624587E-3</v>
      </c>
      <c r="N166" s="366">
        <f t="shared" si="127"/>
        <v>-1.3631522561624587E-3</v>
      </c>
      <c r="O166" s="366">
        <f t="shared" si="127"/>
        <v>-1.3631522561624587E-3</v>
      </c>
      <c r="P166" s="366">
        <f t="shared" si="127"/>
        <v>-1.3631522561624587E-3</v>
      </c>
      <c r="Q166" s="366">
        <f t="shared" si="127"/>
        <v>-1.3631522561624587E-3</v>
      </c>
      <c r="R166" s="366">
        <f t="shared" si="127"/>
        <v>-1.3631522561624587E-3</v>
      </c>
      <c r="S166" s="366">
        <f t="shared" si="127"/>
        <v>-1.3631522561624587E-3</v>
      </c>
      <c r="T166" s="366">
        <f t="shared" si="127"/>
        <v>-1.3631522561624587E-3</v>
      </c>
      <c r="U166" s="366">
        <f t="shared" si="127"/>
        <v>-1.3631522561624587E-3</v>
      </c>
      <c r="V166" s="366">
        <f t="shared" si="127"/>
        <v>-1.3631522561624587E-3</v>
      </c>
      <c r="W166" s="366">
        <f t="shared" si="127"/>
        <v>-1.3631522561624587E-3</v>
      </c>
      <c r="X166" s="366">
        <f t="shared" si="127"/>
        <v>-1.3631522561624587E-3</v>
      </c>
    </row>
    <row r="167" spans="2:24">
      <c r="B167" s="476" t="s">
        <v>878</v>
      </c>
      <c r="C167" s="480">
        <v>1070035</v>
      </c>
      <c r="D167" s="477">
        <v>1071304</v>
      </c>
      <c r="E167" s="477">
        <v>1050806</v>
      </c>
      <c r="F167" s="477">
        <v>1037231</v>
      </c>
      <c r="G167" s="477">
        <v>1029816</v>
      </c>
      <c r="H167" s="477">
        <v>1003539</v>
      </c>
      <c r="I167" s="477">
        <f>I165*I168</f>
        <v>1002972.1500000001</v>
      </c>
      <c r="J167" s="477">
        <f t="shared" ref="J167:X167" si="128">J165*J168</f>
        <v>1001604.9462508594</v>
      </c>
      <c r="K167" s="477">
        <f t="shared" si="128"/>
        <v>1000239.6062085941</v>
      </c>
      <c r="L167" s="477">
        <f t="shared" si="128"/>
        <v>998876.12733268784</v>
      </c>
      <c r="M167" s="477">
        <f t="shared" si="128"/>
        <v>997514.50708608748</v>
      </c>
      <c r="N167" s="477">
        <f t="shared" si="128"/>
        <v>996154.74293519824</v>
      </c>
      <c r="O167" s="477">
        <f t="shared" si="128"/>
        <v>994796.8323498792</v>
      </c>
      <c r="P167" s="477">
        <f t="shared" si="128"/>
        <v>993440.77280343825</v>
      </c>
      <c r="Q167" s="477">
        <f t="shared" si="128"/>
        <v>992086.56177262741</v>
      </c>
      <c r="R167" s="477">
        <f t="shared" si="128"/>
        <v>990734.19673763856</v>
      </c>
      <c r="S167" s="477">
        <f t="shared" si="128"/>
        <v>989383.67518209829</v>
      </c>
      <c r="T167" s="477">
        <f t="shared" si="128"/>
        <v>988034.9945930636</v>
      </c>
      <c r="U167" s="477">
        <f t="shared" si="128"/>
        <v>986688.15246101667</v>
      </c>
      <c r="V167" s="477">
        <f t="shared" si="128"/>
        <v>985343.14627986064</v>
      </c>
      <c r="W167" s="477">
        <f t="shared" si="128"/>
        <v>983999.97354691499</v>
      </c>
      <c r="X167" s="477">
        <f t="shared" si="128"/>
        <v>982658.63176291075</v>
      </c>
    </row>
    <row r="168" spans="2:24">
      <c r="B168" s="197" t="s">
        <v>839</v>
      </c>
      <c r="C168" s="481">
        <f>C167/C165</f>
        <v>8.3886181370197224E-3</v>
      </c>
      <c r="D168" s="481">
        <f t="shared" ref="D168:H168" si="129">D167/D165</f>
        <v>8.405650386869145E-3</v>
      </c>
      <c r="E168" s="481">
        <f t="shared" si="129"/>
        <v>8.2211577704006319E-3</v>
      </c>
      <c r="F168" s="481">
        <f t="shared" si="129"/>
        <v>8.131223679899189E-3</v>
      </c>
      <c r="G168" s="481">
        <f t="shared" si="129"/>
        <v>8.0872257116066919E-3</v>
      </c>
      <c r="H168" s="481">
        <f t="shared" si="129"/>
        <v>7.8936898557245318E-3</v>
      </c>
      <c r="I168" s="482">
        <v>7.9000000000000008E-3</v>
      </c>
      <c r="J168" s="483">
        <f>I168</f>
        <v>7.9000000000000008E-3</v>
      </c>
      <c r="K168" s="483">
        <f t="shared" ref="K168:X168" si="130">J168</f>
        <v>7.9000000000000008E-3</v>
      </c>
      <c r="L168" s="483">
        <f t="shared" si="130"/>
        <v>7.9000000000000008E-3</v>
      </c>
      <c r="M168" s="483">
        <f t="shared" si="130"/>
        <v>7.9000000000000008E-3</v>
      </c>
      <c r="N168" s="483">
        <f t="shared" si="130"/>
        <v>7.9000000000000008E-3</v>
      </c>
      <c r="O168" s="483">
        <f t="shared" si="130"/>
        <v>7.9000000000000008E-3</v>
      </c>
      <c r="P168" s="483">
        <f t="shared" si="130"/>
        <v>7.9000000000000008E-3</v>
      </c>
      <c r="Q168" s="483">
        <f t="shared" si="130"/>
        <v>7.9000000000000008E-3</v>
      </c>
      <c r="R168" s="483">
        <f t="shared" si="130"/>
        <v>7.9000000000000008E-3</v>
      </c>
      <c r="S168" s="483">
        <f t="shared" si="130"/>
        <v>7.9000000000000008E-3</v>
      </c>
      <c r="T168" s="483">
        <f t="shared" si="130"/>
        <v>7.9000000000000008E-3</v>
      </c>
      <c r="U168" s="483">
        <f t="shared" si="130"/>
        <v>7.9000000000000008E-3</v>
      </c>
      <c r="V168" s="483">
        <f t="shared" si="130"/>
        <v>7.9000000000000008E-3</v>
      </c>
      <c r="W168" s="483">
        <f t="shared" si="130"/>
        <v>7.9000000000000008E-3</v>
      </c>
      <c r="X168" s="483">
        <f t="shared" si="130"/>
        <v>7.9000000000000008E-3</v>
      </c>
    </row>
    <row r="169" spans="2:24">
      <c r="B169" s="357" t="s">
        <v>840</v>
      </c>
      <c r="C169" s="453">
        <f>C167*$AB$8</f>
        <v>178.33916666666667</v>
      </c>
      <c r="D169" s="453">
        <f t="shared" ref="D169:X169" si="131">D167*$AB$8</f>
        <v>178.55066666666667</v>
      </c>
      <c r="E169" s="453">
        <f t="shared" si="131"/>
        <v>175.13433333333333</v>
      </c>
      <c r="F169" s="453">
        <f t="shared" si="131"/>
        <v>172.87183333333331</v>
      </c>
      <c r="G169" s="453">
        <f t="shared" si="131"/>
        <v>171.636</v>
      </c>
      <c r="H169" s="453">
        <f t="shared" si="131"/>
        <v>167.25649999999999</v>
      </c>
      <c r="I169" s="453">
        <f t="shared" si="131"/>
        <v>167.16202500000003</v>
      </c>
      <c r="J169" s="453">
        <f t="shared" si="131"/>
        <v>166.93415770847656</v>
      </c>
      <c r="K169" s="453">
        <f t="shared" si="131"/>
        <v>166.70660103476567</v>
      </c>
      <c r="L169" s="453">
        <f t="shared" si="131"/>
        <v>166.47935455544797</v>
      </c>
      <c r="M169" s="453">
        <f t="shared" si="131"/>
        <v>166.25241784768124</v>
      </c>
      <c r="N169" s="453">
        <f t="shared" si="131"/>
        <v>166.02579048919969</v>
      </c>
      <c r="O169" s="453">
        <f t="shared" si="131"/>
        <v>165.7994720583132</v>
      </c>
      <c r="P169" s="453">
        <f t="shared" si="131"/>
        <v>165.57346213390636</v>
      </c>
      <c r="Q169" s="453">
        <f t="shared" si="131"/>
        <v>165.34776029543789</v>
      </c>
      <c r="R169" s="453">
        <f t="shared" si="131"/>
        <v>165.12236612293975</v>
      </c>
      <c r="S169" s="453">
        <f t="shared" si="131"/>
        <v>164.89727919701639</v>
      </c>
      <c r="T169" s="453">
        <f t="shared" si="131"/>
        <v>164.67249909884393</v>
      </c>
      <c r="U169" s="453">
        <f t="shared" si="131"/>
        <v>164.44802541016944</v>
      </c>
      <c r="V169" s="453">
        <f t="shared" si="131"/>
        <v>164.22385771331011</v>
      </c>
      <c r="W169" s="453">
        <f t="shared" si="131"/>
        <v>163.9999955911525</v>
      </c>
      <c r="X169" s="453">
        <f t="shared" si="131"/>
        <v>163.77643862715178</v>
      </c>
    </row>
    <row r="170" spans="2:24">
      <c r="B170" s="454" t="s">
        <v>842</v>
      </c>
      <c r="C170" s="453">
        <f>C169*0.603</f>
        <v>107.5385175</v>
      </c>
      <c r="D170" s="453">
        <f t="shared" ref="D170:X170" si="132">D169*0.603</f>
        <v>107.66605199999999</v>
      </c>
      <c r="E170" s="453">
        <f t="shared" si="132"/>
        <v>105.606003</v>
      </c>
      <c r="F170" s="453">
        <f t="shared" si="132"/>
        <v>104.24171549999998</v>
      </c>
      <c r="G170" s="453">
        <f t="shared" si="132"/>
        <v>103.49650799999999</v>
      </c>
      <c r="H170" s="453">
        <f t="shared" si="132"/>
        <v>100.85566949999999</v>
      </c>
      <c r="I170" s="453">
        <f t="shared" si="132"/>
        <v>100.79870107500001</v>
      </c>
      <c r="J170" s="453">
        <f t="shared" si="132"/>
        <v>100.66129709821136</v>
      </c>
      <c r="K170" s="453">
        <f t="shared" si="132"/>
        <v>100.5240804239637</v>
      </c>
      <c r="L170" s="453">
        <f t="shared" si="132"/>
        <v>100.38705079693513</v>
      </c>
      <c r="M170" s="453">
        <f t="shared" si="132"/>
        <v>100.25020796215179</v>
      </c>
      <c r="N170" s="453">
        <f t="shared" si="132"/>
        <v>100.11355166498741</v>
      </c>
      <c r="O170" s="453">
        <f t="shared" si="132"/>
        <v>99.977081651162862</v>
      </c>
      <c r="P170" s="453">
        <f t="shared" si="132"/>
        <v>99.84079766674553</v>
      </c>
      <c r="Q170" s="453">
        <f t="shared" si="132"/>
        <v>99.704699458149051</v>
      </c>
      <c r="R170" s="453">
        <f t="shared" si="132"/>
        <v>99.568786772132668</v>
      </c>
      <c r="S170" s="453">
        <f t="shared" si="132"/>
        <v>99.433059355800879</v>
      </c>
      <c r="T170" s="453">
        <f t="shared" si="132"/>
        <v>99.297516956602891</v>
      </c>
      <c r="U170" s="453">
        <f t="shared" si="132"/>
        <v>99.162159322332172</v>
      </c>
      <c r="V170" s="453">
        <f t="shared" si="132"/>
        <v>99.026986201125993</v>
      </c>
      <c r="W170" s="453">
        <f t="shared" si="132"/>
        <v>98.891997341464958</v>
      </c>
      <c r="X170" s="453">
        <f t="shared" si="132"/>
        <v>98.757192492172521</v>
      </c>
    </row>
    <row r="171" spans="2:24">
      <c r="B171" s="454" t="s">
        <v>843</v>
      </c>
      <c r="C171" s="453">
        <f>C169*0.273</f>
        <v>48.686592500000003</v>
      </c>
      <c r="D171" s="453">
        <f t="shared" ref="D171:X171" si="133">D169*0.273</f>
        <v>48.744332000000007</v>
      </c>
      <c r="E171" s="453">
        <f t="shared" si="133"/>
        <v>47.811673000000006</v>
      </c>
      <c r="F171" s="453">
        <f t="shared" si="133"/>
        <v>47.194010499999997</v>
      </c>
      <c r="G171" s="453">
        <f t="shared" si="133"/>
        <v>46.856628000000001</v>
      </c>
      <c r="H171" s="453">
        <f t="shared" si="133"/>
        <v>45.661024500000003</v>
      </c>
      <c r="I171" s="453">
        <f t="shared" si="133"/>
        <v>45.63523282500001</v>
      </c>
      <c r="J171" s="453">
        <f t="shared" si="133"/>
        <v>45.573025054414103</v>
      </c>
      <c r="K171" s="453">
        <f t="shared" si="133"/>
        <v>45.510902082491029</v>
      </c>
      <c r="L171" s="453">
        <f t="shared" si="133"/>
        <v>45.448863793637301</v>
      </c>
      <c r="M171" s="453">
        <f t="shared" si="133"/>
        <v>45.386910072416981</v>
      </c>
      <c r="N171" s="453">
        <f t="shared" si="133"/>
        <v>45.325040803551516</v>
      </c>
      <c r="O171" s="453">
        <f t="shared" si="133"/>
        <v>45.263255871919505</v>
      </c>
      <c r="P171" s="453">
        <f t="shared" si="133"/>
        <v>45.201555162556438</v>
      </c>
      <c r="Q171" s="453">
        <f t="shared" si="133"/>
        <v>45.139938560654549</v>
      </c>
      <c r="R171" s="453">
        <f t="shared" si="133"/>
        <v>45.078405951562559</v>
      </c>
      <c r="S171" s="453">
        <f t="shared" si="133"/>
        <v>45.016957220785478</v>
      </c>
      <c r="T171" s="453">
        <f t="shared" si="133"/>
        <v>44.955592253984399</v>
      </c>
      <c r="U171" s="453">
        <f t="shared" si="133"/>
        <v>44.894310936976261</v>
      </c>
      <c r="V171" s="453">
        <f t="shared" si="133"/>
        <v>44.833113155733663</v>
      </c>
      <c r="W171" s="453">
        <f t="shared" si="133"/>
        <v>44.771998796384636</v>
      </c>
      <c r="X171" s="453">
        <f t="shared" si="133"/>
        <v>44.710967745212436</v>
      </c>
    </row>
    <row r="172" spans="2:24">
      <c r="B172" s="454" t="s">
        <v>844</v>
      </c>
      <c r="C172" s="453">
        <f>C169*0.124</f>
        <v>22.114056666666666</v>
      </c>
      <c r="D172" s="453">
        <f t="shared" ref="D172:X172" si="134">D169*0.124</f>
        <v>22.140282666666668</v>
      </c>
      <c r="E172" s="453">
        <f t="shared" si="134"/>
        <v>21.716657333333334</v>
      </c>
      <c r="F172" s="453">
        <f t="shared" si="134"/>
        <v>21.436107333333332</v>
      </c>
      <c r="G172" s="453">
        <f t="shared" si="134"/>
        <v>21.282864</v>
      </c>
      <c r="H172" s="453">
        <f t="shared" si="134"/>
        <v>20.739805999999998</v>
      </c>
      <c r="I172" s="453">
        <f t="shared" si="134"/>
        <v>20.728091100000004</v>
      </c>
      <c r="J172" s="453">
        <f t="shared" si="134"/>
        <v>20.699835555851095</v>
      </c>
      <c r="K172" s="453">
        <f t="shared" si="134"/>
        <v>20.671618528310944</v>
      </c>
      <c r="L172" s="453">
        <f t="shared" si="134"/>
        <v>20.643439964875547</v>
      </c>
      <c r="M172" s="453">
        <f t="shared" si="134"/>
        <v>20.615299813112475</v>
      </c>
      <c r="N172" s="453">
        <f t="shared" si="134"/>
        <v>20.587198020660761</v>
      </c>
      <c r="O172" s="453">
        <f t="shared" si="134"/>
        <v>20.559134535230836</v>
      </c>
      <c r="P172" s="453">
        <f t="shared" si="134"/>
        <v>20.531109304604389</v>
      </c>
      <c r="Q172" s="453">
        <f t="shared" si="134"/>
        <v>20.503122276634297</v>
      </c>
      <c r="R172" s="453">
        <f t="shared" si="134"/>
        <v>20.475173399244529</v>
      </c>
      <c r="S172" s="453">
        <f t="shared" si="134"/>
        <v>20.447262620430031</v>
      </c>
      <c r="T172" s="453">
        <f t="shared" si="134"/>
        <v>20.419389888256646</v>
      </c>
      <c r="U172" s="453">
        <f t="shared" si="134"/>
        <v>20.391555150861009</v>
      </c>
      <c r="V172" s="453">
        <f t="shared" si="134"/>
        <v>20.363758356450454</v>
      </c>
      <c r="W172" s="453">
        <f t="shared" si="134"/>
        <v>20.335999453302911</v>
      </c>
      <c r="X172" s="453">
        <f t="shared" si="134"/>
        <v>20.308278389766819</v>
      </c>
    </row>
    <row r="173" spans="2:24">
      <c r="B173" s="357" t="s">
        <v>845</v>
      </c>
      <c r="C173" s="453"/>
      <c r="D173" s="453"/>
      <c r="E173" s="453"/>
      <c r="F173" s="453"/>
      <c r="G173" s="453"/>
      <c r="H173" s="453"/>
      <c r="I173" s="453"/>
      <c r="J173" s="410">
        <v>3800</v>
      </c>
      <c r="K173" s="410">
        <f>J173*(1+K166)</f>
        <v>3794.8200214265826</v>
      </c>
      <c r="L173" s="410">
        <f t="shared" ref="L173:X173" si="135">K173*(1+L166)</f>
        <v>3789.6471039526446</v>
      </c>
      <c r="M173" s="410">
        <f t="shared" si="135"/>
        <v>3784.4812379528321</v>
      </c>
      <c r="N173" s="410">
        <f t="shared" si="135"/>
        <v>3779.3224138149121</v>
      </c>
      <c r="O173" s="410">
        <f t="shared" si="135"/>
        <v>3774.1706219397552</v>
      </c>
      <c r="P173" s="410">
        <f t="shared" si="135"/>
        <v>3769.0258527413157</v>
      </c>
      <c r="Q173" s="410">
        <f t="shared" si="135"/>
        <v>3763.8880966466168</v>
      </c>
      <c r="R173" s="410">
        <f t="shared" si="135"/>
        <v>3758.7573440957299</v>
      </c>
      <c r="S173" s="410">
        <f t="shared" si="135"/>
        <v>3753.6335855417587</v>
      </c>
      <c r="T173" s="410">
        <f t="shared" si="135"/>
        <v>3748.5168114508201</v>
      </c>
      <c r="U173" s="410">
        <f t="shared" si="135"/>
        <v>3743.4070123020279</v>
      </c>
      <c r="V173" s="410">
        <f t="shared" si="135"/>
        <v>3738.3041785874739</v>
      </c>
      <c r="W173" s="410">
        <f t="shared" si="135"/>
        <v>3733.2083008122108</v>
      </c>
      <c r="X173" s="410">
        <f t="shared" si="135"/>
        <v>3728.1193694942344</v>
      </c>
    </row>
    <row r="174" spans="2:24">
      <c r="B174" s="454" t="s">
        <v>849</v>
      </c>
      <c r="C174" s="196"/>
      <c r="D174" s="356"/>
      <c r="E174" s="356"/>
      <c r="F174" s="356"/>
      <c r="G174" s="199"/>
      <c r="H174" s="199"/>
      <c r="I174" s="199"/>
      <c r="J174" s="128">
        <f>J173*0.14</f>
        <v>532</v>
      </c>
      <c r="K174" s="128">
        <f>K173*0.14</f>
        <v>531.2748029997216</v>
      </c>
      <c r="L174" s="128">
        <f t="shared" ref="L174:X174" si="136">L173*0.14</f>
        <v>530.55059455337027</v>
      </c>
      <c r="M174" s="128">
        <f t="shared" si="136"/>
        <v>529.82737331339649</v>
      </c>
      <c r="N174" s="128">
        <f t="shared" si="136"/>
        <v>529.10513793408779</v>
      </c>
      <c r="O174" s="128">
        <f t="shared" si="136"/>
        <v>528.38388707156582</v>
      </c>
      <c r="P174" s="128">
        <f t="shared" si="136"/>
        <v>527.66361938378429</v>
      </c>
      <c r="Q174" s="128">
        <f t="shared" si="136"/>
        <v>526.94433353052636</v>
      </c>
      <c r="R174" s="128">
        <f t="shared" si="136"/>
        <v>526.22602817340226</v>
      </c>
      <c r="S174" s="128">
        <f t="shared" si="136"/>
        <v>525.50870197584629</v>
      </c>
      <c r="T174" s="128">
        <f t="shared" si="136"/>
        <v>524.79235360311486</v>
      </c>
      <c r="U174" s="128">
        <f t="shared" si="136"/>
        <v>524.0769817222839</v>
      </c>
      <c r="V174" s="128">
        <f t="shared" si="136"/>
        <v>523.36258500224642</v>
      </c>
      <c r="W174" s="128">
        <f t="shared" si="136"/>
        <v>522.64916211370962</v>
      </c>
      <c r="X174" s="128">
        <f t="shared" si="136"/>
        <v>521.93671172919289</v>
      </c>
    </row>
    <row r="175" spans="2:24">
      <c r="B175" s="454" t="s">
        <v>850</v>
      </c>
      <c r="C175" s="358"/>
      <c r="D175" s="358"/>
      <c r="E175" s="358"/>
      <c r="F175" s="358"/>
      <c r="G175" s="358"/>
      <c r="H175" s="358"/>
      <c r="I175" s="358"/>
      <c r="J175" s="456">
        <f>J173*0.51</f>
        <v>1938</v>
      </c>
      <c r="K175" s="456">
        <f>K173*0.51</f>
        <v>1935.3582109275571</v>
      </c>
      <c r="L175" s="456">
        <f t="shared" ref="L175:X175" si="137">L173*0.51</f>
        <v>1932.7200230158487</v>
      </c>
      <c r="M175" s="456">
        <f t="shared" si="137"/>
        <v>1930.0854313559444</v>
      </c>
      <c r="N175" s="456">
        <f t="shared" si="137"/>
        <v>1927.4544310456051</v>
      </c>
      <c r="O175" s="456">
        <f t="shared" si="137"/>
        <v>1924.8270171892752</v>
      </c>
      <c r="P175" s="456">
        <f t="shared" si="137"/>
        <v>1922.203184898071</v>
      </c>
      <c r="Q175" s="456">
        <f t="shared" si="137"/>
        <v>1919.5829292897745</v>
      </c>
      <c r="R175" s="456">
        <f t="shared" si="137"/>
        <v>1916.9662454888223</v>
      </c>
      <c r="S175" s="456">
        <f t="shared" si="137"/>
        <v>1914.3531286262969</v>
      </c>
      <c r="T175" s="456">
        <f t="shared" si="137"/>
        <v>1911.7435738399183</v>
      </c>
      <c r="U175" s="456">
        <f t="shared" si="137"/>
        <v>1909.1375762740342</v>
      </c>
      <c r="V175" s="456">
        <f t="shared" si="137"/>
        <v>1906.5351310796118</v>
      </c>
      <c r="W175" s="456">
        <f t="shared" si="137"/>
        <v>1903.9362334142277</v>
      </c>
      <c r="X175" s="456">
        <f t="shared" si="137"/>
        <v>1901.3408784420596</v>
      </c>
    </row>
    <row r="176" spans="2:24">
      <c r="B176" s="457" t="s">
        <v>851</v>
      </c>
      <c r="C176" s="458"/>
      <c r="D176" s="458"/>
      <c r="E176" s="458"/>
      <c r="F176" s="458"/>
      <c r="G176" s="458"/>
      <c r="H176" s="458"/>
      <c r="I176" s="458"/>
      <c r="J176" s="459">
        <f>J173*0.35</f>
        <v>1330</v>
      </c>
      <c r="K176" s="459">
        <f>K173*0.35</f>
        <v>1328.1870074993037</v>
      </c>
      <c r="L176" s="459">
        <f t="shared" ref="L176:X176" si="138">L173*0.35</f>
        <v>1326.3764863834256</v>
      </c>
      <c r="M176" s="459">
        <f t="shared" si="138"/>
        <v>1324.5684332834912</v>
      </c>
      <c r="N176" s="459">
        <f t="shared" si="138"/>
        <v>1322.7628448352191</v>
      </c>
      <c r="O176" s="459">
        <f t="shared" si="138"/>
        <v>1320.9597176789143</v>
      </c>
      <c r="P176" s="459">
        <f t="shared" si="138"/>
        <v>1319.1590484594603</v>
      </c>
      <c r="Q176" s="459">
        <f t="shared" si="138"/>
        <v>1317.3608338263157</v>
      </c>
      <c r="R176" s="459">
        <f t="shared" si="138"/>
        <v>1315.5650704335053</v>
      </c>
      <c r="S176" s="459">
        <f t="shared" si="138"/>
        <v>1313.7717549396154</v>
      </c>
      <c r="T176" s="459">
        <f t="shared" si="138"/>
        <v>1311.9808840077869</v>
      </c>
      <c r="U176" s="459">
        <f t="shared" si="138"/>
        <v>1310.1924543057096</v>
      </c>
      <c r="V176" s="459">
        <f t="shared" si="138"/>
        <v>1308.4064625056158</v>
      </c>
      <c r="W176" s="459">
        <f t="shared" si="138"/>
        <v>1306.6229052842737</v>
      </c>
      <c r="X176" s="459">
        <f t="shared" si="138"/>
        <v>1304.8417793229819</v>
      </c>
    </row>
    <row r="177" spans="2:24">
      <c r="B177" s="460" t="s">
        <v>852</v>
      </c>
      <c r="C177" s="461"/>
      <c r="D177" s="461"/>
      <c r="E177" s="461"/>
      <c r="F177" s="461"/>
      <c r="G177" s="461"/>
      <c r="H177" s="461"/>
      <c r="I177" s="461"/>
      <c r="J177" s="361">
        <v>0.85</v>
      </c>
      <c r="K177" s="362">
        <f t="shared" ref="K177:X179" si="139">J177</f>
        <v>0.85</v>
      </c>
      <c r="L177" s="362">
        <f t="shared" si="139"/>
        <v>0.85</v>
      </c>
      <c r="M177" s="362">
        <f t="shared" si="139"/>
        <v>0.85</v>
      </c>
      <c r="N177" s="362">
        <f t="shared" si="139"/>
        <v>0.85</v>
      </c>
      <c r="O177" s="362">
        <f t="shared" si="139"/>
        <v>0.85</v>
      </c>
      <c r="P177" s="362">
        <f t="shared" si="139"/>
        <v>0.85</v>
      </c>
      <c r="Q177" s="362">
        <f t="shared" si="139"/>
        <v>0.85</v>
      </c>
      <c r="R177" s="362">
        <f t="shared" si="139"/>
        <v>0.85</v>
      </c>
      <c r="S177" s="362">
        <f t="shared" si="139"/>
        <v>0.85</v>
      </c>
      <c r="T177" s="362">
        <f t="shared" si="139"/>
        <v>0.85</v>
      </c>
      <c r="U177" s="362">
        <f t="shared" si="139"/>
        <v>0.85</v>
      </c>
      <c r="V177" s="362">
        <f t="shared" si="139"/>
        <v>0.85</v>
      </c>
      <c r="W177" s="362">
        <f t="shared" si="139"/>
        <v>0.85</v>
      </c>
      <c r="X177" s="362">
        <f t="shared" si="139"/>
        <v>0.85</v>
      </c>
    </row>
    <row r="178" spans="2:24">
      <c r="B178" s="460" t="s">
        <v>854</v>
      </c>
      <c r="C178" s="461"/>
      <c r="D178" s="461"/>
      <c r="E178" s="461"/>
      <c r="F178" s="461"/>
      <c r="G178" s="461"/>
      <c r="H178" s="461"/>
      <c r="I178" s="461"/>
      <c r="J178" s="361">
        <v>0.75</v>
      </c>
      <c r="K178" s="362">
        <f t="shared" si="139"/>
        <v>0.75</v>
      </c>
      <c r="L178" s="362">
        <f t="shared" si="139"/>
        <v>0.75</v>
      </c>
      <c r="M178" s="362">
        <f t="shared" si="139"/>
        <v>0.75</v>
      </c>
      <c r="N178" s="362">
        <f t="shared" si="139"/>
        <v>0.75</v>
      </c>
      <c r="O178" s="362">
        <f t="shared" si="139"/>
        <v>0.75</v>
      </c>
      <c r="P178" s="362">
        <f t="shared" si="139"/>
        <v>0.75</v>
      </c>
      <c r="Q178" s="362">
        <f t="shared" si="139"/>
        <v>0.75</v>
      </c>
      <c r="R178" s="362">
        <f t="shared" si="139"/>
        <v>0.75</v>
      </c>
      <c r="S178" s="362">
        <f t="shared" si="139"/>
        <v>0.75</v>
      </c>
      <c r="T178" s="362">
        <f t="shared" si="139"/>
        <v>0.75</v>
      </c>
      <c r="U178" s="362">
        <f t="shared" si="139"/>
        <v>0.75</v>
      </c>
      <c r="V178" s="362">
        <f t="shared" si="139"/>
        <v>0.75</v>
      </c>
      <c r="W178" s="362">
        <f t="shared" si="139"/>
        <v>0.75</v>
      </c>
      <c r="X178" s="362">
        <f t="shared" si="139"/>
        <v>0.75</v>
      </c>
    </row>
    <row r="179" spans="2:24">
      <c r="B179" s="460" t="s">
        <v>853</v>
      </c>
      <c r="C179" s="461"/>
      <c r="D179" s="461"/>
      <c r="E179" s="461"/>
      <c r="F179" s="461"/>
      <c r="G179" s="461"/>
      <c r="H179" s="461"/>
      <c r="I179" s="461"/>
      <c r="J179" s="463">
        <v>0.25</v>
      </c>
      <c r="K179" s="464">
        <f t="shared" si="139"/>
        <v>0.25</v>
      </c>
      <c r="L179" s="464">
        <f t="shared" si="139"/>
        <v>0.25</v>
      </c>
      <c r="M179" s="464">
        <f t="shared" si="139"/>
        <v>0.25</v>
      </c>
      <c r="N179" s="464">
        <f t="shared" si="139"/>
        <v>0.25</v>
      </c>
      <c r="O179" s="464">
        <f t="shared" si="139"/>
        <v>0.25</v>
      </c>
      <c r="P179" s="464">
        <f t="shared" si="139"/>
        <v>0.25</v>
      </c>
      <c r="Q179" s="464">
        <f t="shared" si="139"/>
        <v>0.25</v>
      </c>
      <c r="R179" s="464">
        <f t="shared" si="139"/>
        <v>0.25</v>
      </c>
      <c r="S179" s="464">
        <f t="shared" si="139"/>
        <v>0.25</v>
      </c>
      <c r="T179" s="464">
        <f t="shared" si="139"/>
        <v>0.25</v>
      </c>
      <c r="U179" s="464">
        <f t="shared" si="139"/>
        <v>0.25</v>
      </c>
      <c r="V179" s="464">
        <f t="shared" si="139"/>
        <v>0.25</v>
      </c>
      <c r="W179" s="464">
        <f t="shared" si="139"/>
        <v>0.25</v>
      </c>
      <c r="X179" s="464">
        <f t="shared" si="139"/>
        <v>0.25</v>
      </c>
    </row>
    <row r="180" spans="2:24">
      <c r="B180" s="460"/>
      <c r="C180" s="461"/>
      <c r="D180" s="461"/>
      <c r="E180" s="461"/>
      <c r="F180" s="461"/>
      <c r="G180" s="461"/>
      <c r="H180" s="461"/>
      <c r="I180" s="461"/>
      <c r="J180" s="462"/>
      <c r="K180" s="462"/>
      <c r="L180" s="462"/>
      <c r="M180" s="462"/>
      <c r="N180" s="462"/>
      <c r="O180" s="462"/>
      <c r="P180" s="462"/>
      <c r="Q180" s="462"/>
      <c r="R180" s="462"/>
      <c r="S180" s="462"/>
      <c r="T180" s="462"/>
      <c r="U180" s="462"/>
      <c r="V180" s="462"/>
      <c r="W180" s="462"/>
      <c r="X180" s="462"/>
    </row>
    <row r="181" spans="2:24">
      <c r="B181" s="475" t="s">
        <v>869</v>
      </c>
      <c r="C181" s="461"/>
      <c r="D181" s="461"/>
      <c r="E181" s="461"/>
      <c r="F181" s="461"/>
      <c r="G181" s="461"/>
      <c r="H181" s="461"/>
      <c r="I181" s="461"/>
      <c r="J181" s="462"/>
      <c r="K181" s="462"/>
      <c r="L181" s="462"/>
      <c r="M181" s="462"/>
      <c r="N181" s="462"/>
      <c r="O181" s="462"/>
      <c r="P181" s="462"/>
      <c r="Q181" s="462"/>
      <c r="R181" s="462"/>
      <c r="S181" s="462"/>
      <c r="T181" s="462"/>
      <c r="U181" s="462"/>
      <c r="V181" s="462"/>
      <c r="W181" s="462"/>
      <c r="X181" s="462"/>
    </row>
    <row r="182" spans="2:24">
      <c r="B182" s="471" t="s">
        <v>875</v>
      </c>
      <c r="C182" s="461"/>
      <c r="D182" s="461"/>
      <c r="E182" s="461"/>
      <c r="F182" s="461"/>
      <c r="G182" s="461"/>
      <c r="H182" s="461"/>
      <c r="I182" s="461"/>
      <c r="J182" s="462"/>
      <c r="K182" s="462"/>
      <c r="L182" s="462"/>
      <c r="M182" s="462"/>
      <c r="N182" s="462"/>
      <c r="O182" s="462"/>
      <c r="P182" s="462"/>
      <c r="Q182" s="462"/>
      <c r="R182" s="462"/>
      <c r="S182" s="462"/>
      <c r="T182" s="462"/>
      <c r="U182" s="462"/>
      <c r="V182" s="462"/>
      <c r="W182" s="462"/>
      <c r="X182" s="462"/>
    </row>
    <row r="183" spans="2:24">
      <c r="B183" s="460" t="s">
        <v>870</v>
      </c>
      <c r="C183" s="461"/>
      <c r="D183" s="461"/>
      <c r="E183" s="461"/>
      <c r="F183" s="461"/>
      <c r="G183" s="461"/>
      <c r="H183" s="461"/>
      <c r="I183" s="461"/>
      <c r="J183" s="462"/>
      <c r="K183" s="462">
        <f>J174</f>
        <v>532</v>
      </c>
      <c r="L183" s="462">
        <f t="shared" ref="L183:X183" si="140">K174</f>
        <v>531.2748029997216</v>
      </c>
      <c r="M183" s="462">
        <f t="shared" si="140"/>
        <v>530.55059455337027</v>
      </c>
      <c r="N183" s="462">
        <f t="shared" si="140"/>
        <v>529.82737331339649</v>
      </c>
      <c r="O183" s="462">
        <f t="shared" si="140"/>
        <v>529.10513793408779</v>
      </c>
      <c r="P183" s="462">
        <f t="shared" si="140"/>
        <v>528.38388707156582</v>
      </c>
      <c r="Q183" s="462">
        <f t="shared" si="140"/>
        <v>527.66361938378429</v>
      </c>
      <c r="R183" s="462">
        <f t="shared" si="140"/>
        <v>526.94433353052636</v>
      </c>
      <c r="S183" s="462">
        <f t="shared" si="140"/>
        <v>526.22602817340226</v>
      </c>
      <c r="T183" s="462">
        <f t="shared" si="140"/>
        <v>525.50870197584629</v>
      </c>
      <c r="U183" s="462">
        <f t="shared" si="140"/>
        <v>524.79235360311486</v>
      </c>
      <c r="V183" s="462">
        <f t="shared" si="140"/>
        <v>524.0769817222839</v>
      </c>
      <c r="W183" s="462">
        <f t="shared" si="140"/>
        <v>523.36258500224642</v>
      </c>
      <c r="X183" s="462">
        <f t="shared" si="140"/>
        <v>522.64916211370962</v>
      </c>
    </row>
    <row r="184" spans="2:24">
      <c r="B184" s="460" t="s">
        <v>871</v>
      </c>
      <c r="C184" s="461"/>
      <c r="D184" s="461"/>
      <c r="E184" s="461"/>
      <c r="F184" s="461"/>
      <c r="G184" s="461"/>
      <c r="H184" s="461"/>
      <c r="I184" s="461"/>
      <c r="J184" s="462"/>
      <c r="K184" s="462">
        <f>K170</f>
        <v>100.5240804239637</v>
      </c>
      <c r="L184" s="462">
        <f t="shared" ref="L184:X184" si="141">L170</f>
        <v>100.38705079693513</v>
      </c>
      <c r="M184" s="462">
        <f t="shared" si="141"/>
        <v>100.25020796215179</v>
      </c>
      <c r="N184" s="462">
        <f t="shared" si="141"/>
        <v>100.11355166498741</v>
      </c>
      <c r="O184" s="462">
        <f t="shared" si="141"/>
        <v>99.977081651162862</v>
      </c>
      <c r="P184" s="462">
        <f t="shared" si="141"/>
        <v>99.84079766674553</v>
      </c>
      <c r="Q184" s="462">
        <f t="shared" si="141"/>
        <v>99.704699458149051</v>
      </c>
      <c r="R184" s="462">
        <f t="shared" si="141"/>
        <v>99.568786772132668</v>
      </c>
      <c r="S184" s="462">
        <f t="shared" si="141"/>
        <v>99.433059355800879</v>
      </c>
      <c r="T184" s="462">
        <f t="shared" si="141"/>
        <v>99.297516956602891</v>
      </c>
      <c r="U184" s="462">
        <f t="shared" si="141"/>
        <v>99.162159322332172</v>
      </c>
      <c r="V184" s="462">
        <f t="shared" si="141"/>
        <v>99.026986201125993</v>
      </c>
      <c r="W184" s="462">
        <f t="shared" si="141"/>
        <v>98.891997341464958</v>
      </c>
      <c r="X184" s="462">
        <f t="shared" si="141"/>
        <v>98.757192492172521</v>
      </c>
    </row>
    <row r="185" spans="2:24">
      <c r="B185" s="460" t="s">
        <v>872</v>
      </c>
      <c r="C185" s="461"/>
      <c r="D185" s="461"/>
      <c r="E185" s="461"/>
      <c r="F185" s="461"/>
      <c r="G185" s="461"/>
      <c r="H185" s="461"/>
      <c r="I185" s="461"/>
      <c r="J185" s="462"/>
      <c r="K185" s="462">
        <f>K184-(K187-K183)</f>
        <v>101.24927742424209</v>
      </c>
      <c r="L185" s="462">
        <f t="shared" ref="L185:X185" si="142">L184-(L187-L183)</f>
        <v>101.11125924328645</v>
      </c>
      <c r="M185" s="462">
        <f t="shared" si="142"/>
        <v>100.97342920212557</v>
      </c>
      <c r="N185" s="462">
        <f t="shared" si="142"/>
        <v>100.83578704429611</v>
      </c>
      <c r="O185" s="462">
        <f t="shared" si="142"/>
        <v>100.69833251368483</v>
      </c>
      <c r="P185" s="462">
        <f t="shared" si="142"/>
        <v>100.56106535452706</v>
      </c>
      <c r="Q185" s="462">
        <f t="shared" si="142"/>
        <v>100.42398531140698</v>
      </c>
      <c r="R185" s="462">
        <f t="shared" si="142"/>
        <v>100.28709212925678</v>
      </c>
      <c r="S185" s="462">
        <f t="shared" si="142"/>
        <v>100.15038555335684</v>
      </c>
      <c r="T185" s="462">
        <f t="shared" si="142"/>
        <v>100.01386532933432</v>
      </c>
      <c r="U185" s="462">
        <f t="shared" si="142"/>
        <v>99.87753120316313</v>
      </c>
      <c r="V185" s="462">
        <f t="shared" si="142"/>
        <v>99.741382921163478</v>
      </c>
      <c r="W185" s="462">
        <f t="shared" si="142"/>
        <v>99.605420230001755</v>
      </c>
      <c r="X185" s="462">
        <f t="shared" si="142"/>
        <v>99.46964287668925</v>
      </c>
    </row>
    <row r="186" spans="2:24">
      <c r="B186" s="465" t="s">
        <v>874</v>
      </c>
      <c r="C186" s="461"/>
      <c r="D186" s="461"/>
      <c r="E186" s="461"/>
      <c r="F186" s="461"/>
      <c r="G186" s="461"/>
      <c r="H186" s="461"/>
      <c r="I186" s="461"/>
      <c r="J186" s="462"/>
      <c r="K186" s="467">
        <f>K185/K183</f>
        <v>0.19031819064707162</v>
      </c>
      <c r="L186" s="467">
        <f t="shared" ref="L186:X186" si="143">L185/L183</f>
        <v>0.19031819064707167</v>
      </c>
      <c r="M186" s="467">
        <f t="shared" si="143"/>
        <v>0.19031819064707173</v>
      </c>
      <c r="N186" s="467">
        <f t="shared" si="143"/>
        <v>0.19031819064707148</v>
      </c>
      <c r="O186" s="467">
        <f t="shared" si="143"/>
        <v>0.19031819064707159</v>
      </c>
      <c r="P186" s="467">
        <f t="shared" si="143"/>
        <v>0.19031819064707167</v>
      </c>
      <c r="Q186" s="467">
        <f t="shared" si="143"/>
        <v>0.19031819064707178</v>
      </c>
      <c r="R186" s="467">
        <f t="shared" si="143"/>
        <v>0.19031819064707156</v>
      </c>
      <c r="S186" s="467">
        <f t="shared" si="143"/>
        <v>0.19031819064707159</v>
      </c>
      <c r="T186" s="467">
        <f t="shared" si="143"/>
        <v>0.19031819064707176</v>
      </c>
      <c r="U186" s="467">
        <f t="shared" si="143"/>
        <v>0.19031819064707178</v>
      </c>
      <c r="V186" s="467">
        <f t="shared" si="143"/>
        <v>0.19031819064707159</v>
      </c>
      <c r="W186" s="467">
        <f t="shared" si="143"/>
        <v>0.19031819064707162</v>
      </c>
      <c r="X186" s="467">
        <f t="shared" si="143"/>
        <v>0.19031819064707167</v>
      </c>
    </row>
    <row r="187" spans="2:24">
      <c r="B187" s="460" t="s">
        <v>873</v>
      </c>
      <c r="C187" s="461"/>
      <c r="D187" s="461"/>
      <c r="E187" s="461"/>
      <c r="F187" s="461"/>
      <c r="G187" s="461"/>
      <c r="H187" s="461"/>
      <c r="I187" s="461"/>
      <c r="J187" s="462"/>
      <c r="K187" s="462">
        <f>K174</f>
        <v>531.2748029997216</v>
      </c>
      <c r="L187" s="462">
        <f t="shared" ref="L187:X187" si="144">L174</f>
        <v>530.55059455337027</v>
      </c>
      <c r="M187" s="462">
        <f t="shared" si="144"/>
        <v>529.82737331339649</v>
      </c>
      <c r="N187" s="462">
        <f t="shared" si="144"/>
        <v>529.10513793408779</v>
      </c>
      <c r="O187" s="462">
        <f t="shared" si="144"/>
        <v>528.38388707156582</v>
      </c>
      <c r="P187" s="462">
        <f t="shared" si="144"/>
        <v>527.66361938378429</v>
      </c>
      <c r="Q187" s="462">
        <f t="shared" si="144"/>
        <v>526.94433353052636</v>
      </c>
      <c r="R187" s="462">
        <f t="shared" si="144"/>
        <v>526.22602817340226</v>
      </c>
      <c r="S187" s="462">
        <f t="shared" si="144"/>
        <v>525.50870197584629</v>
      </c>
      <c r="T187" s="462">
        <f t="shared" si="144"/>
        <v>524.79235360311486</v>
      </c>
      <c r="U187" s="462">
        <f t="shared" si="144"/>
        <v>524.0769817222839</v>
      </c>
      <c r="V187" s="462">
        <f t="shared" si="144"/>
        <v>523.36258500224642</v>
      </c>
      <c r="W187" s="462">
        <f t="shared" si="144"/>
        <v>522.64916211370962</v>
      </c>
      <c r="X187" s="462">
        <f t="shared" si="144"/>
        <v>521.93671172919289</v>
      </c>
    </row>
    <row r="188" spans="2:24">
      <c r="B188" s="471" t="s">
        <v>876</v>
      </c>
      <c r="C188" s="461"/>
      <c r="D188" s="461"/>
      <c r="E188" s="461"/>
      <c r="F188" s="461"/>
      <c r="G188" s="461"/>
      <c r="H188" s="461"/>
      <c r="I188" s="461"/>
      <c r="J188" s="462"/>
      <c r="K188" s="462"/>
      <c r="L188" s="462"/>
      <c r="M188" s="462"/>
      <c r="N188" s="462"/>
      <c r="O188" s="462"/>
      <c r="P188" s="462"/>
      <c r="Q188" s="462"/>
      <c r="R188" s="462"/>
      <c r="S188" s="462"/>
      <c r="T188" s="462"/>
      <c r="U188" s="462"/>
      <c r="V188" s="462"/>
      <c r="W188" s="462"/>
      <c r="X188" s="462"/>
    </row>
    <row r="189" spans="2:24">
      <c r="B189" s="460" t="s">
        <v>870</v>
      </c>
      <c r="C189" s="461"/>
      <c r="D189" s="461"/>
      <c r="E189" s="461"/>
      <c r="F189" s="461"/>
      <c r="G189" s="461"/>
      <c r="H189" s="461"/>
      <c r="I189" s="461"/>
      <c r="J189" s="462"/>
      <c r="K189" s="462">
        <f>J175</f>
        <v>1938</v>
      </c>
      <c r="L189" s="462">
        <f t="shared" ref="L189:X189" si="145">K175</f>
        <v>1935.3582109275571</v>
      </c>
      <c r="M189" s="462">
        <f t="shared" si="145"/>
        <v>1932.7200230158487</v>
      </c>
      <c r="N189" s="462">
        <f t="shared" si="145"/>
        <v>1930.0854313559444</v>
      </c>
      <c r="O189" s="462">
        <f t="shared" si="145"/>
        <v>1927.4544310456051</v>
      </c>
      <c r="P189" s="462">
        <f t="shared" si="145"/>
        <v>1924.8270171892752</v>
      </c>
      <c r="Q189" s="462">
        <f t="shared" si="145"/>
        <v>1922.203184898071</v>
      </c>
      <c r="R189" s="462">
        <f t="shared" si="145"/>
        <v>1919.5829292897745</v>
      </c>
      <c r="S189" s="462">
        <f t="shared" si="145"/>
        <v>1916.9662454888223</v>
      </c>
      <c r="T189" s="462">
        <f t="shared" si="145"/>
        <v>1914.3531286262969</v>
      </c>
      <c r="U189" s="462">
        <f t="shared" si="145"/>
        <v>1911.7435738399183</v>
      </c>
      <c r="V189" s="462">
        <f t="shared" si="145"/>
        <v>1909.1375762740342</v>
      </c>
      <c r="W189" s="462">
        <f t="shared" si="145"/>
        <v>1906.5351310796118</v>
      </c>
      <c r="X189" s="462">
        <f t="shared" si="145"/>
        <v>1903.9362334142277</v>
      </c>
    </row>
    <row r="190" spans="2:24">
      <c r="B190" s="460" t="s">
        <v>871</v>
      </c>
      <c r="C190" s="461"/>
      <c r="D190" s="461"/>
      <c r="E190" s="461"/>
      <c r="F190" s="461"/>
      <c r="G190" s="461"/>
      <c r="H190" s="461"/>
      <c r="I190" s="461"/>
      <c r="J190" s="462"/>
      <c r="K190" s="462">
        <f>K171</f>
        <v>45.510902082491029</v>
      </c>
      <c r="L190" s="462">
        <f t="shared" ref="L190:X190" si="146">L171</f>
        <v>45.448863793637301</v>
      </c>
      <c r="M190" s="462">
        <f t="shared" si="146"/>
        <v>45.386910072416981</v>
      </c>
      <c r="N190" s="462">
        <f t="shared" si="146"/>
        <v>45.325040803551516</v>
      </c>
      <c r="O190" s="462">
        <f t="shared" si="146"/>
        <v>45.263255871919505</v>
      </c>
      <c r="P190" s="462">
        <f t="shared" si="146"/>
        <v>45.201555162556438</v>
      </c>
      <c r="Q190" s="462">
        <f t="shared" si="146"/>
        <v>45.139938560654549</v>
      </c>
      <c r="R190" s="462">
        <f t="shared" si="146"/>
        <v>45.078405951562559</v>
      </c>
      <c r="S190" s="462">
        <f t="shared" si="146"/>
        <v>45.016957220785478</v>
      </c>
      <c r="T190" s="462">
        <f t="shared" si="146"/>
        <v>44.955592253984399</v>
      </c>
      <c r="U190" s="462">
        <f t="shared" si="146"/>
        <v>44.894310936976261</v>
      </c>
      <c r="V190" s="462">
        <f t="shared" si="146"/>
        <v>44.833113155733663</v>
      </c>
      <c r="W190" s="462">
        <f t="shared" si="146"/>
        <v>44.771998796384636</v>
      </c>
      <c r="X190" s="462">
        <f t="shared" si="146"/>
        <v>44.710967745212436</v>
      </c>
    </row>
    <row r="191" spans="2:24">
      <c r="B191" s="460" t="s">
        <v>872</v>
      </c>
      <c r="C191" s="461"/>
      <c r="D191" s="461"/>
      <c r="E191" s="461"/>
      <c r="F191" s="461"/>
      <c r="G191" s="461"/>
      <c r="H191" s="461"/>
      <c r="I191" s="461"/>
      <c r="J191" s="462"/>
      <c r="K191" s="462">
        <f>K190-(K193-K189)</f>
        <v>48.152691154933891</v>
      </c>
      <c r="L191" s="462">
        <f t="shared" ref="L191:X191" si="147">L190-(L193-L189)</f>
        <v>48.087051705345729</v>
      </c>
      <c r="M191" s="462">
        <f t="shared" si="147"/>
        <v>48.021501732321326</v>
      </c>
      <c r="N191" s="462">
        <f t="shared" si="147"/>
        <v>47.956041113890748</v>
      </c>
      <c r="O191" s="462">
        <f t="shared" si="147"/>
        <v>47.890669728249399</v>
      </c>
      <c r="P191" s="462">
        <f t="shared" si="147"/>
        <v>47.825387453760719</v>
      </c>
      <c r="Q191" s="462">
        <f t="shared" si="147"/>
        <v>47.760194168951024</v>
      </c>
      <c r="R191" s="462">
        <f t="shared" si="147"/>
        <v>47.695089752514718</v>
      </c>
      <c r="S191" s="462">
        <f t="shared" si="147"/>
        <v>47.630074083310909</v>
      </c>
      <c r="T191" s="462">
        <f t="shared" si="147"/>
        <v>47.565147040362966</v>
      </c>
      <c r="U191" s="462">
        <f t="shared" si="147"/>
        <v>47.500308502860342</v>
      </c>
      <c r="V191" s="462">
        <f t="shared" si="147"/>
        <v>47.435558350156107</v>
      </c>
      <c r="W191" s="462">
        <f t="shared" si="147"/>
        <v>47.370896461768766</v>
      </c>
      <c r="X191" s="462">
        <f t="shared" si="147"/>
        <v>47.306322717380461</v>
      </c>
    </row>
    <row r="192" spans="2:24">
      <c r="B192" s="465" t="s">
        <v>874</v>
      </c>
      <c r="C192" s="461"/>
      <c r="D192" s="461"/>
      <c r="E192" s="461"/>
      <c r="F192" s="461"/>
      <c r="G192" s="461"/>
      <c r="H192" s="461"/>
      <c r="I192" s="461"/>
      <c r="J192" s="462"/>
      <c r="K192" s="467">
        <f>K191/K189</f>
        <v>2.4846589863226982E-2</v>
      </c>
      <c r="L192" s="467">
        <f t="shared" ref="L192:X192" si="148">L191/L189</f>
        <v>2.4846589863226971E-2</v>
      </c>
      <c r="M192" s="467">
        <f t="shared" si="148"/>
        <v>2.484658986322694E-2</v>
      </c>
      <c r="N192" s="467">
        <f t="shared" si="148"/>
        <v>2.4846589863227016E-2</v>
      </c>
      <c r="O192" s="467">
        <f t="shared" si="148"/>
        <v>2.4846589863226846E-2</v>
      </c>
      <c r="P192" s="467">
        <f t="shared" si="148"/>
        <v>2.484658986322711E-2</v>
      </c>
      <c r="Q192" s="467">
        <f t="shared" si="148"/>
        <v>2.4846589863226978E-2</v>
      </c>
      <c r="R192" s="467">
        <f t="shared" si="148"/>
        <v>2.4846589863226905E-2</v>
      </c>
      <c r="S192" s="467">
        <f t="shared" si="148"/>
        <v>2.4846589863227009E-2</v>
      </c>
      <c r="T192" s="467">
        <f t="shared" si="148"/>
        <v>2.4846589863226961E-2</v>
      </c>
      <c r="U192" s="467">
        <f t="shared" si="148"/>
        <v>2.4846589863227037E-2</v>
      </c>
      <c r="V192" s="467">
        <f t="shared" si="148"/>
        <v>2.4846589863226961E-2</v>
      </c>
      <c r="W192" s="467">
        <f t="shared" si="148"/>
        <v>2.4846589863226961E-2</v>
      </c>
      <c r="X192" s="467">
        <f t="shared" si="148"/>
        <v>2.4846589863226957E-2</v>
      </c>
    </row>
    <row r="193" spans="2:24">
      <c r="B193" s="460" t="s">
        <v>873</v>
      </c>
      <c r="C193" s="461"/>
      <c r="D193" s="461"/>
      <c r="E193" s="461"/>
      <c r="F193" s="461"/>
      <c r="G193" s="461"/>
      <c r="H193" s="461"/>
      <c r="I193" s="461"/>
      <c r="J193" s="462"/>
      <c r="K193" s="462">
        <f>K175</f>
        <v>1935.3582109275571</v>
      </c>
      <c r="L193" s="462">
        <f t="shared" ref="L193:X193" si="149">L175</f>
        <v>1932.7200230158487</v>
      </c>
      <c r="M193" s="462">
        <f t="shared" si="149"/>
        <v>1930.0854313559444</v>
      </c>
      <c r="N193" s="462">
        <f t="shared" si="149"/>
        <v>1927.4544310456051</v>
      </c>
      <c r="O193" s="462">
        <f t="shared" si="149"/>
        <v>1924.8270171892752</v>
      </c>
      <c r="P193" s="462">
        <f t="shared" si="149"/>
        <v>1922.203184898071</v>
      </c>
      <c r="Q193" s="462">
        <f t="shared" si="149"/>
        <v>1919.5829292897745</v>
      </c>
      <c r="R193" s="462">
        <f t="shared" si="149"/>
        <v>1916.9662454888223</v>
      </c>
      <c r="S193" s="462">
        <f t="shared" si="149"/>
        <v>1914.3531286262969</v>
      </c>
      <c r="T193" s="462">
        <f t="shared" si="149"/>
        <v>1911.7435738399183</v>
      </c>
      <c r="U193" s="462">
        <f t="shared" si="149"/>
        <v>1909.1375762740342</v>
      </c>
      <c r="V193" s="462">
        <f t="shared" si="149"/>
        <v>1906.5351310796118</v>
      </c>
      <c r="W193" s="462">
        <f t="shared" si="149"/>
        <v>1903.9362334142277</v>
      </c>
      <c r="X193" s="462">
        <f t="shared" si="149"/>
        <v>1901.3408784420596</v>
      </c>
    </row>
    <row r="194" spans="2:24">
      <c r="B194" s="471" t="s">
        <v>877</v>
      </c>
      <c r="C194" s="461"/>
      <c r="D194" s="461"/>
      <c r="E194" s="461"/>
      <c r="F194" s="461"/>
      <c r="G194" s="461"/>
      <c r="H194" s="461"/>
      <c r="I194" s="461"/>
      <c r="J194" s="462"/>
      <c r="K194" s="462"/>
      <c r="L194" s="462"/>
      <c r="M194" s="462"/>
      <c r="N194" s="462"/>
      <c r="O194" s="462"/>
      <c r="P194" s="462"/>
      <c r="Q194" s="462"/>
      <c r="R194" s="462"/>
      <c r="S194" s="462"/>
      <c r="T194" s="462"/>
      <c r="U194" s="462"/>
      <c r="V194" s="462"/>
      <c r="W194" s="462"/>
      <c r="X194" s="462"/>
    </row>
    <row r="195" spans="2:24">
      <c r="B195" s="460" t="s">
        <v>870</v>
      </c>
      <c r="C195" s="461"/>
      <c r="D195" s="461"/>
      <c r="E195" s="461"/>
      <c r="F195" s="461"/>
      <c r="G195" s="461"/>
      <c r="H195" s="461"/>
      <c r="I195" s="461"/>
      <c r="J195" s="462"/>
      <c r="K195" s="462">
        <f>J176</f>
        <v>1330</v>
      </c>
      <c r="L195" s="462">
        <f t="shared" ref="L195:X195" si="150">K176</f>
        <v>1328.1870074993037</v>
      </c>
      <c r="M195" s="462">
        <f t="shared" si="150"/>
        <v>1326.3764863834256</v>
      </c>
      <c r="N195" s="462">
        <f t="shared" si="150"/>
        <v>1324.5684332834912</v>
      </c>
      <c r="O195" s="462">
        <f t="shared" si="150"/>
        <v>1322.7628448352191</v>
      </c>
      <c r="P195" s="462">
        <f t="shared" si="150"/>
        <v>1320.9597176789143</v>
      </c>
      <c r="Q195" s="462">
        <f t="shared" si="150"/>
        <v>1319.1590484594603</v>
      </c>
      <c r="R195" s="462">
        <f t="shared" si="150"/>
        <v>1317.3608338263157</v>
      </c>
      <c r="S195" s="462">
        <f t="shared" si="150"/>
        <v>1315.5650704335053</v>
      </c>
      <c r="T195" s="462">
        <f t="shared" si="150"/>
        <v>1313.7717549396154</v>
      </c>
      <c r="U195" s="462">
        <f t="shared" si="150"/>
        <v>1311.9808840077869</v>
      </c>
      <c r="V195" s="462">
        <f t="shared" si="150"/>
        <v>1310.1924543057096</v>
      </c>
      <c r="W195" s="462">
        <f t="shared" si="150"/>
        <v>1308.4064625056158</v>
      </c>
      <c r="X195" s="462">
        <f t="shared" si="150"/>
        <v>1306.6229052842737</v>
      </c>
    </row>
    <row r="196" spans="2:24">
      <c r="B196" s="460" t="s">
        <v>871</v>
      </c>
      <c r="C196" s="461"/>
      <c r="D196" s="461"/>
      <c r="E196" s="461"/>
      <c r="F196" s="461"/>
      <c r="G196" s="461"/>
      <c r="H196" s="461"/>
      <c r="I196" s="461"/>
      <c r="J196" s="462"/>
      <c r="K196" s="462">
        <f>K172</f>
        <v>20.671618528310944</v>
      </c>
      <c r="L196" s="462">
        <f t="shared" ref="L196:X196" si="151">L172</f>
        <v>20.643439964875547</v>
      </c>
      <c r="M196" s="462">
        <f t="shared" si="151"/>
        <v>20.615299813112475</v>
      </c>
      <c r="N196" s="462">
        <f t="shared" si="151"/>
        <v>20.587198020660761</v>
      </c>
      <c r="O196" s="462">
        <f t="shared" si="151"/>
        <v>20.559134535230836</v>
      </c>
      <c r="P196" s="462">
        <f t="shared" si="151"/>
        <v>20.531109304604389</v>
      </c>
      <c r="Q196" s="462">
        <f t="shared" si="151"/>
        <v>20.503122276634297</v>
      </c>
      <c r="R196" s="462">
        <f t="shared" si="151"/>
        <v>20.475173399244529</v>
      </c>
      <c r="S196" s="462">
        <f t="shared" si="151"/>
        <v>20.447262620430031</v>
      </c>
      <c r="T196" s="462">
        <f t="shared" si="151"/>
        <v>20.419389888256646</v>
      </c>
      <c r="U196" s="462">
        <f t="shared" si="151"/>
        <v>20.391555150861009</v>
      </c>
      <c r="V196" s="462">
        <f t="shared" si="151"/>
        <v>20.363758356450454</v>
      </c>
      <c r="W196" s="462">
        <f t="shared" si="151"/>
        <v>20.335999453302911</v>
      </c>
      <c r="X196" s="462">
        <f t="shared" si="151"/>
        <v>20.308278389766819</v>
      </c>
    </row>
    <row r="197" spans="2:24">
      <c r="B197" s="460" t="s">
        <v>872</v>
      </c>
      <c r="C197" s="461"/>
      <c r="D197" s="461"/>
      <c r="E197" s="461"/>
      <c r="F197" s="461"/>
      <c r="G197" s="461"/>
      <c r="H197" s="461"/>
      <c r="I197" s="461"/>
      <c r="J197" s="462"/>
      <c r="K197" s="462">
        <f>K196-(K199-K195)</f>
        <v>22.484611029007226</v>
      </c>
      <c r="L197" s="462">
        <f t="shared" ref="L197:X197" si="152">L196-(L199-L195)</f>
        <v>22.453961080753693</v>
      </c>
      <c r="M197" s="462">
        <f t="shared" si="152"/>
        <v>22.423352913046816</v>
      </c>
      <c r="N197" s="462">
        <f t="shared" si="152"/>
        <v>22.392786468932908</v>
      </c>
      <c r="O197" s="462">
        <f t="shared" si="152"/>
        <v>22.36226169153559</v>
      </c>
      <c r="P197" s="462">
        <f t="shared" si="152"/>
        <v>22.331778524058382</v>
      </c>
      <c r="Q197" s="462">
        <f t="shared" si="152"/>
        <v>22.30133690977895</v>
      </c>
      <c r="R197" s="462">
        <f t="shared" si="152"/>
        <v>22.270936792054915</v>
      </c>
      <c r="S197" s="462">
        <f t="shared" si="152"/>
        <v>22.240578114319881</v>
      </c>
      <c r="T197" s="462">
        <f t="shared" si="152"/>
        <v>22.210260820085168</v>
      </c>
      <c r="U197" s="462">
        <f t="shared" si="152"/>
        <v>22.179984852938347</v>
      </c>
      <c r="V197" s="462">
        <f t="shared" si="152"/>
        <v>22.149750156544279</v>
      </c>
      <c r="W197" s="462">
        <f t="shared" si="152"/>
        <v>22.119556674645018</v>
      </c>
      <c r="X197" s="462">
        <f t="shared" si="152"/>
        <v>22.089404351058583</v>
      </c>
    </row>
    <row r="198" spans="2:24">
      <c r="B198" s="465" t="s">
        <v>874</v>
      </c>
      <c r="C198" s="461"/>
      <c r="D198" s="461"/>
      <c r="E198" s="461"/>
      <c r="F198" s="461"/>
      <c r="G198" s="461"/>
      <c r="H198" s="461"/>
      <c r="I198" s="461"/>
      <c r="J198" s="462"/>
      <c r="K198" s="467">
        <f>K197/K195</f>
        <v>1.6905722578200923E-2</v>
      </c>
      <c r="L198" s="467">
        <f t="shared" ref="L198:X198" si="153">L197/L195</f>
        <v>1.6905722578200617E-2</v>
      </c>
      <c r="M198" s="467">
        <f t="shared" si="153"/>
        <v>1.6905722578200718E-2</v>
      </c>
      <c r="N198" s="467">
        <f t="shared" si="153"/>
        <v>1.6905722578200898E-2</v>
      </c>
      <c r="O198" s="467">
        <f t="shared" si="153"/>
        <v>1.6905722578200576E-2</v>
      </c>
      <c r="P198" s="467">
        <f t="shared" si="153"/>
        <v>1.6905722578200957E-2</v>
      </c>
      <c r="Q198" s="467">
        <f t="shared" si="153"/>
        <v>1.6905722578200777E-2</v>
      </c>
      <c r="R198" s="467">
        <f t="shared" si="153"/>
        <v>1.6905722578200753E-2</v>
      </c>
      <c r="S198" s="467">
        <f t="shared" si="153"/>
        <v>1.6905722578200683E-2</v>
      </c>
      <c r="T198" s="467">
        <f t="shared" si="153"/>
        <v>1.6905722578200819E-2</v>
      </c>
      <c r="U198" s="467">
        <f t="shared" si="153"/>
        <v>1.6905722578200843E-2</v>
      </c>
      <c r="V198" s="467">
        <f t="shared" si="153"/>
        <v>1.6905722578200742E-2</v>
      </c>
      <c r="W198" s="467">
        <f t="shared" si="153"/>
        <v>1.6905722578200794E-2</v>
      </c>
      <c r="X198" s="467">
        <f t="shared" si="153"/>
        <v>1.6905722578200732E-2</v>
      </c>
    </row>
    <row r="199" spans="2:24">
      <c r="B199" s="460" t="s">
        <v>873</v>
      </c>
      <c r="C199" s="461"/>
      <c r="D199" s="461"/>
      <c r="E199" s="461"/>
      <c r="F199" s="461"/>
      <c r="G199" s="461"/>
      <c r="H199" s="461"/>
      <c r="I199" s="461"/>
      <c r="J199" s="462"/>
      <c r="K199" s="462">
        <f>K176</f>
        <v>1328.1870074993037</v>
      </c>
      <c r="L199" s="462">
        <f t="shared" ref="L199:X199" si="154">L176</f>
        <v>1326.3764863834256</v>
      </c>
      <c r="M199" s="462">
        <f t="shared" si="154"/>
        <v>1324.5684332834912</v>
      </c>
      <c r="N199" s="462">
        <f t="shared" si="154"/>
        <v>1322.7628448352191</v>
      </c>
      <c r="O199" s="462">
        <f t="shared" si="154"/>
        <v>1320.9597176789143</v>
      </c>
      <c r="P199" s="462">
        <f t="shared" si="154"/>
        <v>1319.1590484594603</v>
      </c>
      <c r="Q199" s="462">
        <f t="shared" si="154"/>
        <v>1317.3608338263157</v>
      </c>
      <c r="R199" s="462">
        <f t="shared" si="154"/>
        <v>1315.5650704335053</v>
      </c>
      <c r="S199" s="462">
        <f t="shared" si="154"/>
        <v>1313.7717549396154</v>
      </c>
      <c r="T199" s="462">
        <f t="shared" si="154"/>
        <v>1311.9808840077869</v>
      </c>
      <c r="U199" s="462">
        <f t="shared" si="154"/>
        <v>1310.1924543057096</v>
      </c>
      <c r="V199" s="462">
        <f t="shared" si="154"/>
        <v>1308.4064625056158</v>
      </c>
      <c r="W199" s="462">
        <f t="shared" si="154"/>
        <v>1306.6229052842737</v>
      </c>
      <c r="X199" s="462">
        <f t="shared" si="154"/>
        <v>1304.8417793229819</v>
      </c>
    </row>
    <row r="202" spans="2:24">
      <c r="B202" s="495" t="s">
        <v>884</v>
      </c>
      <c r="C202" s="495"/>
      <c r="D202" s="495"/>
      <c r="E202" s="495"/>
      <c r="F202" s="495"/>
      <c r="G202" s="495"/>
      <c r="H202" s="495"/>
      <c r="I202" s="495"/>
      <c r="J202" s="495"/>
      <c r="K202" s="495"/>
      <c r="L202" s="495"/>
      <c r="M202" s="495"/>
      <c r="N202" s="495"/>
      <c r="O202" s="495"/>
      <c r="P202" s="495"/>
      <c r="Q202" s="495"/>
      <c r="R202" s="495"/>
      <c r="S202" s="495"/>
      <c r="T202" s="495"/>
      <c r="U202" s="495"/>
      <c r="V202" s="495"/>
      <c r="W202" s="495"/>
      <c r="X202" s="495"/>
    </row>
    <row r="203" spans="2:24">
      <c r="B203" s="465" t="s">
        <v>858</v>
      </c>
      <c r="K203" s="488"/>
      <c r="L203" s="364">
        <v>0.05</v>
      </c>
      <c r="M203" s="364">
        <v>8.7499999999999994E-2</v>
      </c>
      <c r="N203" s="363">
        <v>0.15</v>
      </c>
      <c r="O203" s="363">
        <v>0.26249999999999996</v>
      </c>
      <c r="P203" s="363">
        <v>0.32000000000000006</v>
      </c>
      <c r="Q203" s="363">
        <v>0.40500000000000003</v>
      </c>
      <c r="R203" s="363">
        <v>0.47499999999999998</v>
      </c>
      <c r="S203" s="363">
        <v>0.53625</v>
      </c>
      <c r="T203" s="363">
        <v>0.53625</v>
      </c>
      <c r="U203" s="363">
        <v>0.53625</v>
      </c>
      <c r="V203" s="363">
        <v>0.53625</v>
      </c>
      <c r="W203" s="363">
        <v>0.53625</v>
      </c>
      <c r="X203" s="363">
        <v>0.53625</v>
      </c>
    </row>
    <row r="204" spans="2:24">
      <c r="B204" s="465" t="s">
        <v>857</v>
      </c>
      <c r="K204" s="489"/>
      <c r="L204" s="455">
        <f>K210</f>
        <v>0</v>
      </c>
      <c r="M204" s="455">
        <f>L210</f>
        <v>84.422647614599668</v>
      </c>
      <c r="N204" s="455">
        <f t="shared" ref="N204:X204" si="155">M210</f>
        <v>171.42790455159593</v>
      </c>
      <c r="O204" s="455">
        <f t="shared" si="155"/>
        <v>262.73125099762774</v>
      </c>
      <c r="P204" s="455">
        <f t="shared" si="155"/>
        <v>280.79313593409938</v>
      </c>
      <c r="Q204" s="455">
        <f t="shared" si="155"/>
        <v>302.78141946905703</v>
      </c>
      <c r="R204" s="455">
        <f t="shared" si="155"/>
        <v>330.57240576106443</v>
      </c>
      <c r="S204" s="455">
        <f t="shared" si="155"/>
        <v>363.12234131541669</v>
      </c>
      <c r="T204" s="455">
        <f t="shared" si="155"/>
        <v>399.81941342214566</v>
      </c>
      <c r="U204" s="455">
        <f t="shared" si="155"/>
        <v>436.46646183223777</v>
      </c>
      <c r="V204" s="455">
        <f t="shared" si="155"/>
        <v>473.06355473560802</v>
      </c>
      <c r="W204" s="455">
        <f t="shared" si="155"/>
        <v>509.61076022921804</v>
      </c>
      <c r="X204" s="455">
        <f t="shared" si="155"/>
        <v>546.10814631720302</v>
      </c>
    </row>
    <row r="205" spans="2:24">
      <c r="B205" s="460" t="s">
        <v>889</v>
      </c>
      <c r="K205" s="489"/>
      <c r="L205" s="455">
        <f t="shared" ref="L205" si="156">L204*L206</f>
        <v>0</v>
      </c>
      <c r="M205" s="455">
        <f t="shared" ref="M205:X205" si="157">M204*M206</f>
        <v>8.0335827718229673</v>
      </c>
      <c r="N205" s="455">
        <f t="shared" si="157"/>
        <v>16.312924310339323</v>
      </c>
      <c r="O205" s="455">
        <f t="shared" si="157"/>
        <v>25.001268158155085</v>
      </c>
      <c r="P205" s="455">
        <f t="shared" si="157"/>
        <v>26.720020788547526</v>
      </c>
      <c r="Q205" s="455">
        <f t="shared" si="157"/>
        <v>28.812405957451496</v>
      </c>
      <c r="R205" s="455">
        <f t="shared" si="157"/>
        <v>31.456971071147706</v>
      </c>
      <c r="S205" s="455">
        <f t="shared" si="157"/>
        <v>34.554393491339262</v>
      </c>
      <c r="T205" s="455">
        <f t="shared" si="157"/>
        <v>38.046453674038155</v>
      </c>
      <c r="U205" s="455">
        <f t="shared" si="157"/>
        <v>41.53375364702034</v>
      </c>
      <c r="V205" s="455">
        <f t="shared" si="157"/>
        <v>45.016299899176452</v>
      </c>
      <c r="W205" s="455">
        <f t="shared" si="157"/>
        <v>48.494098910551742</v>
      </c>
      <c r="X205" s="455">
        <f t="shared" si="157"/>
        <v>51.96715715235819</v>
      </c>
    </row>
    <row r="206" spans="2:24">
      <c r="B206" s="466" t="s">
        <v>890</v>
      </c>
      <c r="K206" s="489"/>
      <c r="L206" s="497">
        <f t="shared" ref="L206" si="158">L209/2</f>
        <v>9.5159095323535836E-2</v>
      </c>
      <c r="M206" s="497">
        <f t="shared" ref="M206:X206" si="159">M209/2</f>
        <v>9.5159095323535864E-2</v>
      </c>
      <c r="N206" s="497">
        <f t="shared" si="159"/>
        <v>9.5159095323535864E-2</v>
      </c>
      <c r="O206" s="497">
        <f t="shared" si="159"/>
        <v>9.5159095323535864E-2</v>
      </c>
      <c r="P206" s="497">
        <f t="shared" si="159"/>
        <v>9.5159095323535864E-2</v>
      </c>
      <c r="Q206" s="497">
        <f t="shared" si="159"/>
        <v>9.5159095323535864E-2</v>
      </c>
      <c r="R206" s="497">
        <f t="shared" si="159"/>
        <v>9.5159095323535864E-2</v>
      </c>
      <c r="S206" s="497">
        <f t="shared" si="159"/>
        <v>9.5159095323535864E-2</v>
      </c>
      <c r="T206" s="497">
        <f t="shared" si="159"/>
        <v>9.5159095323535864E-2</v>
      </c>
      <c r="U206" s="497">
        <f t="shared" si="159"/>
        <v>9.5159095323535864E-2</v>
      </c>
      <c r="V206" s="497">
        <f t="shared" si="159"/>
        <v>9.5159095323535864E-2</v>
      </c>
      <c r="W206" s="497">
        <f t="shared" si="159"/>
        <v>9.5159095323535864E-2</v>
      </c>
      <c r="X206" s="497">
        <f t="shared" si="159"/>
        <v>9.5159095323535864E-2</v>
      </c>
    </row>
    <row r="207" spans="2:24">
      <c r="B207" s="460" t="s">
        <v>856</v>
      </c>
      <c r="C207" s="461"/>
      <c r="D207" s="461"/>
      <c r="E207" s="461"/>
      <c r="F207" s="461"/>
      <c r="G207" s="461"/>
      <c r="H207" s="461"/>
      <c r="I207" s="461"/>
      <c r="J207" s="462"/>
      <c r="K207" s="490"/>
      <c r="L207" s="468">
        <f>L170*L177*L203+100</f>
        <v>104.26644965886975</v>
      </c>
      <c r="M207" s="468">
        <f>M170*M177*M203+100</f>
        <v>107.45610921718504</v>
      </c>
      <c r="N207" s="462">
        <f>N170*N177*N203+100</f>
        <v>112.7644778372859</v>
      </c>
      <c r="O207" s="462">
        <f t="shared" ref="O207:X207" si="160">O170*O177*O203</f>
        <v>22.307386343415708</v>
      </c>
      <c r="P207" s="462">
        <f t="shared" si="160"/>
        <v>27.156696965354786</v>
      </c>
      <c r="Q207" s="462">
        <f t="shared" si="160"/>
        <v>34.323342788467812</v>
      </c>
      <c r="R207" s="462">
        <f t="shared" si="160"/>
        <v>40.200897659248561</v>
      </c>
      <c r="S207" s="462">
        <f t="shared" si="160"/>
        <v>45.32283136761599</v>
      </c>
      <c r="T207" s="462">
        <f t="shared" si="160"/>
        <v>45.261049447781559</v>
      </c>
      <c r="U207" s="462">
        <f t="shared" si="160"/>
        <v>45.19935174611053</v>
      </c>
      <c r="V207" s="462">
        <f t="shared" si="160"/>
        <v>45.137738147800739</v>
      </c>
      <c r="W207" s="462">
        <f t="shared" si="160"/>
        <v>45.076208538206494</v>
      </c>
      <c r="X207" s="462">
        <f t="shared" si="160"/>
        <v>45.014762802838391</v>
      </c>
    </row>
    <row r="208" spans="2:24">
      <c r="B208" s="460" t="s">
        <v>891</v>
      </c>
      <c r="C208" s="461"/>
      <c r="D208" s="461"/>
      <c r="E208" s="461"/>
      <c r="F208" s="461"/>
      <c r="G208" s="461"/>
      <c r="H208" s="461"/>
      <c r="I208" s="461"/>
      <c r="J208" s="462"/>
      <c r="K208" s="491"/>
      <c r="L208" s="462">
        <f>L207*L209</f>
        <v>19.843802044270074</v>
      </c>
      <c r="M208" s="462">
        <f>M207*M209</f>
        <v>20.450852280188784</v>
      </c>
      <c r="N208" s="462">
        <f t="shared" ref="N208:X208" si="161">N207*N209</f>
        <v>21.461131391254071</v>
      </c>
      <c r="O208" s="462">
        <f t="shared" si="161"/>
        <v>4.2455014069440749</v>
      </c>
      <c r="P208" s="462">
        <f t="shared" si="161"/>
        <v>5.1684134303971465</v>
      </c>
      <c r="Q208" s="462">
        <f t="shared" si="161"/>
        <v>6.5323564964604115</v>
      </c>
      <c r="R208" s="462">
        <f t="shared" si="161"/>
        <v>7.650962104896287</v>
      </c>
      <c r="S208" s="462">
        <f t="shared" si="161"/>
        <v>8.6257592608870226</v>
      </c>
      <c r="T208" s="462">
        <f t="shared" si="161"/>
        <v>8.614001037689432</v>
      </c>
      <c r="U208" s="462">
        <f t="shared" si="161"/>
        <v>8.6022588427403175</v>
      </c>
      <c r="V208" s="462">
        <f t="shared" si="161"/>
        <v>8.5905326541907439</v>
      </c>
      <c r="W208" s="462">
        <f t="shared" si="161"/>
        <v>8.578822450221546</v>
      </c>
      <c r="X208" s="462">
        <f t="shared" si="161"/>
        <v>8.5671282090433092</v>
      </c>
    </row>
    <row r="209" spans="2:24">
      <c r="B209" s="466" t="s">
        <v>892</v>
      </c>
      <c r="C209" s="461"/>
      <c r="D209" s="461"/>
      <c r="E209" s="461"/>
      <c r="F209" s="461"/>
      <c r="G209" s="461"/>
      <c r="H209" s="461"/>
      <c r="I209" s="461"/>
      <c r="J209" s="462"/>
      <c r="K209" s="492"/>
      <c r="L209" s="467">
        <f>L186</f>
        <v>0.19031819064707167</v>
      </c>
      <c r="M209" s="467">
        <f>M186</f>
        <v>0.19031819064707173</v>
      </c>
      <c r="N209" s="467">
        <f t="shared" ref="N209:X209" si="162">M209</f>
        <v>0.19031819064707173</v>
      </c>
      <c r="O209" s="467">
        <f t="shared" si="162"/>
        <v>0.19031819064707173</v>
      </c>
      <c r="P209" s="467">
        <f t="shared" si="162"/>
        <v>0.19031819064707173</v>
      </c>
      <c r="Q209" s="467">
        <f t="shared" si="162"/>
        <v>0.19031819064707173</v>
      </c>
      <c r="R209" s="467">
        <f t="shared" si="162"/>
        <v>0.19031819064707173</v>
      </c>
      <c r="S209" s="467">
        <f t="shared" si="162"/>
        <v>0.19031819064707173</v>
      </c>
      <c r="T209" s="467">
        <f t="shared" si="162"/>
        <v>0.19031819064707173</v>
      </c>
      <c r="U209" s="467">
        <f t="shared" si="162"/>
        <v>0.19031819064707173</v>
      </c>
      <c r="V209" s="467">
        <f t="shared" si="162"/>
        <v>0.19031819064707173</v>
      </c>
      <c r="W209" s="467">
        <f t="shared" si="162"/>
        <v>0.19031819064707173</v>
      </c>
      <c r="X209" s="467">
        <f t="shared" si="162"/>
        <v>0.19031819064707173</v>
      </c>
    </row>
    <row r="210" spans="2:24">
      <c r="B210" s="460" t="s">
        <v>859</v>
      </c>
      <c r="C210" s="461"/>
      <c r="D210" s="461"/>
      <c r="E210" s="461"/>
      <c r="F210" s="461"/>
      <c r="G210" s="461"/>
      <c r="H210" s="461"/>
      <c r="I210" s="461"/>
      <c r="J210" s="462"/>
      <c r="K210" s="491"/>
      <c r="L210" s="462">
        <f t="shared" ref="L210" si="163">L204+L207-L208</f>
        <v>84.422647614599668</v>
      </c>
      <c r="M210" s="462">
        <f t="shared" ref="M210:X210" si="164">M204+M207-M208</f>
        <v>171.42790455159593</v>
      </c>
      <c r="N210" s="462">
        <f t="shared" si="164"/>
        <v>262.73125099762774</v>
      </c>
      <c r="O210" s="462">
        <f t="shared" si="164"/>
        <v>280.79313593409938</v>
      </c>
      <c r="P210" s="462">
        <f t="shared" si="164"/>
        <v>302.78141946905703</v>
      </c>
      <c r="Q210" s="462">
        <f t="shared" si="164"/>
        <v>330.57240576106443</v>
      </c>
      <c r="R210" s="462">
        <f t="shared" si="164"/>
        <v>363.12234131541669</v>
      </c>
      <c r="S210" s="462">
        <f t="shared" si="164"/>
        <v>399.81941342214566</v>
      </c>
      <c r="T210" s="462">
        <f t="shared" si="164"/>
        <v>436.46646183223777</v>
      </c>
      <c r="U210" s="462">
        <f t="shared" si="164"/>
        <v>473.06355473560802</v>
      </c>
      <c r="V210" s="462">
        <f t="shared" si="164"/>
        <v>509.61076022921804</v>
      </c>
      <c r="W210" s="462">
        <f t="shared" si="164"/>
        <v>546.10814631720302</v>
      </c>
      <c r="X210" s="462">
        <f t="shared" si="164"/>
        <v>582.55578091099812</v>
      </c>
    </row>
    <row r="211" spans="2:24">
      <c r="B211" s="460"/>
      <c r="C211" s="461"/>
      <c r="D211" s="461"/>
      <c r="E211" s="461"/>
      <c r="F211" s="461"/>
      <c r="G211" s="461"/>
      <c r="H211" s="461"/>
      <c r="I211" s="461"/>
      <c r="J211" s="462"/>
      <c r="K211" s="462"/>
      <c r="L211" s="462"/>
      <c r="M211" s="462"/>
      <c r="N211" s="462"/>
      <c r="O211" s="462"/>
      <c r="P211" s="462"/>
      <c r="Q211" s="462"/>
      <c r="R211" s="462"/>
      <c r="S211" s="462"/>
      <c r="T211" s="462"/>
      <c r="U211" s="462"/>
      <c r="V211" s="462"/>
      <c r="W211" s="462"/>
      <c r="X211" s="462"/>
    </row>
    <row r="212" spans="2:24">
      <c r="B212" s="495" t="s">
        <v>885</v>
      </c>
      <c r="C212" s="495"/>
      <c r="D212" s="495"/>
      <c r="E212" s="495"/>
      <c r="F212" s="495"/>
      <c r="G212" s="495"/>
      <c r="H212" s="495"/>
      <c r="I212" s="495"/>
      <c r="J212" s="495"/>
      <c r="K212" s="495"/>
      <c r="L212" s="495"/>
      <c r="M212" s="495"/>
      <c r="N212" s="495"/>
      <c r="O212" s="495"/>
      <c r="P212" s="495"/>
      <c r="Q212" s="495"/>
      <c r="R212" s="495"/>
      <c r="S212" s="495"/>
      <c r="T212" s="495"/>
      <c r="U212" s="495"/>
      <c r="V212" s="495"/>
      <c r="W212" s="495"/>
      <c r="X212" s="495"/>
    </row>
    <row r="213" spans="2:24">
      <c r="B213" s="465" t="s">
        <v>858</v>
      </c>
      <c r="C213" s="461"/>
      <c r="D213" s="461"/>
      <c r="E213" s="461"/>
      <c r="F213" s="461"/>
      <c r="G213" s="461"/>
      <c r="H213" s="461"/>
      <c r="I213" s="461"/>
      <c r="J213" s="462"/>
      <c r="K213" s="462"/>
      <c r="L213" s="364">
        <v>0.03</v>
      </c>
      <c r="M213" s="364">
        <v>4.9999999999999996E-2</v>
      </c>
      <c r="N213" s="363">
        <v>0.09</v>
      </c>
      <c r="O213" s="363">
        <v>0.15000000000000002</v>
      </c>
      <c r="P213" s="363">
        <v>0.20000000000000007</v>
      </c>
      <c r="Q213" s="363">
        <v>0.27000000000000007</v>
      </c>
      <c r="R213" s="363">
        <v>0.33250000000000002</v>
      </c>
      <c r="S213" s="363">
        <v>0.33250000000000002</v>
      </c>
      <c r="T213" s="363">
        <v>0.33250000000000002</v>
      </c>
      <c r="U213" s="363">
        <v>0.33250000000000002</v>
      </c>
      <c r="V213" s="363">
        <v>0.33250000000000002</v>
      </c>
      <c r="W213" s="363">
        <v>0.33250000000000002</v>
      </c>
      <c r="X213" s="363">
        <v>0.33250000000000002</v>
      </c>
    </row>
    <row r="214" spans="2:24">
      <c r="B214" s="465" t="s">
        <v>857</v>
      </c>
      <c r="C214" s="461"/>
      <c r="D214" s="461"/>
      <c r="E214" s="461"/>
      <c r="F214" s="461"/>
      <c r="G214" s="461"/>
      <c r="H214" s="461"/>
      <c r="I214" s="461"/>
      <c r="J214" s="462"/>
      <c r="K214" s="462"/>
      <c r="L214" s="455">
        <f>K219</f>
        <v>0</v>
      </c>
      <c r="M214" s="455">
        <f>L220</f>
        <v>147.27020284710812</v>
      </c>
      <c r="N214" s="455">
        <f>M220</f>
        <v>295.20293437259988</v>
      </c>
      <c r="O214" s="455">
        <f t="shared" ref="O214:X214" si="165">N220</f>
        <v>371.32286372988949</v>
      </c>
      <c r="P214" s="455">
        <f t="shared" si="165"/>
        <v>376.28845829059645</v>
      </c>
      <c r="Q214" s="455">
        <f t="shared" si="165"/>
        <v>382.90022588963433</v>
      </c>
      <c r="R214" s="455">
        <f t="shared" si="165"/>
        <v>391.81394480634367</v>
      </c>
      <c r="S214" s="455">
        <f t="shared" si="165"/>
        <v>402.77606115233817</v>
      </c>
      <c r="T214" s="455">
        <f t="shared" si="165"/>
        <v>413.7232344647033</v>
      </c>
      <c r="U214" s="455">
        <f t="shared" si="165"/>
        <v>424.65548511306912</v>
      </c>
      <c r="V214" s="455">
        <f t="shared" si="165"/>
        <v>435.57283343929868</v>
      </c>
      <c r="W214" s="455">
        <f t="shared" si="165"/>
        <v>446.47529975752599</v>
      </c>
      <c r="X214" s="455">
        <f t="shared" si="165"/>
        <v>457.36290435419392</v>
      </c>
    </row>
    <row r="215" spans="2:24">
      <c r="B215" s="460" t="s">
        <v>889</v>
      </c>
      <c r="C215" s="461"/>
      <c r="D215" s="461"/>
      <c r="E215" s="461"/>
      <c r="F215" s="461"/>
      <c r="G215" s="461"/>
      <c r="H215" s="461"/>
      <c r="I215" s="461"/>
      <c r="J215" s="462"/>
      <c r="K215" s="462"/>
      <c r="L215" s="455">
        <f t="shared" ref="L215" si="166">L214*L216</f>
        <v>0</v>
      </c>
      <c r="M215" s="455">
        <f t="shared" ref="M215:X215" si="167">M214*M216</f>
        <v>1.8295811646081659</v>
      </c>
      <c r="N215" s="455">
        <f t="shared" si="167"/>
        <v>3.667393118388544</v>
      </c>
      <c r="O215" s="455">
        <f t="shared" si="167"/>
        <v>4.613053450967735</v>
      </c>
      <c r="P215" s="455">
        <f t="shared" si="167"/>
        <v>4.6747424967062132</v>
      </c>
      <c r="Q215" s="455">
        <f t="shared" si="167"/>
        <v>4.7568824356083468</v>
      </c>
      <c r="R215" s="455">
        <f t="shared" si="167"/>
        <v>4.8676201946481292</v>
      </c>
      <c r="S215" s="455">
        <f t="shared" si="167"/>
        <v>5.0038057990890801</v>
      </c>
      <c r="T215" s="455">
        <f t="shared" si="167"/>
        <v>5.1398057618160795</v>
      </c>
      <c r="U215" s="455">
        <f t="shared" si="167"/>
        <v>5.2756203358870506</v>
      </c>
      <c r="V215" s="455">
        <f t="shared" si="167"/>
        <v>5.4112497740149577</v>
      </c>
      <c r="W215" s="455">
        <f t="shared" si="167"/>
        <v>5.546694328568277</v>
      </c>
      <c r="X215" s="455">
        <f t="shared" si="167"/>
        <v>5.6819542515714732</v>
      </c>
    </row>
    <row r="216" spans="2:24">
      <c r="B216" s="466" t="s">
        <v>890</v>
      </c>
      <c r="C216" s="461"/>
      <c r="D216" s="461"/>
      <c r="E216" s="461"/>
      <c r="F216" s="461"/>
      <c r="G216" s="461"/>
      <c r="H216" s="461"/>
      <c r="I216" s="461"/>
      <c r="J216" s="462"/>
      <c r="K216" s="462"/>
      <c r="L216" s="497">
        <f t="shared" ref="L216" si="168">L219/2</f>
        <v>1.2423294931613486E-2</v>
      </c>
      <c r="M216" s="497">
        <f t="shared" ref="M216:X216" si="169">M219/2</f>
        <v>1.242329493161347E-2</v>
      </c>
      <c r="N216" s="497">
        <f t="shared" si="169"/>
        <v>1.242329493161347E-2</v>
      </c>
      <c r="O216" s="497">
        <f t="shared" si="169"/>
        <v>1.242329493161347E-2</v>
      </c>
      <c r="P216" s="497">
        <f t="shared" si="169"/>
        <v>1.242329493161347E-2</v>
      </c>
      <c r="Q216" s="497">
        <f t="shared" si="169"/>
        <v>1.242329493161347E-2</v>
      </c>
      <c r="R216" s="497">
        <f t="shared" si="169"/>
        <v>1.242329493161347E-2</v>
      </c>
      <c r="S216" s="497">
        <f t="shared" si="169"/>
        <v>1.242329493161347E-2</v>
      </c>
      <c r="T216" s="497">
        <f t="shared" si="169"/>
        <v>1.242329493161347E-2</v>
      </c>
      <c r="U216" s="497">
        <f t="shared" si="169"/>
        <v>1.242329493161347E-2</v>
      </c>
      <c r="V216" s="497">
        <f t="shared" si="169"/>
        <v>1.242329493161347E-2</v>
      </c>
      <c r="W216" s="497">
        <f t="shared" si="169"/>
        <v>1.242329493161347E-2</v>
      </c>
      <c r="X216" s="497">
        <f t="shared" si="169"/>
        <v>1.242329493161347E-2</v>
      </c>
    </row>
    <row r="217" spans="2:24">
      <c r="B217" s="460" t="s">
        <v>856</v>
      </c>
      <c r="C217" s="461"/>
      <c r="D217" s="461"/>
      <c r="E217" s="461"/>
      <c r="F217" s="461"/>
      <c r="G217" s="461"/>
      <c r="H217" s="461"/>
      <c r="I217" s="461"/>
      <c r="J217" s="462"/>
      <c r="K217" s="462"/>
      <c r="L217" s="468">
        <f>L171*L178*L213+150</f>
        <v>151.02259943535685</v>
      </c>
      <c r="M217" s="468">
        <f>M171*M178*M213+150</f>
        <v>151.70200912771563</v>
      </c>
      <c r="N217" s="468">
        <f>N171*N178*N213+75</f>
        <v>78.059440254239732</v>
      </c>
      <c r="O217" s="462">
        <f t="shared" ref="O217:X217" si="170">O171*O178*O213</f>
        <v>5.0921162855909445</v>
      </c>
      <c r="P217" s="462">
        <f t="shared" si="170"/>
        <v>6.7802332743834679</v>
      </c>
      <c r="Q217" s="462">
        <f t="shared" si="170"/>
        <v>9.1408375585325494</v>
      </c>
      <c r="R217" s="462">
        <f t="shared" si="170"/>
        <v>11.241427484170913</v>
      </c>
      <c r="S217" s="462">
        <f t="shared" si="170"/>
        <v>11.22610370693338</v>
      </c>
      <c r="T217" s="462">
        <f t="shared" si="170"/>
        <v>11.21080081833736</v>
      </c>
      <c r="U217" s="462">
        <f t="shared" si="170"/>
        <v>11.195518789908455</v>
      </c>
      <c r="V217" s="462">
        <f t="shared" si="170"/>
        <v>11.180257593211083</v>
      </c>
      <c r="W217" s="462">
        <f t="shared" si="170"/>
        <v>11.165017199848418</v>
      </c>
      <c r="X217" s="462">
        <f t="shared" si="170"/>
        <v>11.149797581462352</v>
      </c>
    </row>
    <row r="218" spans="2:24">
      <c r="B218" s="460" t="s">
        <v>891</v>
      </c>
      <c r="C218" s="461"/>
      <c r="D218" s="461"/>
      <c r="E218" s="461"/>
      <c r="F218" s="461"/>
      <c r="G218" s="461"/>
      <c r="H218" s="461"/>
      <c r="I218" s="461"/>
      <c r="J218" s="462"/>
      <c r="K218" s="462"/>
      <c r="L218" s="462">
        <f>L217*L219</f>
        <v>3.7523965882487249</v>
      </c>
      <c r="M218" s="462">
        <f>M217*M219</f>
        <v>3.7692776022238599</v>
      </c>
      <c r="N218" s="462">
        <f t="shared" ref="N218:X218" si="171">N217*N219</f>
        <v>1.939510896950162</v>
      </c>
      <c r="O218" s="462">
        <f t="shared" si="171"/>
        <v>0.12652172488393679</v>
      </c>
      <c r="P218" s="462">
        <f t="shared" si="171"/>
        <v>0.16846567534561027</v>
      </c>
      <c r="Q218" s="462">
        <f t="shared" si="171"/>
        <v>0.22711864182323893</v>
      </c>
      <c r="R218" s="462">
        <f t="shared" si="171"/>
        <v>0.27931113817640174</v>
      </c>
      <c r="S218" s="462">
        <f t="shared" si="171"/>
        <v>0.27893039456822527</v>
      </c>
      <c r="T218" s="462">
        <f t="shared" si="171"/>
        <v>0.27855016997155735</v>
      </c>
      <c r="U218" s="462">
        <f t="shared" si="171"/>
        <v>0.27817046367890613</v>
      </c>
      <c r="V218" s="462">
        <f t="shared" si="171"/>
        <v>0.27779127498374451</v>
      </c>
      <c r="W218" s="462">
        <f t="shared" si="171"/>
        <v>0.27741260318050814</v>
      </c>
      <c r="X218" s="462">
        <f t="shared" si="171"/>
        <v>0.27703444756459472</v>
      </c>
    </row>
    <row r="219" spans="2:24">
      <c r="B219" s="466" t="s">
        <v>892</v>
      </c>
      <c r="C219" s="461"/>
      <c r="D219" s="461"/>
      <c r="E219" s="461"/>
      <c r="F219" s="461"/>
      <c r="G219" s="461"/>
      <c r="H219" s="461"/>
      <c r="I219" s="461"/>
      <c r="J219" s="462"/>
      <c r="K219" s="462"/>
      <c r="L219" s="469">
        <f>L192</f>
        <v>2.4846589863226971E-2</v>
      </c>
      <c r="M219" s="469">
        <f>M192</f>
        <v>2.484658986322694E-2</v>
      </c>
      <c r="N219" s="467">
        <f>M219</f>
        <v>2.484658986322694E-2</v>
      </c>
      <c r="O219" s="467">
        <f t="shared" ref="O219:X219" si="172">N219</f>
        <v>2.484658986322694E-2</v>
      </c>
      <c r="P219" s="467">
        <f t="shared" si="172"/>
        <v>2.484658986322694E-2</v>
      </c>
      <c r="Q219" s="467">
        <f t="shared" si="172"/>
        <v>2.484658986322694E-2</v>
      </c>
      <c r="R219" s="467">
        <f t="shared" si="172"/>
        <v>2.484658986322694E-2</v>
      </c>
      <c r="S219" s="467">
        <f t="shared" si="172"/>
        <v>2.484658986322694E-2</v>
      </c>
      <c r="T219" s="467">
        <f t="shared" si="172"/>
        <v>2.484658986322694E-2</v>
      </c>
      <c r="U219" s="467">
        <f t="shared" si="172"/>
        <v>2.484658986322694E-2</v>
      </c>
      <c r="V219" s="467">
        <f t="shared" si="172"/>
        <v>2.484658986322694E-2</v>
      </c>
      <c r="W219" s="467">
        <f t="shared" si="172"/>
        <v>2.484658986322694E-2</v>
      </c>
      <c r="X219" s="467">
        <f t="shared" si="172"/>
        <v>2.484658986322694E-2</v>
      </c>
    </row>
    <row r="220" spans="2:24">
      <c r="B220" s="460" t="s">
        <v>859</v>
      </c>
      <c r="C220" s="461"/>
      <c r="D220" s="461"/>
      <c r="E220" s="461"/>
      <c r="F220" s="461"/>
      <c r="G220" s="461"/>
      <c r="H220" s="461"/>
      <c r="I220" s="461"/>
      <c r="J220" s="462"/>
      <c r="K220" s="462"/>
      <c r="L220" s="462">
        <f>L214+L217-L218</f>
        <v>147.27020284710812</v>
      </c>
      <c r="M220" s="462">
        <f>M214+M217-M218</f>
        <v>295.20293437259988</v>
      </c>
      <c r="N220" s="462">
        <f t="shared" ref="N220:X220" si="173">N214+N217-N218</f>
        <v>371.32286372988949</v>
      </c>
      <c r="O220" s="462">
        <f t="shared" si="173"/>
        <v>376.28845829059645</v>
      </c>
      <c r="P220" s="462">
        <f t="shared" si="173"/>
        <v>382.90022588963433</v>
      </c>
      <c r="Q220" s="462">
        <f t="shared" si="173"/>
        <v>391.81394480634367</v>
      </c>
      <c r="R220" s="462">
        <f t="shared" si="173"/>
        <v>402.77606115233817</v>
      </c>
      <c r="S220" s="462">
        <f t="shared" si="173"/>
        <v>413.7232344647033</v>
      </c>
      <c r="T220" s="462">
        <f t="shared" si="173"/>
        <v>424.65548511306912</v>
      </c>
      <c r="U220" s="462">
        <f t="shared" si="173"/>
        <v>435.57283343929868</v>
      </c>
      <c r="V220" s="462">
        <f t="shared" si="173"/>
        <v>446.47529975752599</v>
      </c>
      <c r="W220" s="462">
        <f t="shared" si="173"/>
        <v>457.36290435419392</v>
      </c>
      <c r="X220" s="462">
        <f t="shared" si="173"/>
        <v>468.23566748809168</v>
      </c>
    </row>
    <row r="221" spans="2:24">
      <c r="B221" s="460"/>
      <c r="C221" s="461"/>
      <c r="D221" s="461"/>
      <c r="E221" s="461"/>
      <c r="F221" s="461"/>
      <c r="G221" s="461"/>
      <c r="H221" s="461"/>
      <c r="I221" s="461"/>
      <c r="J221" s="462"/>
      <c r="K221" s="462"/>
      <c r="L221" s="462"/>
      <c r="M221" s="462"/>
      <c r="N221" s="462"/>
      <c r="O221" s="462"/>
      <c r="P221" s="462"/>
      <c r="Q221" s="462"/>
      <c r="R221" s="462"/>
      <c r="S221" s="462"/>
      <c r="T221" s="462"/>
      <c r="U221" s="462"/>
      <c r="V221" s="462"/>
      <c r="W221" s="462"/>
      <c r="X221" s="462"/>
    </row>
    <row r="222" spans="2:24">
      <c r="B222" s="495" t="s">
        <v>886</v>
      </c>
      <c r="C222" s="495"/>
      <c r="D222" s="495"/>
      <c r="E222" s="495"/>
      <c r="F222" s="495"/>
      <c r="G222" s="495"/>
      <c r="H222" s="495"/>
      <c r="I222" s="495"/>
      <c r="J222" s="495"/>
      <c r="K222" s="495"/>
      <c r="L222" s="495"/>
      <c r="M222" s="495"/>
      <c r="N222" s="495"/>
      <c r="O222" s="495"/>
      <c r="P222" s="495"/>
      <c r="Q222" s="495"/>
      <c r="R222" s="495"/>
      <c r="S222" s="495"/>
      <c r="T222" s="495"/>
      <c r="U222" s="495"/>
      <c r="V222" s="495"/>
      <c r="W222" s="495"/>
      <c r="X222" s="495"/>
    </row>
    <row r="223" spans="2:24">
      <c r="B223" s="465" t="s">
        <v>858</v>
      </c>
      <c r="C223" s="461"/>
      <c r="D223" s="461"/>
      <c r="E223" s="461"/>
      <c r="F223" s="461"/>
      <c r="G223" s="461"/>
      <c r="H223" s="461"/>
      <c r="I223" s="461"/>
      <c r="J223" s="462"/>
      <c r="K223" s="462"/>
      <c r="L223" s="364">
        <v>1.4999999999999999E-2</v>
      </c>
      <c r="M223" s="364">
        <v>2.4999999999999998E-2</v>
      </c>
      <c r="N223" s="363">
        <v>0.06</v>
      </c>
      <c r="O223" s="363">
        <v>0.11249999999999999</v>
      </c>
      <c r="P223" s="363">
        <v>0.11249999999999999</v>
      </c>
      <c r="Q223" s="363">
        <v>0.11249999999999999</v>
      </c>
      <c r="R223" s="363">
        <v>0.11249999999999999</v>
      </c>
      <c r="S223" s="363">
        <v>0.11249999999999999</v>
      </c>
      <c r="T223" s="363">
        <v>0.11249999999999999</v>
      </c>
      <c r="U223" s="363">
        <v>0.11249999999999999</v>
      </c>
      <c r="V223" s="363">
        <v>0.11249999999999999</v>
      </c>
      <c r="W223" s="363">
        <v>0.11249999999999999</v>
      </c>
      <c r="X223" s="363">
        <v>0.11249999999999999</v>
      </c>
    </row>
    <row r="224" spans="2:24">
      <c r="B224" s="465" t="s">
        <v>857</v>
      </c>
      <c r="C224" s="461"/>
      <c r="D224" s="461"/>
      <c r="E224" s="461"/>
      <c r="F224" s="461"/>
      <c r="G224" s="461"/>
      <c r="H224" s="461"/>
      <c r="I224" s="461"/>
      <c r="J224" s="462"/>
      <c r="K224" s="462"/>
      <c r="L224" s="455">
        <f>K229</f>
        <v>0</v>
      </c>
      <c r="M224" s="455">
        <f>L230</f>
        <v>4.8898242505139207</v>
      </c>
      <c r="N224" s="455">
        <f>M230</f>
        <v>12.987089036987239</v>
      </c>
      <c r="O224" s="455">
        <f t="shared" ref="O224:X224" si="174">N230</f>
        <v>32.383319721963638</v>
      </c>
      <c r="P224" s="455">
        <f t="shared" si="174"/>
        <v>68.633498801003626</v>
      </c>
      <c r="Q224" s="455">
        <f t="shared" si="174"/>
        <v>104.52747249318789</v>
      </c>
      <c r="R224" s="455">
        <f t="shared" si="174"/>
        <v>140.06831962139128</v>
      </c>
      <c r="S224" s="455">
        <f t="shared" si="174"/>
        <v>175.25909289111135</v>
      </c>
      <c r="T224" s="455">
        <f t="shared" si="174"/>
        <v>210.10281911136104</v>
      </c>
      <c r="U224" s="455">
        <f t="shared" si="174"/>
        <v>244.60249941369389</v>
      </c>
      <c r="V224" s="455">
        <f t="shared" si="174"/>
        <v>278.76110946937797</v>
      </c>
      <c r="W224" s="455">
        <f t="shared" si="174"/>
        <v>312.58159970473366</v>
      </c>
      <c r="X224" s="455">
        <f t="shared" si="174"/>
        <v>346.06689551465109</v>
      </c>
    </row>
    <row r="225" spans="2:24">
      <c r="B225" s="460" t="s">
        <v>889</v>
      </c>
      <c r="C225" s="461"/>
      <c r="D225" s="461"/>
      <c r="E225" s="461"/>
      <c r="F225" s="461"/>
      <c r="G225" s="461"/>
      <c r="H225" s="461"/>
      <c r="I225" s="461"/>
      <c r="J225" s="462"/>
      <c r="K225" s="462"/>
      <c r="L225" s="455">
        <f t="shared" ref="L225" si="175">L224*L226</f>
        <v>0</v>
      </c>
      <c r="M225" s="455">
        <f t="shared" ref="M225:X225" si="176">M224*M226</f>
        <v>4.1333006117673293E-2</v>
      </c>
      <c r="N225" s="455">
        <f t="shared" si="176"/>
        <v>0.1097780621788491</v>
      </c>
      <c r="O225" s="455">
        <f t="shared" si="176"/>
        <v>0.27373170969034666</v>
      </c>
      <c r="P225" s="455">
        <f t="shared" si="176"/>
        <v>0.58014944515051947</v>
      </c>
      <c r="Q225" s="455">
        <f t="shared" si="176"/>
        <v>0.88355622588517047</v>
      </c>
      <c r="R225" s="455">
        <f t="shared" si="176"/>
        <v>1.1839780767569945</v>
      </c>
      <c r="S225" s="455">
        <f t="shared" si="176"/>
        <v>1.481440801862119</v>
      </c>
      <c r="T225" s="455">
        <f t="shared" si="176"/>
        <v>1.7759699863972789</v>
      </c>
      <c r="U225" s="455">
        <f t="shared" si="176"/>
        <v>2.0675909985112062</v>
      </c>
      <c r="V225" s="455">
        <f t="shared" si="176"/>
        <v>2.3563289911403724</v>
      </c>
      <c r="W225" s="455">
        <f t="shared" si="176"/>
        <v>2.6422089038292076</v>
      </c>
      <c r="X225" s="455">
        <f t="shared" si="176"/>
        <v>2.9252554645349327</v>
      </c>
    </row>
    <row r="226" spans="2:24">
      <c r="B226" s="466" t="s">
        <v>890</v>
      </c>
      <c r="C226" s="461"/>
      <c r="D226" s="461"/>
      <c r="E226" s="461"/>
      <c r="F226" s="461"/>
      <c r="G226" s="461"/>
      <c r="H226" s="461"/>
      <c r="I226" s="461"/>
      <c r="J226" s="462"/>
      <c r="K226" s="462"/>
      <c r="L226" s="497">
        <f t="shared" ref="L226" si="177">L229/2</f>
        <v>8.4528612891003087E-3</v>
      </c>
      <c r="M226" s="497">
        <f t="shared" ref="M226:X226" si="178">M229/2</f>
        <v>8.452861289100359E-3</v>
      </c>
      <c r="N226" s="497">
        <f t="shared" si="178"/>
        <v>8.452861289100359E-3</v>
      </c>
      <c r="O226" s="497">
        <f t="shared" si="178"/>
        <v>8.452861289100359E-3</v>
      </c>
      <c r="P226" s="497">
        <f t="shared" si="178"/>
        <v>8.452861289100359E-3</v>
      </c>
      <c r="Q226" s="497">
        <f t="shared" si="178"/>
        <v>8.452861289100359E-3</v>
      </c>
      <c r="R226" s="497">
        <f t="shared" si="178"/>
        <v>8.452861289100359E-3</v>
      </c>
      <c r="S226" s="497">
        <f t="shared" si="178"/>
        <v>8.452861289100359E-3</v>
      </c>
      <c r="T226" s="497">
        <f t="shared" si="178"/>
        <v>8.452861289100359E-3</v>
      </c>
      <c r="U226" s="497">
        <f t="shared" si="178"/>
        <v>8.452861289100359E-3</v>
      </c>
      <c r="V226" s="497">
        <f t="shared" si="178"/>
        <v>8.452861289100359E-3</v>
      </c>
      <c r="W226" s="497">
        <f t="shared" si="178"/>
        <v>8.452861289100359E-3</v>
      </c>
      <c r="X226" s="497">
        <f t="shared" si="178"/>
        <v>8.452861289100359E-3</v>
      </c>
    </row>
    <row r="227" spans="2:24">
      <c r="B227" s="460" t="s">
        <v>856</v>
      </c>
      <c r="C227" s="461"/>
      <c r="D227" s="461"/>
      <c r="E227" s="461"/>
      <c r="F227" s="461"/>
      <c r="G227" s="461"/>
      <c r="H227" s="461"/>
      <c r="I227" s="461"/>
      <c r="J227" s="462"/>
      <c r="K227" s="462"/>
      <c r="L227" s="462">
        <f t="shared" ref="L227" si="179">L176*L179*L223</f>
        <v>4.9739118239378461</v>
      </c>
      <c r="M227" s="462">
        <f t="shared" ref="M227:X227" si="180">M176*M179*M223</f>
        <v>8.2785527080218202</v>
      </c>
      <c r="N227" s="462">
        <f t="shared" si="180"/>
        <v>19.841442672528284</v>
      </c>
      <c r="O227" s="462">
        <f t="shared" si="180"/>
        <v>37.151992059719461</v>
      </c>
      <c r="P227" s="462">
        <f t="shared" si="180"/>
        <v>37.101348237922316</v>
      </c>
      <c r="Q227" s="462">
        <f t="shared" si="180"/>
        <v>37.050773451365124</v>
      </c>
      <c r="R227" s="462">
        <f t="shared" si="180"/>
        <v>37.000267605942334</v>
      </c>
      <c r="S227" s="462">
        <f t="shared" si="180"/>
        <v>36.949830607676681</v>
      </c>
      <c r="T227" s="462">
        <f t="shared" si="180"/>
        <v>36.899462362719007</v>
      </c>
      <c r="U227" s="462">
        <f t="shared" si="180"/>
        <v>36.849162777348077</v>
      </c>
      <c r="V227" s="462">
        <f t="shared" si="180"/>
        <v>36.798931757970436</v>
      </c>
      <c r="W227" s="462">
        <f t="shared" si="180"/>
        <v>36.748769211120191</v>
      </c>
      <c r="X227" s="462">
        <f t="shared" si="180"/>
        <v>36.698675043458863</v>
      </c>
    </row>
    <row r="228" spans="2:24">
      <c r="B228" s="460" t="s">
        <v>891</v>
      </c>
      <c r="C228" s="461"/>
      <c r="D228" s="461"/>
      <c r="E228" s="461"/>
      <c r="F228" s="461"/>
      <c r="G228" s="461"/>
      <c r="H228" s="461"/>
      <c r="I228" s="461"/>
      <c r="J228" s="462"/>
      <c r="K228" s="462"/>
      <c r="L228" s="462">
        <f>L227*L229</f>
        <v>8.4087573423925061E-2</v>
      </c>
      <c r="M228" s="462">
        <f>M227*M229</f>
        <v>0.13995491543082919</v>
      </c>
      <c r="N228" s="462">
        <f t="shared" ref="N228:X228" si="181">N227*N229</f>
        <v>0.33543392537303662</v>
      </c>
      <c r="O228" s="462">
        <f t="shared" si="181"/>
        <v>0.62808127098913313</v>
      </c>
      <c r="P228" s="462">
        <f t="shared" si="181"/>
        <v>0.62722510058753067</v>
      </c>
      <c r="Q228" s="462">
        <f t="shared" si="181"/>
        <v>0.62637009727654314</v>
      </c>
      <c r="R228" s="462">
        <f t="shared" si="181"/>
        <v>0.62551625946524791</v>
      </c>
      <c r="S228" s="462">
        <f t="shared" si="181"/>
        <v>0.62466358556489165</v>
      </c>
      <c r="T228" s="462">
        <f t="shared" si="181"/>
        <v>0.62381207398888627</v>
      </c>
      <c r="U228" s="462">
        <f t="shared" si="181"/>
        <v>0.62296172315280685</v>
      </c>
      <c r="V228" s="462">
        <f t="shared" si="181"/>
        <v>0.62211253147438828</v>
      </c>
      <c r="W228" s="462">
        <f t="shared" si="181"/>
        <v>0.62126449737352196</v>
      </c>
      <c r="X228" s="462">
        <f t="shared" si="181"/>
        <v>0.6204176192722537</v>
      </c>
    </row>
    <row r="229" spans="2:24">
      <c r="B229" s="466" t="s">
        <v>892</v>
      </c>
      <c r="C229" s="461"/>
      <c r="D229" s="461"/>
      <c r="E229" s="461"/>
      <c r="F229" s="461"/>
      <c r="G229" s="461"/>
      <c r="H229" s="461"/>
      <c r="I229" s="461"/>
      <c r="J229" s="462"/>
      <c r="K229" s="462"/>
      <c r="L229" s="469">
        <f>L198</f>
        <v>1.6905722578200617E-2</v>
      </c>
      <c r="M229" s="469">
        <f>M198</f>
        <v>1.6905722578200718E-2</v>
      </c>
      <c r="N229" s="467">
        <f>M229</f>
        <v>1.6905722578200718E-2</v>
      </c>
      <c r="O229" s="467">
        <f t="shared" ref="O229:X229" si="182">N229</f>
        <v>1.6905722578200718E-2</v>
      </c>
      <c r="P229" s="467">
        <f t="shared" si="182"/>
        <v>1.6905722578200718E-2</v>
      </c>
      <c r="Q229" s="467">
        <f t="shared" si="182"/>
        <v>1.6905722578200718E-2</v>
      </c>
      <c r="R229" s="467">
        <f t="shared" si="182"/>
        <v>1.6905722578200718E-2</v>
      </c>
      <c r="S229" s="467">
        <f t="shared" si="182"/>
        <v>1.6905722578200718E-2</v>
      </c>
      <c r="T229" s="467">
        <f t="shared" si="182"/>
        <v>1.6905722578200718E-2</v>
      </c>
      <c r="U229" s="467">
        <f t="shared" si="182"/>
        <v>1.6905722578200718E-2</v>
      </c>
      <c r="V229" s="467">
        <f t="shared" si="182"/>
        <v>1.6905722578200718E-2</v>
      </c>
      <c r="W229" s="467">
        <f t="shared" si="182"/>
        <v>1.6905722578200718E-2</v>
      </c>
      <c r="X229" s="467">
        <f t="shared" si="182"/>
        <v>1.6905722578200718E-2</v>
      </c>
    </row>
    <row r="230" spans="2:24">
      <c r="B230" s="460" t="s">
        <v>859</v>
      </c>
      <c r="C230" s="461"/>
      <c r="D230" s="461"/>
      <c r="E230" s="461"/>
      <c r="F230" s="461"/>
      <c r="G230" s="461"/>
      <c r="H230" s="461"/>
      <c r="I230" s="461"/>
      <c r="J230" s="462"/>
      <c r="K230" s="462"/>
      <c r="L230" s="462">
        <f>L224+L227-L228-L225</f>
        <v>4.8898242505139207</v>
      </c>
      <c r="M230" s="462">
        <f>M224+M227-M228-M225</f>
        <v>12.987089036987239</v>
      </c>
      <c r="N230" s="462">
        <f t="shared" ref="N230:X230" si="183">N224+N227-N228-N225</f>
        <v>32.383319721963638</v>
      </c>
      <c r="O230" s="462">
        <f t="shared" si="183"/>
        <v>68.633498801003626</v>
      </c>
      <c r="P230" s="462">
        <f t="shared" si="183"/>
        <v>104.52747249318789</v>
      </c>
      <c r="Q230" s="462">
        <f t="shared" si="183"/>
        <v>140.06831962139128</v>
      </c>
      <c r="R230" s="462">
        <f t="shared" si="183"/>
        <v>175.25909289111135</v>
      </c>
      <c r="S230" s="462">
        <f t="shared" si="183"/>
        <v>210.10281911136104</v>
      </c>
      <c r="T230" s="462">
        <f t="shared" si="183"/>
        <v>244.60249941369389</v>
      </c>
      <c r="U230" s="462">
        <f t="shared" si="183"/>
        <v>278.76110946937797</v>
      </c>
      <c r="V230" s="462">
        <f t="shared" si="183"/>
        <v>312.58159970473366</v>
      </c>
      <c r="W230" s="462">
        <f t="shared" si="183"/>
        <v>346.06689551465109</v>
      </c>
      <c r="X230" s="462">
        <f t="shared" si="183"/>
        <v>379.2198974743028</v>
      </c>
    </row>
    <row r="231" spans="2:24">
      <c r="B231" s="460"/>
      <c r="C231" s="461"/>
      <c r="D231" s="461"/>
      <c r="E231" s="461"/>
      <c r="F231" s="461"/>
      <c r="G231" s="461"/>
      <c r="H231" s="461"/>
      <c r="I231" s="461"/>
      <c r="J231" s="462"/>
      <c r="K231" s="462"/>
      <c r="L231" s="462"/>
      <c r="M231" s="462"/>
      <c r="N231" s="462"/>
      <c r="O231" s="462"/>
      <c r="P231" s="462"/>
      <c r="Q231" s="462"/>
      <c r="R231" s="462"/>
      <c r="S231" s="462"/>
      <c r="T231" s="462"/>
      <c r="U231" s="462"/>
      <c r="V231" s="462"/>
      <c r="W231" s="462"/>
      <c r="X231" s="462"/>
    </row>
    <row r="232" spans="2:24">
      <c r="B232" s="460" t="s">
        <v>862</v>
      </c>
      <c r="C232" s="461"/>
      <c r="D232" s="461"/>
      <c r="E232" s="461"/>
      <c r="F232" s="461"/>
      <c r="G232" s="461"/>
      <c r="H232" s="461"/>
      <c r="I232" s="461"/>
      <c r="J232" s="462"/>
      <c r="K232" s="462">
        <f t="shared" ref="K232:X232" si="184">K207+K217+K227</f>
        <v>0</v>
      </c>
      <c r="L232" s="462">
        <f t="shared" si="184"/>
        <v>260.26296091816442</v>
      </c>
      <c r="M232" s="462">
        <f t="shared" si="184"/>
        <v>267.43667105292252</v>
      </c>
      <c r="N232" s="462">
        <f t="shared" si="184"/>
        <v>210.6653607640539</v>
      </c>
      <c r="O232" s="462">
        <f t="shared" si="184"/>
        <v>64.551494688726109</v>
      </c>
      <c r="P232" s="462">
        <f t="shared" si="184"/>
        <v>71.038278477660569</v>
      </c>
      <c r="Q232" s="462">
        <f t="shared" si="184"/>
        <v>80.514953798365497</v>
      </c>
      <c r="R232" s="462">
        <f t="shared" si="184"/>
        <v>88.442592749361808</v>
      </c>
      <c r="S232" s="462">
        <f t="shared" si="184"/>
        <v>93.49876568222605</v>
      </c>
      <c r="T232" s="462">
        <f t="shared" si="184"/>
        <v>93.371312628837927</v>
      </c>
      <c r="U232" s="462">
        <f t="shared" si="184"/>
        <v>93.244033313367055</v>
      </c>
      <c r="V232" s="462">
        <f t="shared" si="184"/>
        <v>93.11692749898225</v>
      </c>
      <c r="W232" s="462">
        <f t="shared" si="184"/>
        <v>92.989994949175099</v>
      </c>
      <c r="X232" s="462">
        <f t="shared" si="184"/>
        <v>92.863235427759605</v>
      </c>
    </row>
    <row r="233" spans="2:24">
      <c r="B233" s="465" t="s">
        <v>864</v>
      </c>
      <c r="C233" s="461"/>
      <c r="D233" s="461"/>
      <c r="E233" s="461"/>
      <c r="F233" s="461"/>
      <c r="G233" s="461"/>
      <c r="H233" s="461"/>
      <c r="I233" s="461"/>
      <c r="J233" s="462"/>
      <c r="K233" s="462">
        <v>500000</v>
      </c>
      <c r="L233" s="462">
        <f>K233*0.98</f>
        <v>490000</v>
      </c>
      <c r="M233" s="462">
        <f t="shared" ref="M233:X233" si="185">L233*0.98</f>
        <v>480200</v>
      </c>
      <c r="N233" s="462">
        <f t="shared" si="185"/>
        <v>470596</v>
      </c>
      <c r="O233" s="462">
        <f t="shared" si="185"/>
        <v>461184.08</v>
      </c>
      <c r="P233" s="462">
        <f t="shared" si="185"/>
        <v>451960.39840000001</v>
      </c>
      <c r="Q233" s="462">
        <f t="shared" si="185"/>
        <v>442921.19043199997</v>
      </c>
      <c r="R233" s="462">
        <f t="shared" si="185"/>
        <v>434062.76662335999</v>
      </c>
      <c r="S233" s="462">
        <f t="shared" si="185"/>
        <v>425381.51129089278</v>
      </c>
      <c r="T233" s="462">
        <f t="shared" si="185"/>
        <v>416873.88106507494</v>
      </c>
      <c r="U233" s="462">
        <f t="shared" si="185"/>
        <v>408536.40344377345</v>
      </c>
      <c r="V233" s="462">
        <f t="shared" si="185"/>
        <v>400365.67537489795</v>
      </c>
      <c r="W233" s="462">
        <f t="shared" si="185"/>
        <v>392358.3618674</v>
      </c>
      <c r="X233" s="462">
        <f t="shared" si="185"/>
        <v>384511.19463005202</v>
      </c>
    </row>
    <row r="234" spans="2:24">
      <c r="B234" s="465" t="s">
        <v>866</v>
      </c>
      <c r="C234" s="461"/>
      <c r="D234" s="461"/>
      <c r="E234" s="461"/>
      <c r="F234" s="461"/>
      <c r="G234" s="461"/>
      <c r="H234" s="461"/>
      <c r="I234" s="461"/>
      <c r="J234" s="462"/>
      <c r="K234" s="470">
        <f>K232*K233/1000000</f>
        <v>0</v>
      </c>
      <c r="L234" s="470">
        <f t="shared" ref="L234:X234" si="186">L232*L233/1000000</f>
        <v>127.52885084990058</v>
      </c>
      <c r="M234" s="470">
        <f t="shared" si="186"/>
        <v>128.42308943961339</v>
      </c>
      <c r="N234" s="470">
        <f t="shared" si="186"/>
        <v>99.1382761141207</v>
      </c>
      <c r="O234" s="470">
        <f t="shared" si="186"/>
        <v>29.770121690645038</v>
      </c>
      <c r="P234" s="470">
        <f t="shared" si="186"/>
        <v>32.106488642413616</v>
      </c>
      <c r="Q234" s="470">
        <f t="shared" si="186"/>
        <v>35.66177918394952</v>
      </c>
      <c r="R234" s="470">
        <f t="shared" si="186"/>
        <v>38.389636496131111</v>
      </c>
      <c r="S234" s="470">
        <f t="shared" si="186"/>
        <v>39.772646249738379</v>
      </c>
      <c r="T234" s="470">
        <f t="shared" si="186"/>
        <v>38.924061475724109</v>
      </c>
      <c r="U234" s="470">
        <f t="shared" si="186"/>
        <v>38.093582012434375</v>
      </c>
      <c r="V234" s="470">
        <f t="shared" si="186"/>
        <v>37.280821566965436</v>
      </c>
      <c r="W234" s="470">
        <f t="shared" si="186"/>
        <v>36.485402088316143</v>
      </c>
      <c r="X234" s="470">
        <f t="shared" si="186"/>
        <v>35.706953591539616</v>
      </c>
    </row>
    <row r="235" spans="2:24">
      <c r="B235" s="460"/>
      <c r="C235" s="461"/>
      <c r="D235" s="461"/>
      <c r="E235" s="461"/>
      <c r="F235" s="461"/>
      <c r="G235" s="461"/>
      <c r="H235" s="461"/>
      <c r="I235" s="461"/>
      <c r="J235" s="462"/>
      <c r="K235" s="462"/>
      <c r="L235" s="462"/>
      <c r="M235" s="462"/>
      <c r="N235" s="462"/>
      <c r="O235" s="462"/>
      <c r="P235" s="462"/>
      <c r="Q235" s="462"/>
      <c r="R235" s="462"/>
      <c r="S235" s="462"/>
      <c r="T235" s="462"/>
      <c r="U235" s="462"/>
      <c r="V235" s="462"/>
      <c r="W235" s="462"/>
      <c r="X235" s="462"/>
    </row>
    <row r="236" spans="2:24">
      <c r="B236" s="460" t="s">
        <v>863</v>
      </c>
      <c r="C236" s="461"/>
      <c r="D236" s="461"/>
      <c r="E236" s="461"/>
      <c r="F236" s="461"/>
      <c r="G236" s="461"/>
      <c r="H236" s="461"/>
      <c r="I236" s="461"/>
      <c r="J236" s="462"/>
      <c r="K236" s="462">
        <f t="shared" ref="K236:X236" si="187">K204+K214+K224</f>
        <v>0</v>
      </c>
      <c r="L236" s="462">
        <f t="shared" si="187"/>
        <v>0</v>
      </c>
      <c r="M236" s="462">
        <f t="shared" si="187"/>
        <v>236.58267471222172</v>
      </c>
      <c r="N236" s="462">
        <f t="shared" si="187"/>
        <v>479.61792796118306</v>
      </c>
      <c r="O236" s="462">
        <f t="shared" si="187"/>
        <v>666.43743444948086</v>
      </c>
      <c r="P236" s="462">
        <f t="shared" si="187"/>
        <v>725.7150930256995</v>
      </c>
      <c r="Q236" s="462">
        <f t="shared" si="187"/>
        <v>790.20911785187934</v>
      </c>
      <c r="R236" s="462">
        <f t="shared" si="187"/>
        <v>862.45467018879935</v>
      </c>
      <c r="S236" s="462">
        <f t="shared" si="187"/>
        <v>941.15749535886619</v>
      </c>
      <c r="T236" s="462">
        <f t="shared" si="187"/>
        <v>1023.6454669982099</v>
      </c>
      <c r="U236" s="462">
        <f t="shared" si="187"/>
        <v>1105.7244463590009</v>
      </c>
      <c r="V236" s="462">
        <f t="shared" si="187"/>
        <v>1187.3974976442846</v>
      </c>
      <c r="W236" s="462">
        <f t="shared" si="187"/>
        <v>1268.6676596914776</v>
      </c>
      <c r="X236" s="462">
        <f t="shared" si="187"/>
        <v>1349.537946186048</v>
      </c>
    </row>
    <row r="237" spans="2:24">
      <c r="B237" s="460" t="s">
        <v>865</v>
      </c>
      <c r="C237" s="461"/>
      <c r="D237" s="461"/>
      <c r="E237" s="461"/>
      <c r="F237" s="461"/>
      <c r="G237" s="461"/>
      <c r="H237" s="461"/>
      <c r="I237" s="461"/>
      <c r="J237" s="462"/>
      <c r="K237" s="462">
        <v>310000</v>
      </c>
      <c r="L237" s="462">
        <f>K237*0.98</f>
        <v>303800</v>
      </c>
      <c r="M237" s="462">
        <f t="shared" ref="M237:X237" si="188">L237*0.98</f>
        <v>297724</v>
      </c>
      <c r="N237" s="462">
        <f t="shared" si="188"/>
        <v>291769.52</v>
      </c>
      <c r="O237" s="462">
        <f t="shared" si="188"/>
        <v>285934.12959999999</v>
      </c>
      <c r="P237" s="462">
        <f t="shared" si="188"/>
        <v>280215.44700799999</v>
      </c>
      <c r="Q237" s="462">
        <f t="shared" si="188"/>
        <v>274611.13806783996</v>
      </c>
      <c r="R237" s="462">
        <f t="shared" si="188"/>
        <v>269118.91530648316</v>
      </c>
      <c r="S237" s="462">
        <f t="shared" si="188"/>
        <v>263736.53700035351</v>
      </c>
      <c r="T237" s="462">
        <f t="shared" si="188"/>
        <v>258461.80626034644</v>
      </c>
      <c r="U237" s="462">
        <f t="shared" si="188"/>
        <v>253292.57013513951</v>
      </c>
      <c r="V237" s="462">
        <f t="shared" si="188"/>
        <v>248226.71873243671</v>
      </c>
      <c r="W237" s="462">
        <f t="shared" si="188"/>
        <v>243262.18435778798</v>
      </c>
      <c r="X237" s="462">
        <f t="shared" si="188"/>
        <v>238396.9406706322</v>
      </c>
    </row>
    <row r="238" spans="2:24">
      <c r="B238" s="460" t="s">
        <v>868</v>
      </c>
      <c r="C238" s="461"/>
      <c r="D238" s="461"/>
      <c r="E238" s="461"/>
      <c r="F238" s="461"/>
      <c r="G238" s="461"/>
      <c r="H238" s="461"/>
      <c r="I238" s="461"/>
      <c r="J238" s="462"/>
      <c r="K238" s="470">
        <f>K236*K237/1000000</f>
        <v>0</v>
      </c>
      <c r="L238" s="470">
        <f t="shared" ref="L238:X238" si="189">L236*L237/1000000</f>
        <v>0</v>
      </c>
      <c r="M238" s="470">
        <f t="shared" si="189"/>
        <v>70.436340246021501</v>
      </c>
      <c r="N238" s="470">
        <f t="shared" si="189"/>
        <v>139.93789262462897</v>
      </c>
      <c r="O238" s="470">
        <f t="shared" si="189"/>
        <v>190.55720775216935</v>
      </c>
      <c r="P238" s="470">
        <f t="shared" si="189"/>
        <v>203.35657919264867</v>
      </c>
      <c r="Q238" s="470">
        <f t="shared" si="189"/>
        <v>217.00022516488843</v>
      </c>
      <c r="R238" s="470">
        <f t="shared" si="189"/>
        <v>232.10286534222035</v>
      </c>
      <c r="S238" s="470">
        <f t="shared" si="189"/>
        <v>248.21761859787367</v>
      </c>
      <c r="T238" s="470">
        <f t="shared" si="189"/>
        <v>264.57325637057318</v>
      </c>
      <c r="U238" s="470">
        <f t="shared" si="189"/>
        <v>280.07178687952552</v>
      </c>
      <c r="V238" s="470">
        <f t="shared" si="189"/>
        <v>294.74378467134704</v>
      </c>
      <c r="W238" s="470">
        <f t="shared" si="189"/>
        <v>308.61886612063165</v>
      </c>
      <c r="X238" s="470">
        <f t="shared" si="189"/>
        <v>321.72571768968214</v>
      </c>
    </row>
    <row r="239" spans="2:24">
      <c r="C239" s="461"/>
      <c r="D239" s="461"/>
      <c r="E239" s="461"/>
      <c r="F239" s="461"/>
      <c r="G239" s="461"/>
      <c r="H239" s="461"/>
      <c r="I239" s="461"/>
      <c r="J239" s="462"/>
      <c r="K239" s="462"/>
      <c r="L239" s="462"/>
      <c r="M239" s="462"/>
      <c r="N239" s="462"/>
      <c r="O239" s="462"/>
      <c r="P239" s="462"/>
      <c r="Q239" s="462"/>
      <c r="R239" s="462"/>
      <c r="S239" s="462"/>
      <c r="T239" s="462"/>
      <c r="U239" s="462"/>
      <c r="V239" s="462"/>
      <c r="W239" s="462"/>
      <c r="X239" s="462"/>
    </row>
    <row r="240" spans="2:24">
      <c r="B240" s="471" t="s">
        <v>887</v>
      </c>
      <c r="C240" s="472"/>
      <c r="D240" s="472"/>
      <c r="E240" s="472"/>
      <c r="F240" s="472"/>
      <c r="G240" s="472"/>
      <c r="H240" s="472"/>
      <c r="I240" s="472"/>
      <c r="J240" s="473"/>
      <c r="K240" s="474">
        <f>K234+K238</f>
        <v>0</v>
      </c>
      <c r="L240" s="474">
        <f t="shared" ref="L240:X240" si="190">L234+L238</f>
        <v>127.52885084990058</v>
      </c>
      <c r="M240" s="474">
        <f t="shared" si="190"/>
        <v>198.85942968563489</v>
      </c>
      <c r="N240" s="474">
        <f t="shared" si="190"/>
        <v>239.07616873874969</v>
      </c>
      <c r="O240" s="474">
        <f t="shared" si="190"/>
        <v>220.32732944281437</v>
      </c>
      <c r="P240" s="474">
        <f t="shared" si="190"/>
        <v>235.46306783506228</v>
      </c>
      <c r="Q240" s="474">
        <f t="shared" si="190"/>
        <v>252.66200434883797</v>
      </c>
      <c r="R240" s="474">
        <f t="shared" si="190"/>
        <v>270.49250183835147</v>
      </c>
      <c r="S240" s="474">
        <f t="shared" si="190"/>
        <v>287.99026484761202</v>
      </c>
      <c r="T240" s="474">
        <f t="shared" si="190"/>
        <v>303.49731784629728</v>
      </c>
      <c r="U240" s="474">
        <f t="shared" si="190"/>
        <v>318.16536889195987</v>
      </c>
      <c r="V240" s="474">
        <f t="shared" si="190"/>
        <v>332.02460623831246</v>
      </c>
      <c r="W240" s="474">
        <f t="shared" si="190"/>
        <v>345.10426820894781</v>
      </c>
      <c r="X240" s="474">
        <f t="shared" si="190"/>
        <v>357.43267128122176</v>
      </c>
    </row>
    <row r="242" spans="2:24">
      <c r="B242" s="460" t="s">
        <v>867</v>
      </c>
      <c r="K242" s="485">
        <f t="shared" ref="K242:X242" si="191">K83</f>
        <v>636.54144607450439</v>
      </c>
      <c r="L242" s="485">
        <f t="shared" si="191"/>
        <v>829.67261491567569</v>
      </c>
      <c r="M242" s="485">
        <f t="shared" si="191"/>
        <v>1003.9409970815475</v>
      </c>
      <c r="N242" s="485">
        <f t="shared" si="191"/>
        <v>1259.1314750157812</v>
      </c>
      <c r="O242" s="485">
        <f t="shared" si="191"/>
        <v>1507.993628948585</v>
      </c>
      <c r="P242" s="485">
        <f t="shared" si="191"/>
        <v>1752.4149470566649</v>
      </c>
      <c r="Q242" s="485">
        <f t="shared" si="191"/>
        <v>1985.9121355859561</v>
      </c>
      <c r="R242" s="485">
        <f t="shared" si="191"/>
        <v>2210.3077678372142</v>
      </c>
      <c r="S242" s="485">
        <f t="shared" si="191"/>
        <v>2428.3667117262867</v>
      </c>
      <c r="T242" s="485">
        <f t="shared" si="191"/>
        <v>2640.3114523336399</v>
      </c>
      <c r="U242" s="485">
        <f t="shared" si="191"/>
        <v>2846.3560781217161</v>
      </c>
      <c r="V242" s="485">
        <f t="shared" si="191"/>
        <v>3046.7066438365264</v>
      </c>
      <c r="W242" s="485">
        <f t="shared" si="191"/>
        <v>3241.5615163026278</v>
      </c>
      <c r="X242" s="485">
        <f t="shared" si="191"/>
        <v>3431.1117039596088</v>
      </c>
    </row>
    <row r="243" spans="2:24">
      <c r="B243" s="460" t="s">
        <v>883</v>
      </c>
      <c r="K243" s="485">
        <f t="shared" ref="K243:X243" si="192">K162</f>
        <v>0</v>
      </c>
      <c r="L243" s="485">
        <f t="shared" si="192"/>
        <v>698.97341539366209</v>
      </c>
      <c r="M243" s="485">
        <f t="shared" si="192"/>
        <v>729.43103950293767</v>
      </c>
      <c r="N243" s="485">
        <f t="shared" si="192"/>
        <v>760.32730410306976</v>
      </c>
      <c r="O243" s="485">
        <f t="shared" si="192"/>
        <v>788.91542820057703</v>
      </c>
      <c r="P243" s="485">
        <f t="shared" si="192"/>
        <v>807.6218316198881</v>
      </c>
      <c r="Q243" s="485">
        <f t="shared" si="192"/>
        <v>845.49601634153225</v>
      </c>
      <c r="R243" s="485">
        <f t="shared" si="192"/>
        <v>884.72728184883078</v>
      </c>
      <c r="S243" s="485">
        <f t="shared" si="192"/>
        <v>914.0099772944161</v>
      </c>
      <c r="T243" s="485">
        <f t="shared" si="192"/>
        <v>939.64598476677475</v>
      </c>
      <c r="U243" s="485">
        <f t="shared" si="192"/>
        <v>962.22591180102597</v>
      </c>
      <c r="V243" s="485">
        <f t="shared" si="192"/>
        <v>981.95779479403222</v>
      </c>
      <c r="W243" s="485">
        <f t="shared" si="192"/>
        <v>999.4081626752577</v>
      </c>
      <c r="X243" s="485">
        <f t="shared" si="192"/>
        <v>1014.9649801930917</v>
      </c>
    </row>
    <row r="244" spans="2:24">
      <c r="B244" s="460" t="s">
        <v>887</v>
      </c>
      <c r="K244" s="485">
        <f>K240</f>
        <v>0</v>
      </c>
      <c r="L244" s="485">
        <f t="shared" ref="L244:X244" si="193">L240</f>
        <v>127.52885084990058</v>
      </c>
      <c r="M244" s="485">
        <f t="shared" si="193"/>
        <v>198.85942968563489</v>
      </c>
      <c r="N244" s="485">
        <f t="shared" si="193"/>
        <v>239.07616873874969</v>
      </c>
      <c r="O244" s="485">
        <f t="shared" si="193"/>
        <v>220.32732944281437</v>
      </c>
      <c r="P244" s="485">
        <f t="shared" si="193"/>
        <v>235.46306783506228</v>
      </c>
      <c r="Q244" s="485">
        <f t="shared" si="193"/>
        <v>252.66200434883797</v>
      </c>
      <c r="R244" s="485">
        <f t="shared" si="193"/>
        <v>270.49250183835147</v>
      </c>
      <c r="S244" s="485">
        <f t="shared" si="193"/>
        <v>287.99026484761202</v>
      </c>
      <c r="T244" s="485">
        <f t="shared" si="193"/>
        <v>303.49731784629728</v>
      </c>
      <c r="U244" s="485">
        <f t="shared" si="193"/>
        <v>318.16536889195987</v>
      </c>
      <c r="V244" s="485">
        <f t="shared" si="193"/>
        <v>332.02460623831246</v>
      </c>
      <c r="W244" s="485">
        <f t="shared" si="193"/>
        <v>345.10426820894781</v>
      </c>
      <c r="X244" s="485">
        <f t="shared" si="193"/>
        <v>357.43267128122176</v>
      </c>
    </row>
    <row r="245" spans="2:24">
      <c r="B245" s="486" t="s">
        <v>888</v>
      </c>
      <c r="K245" s="487">
        <f>SUM(K242:K244)</f>
        <v>636.54144607450439</v>
      </c>
      <c r="L245" s="487">
        <f t="shared" ref="L245:X245" si="194">SUM(L242:L244)</f>
        <v>1656.1748811592383</v>
      </c>
      <c r="M245" s="487">
        <f t="shared" si="194"/>
        <v>1932.2314662701201</v>
      </c>
      <c r="N245" s="487">
        <f t="shared" si="194"/>
        <v>2258.5349478576009</v>
      </c>
      <c r="O245" s="487">
        <f t="shared" si="194"/>
        <v>2517.2363865919765</v>
      </c>
      <c r="P245" s="487">
        <f t="shared" si="194"/>
        <v>2795.499846511615</v>
      </c>
      <c r="Q245" s="487">
        <f t="shared" si="194"/>
        <v>3084.0701562763261</v>
      </c>
      <c r="R245" s="487">
        <f t="shared" si="194"/>
        <v>3365.5275515243966</v>
      </c>
      <c r="S245" s="487">
        <f t="shared" si="194"/>
        <v>3630.3669538683143</v>
      </c>
      <c r="T245" s="487">
        <f t="shared" si="194"/>
        <v>3883.454754946712</v>
      </c>
      <c r="U245" s="487">
        <f t="shared" si="194"/>
        <v>4126.7473588147022</v>
      </c>
      <c r="V245" s="487">
        <f t="shared" si="194"/>
        <v>4360.689044868871</v>
      </c>
      <c r="W245" s="487">
        <f t="shared" si="194"/>
        <v>4586.0739471868328</v>
      </c>
      <c r="X245" s="487">
        <f t="shared" si="194"/>
        <v>4803.5093554339219</v>
      </c>
    </row>
    <row r="247" spans="2:24">
      <c r="B247" s="367" t="s">
        <v>893</v>
      </c>
      <c r="C247" s="499"/>
      <c r="D247" s="499"/>
      <c r="E247" s="499"/>
      <c r="F247" s="499"/>
      <c r="G247" s="499"/>
      <c r="H247" s="499"/>
      <c r="I247" s="499"/>
      <c r="J247" s="499"/>
      <c r="K247" s="500">
        <f>K245*K248</f>
        <v>95.48121691117565</v>
      </c>
      <c r="L247" s="500">
        <f t="shared" ref="L247:X247" si="195">L245*L248</f>
        <v>289.83060420286671</v>
      </c>
      <c r="M247" s="500">
        <f t="shared" si="195"/>
        <v>338.14050659727098</v>
      </c>
      <c r="N247" s="500">
        <f t="shared" si="195"/>
        <v>451.70698957152018</v>
      </c>
      <c r="O247" s="500">
        <f t="shared" si="195"/>
        <v>503.44727731839532</v>
      </c>
      <c r="P247" s="500">
        <f t="shared" si="195"/>
        <v>559.09996930232307</v>
      </c>
      <c r="Q247" s="500">
        <f t="shared" si="195"/>
        <v>616.81403125526526</v>
      </c>
      <c r="R247" s="500">
        <f t="shared" si="195"/>
        <v>673.10551030487932</v>
      </c>
      <c r="S247" s="500">
        <f t="shared" si="195"/>
        <v>726.07339077366294</v>
      </c>
      <c r="T247" s="500">
        <f t="shared" si="195"/>
        <v>776.69095098934247</v>
      </c>
      <c r="U247" s="500">
        <f t="shared" si="195"/>
        <v>825.34947176294054</v>
      </c>
      <c r="V247" s="500">
        <f t="shared" si="195"/>
        <v>872.13780897377421</v>
      </c>
      <c r="W247" s="500">
        <f t="shared" si="195"/>
        <v>917.21478943736656</v>
      </c>
      <c r="X247" s="500">
        <f t="shared" si="195"/>
        <v>960.70187108678442</v>
      </c>
    </row>
    <row r="248" spans="2:24">
      <c r="B248" s="368" t="s">
        <v>638</v>
      </c>
      <c r="C248" s="369"/>
      <c r="D248" s="369"/>
      <c r="E248" s="369"/>
      <c r="F248" s="369"/>
      <c r="G248" s="369"/>
      <c r="H248" s="369"/>
      <c r="I248" s="369"/>
      <c r="J248" s="369"/>
      <c r="K248" s="370">
        <v>0.15</v>
      </c>
      <c r="L248" s="370">
        <v>0.17499999999999999</v>
      </c>
      <c r="M248" s="370">
        <f>L248</f>
        <v>0.17499999999999999</v>
      </c>
      <c r="N248" s="370">
        <v>0.2</v>
      </c>
      <c r="O248" s="370">
        <f>N248</f>
        <v>0.2</v>
      </c>
      <c r="P248" s="370">
        <f t="shared" ref="P248:T248" si="196">O248</f>
        <v>0.2</v>
      </c>
      <c r="Q248" s="370">
        <f t="shared" si="196"/>
        <v>0.2</v>
      </c>
      <c r="R248" s="370">
        <f t="shared" si="196"/>
        <v>0.2</v>
      </c>
      <c r="S248" s="370">
        <f t="shared" si="196"/>
        <v>0.2</v>
      </c>
      <c r="T248" s="370">
        <f t="shared" si="196"/>
        <v>0.2</v>
      </c>
      <c r="U248" s="370">
        <f>T248</f>
        <v>0.2</v>
      </c>
      <c r="V248" s="370">
        <f t="shared" ref="V248:X248" si="197">U248</f>
        <v>0.2</v>
      </c>
      <c r="W248" s="370">
        <f t="shared" si="197"/>
        <v>0.2</v>
      </c>
      <c r="X248" s="370">
        <f t="shared" si="197"/>
        <v>0.2</v>
      </c>
    </row>
    <row r="250" spans="2:24">
      <c r="B250" s="353" t="s">
        <v>153</v>
      </c>
      <c r="C250" s="353"/>
      <c r="D250" s="353"/>
      <c r="E250" s="353"/>
      <c r="F250" s="353"/>
      <c r="G250" s="353"/>
      <c r="H250" s="353"/>
      <c r="I250" s="353"/>
      <c r="J250" s="353"/>
      <c r="K250" s="371">
        <f>K245*0.1</f>
        <v>63.654144607450441</v>
      </c>
      <c r="L250" s="371">
        <f t="shared" ref="L250:X250" si="198">L245*0.1</f>
        <v>165.61748811592383</v>
      </c>
      <c r="M250" s="371">
        <f t="shared" si="198"/>
        <v>193.22314662701203</v>
      </c>
      <c r="N250" s="371">
        <f t="shared" si="198"/>
        <v>225.85349478576009</v>
      </c>
      <c r="O250" s="371">
        <f t="shared" si="198"/>
        <v>251.72363865919766</v>
      </c>
      <c r="P250" s="371">
        <f t="shared" si="198"/>
        <v>279.54998465116154</v>
      </c>
      <c r="Q250" s="371">
        <f t="shared" si="198"/>
        <v>308.40701562763263</v>
      </c>
      <c r="R250" s="371">
        <f t="shared" si="198"/>
        <v>336.55275515243966</v>
      </c>
      <c r="S250" s="371">
        <f t="shared" si="198"/>
        <v>363.03669538683147</v>
      </c>
      <c r="T250" s="371">
        <f t="shared" si="198"/>
        <v>388.34547549467123</v>
      </c>
      <c r="U250" s="371">
        <f t="shared" si="198"/>
        <v>412.67473588147027</v>
      </c>
      <c r="V250" s="371">
        <f t="shared" si="198"/>
        <v>436.06890448688711</v>
      </c>
      <c r="W250" s="371">
        <f t="shared" si="198"/>
        <v>458.60739471868328</v>
      </c>
      <c r="X250" s="371">
        <f t="shared" si="198"/>
        <v>480.35093554339221</v>
      </c>
    </row>
    <row r="251" spans="2:24">
      <c r="B251" s="353"/>
      <c r="C251" s="353"/>
      <c r="D251" s="353"/>
      <c r="E251" s="353"/>
      <c r="F251" s="353"/>
      <c r="G251" s="353"/>
      <c r="H251" s="353"/>
      <c r="I251" s="353"/>
      <c r="J251" s="353"/>
      <c r="K251" s="353"/>
      <c r="L251" s="353"/>
      <c r="M251" s="353"/>
      <c r="N251" s="353"/>
      <c r="O251" s="353"/>
      <c r="P251" s="353"/>
      <c r="Q251" s="353"/>
      <c r="R251" s="353"/>
      <c r="S251" s="353"/>
      <c r="T251" s="353"/>
      <c r="U251" s="353"/>
      <c r="V251" s="353"/>
      <c r="W251" s="353"/>
      <c r="X251" s="353"/>
    </row>
    <row r="252" spans="2:24">
      <c r="B252" s="353" t="s">
        <v>639</v>
      </c>
      <c r="C252" s="353"/>
      <c r="D252" s="353"/>
      <c r="E252" s="353"/>
      <c r="F252" s="353"/>
      <c r="G252" s="353"/>
      <c r="H252" s="353"/>
      <c r="I252" s="353"/>
      <c r="J252" s="353"/>
      <c r="K252" s="359">
        <f>K247+K250</f>
        <v>159.1353615186261</v>
      </c>
      <c r="L252" s="359">
        <f t="shared" ref="L252:X252" si="199">L247+L250</f>
        <v>455.44809231879054</v>
      </c>
      <c r="M252" s="359">
        <f t="shared" si="199"/>
        <v>531.36365322428298</v>
      </c>
      <c r="N252" s="359">
        <f t="shared" si="199"/>
        <v>677.5604843572803</v>
      </c>
      <c r="O252" s="359">
        <f t="shared" si="199"/>
        <v>755.17091597759304</v>
      </c>
      <c r="P252" s="359">
        <f t="shared" si="199"/>
        <v>838.64995395348456</v>
      </c>
      <c r="Q252" s="359">
        <f t="shared" si="199"/>
        <v>925.22104688289789</v>
      </c>
      <c r="R252" s="359">
        <f t="shared" si="199"/>
        <v>1009.658265457319</v>
      </c>
      <c r="S252" s="359">
        <f t="shared" si="199"/>
        <v>1089.1100861604943</v>
      </c>
      <c r="T252" s="359">
        <f t="shared" si="199"/>
        <v>1165.0364264840136</v>
      </c>
      <c r="U252" s="359">
        <f t="shared" si="199"/>
        <v>1238.0242076444108</v>
      </c>
      <c r="V252" s="359">
        <f t="shared" si="199"/>
        <v>1308.2067134606614</v>
      </c>
      <c r="W252" s="359">
        <f t="shared" si="199"/>
        <v>1375.8221841560498</v>
      </c>
      <c r="X252" s="359">
        <f t="shared" si="199"/>
        <v>1441.0528066301767</v>
      </c>
    </row>
    <row r="253" spans="2:24">
      <c r="B253" s="376" t="s">
        <v>646</v>
      </c>
      <c r="C253" s="360"/>
      <c r="D253" s="360"/>
      <c r="E253" s="360"/>
      <c r="F253" s="360"/>
      <c r="G253" s="360"/>
      <c r="H253" s="360"/>
      <c r="I253" s="360"/>
      <c r="J253" s="360"/>
      <c r="K253" s="501">
        <f t="shared" ref="K253:X253" si="200">K252/K245</f>
        <v>0.25</v>
      </c>
      <c r="L253" s="501">
        <f t="shared" si="200"/>
        <v>0.27500000000000002</v>
      </c>
      <c r="M253" s="501">
        <f t="shared" si="200"/>
        <v>0.27499999999999997</v>
      </c>
      <c r="N253" s="501">
        <f t="shared" si="200"/>
        <v>0.30000000000000004</v>
      </c>
      <c r="O253" s="501">
        <f t="shared" si="200"/>
        <v>0.30000000000000004</v>
      </c>
      <c r="P253" s="501">
        <f t="shared" si="200"/>
        <v>0.3</v>
      </c>
      <c r="Q253" s="501">
        <f t="shared" si="200"/>
        <v>0.30000000000000004</v>
      </c>
      <c r="R253" s="501">
        <f t="shared" si="200"/>
        <v>0.3</v>
      </c>
      <c r="S253" s="501">
        <f t="shared" si="200"/>
        <v>0.3</v>
      </c>
      <c r="T253" s="501">
        <f t="shared" si="200"/>
        <v>0.3</v>
      </c>
      <c r="U253" s="501">
        <f t="shared" si="200"/>
        <v>0.30000000000000004</v>
      </c>
      <c r="V253" s="501">
        <f t="shared" si="200"/>
        <v>0.30000000000000004</v>
      </c>
      <c r="W253" s="501">
        <f t="shared" si="200"/>
        <v>0.3</v>
      </c>
      <c r="X253" s="501">
        <f t="shared" si="200"/>
        <v>0.30000000000000004</v>
      </c>
    </row>
    <row r="254" spans="2:24">
      <c r="B254" s="376"/>
      <c r="C254" s="360"/>
      <c r="D254" s="360"/>
      <c r="E254" s="360"/>
      <c r="F254" s="360"/>
      <c r="G254" s="360"/>
      <c r="H254" s="360"/>
      <c r="I254" s="360"/>
      <c r="J254" s="360"/>
      <c r="K254" s="377"/>
      <c r="L254" s="377"/>
      <c r="M254" s="377"/>
      <c r="N254" s="377"/>
      <c r="O254" s="377"/>
      <c r="P254" s="377"/>
      <c r="Q254" s="377"/>
      <c r="R254" s="377"/>
      <c r="S254" s="377"/>
      <c r="T254" s="377"/>
      <c r="U254" s="377"/>
      <c r="V254" s="377"/>
      <c r="W254" s="377"/>
      <c r="X254" s="377"/>
    </row>
    <row r="255" spans="2:24">
      <c r="B255" s="353" t="s">
        <v>640</v>
      </c>
      <c r="C255" s="353"/>
      <c r="D255" s="353"/>
      <c r="E255" s="353"/>
      <c r="F255" s="353"/>
      <c r="G255" s="353"/>
      <c r="H255" s="353"/>
      <c r="I255" s="353"/>
      <c r="J255" s="353"/>
      <c r="K255" s="353">
        <v>75</v>
      </c>
      <c r="L255" s="353">
        <v>125</v>
      </c>
      <c r="M255" s="353">
        <v>175</v>
      </c>
      <c r="N255" s="359">
        <f>M255*1.05</f>
        <v>183.75</v>
      </c>
      <c r="O255" s="359">
        <f t="shared" ref="O255:X255" si="201">N255*1.05</f>
        <v>192.9375</v>
      </c>
      <c r="P255" s="359">
        <f t="shared" si="201"/>
        <v>202.58437500000002</v>
      </c>
      <c r="Q255" s="359">
        <f t="shared" si="201"/>
        <v>212.71359375000003</v>
      </c>
      <c r="R255" s="359">
        <f t="shared" si="201"/>
        <v>223.34927343750005</v>
      </c>
      <c r="S255" s="359">
        <f t="shared" si="201"/>
        <v>234.51673710937504</v>
      </c>
      <c r="T255" s="359">
        <f t="shared" si="201"/>
        <v>246.24257396484381</v>
      </c>
      <c r="U255" s="359">
        <f t="shared" si="201"/>
        <v>258.554702663086</v>
      </c>
      <c r="V255" s="359">
        <f t="shared" si="201"/>
        <v>271.48243779624033</v>
      </c>
      <c r="W255" s="359">
        <f t="shared" si="201"/>
        <v>285.05655968605237</v>
      </c>
      <c r="X255" s="359">
        <f t="shared" si="201"/>
        <v>299.30938767035502</v>
      </c>
    </row>
    <row r="256" spans="2:24">
      <c r="B256" s="353"/>
      <c r="C256" s="353"/>
      <c r="D256" s="353"/>
      <c r="E256" s="353"/>
      <c r="F256" s="353"/>
      <c r="G256" s="353"/>
      <c r="H256" s="353"/>
      <c r="I256" s="353"/>
      <c r="J256" s="353"/>
      <c r="K256" s="353"/>
      <c r="L256" s="353"/>
      <c r="M256" s="353"/>
      <c r="N256" s="359"/>
      <c r="O256" s="359"/>
      <c r="P256" s="359"/>
      <c r="Q256" s="359"/>
      <c r="R256" s="359"/>
      <c r="S256" s="359"/>
      <c r="T256" s="359"/>
      <c r="U256" s="359"/>
      <c r="V256" s="359"/>
      <c r="W256" s="359"/>
      <c r="X256" s="359"/>
    </row>
    <row r="257" spans="2:24">
      <c r="B257" s="353" t="s">
        <v>641</v>
      </c>
      <c r="C257" s="353"/>
      <c r="D257" s="353"/>
      <c r="E257" s="353"/>
      <c r="F257" s="353"/>
      <c r="G257" s="353"/>
      <c r="H257" s="353"/>
      <c r="I257" s="353"/>
      <c r="J257" s="353"/>
      <c r="K257" s="353">
        <v>50</v>
      </c>
      <c r="L257" s="353">
        <f>K257</f>
        <v>50</v>
      </c>
      <c r="M257" s="353">
        <f t="shared" ref="M257:X257" si="202">L257</f>
        <v>50</v>
      </c>
      <c r="N257" s="353">
        <f t="shared" si="202"/>
        <v>50</v>
      </c>
      <c r="O257" s="353">
        <f t="shared" si="202"/>
        <v>50</v>
      </c>
      <c r="P257" s="353">
        <f t="shared" si="202"/>
        <v>50</v>
      </c>
      <c r="Q257" s="353">
        <f t="shared" si="202"/>
        <v>50</v>
      </c>
      <c r="R257" s="353">
        <f t="shared" si="202"/>
        <v>50</v>
      </c>
      <c r="S257" s="353">
        <f t="shared" si="202"/>
        <v>50</v>
      </c>
      <c r="T257" s="353">
        <f t="shared" si="202"/>
        <v>50</v>
      </c>
      <c r="U257" s="353">
        <f t="shared" si="202"/>
        <v>50</v>
      </c>
      <c r="V257" s="353">
        <f t="shared" si="202"/>
        <v>50</v>
      </c>
      <c r="W257" s="353">
        <f t="shared" si="202"/>
        <v>50</v>
      </c>
      <c r="X257" s="353">
        <f t="shared" si="202"/>
        <v>50</v>
      </c>
    </row>
    <row r="259" spans="2:24">
      <c r="B259" s="378" t="s">
        <v>162</v>
      </c>
      <c r="C259" s="378"/>
      <c r="D259" s="378"/>
      <c r="E259" s="378"/>
      <c r="F259" s="378"/>
      <c r="G259" s="378"/>
      <c r="H259" s="378"/>
      <c r="I259" s="378"/>
      <c r="J259" s="378"/>
      <c r="K259" s="378">
        <f>K245-K252-K255-K257</f>
        <v>352.40608455587829</v>
      </c>
      <c r="L259" s="378">
        <f t="shared" ref="L259:X259" si="203">L245-L252-L255-L257</f>
        <v>1025.7267888404479</v>
      </c>
      <c r="M259" s="378">
        <f t="shared" si="203"/>
        <v>1175.867813045837</v>
      </c>
      <c r="N259" s="378">
        <f t="shared" si="203"/>
        <v>1347.2244635003206</v>
      </c>
      <c r="O259" s="378">
        <f t="shared" si="203"/>
        <v>1519.1279706143835</v>
      </c>
      <c r="P259" s="378">
        <f t="shared" si="203"/>
        <v>1704.2655175581303</v>
      </c>
      <c r="Q259" s="378">
        <f t="shared" si="203"/>
        <v>1896.1355156434281</v>
      </c>
      <c r="R259" s="378">
        <f t="shared" si="203"/>
        <v>2082.5200126295776</v>
      </c>
      <c r="S259" s="378">
        <f t="shared" si="203"/>
        <v>2256.7401305984449</v>
      </c>
      <c r="T259" s="378">
        <f t="shared" si="203"/>
        <v>2422.1757544978545</v>
      </c>
      <c r="U259" s="378">
        <f t="shared" si="203"/>
        <v>2580.1684485072051</v>
      </c>
      <c r="V259" s="378">
        <f t="shared" si="203"/>
        <v>2730.9998936119691</v>
      </c>
      <c r="W259" s="378">
        <f t="shared" si="203"/>
        <v>2875.1952033447305</v>
      </c>
      <c r="X259" s="378">
        <f t="shared" si="203"/>
        <v>3013.14716113339</v>
      </c>
    </row>
  </sheetData>
  <pageMargins left="0" right="0" top="0" bottom="0" header="0" footer="0"/>
  <pageSetup paperSize="5" scale="10"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3"/>
  <sheetViews>
    <sheetView workbookViewId="0">
      <selection activeCell="B42" sqref="B42"/>
    </sheetView>
  </sheetViews>
  <sheetFormatPr defaultRowHeight="12.75"/>
  <cols>
    <col min="1" max="1" width="29.5703125" style="531" bestFit="1" customWidth="1"/>
    <col min="2" max="2" width="19.85546875" style="588" customWidth="1"/>
    <col min="3" max="3" width="12" style="531" bestFit="1" customWidth="1"/>
    <col min="4" max="256" width="9.140625" style="531"/>
    <col min="257" max="257" width="29.5703125" style="531" bestFit="1" customWidth="1"/>
    <col min="258" max="258" width="19.85546875" style="531" customWidth="1"/>
    <col min="259" max="259" width="12" style="531" bestFit="1" customWidth="1"/>
    <col min="260" max="512" width="9.140625" style="531"/>
    <col min="513" max="513" width="29.5703125" style="531" bestFit="1" customWidth="1"/>
    <col min="514" max="514" width="19.85546875" style="531" customWidth="1"/>
    <col min="515" max="515" width="12" style="531" bestFit="1" customWidth="1"/>
    <col min="516" max="768" width="9.140625" style="531"/>
    <col min="769" max="769" width="29.5703125" style="531" bestFit="1" customWidth="1"/>
    <col min="770" max="770" width="19.85546875" style="531" customWidth="1"/>
    <col min="771" max="771" width="12" style="531" bestFit="1" customWidth="1"/>
    <col min="772" max="1024" width="9.140625" style="531"/>
    <col min="1025" max="1025" width="29.5703125" style="531" bestFit="1" customWidth="1"/>
    <col min="1026" max="1026" width="19.85546875" style="531" customWidth="1"/>
    <col min="1027" max="1027" width="12" style="531" bestFit="1" customWidth="1"/>
    <col min="1028" max="1280" width="9.140625" style="531"/>
    <col min="1281" max="1281" width="29.5703125" style="531" bestFit="1" customWidth="1"/>
    <col min="1282" max="1282" width="19.85546875" style="531" customWidth="1"/>
    <col min="1283" max="1283" width="12" style="531" bestFit="1" customWidth="1"/>
    <col min="1284" max="1536" width="9.140625" style="531"/>
    <col min="1537" max="1537" width="29.5703125" style="531" bestFit="1" customWidth="1"/>
    <col min="1538" max="1538" width="19.85546875" style="531" customWidth="1"/>
    <col min="1539" max="1539" width="12" style="531" bestFit="1" customWidth="1"/>
    <col min="1540" max="1792" width="9.140625" style="531"/>
    <col min="1793" max="1793" width="29.5703125" style="531" bestFit="1" customWidth="1"/>
    <col min="1794" max="1794" width="19.85546875" style="531" customWidth="1"/>
    <col min="1795" max="1795" width="12" style="531" bestFit="1" customWidth="1"/>
    <col min="1796" max="2048" width="9.140625" style="531"/>
    <col min="2049" max="2049" width="29.5703125" style="531" bestFit="1" customWidth="1"/>
    <col min="2050" max="2050" width="19.85546875" style="531" customWidth="1"/>
    <col min="2051" max="2051" width="12" style="531" bestFit="1" customWidth="1"/>
    <col min="2052" max="2304" width="9.140625" style="531"/>
    <col min="2305" max="2305" width="29.5703125" style="531" bestFit="1" customWidth="1"/>
    <col min="2306" max="2306" width="19.85546875" style="531" customWidth="1"/>
    <col min="2307" max="2307" width="12" style="531" bestFit="1" customWidth="1"/>
    <col min="2308" max="2560" width="9.140625" style="531"/>
    <col min="2561" max="2561" width="29.5703125" style="531" bestFit="1" customWidth="1"/>
    <col min="2562" max="2562" width="19.85546875" style="531" customWidth="1"/>
    <col min="2563" max="2563" width="12" style="531" bestFit="1" customWidth="1"/>
    <col min="2564" max="2816" width="9.140625" style="531"/>
    <col min="2817" max="2817" width="29.5703125" style="531" bestFit="1" customWidth="1"/>
    <col min="2818" max="2818" width="19.85546875" style="531" customWidth="1"/>
    <col min="2819" max="2819" width="12" style="531" bestFit="1" customWidth="1"/>
    <col min="2820" max="3072" width="9.140625" style="531"/>
    <col min="3073" max="3073" width="29.5703125" style="531" bestFit="1" customWidth="1"/>
    <col min="3074" max="3074" width="19.85546875" style="531" customWidth="1"/>
    <col min="3075" max="3075" width="12" style="531" bestFit="1" customWidth="1"/>
    <col min="3076" max="3328" width="9.140625" style="531"/>
    <col min="3329" max="3329" width="29.5703125" style="531" bestFit="1" customWidth="1"/>
    <col min="3330" max="3330" width="19.85546875" style="531" customWidth="1"/>
    <col min="3331" max="3331" width="12" style="531" bestFit="1" customWidth="1"/>
    <col min="3332" max="3584" width="9.140625" style="531"/>
    <col min="3585" max="3585" width="29.5703125" style="531" bestFit="1" customWidth="1"/>
    <col min="3586" max="3586" width="19.85546875" style="531" customWidth="1"/>
    <col min="3587" max="3587" width="12" style="531" bestFit="1" customWidth="1"/>
    <col min="3588" max="3840" width="9.140625" style="531"/>
    <col min="3841" max="3841" width="29.5703125" style="531" bestFit="1" customWidth="1"/>
    <col min="3842" max="3842" width="19.85546875" style="531" customWidth="1"/>
    <col min="3843" max="3843" width="12" style="531" bestFit="1" customWidth="1"/>
    <col min="3844" max="4096" width="9.140625" style="531"/>
    <col min="4097" max="4097" width="29.5703125" style="531" bestFit="1" customWidth="1"/>
    <col min="4098" max="4098" width="19.85546875" style="531" customWidth="1"/>
    <col min="4099" max="4099" width="12" style="531" bestFit="1" customWidth="1"/>
    <col min="4100" max="4352" width="9.140625" style="531"/>
    <col min="4353" max="4353" width="29.5703125" style="531" bestFit="1" customWidth="1"/>
    <col min="4354" max="4354" width="19.85546875" style="531" customWidth="1"/>
    <col min="4355" max="4355" width="12" style="531" bestFit="1" customWidth="1"/>
    <col min="4356" max="4608" width="9.140625" style="531"/>
    <col min="4609" max="4609" width="29.5703125" style="531" bestFit="1" customWidth="1"/>
    <col min="4610" max="4610" width="19.85546875" style="531" customWidth="1"/>
    <col min="4611" max="4611" width="12" style="531" bestFit="1" customWidth="1"/>
    <col min="4612" max="4864" width="9.140625" style="531"/>
    <col min="4865" max="4865" width="29.5703125" style="531" bestFit="1" customWidth="1"/>
    <col min="4866" max="4866" width="19.85546875" style="531" customWidth="1"/>
    <col min="4867" max="4867" width="12" style="531" bestFit="1" customWidth="1"/>
    <col min="4868" max="5120" width="9.140625" style="531"/>
    <col min="5121" max="5121" width="29.5703125" style="531" bestFit="1" customWidth="1"/>
    <col min="5122" max="5122" width="19.85546875" style="531" customWidth="1"/>
    <col min="5123" max="5123" width="12" style="531" bestFit="1" customWidth="1"/>
    <col min="5124" max="5376" width="9.140625" style="531"/>
    <col min="5377" max="5377" width="29.5703125" style="531" bestFit="1" customWidth="1"/>
    <col min="5378" max="5378" width="19.85546875" style="531" customWidth="1"/>
    <col min="5379" max="5379" width="12" style="531" bestFit="1" customWidth="1"/>
    <col min="5380" max="5632" width="9.140625" style="531"/>
    <col min="5633" max="5633" width="29.5703125" style="531" bestFit="1" customWidth="1"/>
    <col min="5634" max="5634" width="19.85546875" style="531" customWidth="1"/>
    <col min="5635" max="5635" width="12" style="531" bestFit="1" customWidth="1"/>
    <col min="5636" max="5888" width="9.140625" style="531"/>
    <col min="5889" max="5889" width="29.5703125" style="531" bestFit="1" customWidth="1"/>
    <col min="5890" max="5890" width="19.85546875" style="531" customWidth="1"/>
    <col min="5891" max="5891" width="12" style="531" bestFit="1" customWidth="1"/>
    <col min="5892" max="6144" width="9.140625" style="531"/>
    <col min="6145" max="6145" width="29.5703125" style="531" bestFit="1" customWidth="1"/>
    <col min="6146" max="6146" width="19.85546875" style="531" customWidth="1"/>
    <col min="6147" max="6147" width="12" style="531" bestFit="1" customWidth="1"/>
    <col min="6148" max="6400" width="9.140625" style="531"/>
    <col min="6401" max="6401" width="29.5703125" style="531" bestFit="1" customWidth="1"/>
    <col min="6402" max="6402" width="19.85546875" style="531" customWidth="1"/>
    <col min="6403" max="6403" width="12" style="531" bestFit="1" customWidth="1"/>
    <col min="6404" max="6656" width="9.140625" style="531"/>
    <col min="6657" max="6657" width="29.5703125" style="531" bestFit="1" customWidth="1"/>
    <col min="6658" max="6658" width="19.85546875" style="531" customWidth="1"/>
    <col min="6659" max="6659" width="12" style="531" bestFit="1" customWidth="1"/>
    <col min="6660" max="6912" width="9.140625" style="531"/>
    <col min="6913" max="6913" width="29.5703125" style="531" bestFit="1" customWidth="1"/>
    <col min="6914" max="6914" width="19.85546875" style="531" customWidth="1"/>
    <col min="6915" max="6915" width="12" style="531" bestFit="1" customWidth="1"/>
    <col min="6916" max="7168" width="9.140625" style="531"/>
    <col min="7169" max="7169" width="29.5703125" style="531" bestFit="1" customWidth="1"/>
    <col min="7170" max="7170" width="19.85546875" style="531" customWidth="1"/>
    <col min="7171" max="7171" width="12" style="531" bestFit="1" customWidth="1"/>
    <col min="7172" max="7424" width="9.140625" style="531"/>
    <col min="7425" max="7425" width="29.5703125" style="531" bestFit="1" customWidth="1"/>
    <col min="7426" max="7426" width="19.85546875" style="531" customWidth="1"/>
    <col min="7427" max="7427" width="12" style="531" bestFit="1" customWidth="1"/>
    <col min="7428" max="7680" width="9.140625" style="531"/>
    <col min="7681" max="7681" width="29.5703125" style="531" bestFit="1" customWidth="1"/>
    <col min="7682" max="7682" width="19.85546875" style="531" customWidth="1"/>
    <col min="7683" max="7683" width="12" style="531" bestFit="1" customWidth="1"/>
    <col min="7684" max="7936" width="9.140625" style="531"/>
    <col min="7937" max="7937" width="29.5703125" style="531" bestFit="1" customWidth="1"/>
    <col min="7938" max="7938" width="19.85546875" style="531" customWidth="1"/>
    <col min="7939" max="7939" width="12" style="531" bestFit="1" customWidth="1"/>
    <col min="7940" max="8192" width="9.140625" style="531"/>
    <col min="8193" max="8193" width="29.5703125" style="531" bestFit="1" customWidth="1"/>
    <col min="8194" max="8194" width="19.85546875" style="531" customWidth="1"/>
    <col min="8195" max="8195" width="12" style="531" bestFit="1" customWidth="1"/>
    <col min="8196" max="8448" width="9.140625" style="531"/>
    <col min="8449" max="8449" width="29.5703125" style="531" bestFit="1" customWidth="1"/>
    <col min="8450" max="8450" width="19.85546875" style="531" customWidth="1"/>
    <col min="8451" max="8451" width="12" style="531" bestFit="1" customWidth="1"/>
    <col min="8452" max="8704" width="9.140625" style="531"/>
    <col min="8705" max="8705" width="29.5703125" style="531" bestFit="1" customWidth="1"/>
    <col min="8706" max="8706" width="19.85546875" style="531" customWidth="1"/>
    <col min="8707" max="8707" width="12" style="531" bestFit="1" customWidth="1"/>
    <col min="8708" max="8960" width="9.140625" style="531"/>
    <col min="8961" max="8961" width="29.5703125" style="531" bestFit="1" customWidth="1"/>
    <col min="8962" max="8962" width="19.85546875" style="531" customWidth="1"/>
    <col min="8963" max="8963" width="12" style="531" bestFit="1" customWidth="1"/>
    <col min="8964" max="9216" width="9.140625" style="531"/>
    <col min="9217" max="9217" width="29.5703125" style="531" bestFit="1" customWidth="1"/>
    <col min="9218" max="9218" width="19.85546875" style="531" customWidth="1"/>
    <col min="9219" max="9219" width="12" style="531" bestFit="1" customWidth="1"/>
    <col min="9220" max="9472" width="9.140625" style="531"/>
    <col min="9473" max="9473" width="29.5703125" style="531" bestFit="1" customWidth="1"/>
    <col min="9474" max="9474" width="19.85546875" style="531" customWidth="1"/>
    <col min="9475" max="9475" width="12" style="531" bestFit="1" customWidth="1"/>
    <col min="9476" max="9728" width="9.140625" style="531"/>
    <col min="9729" max="9729" width="29.5703125" style="531" bestFit="1" customWidth="1"/>
    <col min="9730" max="9730" width="19.85546875" style="531" customWidth="1"/>
    <col min="9731" max="9731" width="12" style="531" bestFit="1" customWidth="1"/>
    <col min="9732" max="9984" width="9.140625" style="531"/>
    <col min="9985" max="9985" width="29.5703125" style="531" bestFit="1" customWidth="1"/>
    <col min="9986" max="9986" width="19.85546875" style="531" customWidth="1"/>
    <col min="9987" max="9987" width="12" style="531" bestFit="1" customWidth="1"/>
    <col min="9988" max="10240" width="9.140625" style="531"/>
    <col min="10241" max="10241" width="29.5703125" style="531" bestFit="1" customWidth="1"/>
    <col min="10242" max="10242" width="19.85546875" style="531" customWidth="1"/>
    <col min="10243" max="10243" width="12" style="531" bestFit="1" customWidth="1"/>
    <col min="10244" max="10496" width="9.140625" style="531"/>
    <col min="10497" max="10497" width="29.5703125" style="531" bestFit="1" customWidth="1"/>
    <col min="10498" max="10498" width="19.85546875" style="531" customWidth="1"/>
    <col min="10499" max="10499" width="12" style="531" bestFit="1" customWidth="1"/>
    <col min="10500" max="10752" width="9.140625" style="531"/>
    <col min="10753" max="10753" width="29.5703125" style="531" bestFit="1" customWidth="1"/>
    <col min="10754" max="10754" width="19.85546875" style="531" customWidth="1"/>
    <col min="10755" max="10755" width="12" style="531" bestFit="1" customWidth="1"/>
    <col min="10756" max="11008" width="9.140625" style="531"/>
    <col min="11009" max="11009" width="29.5703125" style="531" bestFit="1" customWidth="1"/>
    <col min="11010" max="11010" width="19.85546875" style="531" customWidth="1"/>
    <col min="11011" max="11011" width="12" style="531" bestFit="1" customWidth="1"/>
    <col min="11012" max="11264" width="9.140625" style="531"/>
    <col min="11265" max="11265" width="29.5703125" style="531" bestFit="1" customWidth="1"/>
    <col min="11266" max="11266" width="19.85546875" style="531" customWidth="1"/>
    <col min="11267" max="11267" width="12" style="531" bestFit="1" customWidth="1"/>
    <col min="11268" max="11520" width="9.140625" style="531"/>
    <col min="11521" max="11521" width="29.5703125" style="531" bestFit="1" customWidth="1"/>
    <col min="11522" max="11522" width="19.85546875" style="531" customWidth="1"/>
    <col min="11523" max="11523" width="12" style="531" bestFit="1" customWidth="1"/>
    <col min="11524" max="11776" width="9.140625" style="531"/>
    <col min="11777" max="11777" width="29.5703125" style="531" bestFit="1" customWidth="1"/>
    <col min="11778" max="11778" width="19.85546875" style="531" customWidth="1"/>
    <col min="11779" max="11779" width="12" style="531" bestFit="1" customWidth="1"/>
    <col min="11780" max="12032" width="9.140625" style="531"/>
    <col min="12033" max="12033" width="29.5703125" style="531" bestFit="1" customWidth="1"/>
    <col min="12034" max="12034" width="19.85546875" style="531" customWidth="1"/>
    <col min="12035" max="12035" width="12" style="531" bestFit="1" customWidth="1"/>
    <col min="12036" max="12288" width="9.140625" style="531"/>
    <col min="12289" max="12289" width="29.5703125" style="531" bestFit="1" customWidth="1"/>
    <col min="12290" max="12290" width="19.85546875" style="531" customWidth="1"/>
    <col min="12291" max="12291" width="12" style="531" bestFit="1" customWidth="1"/>
    <col min="12292" max="12544" width="9.140625" style="531"/>
    <col min="12545" max="12545" width="29.5703125" style="531" bestFit="1" customWidth="1"/>
    <col min="12546" max="12546" width="19.85546875" style="531" customWidth="1"/>
    <col min="12547" max="12547" width="12" style="531" bestFit="1" customWidth="1"/>
    <col min="12548" max="12800" width="9.140625" style="531"/>
    <col min="12801" max="12801" width="29.5703125" style="531" bestFit="1" customWidth="1"/>
    <col min="12802" max="12802" width="19.85546875" style="531" customWidth="1"/>
    <col min="12803" max="12803" width="12" style="531" bestFit="1" customWidth="1"/>
    <col min="12804" max="13056" width="9.140625" style="531"/>
    <col min="13057" max="13057" width="29.5703125" style="531" bestFit="1" customWidth="1"/>
    <col min="13058" max="13058" width="19.85546875" style="531" customWidth="1"/>
    <col min="13059" max="13059" width="12" style="531" bestFit="1" customWidth="1"/>
    <col min="13060" max="13312" width="9.140625" style="531"/>
    <col min="13313" max="13313" width="29.5703125" style="531" bestFit="1" customWidth="1"/>
    <col min="13314" max="13314" width="19.85546875" style="531" customWidth="1"/>
    <col min="13315" max="13315" width="12" style="531" bestFit="1" customWidth="1"/>
    <col min="13316" max="13568" width="9.140625" style="531"/>
    <col min="13569" max="13569" width="29.5703125" style="531" bestFit="1" customWidth="1"/>
    <col min="13570" max="13570" width="19.85546875" style="531" customWidth="1"/>
    <col min="13571" max="13571" width="12" style="531" bestFit="1" customWidth="1"/>
    <col min="13572" max="13824" width="9.140625" style="531"/>
    <col min="13825" max="13825" width="29.5703125" style="531" bestFit="1" customWidth="1"/>
    <col min="13826" max="13826" width="19.85546875" style="531" customWidth="1"/>
    <col min="13827" max="13827" width="12" style="531" bestFit="1" customWidth="1"/>
    <col min="13828" max="14080" width="9.140625" style="531"/>
    <col min="14081" max="14081" width="29.5703125" style="531" bestFit="1" customWidth="1"/>
    <col min="14082" max="14082" width="19.85546875" style="531" customWidth="1"/>
    <col min="14083" max="14083" width="12" style="531" bestFit="1" customWidth="1"/>
    <col min="14084" max="14336" width="9.140625" style="531"/>
    <col min="14337" max="14337" width="29.5703125" style="531" bestFit="1" customWidth="1"/>
    <col min="14338" max="14338" width="19.85546875" style="531" customWidth="1"/>
    <col min="14339" max="14339" width="12" style="531" bestFit="1" customWidth="1"/>
    <col min="14340" max="14592" width="9.140625" style="531"/>
    <col min="14593" max="14593" width="29.5703125" style="531" bestFit="1" customWidth="1"/>
    <col min="14594" max="14594" width="19.85546875" style="531" customWidth="1"/>
    <col min="14595" max="14595" width="12" style="531" bestFit="1" customWidth="1"/>
    <col min="14596" max="14848" width="9.140625" style="531"/>
    <col min="14849" max="14849" width="29.5703125" style="531" bestFit="1" customWidth="1"/>
    <col min="14850" max="14850" width="19.85546875" style="531" customWidth="1"/>
    <col min="14851" max="14851" width="12" style="531" bestFit="1" customWidth="1"/>
    <col min="14852" max="15104" width="9.140625" style="531"/>
    <col min="15105" max="15105" width="29.5703125" style="531" bestFit="1" customWidth="1"/>
    <col min="15106" max="15106" width="19.85546875" style="531" customWidth="1"/>
    <col min="15107" max="15107" width="12" style="531" bestFit="1" customWidth="1"/>
    <col min="15108" max="15360" width="9.140625" style="531"/>
    <col min="15361" max="15361" width="29.5703125" style="531" bestFit="1" customWidth="1"/>
    <col min="15362" max="15362" width="19.85546875" style="531" customWidth="1"/>
    <col min="15363" max="15363" width="12" style="531" bestFit="1" customWidth="1"/>
    <col min="15364" max="15616" width="9.140625" style="531"/>
    <col min="15617" max="15617" width="29.5703125" style="531" bestFit="1" customWidth="1"/>
    <col min="15618" max="15618" width="19.85546875" style="531" customWidth="1"/>
    <col min="15619" max="15619" width="12" style="531" bestFit="1" customWidth="1"/>
    <col min="15620" max="15872" width="9.140625" style="531"/>
    <col min="15873" max="15873" width="29.5703125" style="531" bestFit="1" customWidth="1"/>
    <col min="15874" max="15874" width="19.85546875" style="531" customWidth="1"/>
    <col min="15875" max="15875" width="12" style="531" bestFit="1" customWidth="1"/>
    <col min="15876" max="16128" width="9.140625" style="531"/>
    <col min="16129" max="16129" width="29.5703125" style="531" bestFit="1" customWidth="1"/>
    <col min="16130" max="16130" width="19.85546875" style="531" customWidth="1"/>
    <col min="16131" max="16131" width="12" style="531" bestFit="1" customWidth="1"/>
    <col min="16132" max="16384" width="9.140625" style="531"/>
  </cols>
  <sheetData>
    <row r="1" spans="1:2">
      <c r="A1" s="531" t="s">
        <v>1238</v>
      </c>
      <c r="B1" s="587">
        <v>6.1</v>
      </c>
    </row>
    <row r="2" spans="1:2">
      <c r="A2" s="531" t="s">
        <v>1239</v>
      </c>
      <c r="B2" s="591">
        <v>43215.558622685188</v>
      </c>
    </row>
    <row r="3" spans="1:2">
      <c r="A3" s="531" t="s">
        <v>1240</v>
      </c>
      <c r="B3" s="588" t="s">
        <v>939</v>
      </c>
    </row>
    <row r="4" spans="1:2">
      <c r="A4" s="531" t="s">
        <v>1241</v>
      </c>
      <c r="B4" s="588" t="s">
        <v>1242</v>
      </c>
    </row>
    <row r="5" spans="1:2">
      <c r="A5" s="531" t="s">
        <v>1243</v>
      </c>
      <c r="B5" s="588" t="s">
        <v>1244</v>
      </c>
    </row>
    <row r="6" spans="1:2">
      <c r="A6" s="531" t="s">
        <v>1245</v>
      </c>
    </row>
    <row r="7" spans="1:2">
      <c r="A7" s="531" t="s">
        <v>1246</v>
      </c>
      <c r="B7" s="588" t="s">
        <v>1290</v>
      </c>
    </row>
    <row r="8" spans="1:2">
      <c r="A8" s="531" t="s">
        <v>1247</v>
      </c>
      <c r="B8" s="588" t="s">
        <v>1248</v>
      </c>
    </row>
    <row r="9" spans="1:2">
      <c r="A9" s="531" t="s">
        <v>1249</v>
      </c>
      <c r="B9" s="588" t="s">
        <v>1286</v>
      </c>
    </row>
    <row r="10" spans="1:2">
      <c r="A10" s="531" t="s">
        <v>1250</v>
      </c>
    </row>
    <row r="11" spans="1:2">
      <c r="A11" s="531" t="s">
        <v>1251</v>
      </c>
    </row>
    <row r="12" spans="1:2">
      <c r="A12" s="531" t="s">
        <v>1252</v>
      </c>
    </row>
    <row r="13" spans="1:2">
      <c r="A13" s="531" t="s">
        <v>1253</v>
      </c>
    </row>
    <row r="14" spans="1:2">
      <c r="A14" s="531" t="s">
        <v>1254</v>
      </c>
    </row>
    <row r="15" spans="1:2">
      <c r="A15" s="531" t="s">
        <v>1255</v>
      </c>
    </row>
    <row r="16" spans="1:2">
      <c r="A16" s="531" t="s">
        <v>1256</v>
      </c>
    </row>
    <row r="17" spans="1:4">
      <c r="A17" s="531" t="s">
        <v>1257</v>
      </c>
      <c r="B17" s="588" t="s">
        <v>1287</v>
      </c>
    </row>
    <row r="18" spans="1:4">
      <c r="A18" s="531" t="s">
        <v>1258</v>
      </c>
      <c r="B18" s="588" t="s">
        <v>940</v>
      </c>
    </row>
    <row r="19" spans="1:4">
      <c r="A19" s="531" t="s">
        <v>1259</v>
      </c>
      <c r="B19" s="588" t="s">
        <v>568</v>
      </c>
    </row>
    <row r="20" spans="1:4">
      <c r="A20" s="531" t="s">
        <v>1260</v>
      </c>
      <c r="B20" s="589" t="s">
        <v>1291</v>
      </c>
    </row>
    <row r="21" spans="1:4">
      <c r="A21" s="531" t="s">
        <v>1261</v>
      </c>
      <c r="B21" s="588" t="s">
        <v>568</v>
      </c>
    </row>
    <row r="22" spans="1:4">
      <c r="A22" s="531" t="s">
        <v>1262</v>
      </c>
      <c r="B22" s="589">
        <v>2455965</v>
      </c>
    </row>
    <row r="23" spans="1:4">
      <c r="A23" s="531" t="s">
        <v>570</v>
      </c>
      <c r="B23" s="587">
        <v>268.31</v>
      </c>
    </row>
    <row r="24" spans="1:4">
      <c r="A24" s="531" t="s">
        <v>569</v>
      </c>
      <c r="B24" s="588" t="s">
        <v>567</v>
      </c>
      <c r="D24" s="531" t="s">
        <v>927</v>
      </c>
    </row>
    <row r="25" spans="1:4">
      <c r="A25" s="531" t="s">
        <v>1263</v>
      </c>
      <c r="B25" s="588" t="s">
        <v>1292</v>
      </c>
    </row>
    <row r="26" spans="1:4">
      <c r="A26" s="531" t="s">
        <v>1264</v>
      </c>
      <c r="B26" s="588">
        <v>0</v>
      </c>
    </row>
    <row r="27" spans="1:4">
      <c r="A27" s="531" t="s">
        <v>1265</v>
      </c>
      <c r="B27" s="588" t="s">
        <v>1266</v>
      </c>
    </row>
    <row r="28" spans="1:4">
      <c r="A28" s="531" t="s">
        <v>1267</v>
      </c>
      <c r="B28" s="588" t="s">
        <v>1268</v>
      </c>
    </row>
    <row r="29" spans="1:4">
      <c r="A29" s="531" t="s">
        <v>1269</v>
      </c>
    </row>
    <row r="30" spans="1:4">
      <c r="A30" s="531" t="s">
        <v>1270</v>
      </c>
    </row>
    <row r="31" spans="1:4">
      <c r="A31" s="531" t="s">
        <v>1271</v>
      </c>
    </row>
    <row r="32" spans="1:4">
      <c r="A32" s="531" t="s">
        <v>1272</v>
      </c>
      <c r="B32" s="587"/>
    </row>
    <row r="33" spans="1:2">
      <c r="A33" s="531" t="s">
        <v>1273</v>
      </c>
      <c r="B33" s="587"/>
    </row>
    <row r="34" spans="1:2">
      <c r="A34" s="531" t="s">
        <v>1274</v>
      </c>
      <c r="B34" s="587"/>
    </row>
    <row r="35" spans="1:2">
      <c r="A35" s="531" t="s">
        <v>1275</v>
      </c>
      <c r="B35" s="588">
        <v>1000000</v>
      </c>
    </row>
    <row r="36" spans="1:2">
      <c r="A36" s="531" t="s">
        <v>1276</v>
      </c>
      <c r="B36" s="588" t="s">
        <v>1288</v>
      </c>
    </row>
    <row r="37" spans="1:2">
      <c r="A37" s="531" t="s">
        <v>1277</v>
      </c>
      <c r="B37" s="588" t="s">
        <v>1278</v>
      </c>
    </row>
    <row r="38" spans="1:2">
      <c r="A38" s="531" t="s">
        <v>1279</v>
      </c>
      <c r="B38" s="588" t="s">
        <v>1280</v>
      </c>
    </row>
    <row r="39" spans="1:2">
      <c r="A39" s="531" t="s">
        <v>1281</v>
      </c>
      <c r="B39" s="588" t="s">
        <v>1289</v>
      </c>
    </row>
    <row r="40" spans="1:2">
      <c r="A40" s="531" t="s">
        <v>1282</v>
      </c>
      <c r="B40" s="588">
        <v>1500004768</v>
      </c>
    </row>
    <row r="41" spans="1:2">
      <c r="A41" s="531" t="s">
        <v>1283</v>
      </c>
      <c r="B41" s="588">
        <v>1</v>
      </c>
    </row>
    <row r="42" spans="1:2">
      <c r="A42" s="590" t="s">
        <v>1284</v>
      </c>
    </row>
    <row r="43" spans="1:2">
      <c r="A43" s="531" t="s">
        <v>1285</v>
      </c>
    </row>
  </sheetData>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13"/>
  <sheetViews>
    <sheetView workbookViewId="0">
      <selection activeCell="E11" sqref="E11"/>
    </sheetView>
  </sheetViews>
  <sheetFormatPr defaultRowHeight="12.75"/>
  <cols>
    <col min="1" max="1" width="28.5703125" style="531" bestFit="1" customWidth="1"/>
    <col min="2" max="256" width="9.140625" style="531"/>
    <col min="257" max="257" width="28.5703125" style="531" bestFit="1" customWidth="1"/>
    <col min="258" max="512" width="9.140625" style="531"/>
    <col min="513" max="513" width="28.5703125" style="531" bestFit="1" customWidth="1"/>
    <col min="514" max="768" width="9.140625" style="531"/>
    <col min="769" max="769" width="28.5703125" style="531" bestFit="1" customWidth="1"/>
    <col min="770" max="1024" width="9.140625" style="531"/>
    <col min="1025" max="1025" width="28.5703125" style="531" bestFit="1" customWidth="1"/>
    <col min="1026" max="1280" width="9.140625" style="531"/>
    <col min="1281" max="1281" width="28.5703125" style="531" bestFit="1" customWidth="1"/>
    <col min="1282" max="1536" width="9.140625" style="531"/>
    <col min="1537" max="1537" width="28.5703125" style="531" bestFit="1" customWidth="1"/>
    <col min="1538" max="1792" width="9.140625" style="531"/>
    <col min="1793" max="1793" width="28.5703125" style="531" bestFit="1" customWidth="1"/>
    <col min="1794" max="2048" width="9.140625" style="531"/>
    <col min="2049" max="2049" width="28.5703125" style="531" bestFit="1" customWidth="1"/>
    <col min="2050" max="2304" width="9.140625" style="531"/>
    <col min="2305" max="2305" width="28.5703125" style="531" bestFit="1" customWidth="1"/>
    <col min="2306" max="2560" width="9.140625" style="531"/>
    <col min="2561" max="2561" width="28.5703125" style="531" bestFit="1" customWidth="1"/>
    <col min="2562" max="2816" width="9.140625" style="531"/>
    <col min="2817" max="2817" width="28.5703125" style="531" bestFit="1" customWidth="1"/>
    <col min="2818" max="3072" width="9.140625" style="531"/>
    <col min="3073" max="3073" width="28.5703125" style="531" bestFit="1" customWidth="1"/>
    <col min="3074" max="3328" width="9.140625" style="531"/>
    <col min="3329" max="3329" width="28.5703125" style="531" bestFit="1" customWidth="1"/>
    <col min="3330" max="3584" width="9.140625" style="531"/>
    <col min="3585" max="3585" width="28.5703125" style="531" bestFit="1" customWidth="1"/>
    <col min="3586" max="3840" width="9.140625" style="531"/>
    <col min="3841" max="3841" width="28.5703125" style="531" bestFit="1" customWidth="1"/>
    <col min="3842" max="4096" width="9.140625" style="531"/>
    <col min="4097" max="4097" width="28.5703125" style="531" bestFit="1" customWidth="1"/>
    <col min="4098" max="4352" width="9.140625" style="531"/>
    <col min="4353" max="4353" width="28.5703125" style="531" bestFit="1" customWidth="1"/>
    <col min="4354" max="4608" width="9.140625" style="531"/>
    <col min="4609" max="4609" width="28.5703125" style="531" bestFit="1" customWidth="1"/>
    <col min="4610" max="4864" width="9.140625" style="531"/>
    <col min="4865" max="4865" width="28.5703125" style="531" bestFit="1" customWidth="1"/>
    <col min="4866" max="5120" width="9.140625" style="531"/>
    <col min="5121" max="5121" width="28.5703125" style="531" bestFit="1" customWidth="1"/>
    <col min="5122" max="5376" width="9.140625" style="531"/>
    <col min="5377" max="5377" width="28.5703125" style="531" bestFit="1" customWidth="1"/>
    <col min="5378" max="5632" width="9.140625" style="531"/>
    <col min="5633" max="5633" width="28.5703125" style="531" bestFit="1" customWidth="1"/>
    <col min="5634" max="5888" width="9.140625" style="531"/>
    <col min="5889" max="5889" width="28.5703125" style="531" bestFit="1" customWidth="1"/>
    <col min="5890" max="6144" width="9.140625" style="531"/>
    <col min="6145" max="6145" width="28.5703125" style="531" bestFit="1" customWidth="1"/>
    <col min="6146" max="6400" width="9.140625" style="531"/>
    <col min="6401" max="6401" width="28.5703125" style="531" bestFit="1" customWidth="1"/>
    <col min="6402" max="6656" width="9.140625" style="531"/>
    <col min="6657" max="6657" width="28.5703125" style="531" bestFit="1" customWidth="1"/>
    <col min="6658" max="6912" width="9.140625" style="531"/>
    <col min="6913" max="6913" width="28.5703125" style="531" bestFit="1" customWidth="1"/>
    <col min="6914" max="7168" width="9.140625" style="531"/>
    <col min="7169" max="7169" width="28.5703125" style="531" bestFit="1" customWidth="1"/>
    <col min="7170" max="7424" width="9.140625" style="531"/>
    <col min="7425" max="7425" width="28.5703125" style="531" bestFit="1" customWidth="1"/>
    <col min="7426" max="7680" width="9.140625" style="531"/>
    <col min="7681" max="7681" width="28.5703125" style="531" bestFit="1" customWidth="1"/>
    <col min="7682" max="7936" width="9.140625" style="531"/>
    <col min="7937" max="7937" width="28.5703125" style="531" bestFit="1" customWidth="1"/>
    <col min="7938" max="8192" width="9.140625" style="531"/>
    <col min="8193" max="8193" width="28.5703125" style="531" bestFit="1" customWidth="1"/>
    <col min="8194" max="8448" width="9.140625" style="531"/>
    <col min="8449" max="8449" width="28.5703125" style="531" bestFit="1" customWidth="1"/>
    <col min="8450" max="8704" width="9.140625" style="531"/>
    <col min="8705" max="8705" width="28.5703125" style="531" bestFit="1" customWidth="1"/>
    <col min="8706" max="8960" width="9.140625" style="531"/>
    <col min="8961" max="8961" width="28.5703125" style="531" bestFit="1" customWidth="1"/>
    <col min="8962" max="9216" width="9.140625" style="531"/>
    <col min="9217" max="9217" width="28.5703125" style="531" bestFit="1" customWidth="1"/>
    <col min="9218" max="9472" width="9.140625" style="531"/>
    <col min="9473" max="9473" width="28.5703125" style="531" bestFit="1" customWidth="1"/>
    <col min="9474" max="9728" width="9.140625" style="531"/>
    <col min="9729" max="9729" width="28.5703125" style="531" bestFit="1" customWidth="1"/>
    <col min="9730" max="9984" width="9.140625" style="531"/>
    <col min="9985" max="9985" width="28.5703125" style="531" bestFit="1" customWidth="1"/>
    <col min="9986" max="10240" width="9.140625" style="531"/>
    <col min="10241" max="10241" width="28.5703125" style="531" bestFit="1" customWidth="1"/>
    <col min="10242" max="10496" width="9.140625" style="531"/>
    <col min="10497" max="10497" width="28.5703125" style="531" bestFit="1" customWidth="1"/>
    <col min="10498" max="10752" width="9.140625" style="531"/>
    <col min="10753" max="10753" width="28.5703125" style="531" bestFit="1" customWidth="1"/>
    <col min="10754" max="11008" width="9.140625" style="531"/>
    <col min="11009" max="11009" width="28.5703125" style="531" bestFit="1" customWidth="1"/>
    <col min="11010" max="11264" width="9.140625" style="531"/>
    <col min="11265" max="11265" width="28.5703125" style="531" bestFit="1" customWidth="1"/>
    <col min="11266" max="11520" width="9.140625" style="531"/>
    <col min="11521" max="11521" width="28.5703125" style="531" bestFit="1" customWidth="1"/>
    <col min="11522" max="11776" width="9.140625" style="531"/>
    <col min="11777" max="11777" width="28.5703125" style="531" bestFit="1" customWidth="1"/>
    <col min="11778" max="12032" width="9.140625" style="531"/>
    <col min="12033" max="12033" width="28.5703125" style="531" bestFit="1" customWidth="1"/>
    <col min="12034" max="12288" width="9.140625" style="531"/>
    <col min="12289" max="12289" width="28.5703125" style="531" bestFit="1" customWidth="1"/>
    <col min="12290" max="12544" width="9.140625" style="531"/>
    <col min="12545" max="12545" width="28.5703125" style="531" bestFit="1" customWidth="1"/>
    <col min="12546" max="12800" width="9.140625" style="531"/>
    <col min="12801" max="12801" width="28.5703125" style="531" bestFit="1" customWidth="1"/>
    <col min="12802" max="13056" width="9.140625" style="531"/>
    <col min="13057" max="13057" width="28.5703125" style="531" bestFit="1" customWidth="1"/>
    <col min="13058" max="13312" width="9.140625" style="531"/>
    <col min="13313" max="13313" width="28.5703125" style="531" bestFit="1" customWidth="1"/>
    <col min="13314" max="13568" width="9.140625" style="531"/>
    <col min="13569" max="13569" width="28.5703125" style="531" bestFit="1" customWidth="1"/>
    <col min="13570" max="13824" width="9.140625" style="531"/>
    <col min="13825" max="13825" width="28.5703125" style="531" bestFit="1" customWidth="1"/>
    <col min="13826" max="14080" width="9.140625" style="531"/>
    <col min="14081" max="14081" width="28.5703125" style="531" bestFit="1" customWidth="1"/>
    <col min="14082" max="14336" width="9.140625" style="531"/>
    <col min="14337" max="14337" width="28.5703125" style="531" bestFit="1" customWidth="1"/>
    <col min="14338" max="14592" width="9.140625" style="531"/>
    <col min="14593" max="14593" width="28.5703125" style="531" bestFit="1" customWidth="1"/>
    <col min="14594" max="14848" width="9.140625" style="531"/>
    <col min="14849" max="14849" width="28.5703125" style="531" bestFit="1" customWidth="1"/>
    <col min="14850" max="15104" width="9.140625" style="531"/>
    <col min="15105" max="15105" width="28.5703125" style="531" bestFit="1" customWidth="1"/>
    <col min="15106" max="15360" width="9.140625" style="531"/>
    <col min="15361" max="15361" width="28.5703125" style="531" bestFit="1" customWidth="1"/>
    <col min="15362" max="15616" width="9.140625" style="531"/>
    <col min="15617" max="15617" width="28.5703125" style="531" bestFit="1" customWidth="1"/>
    <col min="15618" max="15872" width="9.140625" style="531"/>
    <col min="15873" max="15873" width="28.5703125" style="531" bestFit="1" customWidth="1"/>
    <col min="15874" max="16128" width="9.140625" style="531"/>
    <col min="16129" max="16129" width="28.5703125" style="531" bestFit="1" customWidth="1"/>
    <col min="16130" max="16384" width="9.140625" style="531"/>
  </cols>
  <sheetData>
    <row r="1" spans="1:1">
      <c r="A1" s="592" t="s">
        <v>1293</v>
      </c>
    </row>
    <row r="2" spans="1:1">
      <c r="A2" s="592" t="s">
        <v>1298</v>
      </c>
    </row>
    <row r="3" spans="1:1">
      <c r="A3" s="592" t="s">
        <v>1299</v>
      </c>
    </row>
    <row r="4" spans="1:1">
      <c r="A4" s="592" t="s">
        <v>1300</v>
      </c>
    </row>
    <row r="5" spans="1:1">
      <c r="A5" s="592" t="s">
        <v>1301</v>
      </c>
    </row>
    <row r="6" spans="1:1">
      <c r="A6" s="592" t="s">
        <v>1294</v>
      </c>
    </row>
    <row r="7" spans="1:1">
      <c r="A7" s="592" t="s">
        <v>1302</v>
      </c>
    </row>
    <row r="8" spans="1:1">
      <c r="A8" s="592" t="s">
        <v>1303</v>
      </c>
    </row>
    <row r="9" spans="1:1">
      <c r="A9" s="592" t="s">
        <v>1304</v>
      </c>
    </row>
    <row r="10" spans="1:1">
      <c r="A10" s="592" t="s">
        <v>1295</v>
      </c>
    </row>
    <row r="11" spans="1:1">
      <c r="A11" s="592" t="s">
        <v>1305</v>
      </c>
    </row>
    <row r="12" spans="1:1">
      <c r="A12" s="592" t="s">
        <v>1296</v>
      </c>
    </row>
    <row r="13" spans="1:1">
      <c r="A13" s="592" t="s">
        <v>1297</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8308d138-e294-4432-9686-18e2f639d607</GUID>
    <SOURCE_ALTADDRESS>$B$2:$T$21</SOURCE_ALTADDRESS>
    <SOURCETYPE>Table</SOURCETYPE>
    <SOURCE_OBJECTNAME>Linking_Range_5</SOURCE_OBJECTNAME>
    <OBJECTTYPE>Native</OBJECTTYPE>
    <SOURCE_SHEETCODE>Sheet19</SOURCE_SHEETCODE>
    <SOURCE_SHEETNAME>BIIB037</SOURCE_SHEETNAME>
    <SOURCEAPPLICATION>EXCEL_SOURCE</SOURCEAPPLICATION>
    <UPDATEDAT>3/22/2015 6:46:13 AM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/MSResearch/Content/ExternalAssets/2015-03/Images/n5R31PNSG6XpXbwXLUB3w--.png</TARGET_BINARYFULLNAME>
    <TARGET_STORYFULLNAME>/MSResearch/Content/ExternalAssets/2015-03/Sections/20150322_064611_Linking_Range_5.xml</TARGET_STORYFULLNAME>
    <TARGET_UUID>a7d069c8-d080-11e4-85cd-32a6e52d529f</TARGET_UUID>
  </Link>
  <Link>
    <GUID>ca4c7b44-4113-4b73-b30f-beb27096edb1</GUID>
    <SOURCE_ALTADDRESS>$B$1:$T$39</SOURCE_ALTADDRESS>
    <SOURCETYPE>Table</SOURCETYPE>
    <SOURCE_OBJECTNAME>Linking_Range_14</SOURCE_OBJECTNAME>
    <OBJECTTYPE>Native</OBJECTTYPE>
    <SOURCE_SHEETCODE>Sheet3</SOURCE_SHEETCODE>
    <SOURCE_SHEETNAME>BS</SOURCE_SHEETNAME>
    <SOURCEAPPLICATION>EXCEL_SOURCE</SOURCEAPPLICATION>
    <UPDATEDAT>3/22/2015 3:36:40 PM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/MSResearch/Content/ExternalAssets/2015-03/Images/SZVp2fMLoCUOq6ns63e8w--.png</TARGET_BINARYFULLNAME>
    <TARGET_STORYFULLNAME>/MSResearch/Content/ExternalAssets/2015-03/Sections/20150322_033638_Linking_Range_14.xml</TARGET_STORYFULLNAME>
    <TARGET_UUID>c235cbba-d0ca-11e4-85cd-32a6e52d529f</TARGET_UUID>
  </Link>
  <Link>
    <GUID>3495db82-c7be-48e7-8119-2ec8528aa827</GUID>
    <SOURCE_ALTADDRESS>$B$1:$CN$118</SOURCE_ALTADDRESS>
    <SOURCETYPE>Table</SOURCETYPE>
    <SOURCE_OBJECTNAME>Linking_Range_11</SOURCE_OBJECTNAME>
    <OBJECTTYPE>Native</OBJECTTYPE>
    <SOURCE_SHEETCODE>Sheet2</SOURCE_SHEETCODE>
    <SOURCE_SHEETNAME>IS</SOURCE_SHEETNAME>
    <SOURCEAPPLICATION>EXCEL_SOURCE</SOURCEAPPLICATION>
    <UPDATEDAT>4/6/2015 6:22:50 PM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/MSResearch/Content/ExternalAssets/2015-01/Images/C4EUbm2s4kicACCTEFkdHA--.png</TARGET_BINARYFULLNAME>
    <TARGET_STORYFULLNAME>/MSResearch/Content/ExternalAssets/2015-01/Sections/20150115_112813_Linking_Range_11.xml</TARGET_STORYFULLNAME>
    <TARGET_UUID>806a8c46-9cd3-11e4-9edc-4fa5ec7c1f73</TARGET_UUID>
    <LINKSTATUS>Unknown</LINKSTATUS>
    <TRANSPARENTBACKGROUND>False</TRANSPARENTBACKGROUND>
    <TRANSPARENTPLOTAREA>False</TRANSPARENTPLOTAREA>
    <EXTRACTSOURCEMODE>CopyToClipboard</EXTRACTSOURCEMODE>
  </Link>
  <Link>
    <GUID>68319597-0ec0-47fb-947a-d04dddc9232e</GUID>
    <SOURCETYPE>Chart</SOURCETYPE>
    <SOURCE_OBJECTNAME>MWA_Risk_Reward</SOURCE_OBJECTNAME>
    <SOURCE_SHEETCODE>MWRSSData</SOURCE_SHEETCODE>
    <SOURCE_SHEETNAME>MWA RR</SOURCE_SHEETNAME>
    <OBJECTTYPE>Native</OBJECTTYPE>
    <SOURCEAPPLICATION>EXCEL_SOURCE</SOURCEAPPLICATION>
    <UPDATEDAT>4/26/2015 12:32:15 PM</UPDATEDAT>
    <SOURCE_ISOUTOFDATE>False</SOURCE_ISOUTOFDATE>
    <SOURCE_WORKBOOKNAME>BIIB_MH.xlsm</SOURCE_WORKBOOKNAME>
    <SOURCE_WORKBOOKPATH>\\MSAD\ROOT\NA\NY\LIB\ER\HEALTH\Biotech\Harrison\Models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/MSResearch/Content/ExternalAssets/2015-01/Images/EIhCLKxA4U_FTui-GHrB2w--.png</TARGET_BINARYFULLNAME>
    <TARGET_STORYFULLNAME>/MSResearch/Content/ExternalAssets/2015-01/Sections/20150115_042807_MWA_Risk_Reward.xml</TARGET_STORYFULLNAME>
    <TARGET_UUID>65a6b662-9cfd-11e4-9edc-4fa5ec7c1f73</TARGET_UUID>
    <HIDEGRIDLINES>False</HIDEGRIDLINES>
    <EXTRACTSOURCEMODE>CopyToClipboard</EXTRACTSOURCEMODE>
  </Link>
  <Link>
    <GUID>74294c8a-eb14-4b75-b7f0-3be400cba06d</GUID>
    <SOURCE_ALTADDRESS>$B$2:$N$44</SOURCE_ALTADDRESS>
    <SOURCETYPE>Table</SOURCETYPE>
    <SOURCE_OBJECTNAME>Linking_Range_12</SOURCE_OBJECTNAME>
    <OBJECTTYPE>Native</OBJECTTYPE>
    <SOURCE_SHEETCODE>Sheet23</SOURCE_SHEETCODE>
    <SOURCE_SHEETNAME>Variance</SOURCE_SHEETNAME>
    <SOURCEAPPLICATION>EXCEL_SOURCE</SOURCEAPPLICATION>
    <UPDATEDAT>4/26/2015 12:52:15 PM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/MSResearch/Content/ExternalAssets/2015-01/Images/gzlHyW1slEiRvbloDCxDQ--.png</TARGET_BINARYFULLNAME>
    <TARGET_STORYFULLNAME>/MSResearch/Content/ExternalAssets/2015-01/Sections/20150129_060212_Linking_Range_12.xml</TARGET_STORYFULLNAME>
    <TARGET_UUID>dbe67f84-a80a-11e4-9d5a-3eb708603406</TARGET_UUID>
    <TRANSPARENTBACKGROUND>False</TRANSPARENTBACKGROUND>
    <TRANSPARENTPLOTAREA>False</TRANSPARENTPLOTAREA>
    <EXTRACTSOURCEMODE>CopyToClipboard</EXTRACTSOURCEMODE>
  </Link>
  <Link>
    <GUID>7181e73e-30b5-4476-9471-878e9bd2e830</GUID>
    <SOURCE_ALTADDRESS>$B$1:$T$46</SOURCE_ALTADDRESS>
    <SOURCETYPE>Table</SOURCETYPE>
    <SOURCE_OBJECTNAME>Linking_Range_8</SOURCE_OBJECTNAME>
    <OBJECTTYPE>Native</OBJECTTYPE>
    <SOURCE_SHEETCODE>Sheet4</SOURCE_SHEETCODE>
    <SOURCE_SHEETNAME>CF</SOURCE_SHEETNAME>
    <SOURCEAPPLICATION>EXCEL_SOURCE</SOURCEAPPLICATION>
    <UPDATEDAT>4/26/2015 1:00:28 PM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/MSResearch/Content/ExternalAssets/2015-01/Images/xDjzEtNgDEKXUOYQWz1rAA--.png</TARGET_BINARYFULLNAME>
    <TARGET_STORYFULLNAME>/MSResearch/Content/ExternalAssets/2015-01/Sections/20150115_113220_Linking_Range_8.xml</TARGET_STORYFULLNAME>
    <TARGET_UUID>13903f3e-9cd4-11e4-9edc-4fa5ec7c1f73</TARGET_UUID>
    <LINKSTATUS>Unknown</LINKSTATUS>
    <TRANSPARENTBACKGROUND>False</TRANSPARENTBACKGROUND>
    <TRANSPARENTPLOTAREA>False</TRANSPARENTPLOTAREA>
    <EXTRACTSOURCEMODE>CopyToClipboard</EXTRACTSOURCEMODE>
  </Link>
  <Link>
    <GUID>67911e92-ac21-4c2d-8064-2120e244c5dd</GUID>
    <SOURCE_ALTADDRESS>$B$1:$T$40</SOURCE_ALTADDRESS>
    <SOURCETYPE>Table</SOURCETYPE>
    <SOURCE_OBJECTNAME>Linking_Range_9</SOURCE_OBJECTNAME>
    <OBJECTTYPE>Native</OBJECTTYPE>
    <SOURCE_SHEETCODE>Sheet3</SOURCE_SHEETCODE>
    <SOURCE_SHEETNAME>BS</SOURCE_SHEETNAME>
    <SOURCEAPPLICATION>EXCEL_SOURCE</SOURCEAPPLICATION>
    <UPDATEDAT>4/26/2015 1:01:24 PM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/MSResearch/Content/ExternalAssets/2015-01/Images/CuMADUEX8EmyYBZut-OcDg--.png</TARGET_BINARYFULLNAME>
    <TARGET_STORYFULLNAME>/MSResearch/Content/ExternalAssets/2015-01/Sections/20150115_113118_Linking_Range_9.xml</TARGET_STORYFULLNAME>
    <TARGET_UUID>eef5abf0-9cd3-11e4-9edc-4fa5ec7c1f73</TARGET_UUID>
    <LINKSTATUS>Unknown</LINKSTATUS>
    <TRANSPARENTBACKGROUND>False</TRANSPARENTBACKGROUND>
    <TRANSPARENTPLOTAREA>False</TRANSPARENTPLOTAREA>
    <EXTRACTSOURCEMODE>CopyToClipboard</EXTRACTSOURCEMODE>
  </Link>
  <Link>
    <GUID>f06b8780-566d-481f-9910-da0a95ce04eb</GUID>
    <SOURCE_ALTADDRESS>$B$1:$CN$121</SOURCE_ALTADDRESS>
    <SOURCETYPE>Table</SOURCETYPE>
    <SOURCE_OBJECTNAME>Linking_Range_13</SOURCE_OBJECTNAME>
    <OBJECTTYPE>Native</OBJECTTYPE>
    <SOURCE_SHEETCODE>Sheet2</SOURCE_SHEETCODE>
    <SOURCE_SHEETNAME>IS</SOURCE_SHEETNAME>
    <SOURCEAPPLICATION>EXCEL_SOURCE</SOURCEAPPLICATION>
    <UPDATEDAT>4/26/2015 1:02:47 PM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/MSResearch/Content/ExternalAssets/2015-01/Images/zNorEdiOqUa5y-zBDhw2ag--.png</TARGET_BINARYFULLNAME>
    <TARGET_STORYFULLNAME>/MSResearch/Content/ExternalAssets/2015-01/Sections/20150129_060246_Linking_Range_13.xml</TARGET_STORYFULLNAME>
    <TARGET_UUID>f0bc11b2-a80a-11e4-9d5a-3eb708603406</TARGET_UUID>
    <TRANSPARENTBACKGROUND>False</TRANSPARENTBACKGROUND>
    <TRANSPARENTPLOTAREA>False</TRANSPARENTPLOTAREA>
    <EXTRACTSOURCEMODE>CopyToClipboard</EXTRACTSOURCEMODE>
  </Link>
  <Link>
    <GUID>15dbb724-4361-4dab-9191-1704c67f4850</GUID>
    <SOURCE_ALTADDRESS>$B$2:$CN$50</SOURCE_ALTADDRESS>
    <SOURCETYPE>Table</SOURCETYPE>
    <SOURCE_OBJECTNAME>Linking_Range_10</SOURCE_OBJECTNAME>
    <OBJECTTYPE>Native</OBJECTTYPE>
    <SOURCE_SHEETCODE>Sheet5</SOURCE_SHEETCODE>
    <SOURCE_SHEETNAME>REVS</SOURCE_SHEETNAME>
    <SOURCEAPPLICATION>EXCEL_SOURCE</SOURCEAPPLICATION>
    <UPDATEDAT>4/26/2015 1:03:26 PM</UPDATEDAT>
    <SOURCE_ISOUTOFDATE>False</SOURCE_ISOUTOFDATE>
    <SOURCE_WORKBOOKNAME>BIIB_MH.xlsm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/MSResearch/Content/ExternalAssets/2015-01/Images/_9QJAP4Qeke6tPUGUIBJ4w--.png</TARGET_BINARYFULLNAME>
    <TARGET_STORYFULLNAME>/MSResearch/Content/ExternalAssets/2015-01/Sections/20150115_113106_Linking_Range_1.xml</TARGET_STORYFULLNAME>
    <TARGET_UUID>e748146a-9cd3-11e4-9edc-4fa5ec7c1f73</TARGET_UUID>
    <LINKSTATUS>Unknown</LINKSTATUS>
    <TRANSPARENTBACKGROUND>False</TRANSPARENTBACKGROUND>
    <TRANSPARENTPLOTAREA>False</TRANSPARENTPLOTAREA>
    <EXTRACTSOURCEMODE>CopyToClipboard</EXTRACTSOURCEMODE>
  </Link>
</lk:Links>
</file>

<file path=customXml/itemProps1.xml><?xml version="1.0" encoding="utf-8"?>
<ds:datastoreItem xmlns:ds="http://schemas.openxmlformats.org/officeDocument/2006/customXml" ds:itemID="{98E76E8B-518E-4B4B-A781-BB2ECE599C22}">
  <ds:schemaRefs>
    <ds:schemaRef ds:uri="thomsonreuters.linking.metadatachange"/>
  </ds:schemaRefs>
</ds:datastoreItem>
</file>

<file path=customXml/itemProps2.xml><?xml version="1.0" encoding="utf-8"?>
<ds:datastoreItem xmlns:ds="http://schemas.openxmlformats.org/officeDocument/2006/customXml" ds:itemID="{C4AAA3AC-93A0-4856-AD4F-6AD7B86027B0}">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108</vt:i4>
      </vt:variant>
    </vt:vector>
  </HeadingPairs>
  <TitlesOfParts>
    <vt:vector size="125" baseType="lpstr">
      <vt:lpstr>ImportantDisclosures</vt:lpstr>
      <vt:lpstr>DCF</vt:lpstr>
      <vt:lpstr>IS</vt:lpstr>
      <vt:lpstr>REVS</vt:lpstr>
      <vt:lpstr>Zinbryta Collaboration</vt:lpstr>
      <vt:lpstr>BS</vt:lpstr>
      <vt:lpstr>CF</vt:lpstr>
      <vt:lpstr>DEBT</vt:lpstr>
      <vt:lpstr>US MS Market Model</vt:lpstr>
      <vt:lpstr>ROW MS Market Model</vt:lpstr>
      <vt:lpstr>BG-12 Milestone and Royalties</vt:lpstr>
      <vt:lpstr>Roche Royalty Model</vt:lpstr>
      <vt:lpstr>aducanumab</vt:lpstr>
      <vt:lpstr>anti-LINGO</vt:lpstr>
      <vt:lpstr>SMA</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'Zinbryta Collaboration'!Linking_11</vt:lpstr>
      <vt:lpstr>Linking_11</vt:lpstr>
      <vt:lpstr>Linking_12</vt:lpstr>
      <vt:lpstr>Linking_13</vt:lpstr>
      <vt:lpstr>Linking_14</vt:lpstr>
      <vt:lpstr>Linking_19</vt:lpstr>
      <vt:lpstr>Linking_2</vt:lpstr>
      <vt:lpstr>Linking_20</vt:lpstr>
      <vt:lpstr>Linking_21</vt:lpstr>
      <vt:lpstr>Linking_22</vt:lpstr>
      <vt:lpstr>Linking_24</vt:lpstr>
      <vt:lpstr>Linking_25</vt:lpstr>
      <vt:lpstr>Linking_26</vt:lpstr>
      <vt:lpstr>Linking_27</vt:lpstr>
      <vt:lpstr>Linking_28</vt:lpstr>
      <vt:lpstr>'Zinbryta Collaboration'!Linking_3</vt:lpstr>
      <vt:lpstr>Linking_3</vt:lpstr>
      <vt:lpstr>Linking_4</vt:lpstr>
      <vt:lpstr>Linking_5</vt:lpstr>
      <vt:lpstr>Linking_6</vt:lpstr>
      <vt:lpstr>'Zinbryta Collaboration'!Linking_7</vt:lpstr>
      <vt:lpstr>Linking_7</vt:lpstr>
      <vt:lpstr>Linking_8</vt:lpstr>
      <vt:lpstr>Linking_9</vt:lpstr>
      <vt:lpstr>'Zinbryta Collaboration'!Linking_Range_10</vt:lpstr>
      <vt:lpstr>Linking_Range_10</vt:lpstr>
      <vt:lpstr>Linking_Range_11</vt:lpstr>
      <vt:lpstr>Linking_Range_13</vt:lpstr>
      <vt:lpstr>Linking_Range_14</vt:lpstr>
      <vt:lpstr>Linking_Range_15</vt:lpstr>
      <vt:lpstr>Linking_Range_2</vt:lpstr>
      <vt:lpstr>Linking_Range_3</vt:lpstr>
      <vt:lpstr>Linking_Range_4</vt:lpstr>
      <vt:lpstr>Linking_Range_5</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2013-12-17T15:24:33Z</dcterms:created>
  <dc:creator>Harrison, Matthew (Research)</dc:creator>
  <cp:lastModifiedBy>Asante, Ishmael I (Research)</cp:lastModifiedBy>
  <cp:lastPrinted>2018-01-26T01:38:35Z</cp:lastPrinted>
  <dcterms:modified xsi:type="dcterms:W3CDTF">2018-04-25T17:24:26Z</dcterms:modified>
  <dc:title>Biogen Model</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15</vt:lpwstr>
  </property>
  <property fmtid="{D5CDD505-2E9C-101B-9397-08002B2CF9AE}" name="{A44787D4-0540-4523-9961-78E4036D8C6D}" pid="3">
    <vt:lpwstr>{9DC068B8-5838-46CC-82F3-6FBBEE5C3EB8}</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764050</vt:lpwstr>
  </property>
  <property fmtid="{D5CDD505-2E9C-101B-9397-08002B2CF9AE}" name="ERModPubCompanyName" pid="7">
    <vt:lpwstr>Biogen Inc</vt:lpwstr>
  </property>
  <property fmtid="{D5CDD505-2E9C-101B-9397-08002B2CF9AE}" name="MSDH34TAG" pid="8">
    <vt:lpwstr>.TEZUF76X5TAHATHESADREYAK-00-INB160+*94600-06=85470cb0/-48ad/-11e8/-adef/-6a0a1ce82510,MD=20180425135353/-0400,ZZ=000Z-37f6.</vt:lpwstr>
  </property>
</Properties>
</file>